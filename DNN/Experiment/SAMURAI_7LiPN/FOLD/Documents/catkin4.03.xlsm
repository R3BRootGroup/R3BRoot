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intranet.nscl.msu.edu\files\user\zegers\My Documents\kinematics\"/>
    </mc:Choice>
  </mc:AlternateContent>
  <bookViews>
    <workbookView xWindow="360" yWindow="165" windowWidth="18285" windowHeight="9630" tabRatio="1000"/>
  </bookViews>
  <sheets>
    <sheet name="kinematics" sheetId="2" r:id="rId1"/>
    <sheet name="small plots" sheetId="10" r:id="rId2"/>
    <sheet name="lab angle vs cm" sheetId="8" r:id="rId3"/>
    <sheet name="lab KE vs cm" sheetId="9" r:id="rId4"/>
    <sheet name="Calculator" sheetId="11" r:id="rId5"/>
    <sheet name="plectrum plots" sheetId="12" r:id="rId6"/>
    <sheet name="Plotting Sheet" sheetId="3" r:id="rId7"/>
    <sheet name="mass_rmd.mas" sheetId="13" r:id="rId8"/>
    <sheet name="MASS - 2016" sheetId="17" r:id="rId9"/>
    <sheet name="Decay" sheetId="20" r:id="rId10"/>
    <sheet name="Recoil-Decay" sheetId="21" r:id="rId11"/>
    <sheet name="LF-100" sheetId="19" r:id="rId12"/>
    <sheet name="LF-140" sheetId="18" r:id="rId13"/>
  </sheets>
  <externalReferences>
    <externalReference r:id="rId14"/>
  </externalReferences>
  <definedNames>
    <definedName name="A_values">mass_rmd.mas!$C:$C</definedName>
    <definedName name="Delta_values">mass_rmd.mas!$G:$G</definedName>
    <definedName name="Mass_lookup">#REF!</definedName>
    <definedName name="Print_plot">'small plots'!$B$2:$Q$62</definedName>
    <definedName name="Print_table">kinematics!$B$1:$W$27</definedName>
    <definedName name="solver_adj" localSheetId="4" hidden="1">Calculator!$N$189</definedName>
    <definedName name="solver_cvg" localSheetId="4" hidden="1">0.001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Calculator!$N$191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3</definedName>
    <definedName name="solver_val" localSheetId="4" hidden="1">0</definedName>
    <definedName name="Symbol_list">#REF!</definedName>
    <definedName name="Symbol_list2">#REF!</definedName>
    <definedName name="Symbol_values">mass_rmd.mas!$D:$D</definedName>
    <definedName name="Symbols">#REF!</definedName>
    <definedName name="Z_list">#REF!</definedName>
    <definedName name="Z_values">mass_rmd.mas!$B:$B</definedName>
    <definedName name="Zs">#REF!</definedName>
  </definedNames>
  <calcPr calcId="152511"/>
</workbook>
</file>

<file path=xl/calcChain.xml><?xml version="1.0" encoding="utf-8"?>
<calcChain xmlns="http://schemas.openxmlformats.org/spreadsheetml/2006/main">
  <c r="Q11" i="19" l="1"/>
  <c r="Q9" i="19"/>
  <c r="O9" i="19"/>
  <c r="Q7" i="19"/>
  <c r="Q10" i="19" s="1"/>
  <c r="O7" i="19"/>
  <c r="O11" i="19" s="1"/>
  <c r="Q11" i="18"/>
  <c r="O11" i="18"/>
  <c r="O10" i="18"/>
  <c r="Q9" i="18"/>
  <c r="Q12" i="18" s="1"/>
  <c r="O9" i="18"/>
  <c r="Q7" i="18"/>
  <c r="Q10" i="18" s="1"/>
  <c r="O8" i="19"/>
  <c r="P8" i="19" s="1"/>
  <c r="E4" i="19"/>
  <c r="Q8" i="19"/>
  <c r="R8" i="19" s="1"/>
  <c r="O5" i="19"/>
  <c r="O6" i="19" s="1"/>
  <c r="O4" i="19"/>
  <c r="Q4" i="19" s="1"/>
  <c r="Q5" i="19" s="1"/>
  <c r="Q6" i="19" s="1"/>
  <c r="O7" i="18"/>
  <c r="O8" i="18"/>
  <c r="O4" i="18"/>
  <c r="O5" i="18" s="1"/>
  <c r="O6" i="18" s="1"/>
  <c r="J3" i="18"/>
  <c r="J3" i="19"/>
  <c r="O12" i="18"/>
  <c r="Q8" i="18"/>
  <c r="Q4" i="18"/>
  <c r="Q5" i="18" s="1"/>
  <c r="Q6" i="18" s="1"/>
  <c r="Q12" i="19" l="1"/>
  <c r="O10" i="19"/>
  <c r="O12" i="19" s="1"/>
  <c r="G54" i="13" l="1"/>
  <c r="V8" i="13" l="1"/>
  <c r="U9" i="13"/>
  <c r="U8" i="13"/>
  <c r="P9" i="13"/>
  <c r="P8" i="13"/>
  <c r="C2" i="21"/>
  <c r="C2" i="20"/>
  <c r="B1" i="20"/>
  <c r="C1" i="20"/>
  <c r="A23" i="21"/>
  <c r="C22" i="21"/>
  <c r="A22" i="21"/>
  <c r="B22" i="21" s="1"/>
  <c r="H3" i="21"/>
  <c r="V9" i="13" s="1"/>
  <c r="H1" i="21"/>
  <c r="W9" i="13"/>
  <c r="I3" i="21" l="1"/>
  <c r="X9" i="13"/>
  <c r="J3" i="21" s="1"/>
  <c r="A24" i="21"/>
  <c r="C23" i="21"/>
  <c r="B24" i="21" l="1"/>
  <c r="A25" i="21"/>
  <c r="C24" i="21"/>
  <c r="B23" i="21"/>
  <c r="A26" i="21" l="1"/>
  <c r="C25" i="21"/>
  <c r="A27" i="21" l="1"/>
  <c r="B26" i="21" s="1"/>
  <c r="C26" i="21"/>
  <c r="B25" i="21"/>
  <c r="A28" i="21" l="1"/>
  <c r="C27" i="21"/>
  <c r="A29" i="21" l="1"/>
  <c r="B28" i="21" s="1"/>
  <c r="C28" i="21"/>
  <c r="B27" i="21"/>
  <c r="A30" i="21" l="1"/>
  <c r="C29" i="21"/>
  <c r="A31" i="21" l="1"/>
  <c r="C30" i="21"/>
  <c r="B29" i="21"/>
  <c r="A32" i="21" l="1"/>
  <c r="C31" i="21"/>
  <c r="B30" i="21"/>
  <c r="B32" i="21" l="1"/>
  <c r="A33" i="21"/>
  <c r="C32" i="21"/>
  <c r="B31" i="21"/>
  <c r="A34" i="21" l="1"/>
  <c r="B33" i="21" s="1"/>
  <c r="C33" i="21"/>
  <c r="A35" i="21" l="1"/>
  <c r="B34" i="21" s="1"/>
  <c r="C34" i="21"/>
  <c r="A36" i="21" l="1"/>
  <c r="B35" i="21" s="1"/>
  <c r="C35" i="21"/>
  <c r="A37" i="21" l="1"/>
  <c r="C36" i="21"/>
  <c r="A38" i="21" l="1"/>
  <c r="C37" i="21"/>
  <c r="B36" i="21"/>
  <c r="A39" i="21" l="1"/>
  <c r="B38" i="21" s="1"/>
  <c r="C38" i="21"/>
  <c r="B37" i="21"/>
  <c r="A40" i="21" l="1"/>
  <c r="B39" i="21" s="1"/>
  <c r="C39" i="21"/>
  <c r="B40" i="21" l="1"/>
  <c r="C40" i="21"/>
  <c r="F15" i="20" l="1"/>
  <c r="C22" i="20"/>
  <c r="A22" i="20"/>
  <c r="A23" i="20" s="1"/>
  <c r="H3" i="20"/>
  <c r="Q9" i="13" s="1"/>
  <c r="H1" i="20"/>
  <c r="Q8" i="13" s="1"/>
  <c r="I28" i="19"/>
  <c r="I27" i="19"/>
  <c r="I26" i="19"/>
  <c r="I23" i="19"/>
  <c r="I22" i="19"/>
  <c r="I21" i="19"/>
  <c r="I24" i="19" s="1"/>
  <c r="I15" i="19"/>
  <c r="I14" i="19"/>
  <c r="I13" i="19"/>
  <c r="I10" i="19"/>
  <c r="I9" i="19"/>
  <c r="I8" i="19"/>
  <c r="E3" i="19"/>
  <c r="G28" i="19" s="1"/>
  <c r="J28" i="19" s="1"/>
  <c r="I9" i="18"/>
  <c r="R9" i="13"/>
  <c r="I11" i="19" l="1"/>
  <c r="I29" i="19"/>
  <c r="I16" i="19"/>
  <c r="E4" i="18"/>
  <c r="I3" i="20"/>
  <c r="S9" i="13"/>
  <c r="J3" i="20" s="1"/>
  <c r="B22" i="20"/>
  <c r="C23" i="20"/>
  <c r="A24" i="20"/>
  <c r="B23" i="20" s="1"/>
  <c r="G8" i="19"/>
  <c r="J8" i="19" s="1"/>
  <c r="G9" i="19"/>
  <c r="J9" i="19" s="1"/>
  <c r="G10" i="19"/>
  <c r="J10" i="19" s="1"/>
  <c r="C37" i="19"/>
  <c r="G13" i="19"/>
  <c r="J13" i="19" s="1"/>
  <c r="G14" i="19"/>
  <c r="J14" i="19" s="1"/>
  <c r="G15" i="19"/>
  <c r="J15" i="19" s="1"/>
  <c r="G21" i="19"/>
  <c r="J21" i="19" s="1"/>
  <c r="G22" i="19"/>
  <c r="J22" i="19" s="1"/>
  <c r="G23" i="19"/>
  <c r="J23" i="19" s="1"/>
  <c r="G26" i="19"/>
  <c r="J26" i="19" s="1"/>
  <c r="G27" i="19"/>
  <c r="J27" i="19" s="1"/>
  <c r="I10" i="18"/>
  <c r="I26" i="18"/>
  <c r="I28" i="18"/>
  <c r="I13" i="18"/>
  <c r="I14" i="18"/>
  <c r="I15" i="18"/>
  <c r="I21" i="18"/>
  <c r="I22" i="18"/>
  <c r="I23" i="18"/>
  <c r="I27" i="18"/>
  <c r="I8" i="18"/>
  <c r="E3" i="18" l="1"/>
  <c r="G21" i="18" s="1"/>
  <c r="J21" i="18" s="1"/>
  <c r="C24" i="20"/>
  <c r="A25" i="20"/>
  <c r="J24" i="19"/>
  <c r="J29" i="19"/>
  <c r="L29" i="19" s="1"/>
  <c r="J16" i="19"/>
  <c r="L16" i="19" s="1"/>
  <c r="J11" i="19"/>
  <c r="I11" i="18"/>
  <c r="I16" i="18"/>
  <c r="I24" i="18"/>
  <c r="I29" i="18"/>
  <c r="G13" i="18" l="1"/>
  <c r="J13" i="18" s="1"/>
  <c r="G8" i="18"/>
  <c r="J8" i="18" s="1"/>
  <c r="G26" i="18"/>
  <c r="J26" i="18" s="1"/>
  <c r="C37" i="18"/>
  <c r="G9" i="18"/>
  <c r="J9" i="18" s="1"/>
  <c r="G15" i="18"/>
  <c r="J15" i="18" s="1"/>
  <c r="G28" i="18"/>
  <c r="J28" i="18" s="1"/>
  <c r="G27" i="18"/>
  <c r="J27" i="18" s="1"/>
  <c r="J29" i="18" s="1"/>
  <c r="G14" i="18"/>
  <c r="J14" i="18" s="1"/>
  <c r="G10" i="18"/>
  <c r="J10" i="18" s="1"/>
  <c r="G23" i="18"/>
  <c r="J23" i="18" s="1"/>
  <c r="G22" i="18"/>
  <c r="J22" i="18" s="1"/>
  <c r="J24" i="18" s="1"/>
  <c r="L24" i="18" s="1"/>
  <c r="C25" i="20"/>
  <c r="A26" i="20"/>
  <c r="B24" i="20"/>
  <c r="J18" i="19"/>
  <c r="L11" i="19"/>
  <c r="L18" i="19" s="1"/>
  <c r="L24" i="19"/>
  <c r="L31" i="19" s="1"/>
  <c r="J31" i="19"/>
  <c r="D37" i="19" s="1"/>
  <c r="J11" i="18" l="1"/>
  <c r="L11" i="18" s="1"/>
  <c r="J16" i="18"/>
  <c r="L16" i="18" s="1"/>
  <c r="J31" i="18"/>
  <c r="D37" i="18" s="1"/>
  <c r="L29" i="18"/>
  <c r="L31" i="18" s="1"/>
  <c r="A27" i="20"/>
  <c r="B26" i="20"/>
  <c r="C26" i="20"/>
  <c r="B25" i="20"/>
  <c r="J18" i="18" l="1"/>
  <c r="L18" i="18"/>
  <c r="A28" i="20"/>
  <c r="C27" i="20"/>
  <c r="B27" i="20"/>
  <c r="C28" i="20" l="1"/>
  <c r="A29" i="20"/>
  <c r="C29" i="20" l="1"/>
  <c r="A30" i="20"/>
  <c r="B29" i="20" s="1"/>
  <c r="B28" i="20"/>
  <c r="A31" i="20" l="1"/>
  <c r="B30" i="20" s="1"/>
  <c r="C30" i="20"/>
  <c r="A32" i="20" l="1"/>
  <c r="C31" i="20"/>
  <c r="C32" i="20" l="1"/>
  <c r="A33" i="20"/>
  <c r="B32" i="20" s="1"/>
  <c r="B31" i="20"/>
  <c r="A37" i="18"/>
  <c r="A37" i="19"/>
  <c r="C33" i="20" l="1"/>
  <c r="A34" i="20"/>
  <c r="B33" i="20"/>
  <c r="A35" i="20" l="1"/>
  <c r="B34" i="20"/>
  <c r="C34" i="20"/>
  <c r="H23" i="18"/>
  <c r="H22" i="18"/>
  <c r="H21" i="18"/>
  <c r="H15" i="18"/>
  <c r="H14" i="18"/>
  <c r="H13" i="18"/>
  <c r="H8" i="18"/>
  <c r="E5" i="18"/>
  <c r="B37" i="18" s="1"/>
  <c r="H28" i="18"/>
  <c r="H27" i="18"/>
  <c r="H26" i="18"/>
  <c r="H10" i="18"/>
  <c r="H9" i="18"/>
  <c r="A36" i="20" l="1"/>
  <c r="C35" i="20"/>
  <c r="B35" i="20"/>
  <c r="H29" i="18"/>
  <c r="K29" i="18" s="1"/>
  <c r="H24" i="18"/>
  <c r="K24" i="18" s="1"/>
  <c r="H11" i="18"/>
  <c r="K11" i="18" s="1"/>
  <c r="H16" i="18"/>
  <c r="K16" i="18" s="1"/>
  <c r="C36" i="20" l="1"/>
  <c r="A37" i="20"/>
  <c r="B36" i="20" s="1"/>
  <c r="K31" i="18"/>
  <c r="E37" i="18" s="1"/>
  <c r="K18" i="18"/>
  <c r="C37" i="20" l="1"/>
  <c r="A38" i="20"/>
  <c r="B37" i="20"/>
  <c r="A39" i="20" l="1"/>
  <c r="B38" i="20" s="1"/>
  <c r="C38" i="20"/>
  <c r="B39" i="20" l="1"/>
  <c r="A40" i="20"/>
  <c r="C39" i="20"/>
  <c r="C40" i="20" l="1"/>
  <c r="B40" i="20"/>
  <c r="F2944" i="13" l="1"/>
  <c r="E2944" i="13"/>
  <c r="F2943" i="13"/>
  <c r="E2943" i="13"/>
  <c r="F2942" i="13"/>
  <c r="E2942" i="13"/>
  <c r="F2941" i="13"/>
  <c r="E2941" i="13"/>
  <c r="F2940" i="13"/>
  <c r="E2940" i="13"/>
  <c r="F2939" i="13"/>
  <c r="E2939" i="13"/>
  <c r="F2938" i="13"/>
  <c r="E2938" i="13"/>
  <c r="F2937" i="13"/>
  <c r="E2937" i="13"/>
  <c r="F2936" i="13"/>
  <c r="E2936" i="13"/>
  <c r="F2935" i="13"/>
  <c r="E2935" i="13"/>
  <c r="F2934" i="13"/>
  <c r="E2934" i="13"/>
  <c r="F2933" i="13"/>
  <c r="E2933" i="13"/>
  <c r="F2932" i="13"/>
  <c r="E2932" i="13"/>
  <c r="F2931" i="13"/>
  <c r="E2931" i="13"/>
  <c r="F2930" i="13"/>
  <c r="E2930" i="13"/>
  <c r="F2929" i="13"/>
  <c r="E2929" i="13"/>
  <c r="F2928" i="13"/>
  <c r="E2928" i="13"/>
  <c r="F2927" i="13"/>
  <c r="E2927" i="13"/>
  <c r="F2926" i="13"/>
  <c r="E2926" i="13"/>
  <c r="F2925" i="13"/>
  <c r="E2925" i="13"/>
  <c r="F2924" i="13"/>
  <c r="E2924" i="13"/>
  <c r="F2923" i="13"/>
  <c r="E2923" i="13"/>
  <c r="F2922" i="13"/>
  <c r="E2922" i="13"/>
  <c r="F2921" i="13"/>
  <c r="E2921" i="13"/>
  <c r="F2920" i="13"/>
  <c r="E2920" i="13"/>
  <c r="F2919" i="13"/>
  <c r="E2919" i="13"/>
  <c r="F2918" i="13"/>
  <c r="E2918" i="13"/>
  <c r="F2917" i="13"/>
  <c r="E2917" i="13"/>
  <c r="F2916" i="13"/>
  <c r="E2916" i="13"/>
  <c r="F2915" i="13"/>
  <c r="E2915" i="13"/>
  <c r="F2914" i="13"/>
  <c r="E2914" i="13"/>
  <c r="F2913" i="13"/>
  <c r="E2913" i="13"/>
  <c r="F2912" i="13"/>
  <c r="E2912" i="13"/>
  <c r="F2911" i="13"/>
  <c r="E2911" i="13"/>
  <c r="F2910" i="13"/>
  <c r="E2910" i="13"/>
  <c r="F2909" i="13"/>
  <c r="E2909" i="13"/>
  <c r="F2908" i="13"/>
  <c r="E2908" i="13"/>
  <c r="F2907" i="13"/>
  <c r="E2907" i="13"/>
  <c r="F2906" i="13"/>
  <c r="E2906" i="13"/>
  <c r="F2905" i="13"/>
  <c r="E2905" i="13"/>
  <c r="F2904" i="13"/>
  <c r="E2904" i="13"/>
  <c r="F2903" i="13"/>
  <c r="E2903" i="13"/>
  <c r="F2902" i="13"/>
  <c r="E2902" i="13"/>
  <c r="F2901" i="13"/>
  <c r="E2901" i="13"/>
  <c r="F2900" i="13"/>
  <c r="E2900" i="13"/>
  <c r="F2899" i="13"/>
  <c r="E2899" i="13"/>
  <c r="F2898" i="13"/>
  <c r="E2898" i="13"/>
  <c r="F2897" i="13"/>
  <c r="E2897" i="13"/>
  <c r="F2896" i="13"/>
  <c r="E2896" i="13"/>
  <c r="F2895" i="13"/>
  <c r="E2895" i="13"/>
  <c r="F2894" i="13"/>
  <c r="E2894" i="13"/>
  <c r="F2893" i="13"/>
  <c r="E2893" i="13"/>
  <c r="F2892" i="13"/>
  <c r="E2892" i="13"/>
  <c r="F2891" i="13"/>
  <c r="E2891" i="13"/>
  <c r="F2890" i="13"/>
  <c r="E2890" i="13"/>
  <c r="F2889" i="13"/>
  <c r="E2889" i="13"/>
  <c r="F2888" i="13"/>
  <c r="E2888" i="13"/>
  <c r="F2887" i="13"/>
  <c r="E2887" i="13"/>
  <c r="F2886" i="13"/>
  <c r="E2886" i="13"/>
  <c r="F2885" i="13"/>
  <c r="E2885" i="13"/>
  <c r="F2884" i="13"/>
  <c r="E2884" i="13"/>
  <c r="F2883" i="13"/>
  <c r="E2883" i="13"/>
  <c r="F2882" i="13"/>
  <c r="E2882" i="13"/>
  <c r="F2881" i="13"/>
  <c r="E2881" i="13"/>
  <c r="F2880" i="13"/>
  <c r="E2880" i="13"/>
  <c r="F2879" i="13"/>
  <c r="E2879" i="13"/>
  <c r="F2878" i="13"/>
  <c r="E2878" i="13"/>
  <c r="F2877" i="13"/>
  <c r="E2877" i="13"/>
  <c r="F2876" i="13"/>
  <c r="E2876" i="13"/>
  <c r="F2875" i="13"/>
  <c r="E2875" i="13"/>
  <c r="F2874" i="13"/>
  <c r="E2874" i="13"/>
  <c r="F2873" i="13"/>
  <c r="E2873" i="13"/>
  <c r="F2872" i="13"/>
  <c r="E2872" i="13"/>
  <c r="F2871" i="13"/>
  <c r="E2871" i="13"/>
  <c r="F2870" i="13"/>
  <c r="E2870" i="13"/>
  <c r="F2869" i="13"/>
  <c r="E2869" i="13"/>
  <c r="F2868" i="13"/>
  <c r="E2868" i="13"/>
  <c r="F2867" i="13"/>
  <c r="E2867" i="13"/>
  <c r="F2866" i="13"/>
  <c r="E2866" i="13"/>
  <c r="F2865" i="13"/>
  <c r="E2865" i="13"/>
  <c r="F2864" i="13"/>
  <c r="E2864" i="13"/>
  <c r="F2863" i="13"/>
  <c r="E2863" i="13"/>
  <c r="F2862" i="13"/>
  <c r="E2862" i="13"/>
  <c r="F2861" i="13"/>
  <c r="E2861" i="13"/>
  <c r="F2860" i="13"/>
  <c r="E2860" i="13"/>
  <c r="F2859" i="13"/>
  <c r="E2859" i="13"/>
  <c r="F2858" i="13"/>
  <c r="E2858" i="13"/>
  <c r="F2857" i="13"/>
  <c r="E2857" i="13"/>
  <c r="F2856" i="13"/>
  <c r="E2856" i="13"/>
  <c r="F2855" i="13"/>
  <c r="E2855" i="13"/>
  <c r="F2854" i="13"/>
  <c r="E2854" i="13"/>
  <c r="F2853" i="13"/>
  <c r="E2853" i="13"/>
  <c r="F2852" i="13"/>
  <c r="E2852" i="13"/>
  <c r="F2851" i="13"/>
  <c r="E2851" i="13"/>
  <c r="F2850" i="13"/>
  <c r="E2850" i="13"/>
  <c r="F2849" i="13"/>
  <c r="E2849" i="13"/>
  <c r="F2848" i="13"/>
  <c r="E2848" i="13"/>
  <c r="F2847" i="13"/>
  <c r="E2847" i="13"/>
  <c r="F2846" i="13"/>
  <c r="E2846" i="13"/>
  <c r="F2845" i="13"/>
  <c r="E2845" i="13"/>
  <c r="F2844" i="13"/>
  <c r="E2844" i="13"/>
  <c r="F2843" i="13"/>
  <c r="E2843" i="13"/>
  <c r="F2842" i="13"/>
  <c r="E2842" i="13"/>
  <c r="F2841" i="13"/>
  <c r="E2841" i="13"/>
  <c r="F2840" i="13"/>
  <c r="E2840" i="13"/>
  <c r="F2839" i="13"/>
  <c r="E2839" i="13"/>
  <c r="F2838" i="13"/>
  <c r="E2838" i="13"/>
  <c r="F2837" i="13"/>
  <c r="E2837" i="13"/>
  <c r="F2836" i="13"/>
  <c r="E2836" i="13"/>
  <c r="F2835" i="13"/>
  <c r="E2835" i="13"/>
  <c r="F2834" i="13"/>
  <c r="E2834" i="13"/>
  <c r="F2833" i="13"/>
  <c r="E2833" i="13"/>
  <c r="F2832" i="13"/>
  <c r="E2832" i="13"/>
  <c r="F2831" i="13"/>
  <c r="E2831" i="13"/>
  <c r="F2830" i="13"/>
  <c r="E2830" i="13"/>
  <c r="F2829" i="13"/>
  <c r="E2829" i="13"/>
  <c r="F2828" i="13"/>
  <c r="E2828" i="13"/>
  <c r="F2827" i="13"/>
  <c r="E2827" i="13"/>
  <c r="F2826" i="13"/>
  <c r="E2826" i="13"/>
  <c r="F2825" i="13"/>
  <c r="E2825" i="13"/>
  <c r="F2824" i="13"/>
  <c r="E2824" i="13"/>
  <c r="F2823" i="13"/>
  <c r="E2823" i="13"/>
  <c r="F2822" i="13"/>
  <c r="E2822" i="13"/>
  <c r="F2821" i="13"/>
  <c r="E2821" i="13"/>
  <c r="F2820" i="13"/>
  <c r="E2820" i="13"/>
  <c r="F2819" i="13"/>
  <c r="E2819" i="13"/>
  <c r="F2818" i="13"/>
  <c r="E2818" i="13"/>
  <c r="F2817" i="13"/>
  <c r="E2817" i="13"/>
  <c r="F2816" i="13"/>
  <c r="E2816" i="13"/>
  <c r="F2815" i="13"/>
  <c r="E2815" i="13"/>
  <c r="F2814" i="13"/>
  <c r="E2814" i="13"/>
  <c r="F2813" i="13"/>
  <c r="E2813" i="13"/>
  <c r="F2812" i="13"/>
  <c r="E2812" i="13"/>
  <c r="F2811" i="13"/>
  <c r="E2811" i="13"/>
  <c r="F2810" i="13"/>
  <c r="E2810" i="13"/>
  <c r="F2809" i="13"/>
  <c r="E2809" i="13"/>
  <c r="F2808" i="13"/>
  <c r="E2808" i="13"/>
  <c r="F2807" i="13"/>
  <c r="E2807" i="13"/>
  <c r="F2806" i="13"/>
  <c r="E2806" i="13"/>
  <c r="F2805" i="13"/>
  <c r="E2805" i="13"/>
  <c r="F2804" i="13"/>
  <c r="E2804" i="13"/>
  <c r="F2803" i="13"/>
  <c r="E2803" i="13"/>
  <c r="F2802" i="13"/>
  <c r="E2802" i="13"/>
  <c r="F2801" i="13"/>
  <c r="E2801" i="13"/>
  <c r="F2800" i="13"/>
  <c r="E2800" i="13"/>
  <c r="F2799" i="13"/>
  <c r="E2799" i="13"/>
  <c r="F2798" i="13"/>
  <c r="E2798" i="13"/>
  <c r="F2797" i="13"/>
  <c r="E2797" i="13"/>
  <c r="F2796" i="13"/>
  <c r="E2796" i="13"/>
  <c r="F2795" i="13"/>
  <c r="E2795" i="13"/>
  <c r="F2794" i="13"/>
  <c r="E2794" i="13"/>
  <c r="F2793" i="13"/>
  <c r="E2793" i="13"/>
  <c r="F2792" i="13"/>
  <c r="E2792" i="13"/>
  <c r="F2791" i="13"/>
  <c r="E2791" i="13"/>
  <c r="F2790" i="13"/>
  <c r="E2790" i="13"/>
  <c r="F2789" i="13"/>
  <c r="E2789" i="13"/>
  <c r="F2788" i="13"/>
  <c r="E2788" i="13"/>
  <c r="F2787" i="13"/>
  <c r="E2787" i="13"/>
  <c r="F2786" i="13"/>
  <c r="E2786" i="13"/>
  <c r="F2785" i="13"/>
  <c r="E2785" i="13"/>
  <c r="F2784" i="13"/>
  <c r="E2784" i="13"/>
  <c r="F2783" i="13"/>
  <c r="E2783" i="13"/>
  <c r="F2782" i="13"/>
  <c r="E2782" i="13"/>
  <c r="F2781" i="13"/>
  <c r="E2781" i="13"/>
  <c r="F2780" i="13"/>
  <c r="E2780" i="13"/>
  <c r="F2779" i="13"/>
  <c r="E2779" i="13"/>
  <c r="F2778" i="13"/>
  <c r="E2778" i="13"/>
  <c r="F2777" i="13"/>
  <c r="E2777" i="13"/>
  <c r="F2776" i="13"/>
  <c r="E2776" i="13"/>
  <c r="F2775" i="13"/>
  <c r="E2775" i="13"/>
  <c r="F2774" i="13"/>
  <c r="E2774" i="13"/>
  <c r="F2773" i="13"/>
  <c r="E2773" i="13"/>
  <c r="F2772" i="13"/>
  <c r="E2772" i="13"/>
  <c r="F2771" i="13"/>
  <c r="E2771" i="13"/>
  <c r="F2770" i="13"/>
  <c r="E2770" i="13"/>
  <c r="F2769" i="13"/>
  <c r="E2769" i="13"/>
  <c r="F2768" i="13"/>
  <c r="E2768" i="13"/>
  <c r="F2767" i="13"/>
  <c r="E2767" i="13"/>
  <c r="F2766" i="13"/>
  <c r="E2766" i="13"/>
  <c r="F2765" i="13"/>
  <c r="E2765" i="13"/>
  <c r="F2764" i="13"/>
  <c r="E2764" i="13"/>
  <c r="F2763" i="13"/>
  <c r="E2763" i="13"/>
  <c r="F2762" i="13"/>
  <c r="E2762" i="13"/>
  <c r="F2761" i="13"/>
  <c r="E2761" i="13"/>
  <c r="F2760" i="13"/>
  <c r="E2760" i="13"/>
  <c r="F2759" i="13"/>
  <c r="E2759" i="13"/>
  <c r="F2758" i="13"/>
  <c r="E2758" i="13"/>
  <c r="F2757" i="13"/>
  <c r="E2757" i="13"/>
  <c r="F2756" i="13"/>
  <c r="E2756" i="13"/>
  <c r="F2755" i="13"/>
  <c r="E2755" i="13"/>
  <c r="F2754" i="13"/>
  <c r="E2754" i="13"/>
  <c r="F2753" i="13"/>
  <c r="E2753" i="13"/>
  <c r="F2752" i="13"/>
  <c r="E2752" i="13"/>
  <c r="F2751" i="13"/>
  <c r="E2751" i="13"/>
  <c r="F2750" i="13"/>
  <c r="E2750" i="13"/>
  <c r="F2749" i="13"/>
  <c r="E2749" i="13"/>
  <c r="F2748" i="13"/>
  <c r="E2748" i="13"/>
  <c r="F2747" i="13"/>
  <c r="E2747" i="13"/>
  <c r="F2746" i="13"/>
  <c r="E2746" i="13"/>
  <c r="F2745" i="13"/>
  <c r="E2745" i="13"/>
  <c r="F2744" i="13"/>
  <c r="E2744" i="13"/>
  <c r="F2743" i="13"/>
  <c r="E2743" i="13"/>
  <c r="F2742" i="13"/>
  <c r="E2742" i="13"/>
  <c r="F2741" i="13"/>
  <c r="E2741" i="13"/>
  <c r="F2740" i="13"/>
  <c r="E2740" i="13"/>
  <c r="F2739" i="13"/>
  <c r="E2739" i="13"/>
  <c r="F2738" i="13"/>
  <c r="E2738" i="13"/>
  <c r="F2737" i="13"/>
  <c r="E2737" i="13"/>
  <c r="F2736" i="13"/>
  <c r="E2736" i="13"/>
  <c r="F2735" i="13"/>
  <c r="E2735" i="13"/>
  <c r="F2734" i="13"/>
  <c r="E2734" i="13"/>
  <c r="F2733" i="13"/>
  <c r="E2733" i="13"/>
  <c r="F2732" i="13"/>
  <c r="E2732" i="13"/>
  <c r="F2731" i="13"/>
  <c r="E2731" i="13"/>
  <c r="F2730" i="13"/>
  <c r="E2730" i="13"/>
  <c r="F2729" i="13"/>
  <c r="E2729" i="13"/>
  <c r="F2728" i="13"/>
  <c r="E2728" i="13"/>
  <c r="F2727" i="13"/>
  <c r="E2727" i="13"/>
  <c r="F2726" i="13"/>
  <c r="E2726" i="13"/>
  <c r="F2725" i="13"/>
  <c r="E2725" i="13"/>
  <c r="F2724" i="13"/>
  <c r="E2724" i="13"/>
  <c r="F2723" i="13"/>
  <c r="E2723" i="13"/>
  <c r="F2722" i="13"/>
  <c r="E2722" i="13"/>
  <c r="F2721" i="13"/>
  <c r="E2721" i="13"/>
  <c r="F2720" i="13"/>
  <c r="E2720" i="13"/>
  <c r="F2719" i="13"/>
  <c r="E2719" i="13"/>
  <c r="F2718" i="13"/>
  <c r="E2718" i="13"/>
  <c r="F2717" i="13"/>
  <c r="E2717" i="13"/>
  <c r="F2716" i="13"/>
  <c r="E2716" i="13"/>
  <c r="F2715" i="13"/>
  <c r="E2715" i="13"/>
  <c r="F2714" i="13"/>
  <c r="E2714" i="13"/>
  <c r="F2713" i="13"/>
  <c r="E2713" i="13"/>
  <c r="F2712" i="13"/>
  <c r="E2712" i="13"/>
  <c r="F2711" i="13"/>
  <c r="E2711" i="13"/>
  <c r="F2710" i="13"/>
  <c r="E2710" i="13"/>
  <c r="F2709" i="13"/>
  <c r="E2709" i="13"/>
  <c r="F2708" i="13"/>
  <c r="E2708" i="13"/>
  <c r="F2707" i="13"/>
  <c r="E2707" i="13"/>
  <c r="F2706" i="13"/>
  <c r="E2706" i="13"/>
  <c r="F2705" i="13"/>
  <c r="E2705" i="13"/>
  <c r="F2704" i="13"/>
  <c r="E2704" i="13"/>
  <c r="F2703" i="13"/>
  <c r="E2703" i="13"/>
  <c r="F2702" i="13"/>
  <c r="E2702" i="13"/>
  <c r="F2701" i="13"/>
  <c r="E2701" i="13"/>
  <c r="F2700" i="13"/>
  <c r="E2700" i="13"/>
  <c r="F2699" i="13"/>
  <c r="E2699" i="13"/>
  <c r="F2698" i="13"/>
  <c r="E2698" i="13"/>
  <c r="F2697" i="13"/>
  <c r="E2697" i="13"/>
  <c r="F2696" i="13"/>
  <c r="E2696" i="13"/>
  <c r="F2695" i="13"/>
  <c r="E2695" i="13"/>
  <c r="F2694" i="13"/>
  <c r="E2694" i="13"/>
  <c r="F2693" i="13"/>
  <c r="E2693" i="13"/>
  <c r="F2692" i="13"/>
  <c r="E2692" i="13"/>
  <c r="F2691" i="13"/>
  <c r="E2691" i="13"/>
  <c r="F2690" i="13"/>
  <c r="E2690" i="13"/>
  <c r="F2689" i="13"/>
  <c r="E2689" i="13"/>
  <c r="F2688" i="13"/>
  <c r="E2688" i="13"/>
  <c r="F2687" i="13"/>
  <c r="E2687" i="13"/>
  <c r="F2686" i="13"/>
  <c r="E2686" i="13"/>
  <c r="F2685" i="13"/>
  <c r="E2685" i="13"/>
  <c r="F2684" i="13"/>
  <c r="E2684" i="13"/>
  <c r="F2683" i="13"/>
  <c r="E2683" i="13"/>
  <c r="F2682" i="13"/>
  <c r="E2682" i="13"/>
  <c r="F2681" i="13"/>
  <c r="E2681" i="13"/>
  <c r="F2680" i="13"/>
  <c r="E2680" i="13"/>
  <c r="F2679" i="13"/>
  <c r="E2679" i="13"/>
  <c r="F2678" i="13"/>
  <c r="E2678" i="13"/>
  <c r="F2677" i="13"/>
  <c r="E2677" i="13"/>
  <c r="F2676" i="13"/>
  <c r="E2676" i="13"/>
  <c r="F2675" i="13"/>
  <c r="E2675" i="13"/>
  <c r="F2674" i="13"/>
  <c r="E2674" i="13"/>
  <c r="F2673" i="13"/>
  <c r="E2673" i="13"/>
  <c r="F2672" i="13"/>
  <c r="E2672" i="13"/>
  <c r="F2671" i="13"/>
  <c r="E2671" i="13"/>
  <c r="F2670" i="13"/>
  <c r="E2670" i="13"/>
  <c r="F2669" i="13"/>
  <c r="E2669" i="13"/>
  <c r="F2668" i="13"/>
  <c r="E2668" i="13"/>
  <c r="F2667" i="13"/>
  <c r="E2667" i="13"/>
  <c r="F2666" i="13"/>
  <c r="E2666" i="13"/>
  <c r="F2665" i="13"/>
  <c r="E2665" i="13"/>
  <c r="F2664" i="13"/>
  <c r="E2664" i="13"/>
  <c r="F2663" i="13"/>
  <c r="E2663" i="13"/>
  <c r="F2662" i="13"/>
  <c r="E2662" i="13"/>
  <c r="F2661" i="13"/>
  <c r="E2661" i="13"/>
  <c r="F2660" i="13"/>
  <c r="E2660" i="13"/>
  <c r="F2659" i="13"/>
  <c r="E2659" i="13"/>
  <c r="F2658" i="13"/>
  <c r="E2658" i="13"/>
  <c r="F2657" i="13"/>
  <c r="E2657" i="13"/>
  <c r="F2656" i="13"/>
  <c r="E2656" i="13"/>
  <c r="F2655" i="13"/>
  <c r="E2655" i="13"/>
  <c r="F2654" i="13"/>
  <c r="E2654" i="13"/>
  <c r="F2653" i="13"/>
  <c r="E2653" i="13"/>
  <c r="F2652" i="13"/>
  <c r="E2652" i="13"/>
  <c r="F2651" i="13"/>
  <c r="E2651" i="13"/>
  <c r="F2650" i="13"/>
  <c r="E2650" i="13"/>
  <c r="F2649" i="13"/>
  <c r="E2649" i="13"/>
  <c r="F2648" i="13"/>
  <c r="E2648" i="13"/>
  <c r="F2647" i="13"/>
  <c r="E2647" i="13"/>
  <c r="F2646" i="13"/>
  <c r="E2646" i="13"/>
  <c r="F2645" i="13"/>
  <c r="E2645" i="13"/>
  <c r="F2644" i="13"/>
  <c r="E2644" i="13"/>
  <c r="F2643" i="13"/>
  <c r="E2643" i="13"/>
  <c r="F2642" i="13"/>
  <c r="E2642" i="13"/>
  <c r="F2641" i="13"/>
  <c r="E2641" i="13"/>
  <c r="F2640" i="13"/>
  <c r="E2640" i="13"/>
  <c r="F2639" i="13"/>
  <c r="E2639" i="13"/>
  <c r="F2638" i="13"/>
  <c r="E2638" i="13"/>
  <c r="F2637" i="13"/>
  <c r="E2637" i="13"/>
  <c r="F2636" i="13"/>
  <c r="E2636" i="13"/>
  <c r="F2635" i="13"/>
  <c r="E2635" i="13"/>
  <c r="F2634" i="13"/>
  <c r="E2634" i="13"/>
  <c r="F2633" i="13"/>
  <c r="E2633" i="13"/>
  <c r="F2632" i="13"/>
  <c r="E2632" i="13"/>
  <c r="F2631" i="13"/>
  <c r="E2631" i="13"/>
  <c r="F2630" i="13"/>
  <c r="E2630" i="13"/>
  <c r="F2629" i="13"/>
  <c r="E2629" i="13"/>
  <c r="F2628" i="13"/>
  <c r="E2628" i="13"/>
  <c r="F2627" i="13"/>
  <c r="E2627" i="13"/>
  <c r="F2626" i="13"/>
  <c r="E2626" i="13"/>
  <c r="F2625" i="13"/>
  <c r="E2625" i="13"/>
  <c r="F2624" i="13"/>
  <c r="E2624" i="13"/>
  <c r="F2623" i="13"/>
  <c r="E2623" i="13"/>
  <c r="F2622" i="13"/>
  <c r="E2622" i="13"/>
  <c r="F2621" i="13"/>
  <c r="E2621" i="13"/>
  <c r="F2620" i="13"/>
  <c r="E2620" i="13"/>
  <c r="F2619" i="13"/>
  <c r="E2619" i="13"/>
  <c r="F2618" i="13"/>
  <c r="E2618" i="13"/>
  <c r="F2617" i="13"/>
  <c r="E2617" i="13"/>
  <c r="F2616" i="13"/>
  <c r="E2616" i="13"/>
  <c r="F2615" i="13"/>
  <c r="E2615" i="13"/>
  <c r="F2614" i="13"/>
  <c r="E2614" i="13"/>
  <c r="F2613" i="13"/>
  <c r="E2613" i="13"/>
  <c r="F2612" i="13"/>
  <c r="E2612" i="13"/>
  <c r="F2611" i="13"/>
  <c r="E2611" i="13"/>
  <c r="F2610" i="13"/>
  <c r="E2610" i="13"/>
  <c r="F2609" i="13"/>
  <c r="E2609" i="13"/>
  <c r="F2608" i="13"/>
  <c r="E2608" i="13"/>
  <c r="F2607" i="13"/>
  <c r="E2607" i="13"/>
  <c r="F2606" i="13"/>
  <c r="E2606" i="13"/>
  <c r="F2605" i="13"/>
  <c r="E2605" i="13"/>
  <c r="F2604" i="13"/>
  <c r="E2604" i="13"/>
  <c r="F2603" i="13"/>
  <c r="E2603" i="13"/>
  <c r="F2602" i="13"/>
  <c r="E2602" i="13"/>
  <c r="F2601" i="13"/>
  <c r="E2601" i="13"/>
  <c r="F2600" i="13"/>
  <c r="E2600" i="13"/>
  <c r="F2599" i="13"/>
  <c r="E2599" i="13"/>
  <c r="F2598" i="13"/>
  <c r="E2598" i="13"/>
  <c r="F2597" i="13"/>
  <c r="E2597" i="13"/>
  <c r="F2596" i="13"/>
  <c r="E2596" i="13"/>
  <c r="F2595" i="13"/>
  <c r="E2595" i="13"/>
  <c r="F2594" i="13"/>
  <c r="E2594" i="13"/>
  <c r="F2593" i="13"/>
  <c r="E2593" i="13"/>
  <c r="F2592" i="13"/>
  <c r="E2592" i="13"/>
  <c r="F2591" i="13"/>
  <c r="E2591" i="13"/>
  <c r="F2590" i="13"/>
  <c r="E2590" i="13"/>
  <c r="F2589" i="13"/>
  <c r="E2589" i="13"/>
  <c r="F2588" i="13"/>
  <c r="E2588" i="13"/>
  <c r="F2587" i="13"/>
  <c r="E2587" i="13"/>
  <c r="F2586" i="13"/>
  <c r="E2586" i="13"/>
  <c r="F2585" i="13"/>
  <c r="E2585" i="13"/>
  <c r="F2584" i="13"/>
  <c r="E2584" i="13"/>
  <c r="F2583" i="13"/>
  <c r="E2583" i="13"/>
  <c r="F2582" i="13"/>
  <c r="E2582" i="13"/>
  <c r="F2581" i="13"/>
  <c r="E2581" i="13"/>
  <c r="F2580" i="13"/>
  <c r="E2580" i="13"/>
  <c r="F2579" i="13"/>
  <c r="E2579" i="13"/>
  <c r="F2578" i="13"/>
  <c r="E2578" i="13"/>
  <c r="F2577" i="13"/>
  <c r="E2577" i="13"/>
  <c r="F2576" i="13"/>
  <c r="E2576" i="13"/>
  <c r="F2575" i="13"/>
  <c r="E2575" i="13"/>
  <c r="F2574" i="13"/>
  <c r="E2574" i="13"/>
  <c r="F2573" i="13"/>
  <c r="E2573" i="13"/>
  <c r="F2572" i="13"/>
  <c r="E2572" i="13"/>
  <c r="F2571" i="13"/>
  <c r="E2571" i="13"/>
  <c r="F2570" i="13"/>
  <c r="E2570" i="13"/>
  <c r="F2569" i="13"/>
  <c r="E2569" i="13"/>
  <c r="F2568" i="13"/>
  <c r="E2568" i="13"/>
  <c r="F2567" i="13"/>
  <c r="E2567" i="13"/>
  <c r="F2566" i="13"/>
  <c r="E2566" i="13"/>
  <c r="F2565" i="13"/>
  <c r="E2565" i="13"/>
  <c r="F2564" i="13"/>
  <c r="E2564" i="13"/>
  <c r="F2563" i="13"/>
  <c r="E2563" i="13"/>
  <c r="F2562" i="13"/>
  <c r="E2562" i="13"/>
  <c r="F2561" i="13"/>
  <c r="E2561" i="13"/>
  <c r="F2560" i="13"/>
  <c r="E2560" i="13"/>
  <c r="F2559" i="13"/>
  <c r="E2559" i="13"/>
  <c r="F2558" i="13"/>
  <c r="E2558" i="13"/>
  <c r="F2557" i="13"/>
  <c r="E2557" i="13"/>
  <c r="F2556" i="13"/>
  <c r="E2556" i="13"/>
  <c r="F2555" i="13"/>
  <c r="E2555" i="13"/>
  <c r="F2554" i="13"/>
  <c r="E2554" i="13"/>
  <c r="F2553" i="13"/>
  <c r="E2553" i="13"/>
  <c r="F2552" i="13"/>
  <c r="E2552" i="13"/>
  <c r="F2551" i="13"/>
  <c r="E2551" i="13"/>
  <c r="F2550" i="13"/>
  <c r="E2550" i="13"/>
  <c r="F2549" i="13"/>
  <c r="E2549" i="13"/>
  <c r="F2548" i="13"/>
  <c r="E2548" i="13"/>
  <c r="F2547" i="13"/>
  <c r="E2547" i="13"/>
  <c r="F2546" i="13"/>
  <c r="E2546" i="13"/>
  <c r="F2545" i="13"/>
  <c r="E2545" i="13"/>
  <c r="F2544" i="13"/>
  <c r="E2544" i="13"/>
  <c r="F2543" i="13"/>
  <c r="E2543" i="13"/>
  <c r="F2542" i="13"/>
  <c r="E2542" i="13"/>
  <c r="F2541" i="13"/>
  <c r="E2541" i="13"/>
  <c r="F2540" i="13"/>
  <c r="E2540" i="13"/>
  <c r="F2539" i="13"/>
  <c r="E2539" i="13"/>
  <c r="F2538" i="13"/>
  <c r="E2538" i="13"/>
  <c r="F2537" i="13"/>
  <c r="E2537" i="13"/>
  <c r="F2536" i="13"/>
  <c r="E2536" i="13"/>
  <c r="F2535" i="13"/>
  <c r="E2535" i="13"/>
  <c r="F2534" i="13"/>
  <c r="E2534" i="13"/>
  <c r="F2533" i="13"/>
  <c r="E2533" i="13"/>
  <c r="F2532" i="13"/>
  <c r="E2532" i="13"/>
  <c r="F2531" i="13"/>
  <c r="E2531" i="13"/>
  <c r="F2530" i="13"/>
  <c r="E2530" i="13"/>
  <c r="F2529" i="13"/>
  <c r="E2529" i="13"/>
  <c r="F2528" i="13"/>
  <c r="E2528" i="13"/>
  <c r="F2527" i="13"/>
  <c r="E2527" i="13"/>
  <c r="F2526" i="13"/>
  <c r="E2526" i="13"/>
  <c r="F2525" i="13"/>
  <c r="E2525" i="13"/>
  <c r="F2524" i="13"/>
  <c r="E2524" i="13"/>
  <c r="F2523" i="13"/>
  <c r="E2523" i="13"/>
  <c r="F2522" i="13"/>
  <c r="E2522" i="13"/>
  <c r="F2521" i="13"/>
  <c r="E2521" i="13"/>
  <c r="F2520" i="13"/>
  <c r="E2520" i="13"/>
  <c r="F2519" i="13"/>
  <c r="E2519" i="13"/>
  <c r="F2518" i="13"/>
  <c r="E2518" i="13"/>
  <c r="F2517" i="13"/>
  <c r="E2517" i="13"/>
  <c r="F2516" i="13"/>
  <c r="E2516" i="13"/>
  <c r="F2515" i="13"/>
  <c r="E2515" i="13"/>
  <c r="F2514" i="13"/>
  <c r="E2514" i="13"/>
  <c r="F2513" i="13"/>
  <c r="E2513" i="13"/>
  <c r="F2512" i="13"/>
  <c r="E2512" i="13"/>
  <c r="F2511" i="13"/>
  <c r="E2511" i="13"/>
  <c r="F2510" i="13"/>
  <c r="E2510" i="13"/>
  <c r="F2509" i="13"/>
  <c r="E2509" i="13"/>
  <c r="F2508" i="13"/>
  <c r="E2508" i="13"/>
  <c r="F2507" i="13"/>
  <c r="E2507" i="13"/>
  <c r="F2506" i="13"/>
  <c r="E2506" i="13"/>
  <c r="F2505" i="13"/>
  <c r="E2505" i="13"/>
  <c r="F2504" i="13"/>
  <c r="E2504" i="13"/>
  <c r="F2503" i="13"/>
  <c r="E2503" i="13"/>
  <c r="F2502" i="13"/>
  <c r="E2502" i="13"/>
  <c r="F2501" i="13"/>
  <c r="E2501" i="13"/>
  <c r="F2500" i="13"/>
  <c r="E2500" i="13"/>
  <c r="F2499" i="13"/>
  <c r="E2499" i="13"/>
  <c r="F2498" i="13"/>
  <c r="E2498" i="13"/>
  <c r="F2497" i="13"/>
  <c r="E2497" i="13"/>
  <c r="F2496" i="13"/>
  <c r="E2496" i="13"/>
  <c r="F2495" i="13"/>
  <c r="E2495" i="13"/>
  <c r="F2494" i="13"/>
  <c r="E2494" i="13"/>
  <c r="F2493" i="13"/>
  <c r="E2493" i="13"/>
  <c r="F2492" i="13"/>
  <c r="E2492" i="13"/>
  <c r="F2491" i="13"/>
  <c r="E2491" i="13"/>
  <c r="F2490" i="13"/>
  <c r="E2490" i="13"/>
  <c r="F2489" i="13"/>
  <c r="E2489" i="13"/>
  <c r="F2488" i="13"/>
  <c r="E2488" i="13"/>
  <c r="F2487" i="13"/>
  <c r="E2487" i="13"/>
  <c r="F2486" i="13"/>
  <c r="E2486" i="13"/>
  <c r="F2485" i="13"/>
  <c r="E2485" i="13"/>
  <c r="F2484" i="13"/>
  <c r="E2484" i="13"/>
  <c r="F2483" i="13"/>
  <c r="E2483" i="13"/>
  <c r="F2482" i="13"/>
  <c r="E2482" i="13"/>
  <c r="F2481" i="13"/>
  <c r="E2481" i="13"/>
  <c r="F2480" i="13"/>
  <c r="E2480" i="13"/>
  <c r="F2479" i="13"/>
  <c r="E2479" i="13"/>
  <c r="F2478" i="13"/>
  <c r="E2478" i="13"/>
  <c r="F2477" i="13"/>
  <c r="E2477" i="13"/>
  <c r="F2476" i="13"/>
  <c r="E2476" i="13"/>
  <c r="F2475" i="13"/>
  <c r="E2475" i="13"/>
  <c r="F2474" i="13"/>
  <c r="E2474" i="13"/>
  <c r="F2473" i="13"/>
  <c r="E2473" i="13"/>
  <c r="F2472" i="13"/>
  <c r="E2472" i="13"/>
  <c r="F2471" i="13"/>
  <c r="E2471" i="13"/>
  <c r="F2470" i="13"/>
  <c r="E2470" i="13"/>
  <c r="F2469" i="13"/>
  <c r="E2469" i="13"/>
  <c r="F2468" i="13"/>
  <c r="E2468" i="13"/>
  <c r="F2467" i="13"/>
  <c r="E2467" i="13"/>
  <c r="F2466" i="13"/>
  <c r="E2466" i="13"/>
  <c r="F2465" i="13"/>
  <c r="E2465" i="13"/>
  <c r="F2464" i="13"/>
  <c r="E2464" i="13"/>
  <c r="F2463" i="13"/>
  <c r="E2463" i="13"/>
  <c r="F2462" i="13"/>
  <c r="E2462" i="13"/>
  <c r="F2461" i="13"/>
  <c r="E2461" i="13"/>
  <c r="F2460" i="13"/>
  <c r="E2460" i="13"/>
  <c r="F2459" i="13"/>
  <c r="E2459" i="13"/>
  <c r="F2458" i="13"/>
  <c r="E2458" i="13"/>
  <c r="F2457" i="13"/>
  <c r="E2457" i="13"/>
  <c r="F2456" i="13"/>
  <c r="E2456" i="13"/>
  <c r="F2455" i="13"/>
  <c r="E2455" i="13"/>
  <c r="F2454" i="13"/>
  <c r="E2454" i="13"/>
  <c r="F2453" i="13"/>
  <c r="E2453" i="13"/>
  <c r="F2452" i="13"/>
  <c r="E2452" i="13"/>
  <c r="F2451" i="13"/>
  <c r="E2451" i="13"/>
  <c r="F2450" i="13"/>
  <c r="E2450" i="13"/>
  <c r="F2449" i="13"/>
  <c r="E2449" i="13"/>
  <c r="F2448" i="13"/>
  <c r="E2448" i="13"/>
  <c r="F2447" i="13"/>
  <c r="E2447" i="13"/>
  <c r="F2446" i="13"/>
  <c r="E2446" i="13"/>
  <c r="F2445" i="13"/>
  <c r="E2445" i="13"/>
  <c r="F2444" i="13"/>
  <c r="E2444" i="13"/>
  <c r="F2443" i="13"/>
  <c r="E2443" i="13"/>
  <c r="F2442" i="13"/>
  <c r="E2442" i="13"/>
  <c r="F2441" i="13"/>
  <c r="E2441" i="13"/>
  <c r="F2440" i="13"/>
  <c r="E2440" i="13"/>
  <c r="F2439" i="13"/>
  <c r="E2439" i="13"/>
  <c r="F2438" i="13"/>
  <c r="E2438" i="13"/>
  <c r="F2437" i="13"/>
  <c r="E2437" i="13"/>
  <c r="F2436" i="13"/>
  <c r="E2436" i="13"/>
  <c r="F2435" i="13"/>
  <c r="E2435" i="13"/>
  <c r="F2434" i="13"/>
  <c r="E2434" i="13"/>
  <c r="F2433" i="13"/>
  <c r="E2433" i="13"/>
  <c r="F2432" i="13"/>
  <c r="E2432" i="13"/>
  <c r="F2431" i="13"/>
  <c r="E2431" i="13"/>
  <c r="F2430" i="13"/>
  <c r="E2430" i="13"/>
  <c r="F2429" i="13"/>
  <c r="E2429" i="13"/>
  <c r="F2428" i="13"/>
  <c r="E2428" i="13"/>
  <c r="F2427" i="13"/>
  <c r="E2427" i="13"/>
  <c r="F2426" i="13"/>
  <c r="E2426" i="13"/>
  <c r="F2425" i="13"/>
  <c r="E2425" i="13"/>
  <c r="F2424" i="13"/>
  <c r="E2424" i="13"/>
  <c r="F2423" i="13"/>
  <c r="E2423" i="13"/>
  <c r="F2422" i="13"/>
  <c r="E2422" i="13"/>
  <c r="F2421" i="13"/>
  <c r="E2421" i="13"/>
  <c r="F2420" i="13"/>
  <c r="E2420" i="13"/>
  <c r="F2419" i="13"/>
  <c r="E2419" i="13"/>
  <c r="F2418" i="13"/>
  <c r="E2418" i="13"/>
  <c r="F2417" i="13"/>
  <c r="E2417" i="13"/>
  <c r="F2416" i="13"/>
  <c r="E2416" i="13"/>
  <c r="F2415" i="13"/>
  <c r="E2415" i="13"/>
  <c r="F2414" i="13"/>
  <c r="E2414" i="13"/>
  <c r="F2413" i="13"/>
  <c r="E2413" i="13"/>
  <c r="F2412" i="13"/>
  <c r="E2412" i="13"/>
  <c r="F2411" i="13"/>
  <c r="E2411" i="13"/>
  <c r="F2410" i="13"/>
  <c r="E2410" i="13"/>
  <c r="F2409" i="13"/>
  <c r="E2409" i="13"/>
  <c r="F2408" i="13"/>
  <c r="E2408" i="13"/>
  <c r="F2407" i="13"/>
  <c r="E2407" i="13"/>
  <c r="F2406" i="13"/>
  <c r="E2406" i="13"/>
  <c r="F2405" i="13"/>
  <c r="E2405" i="13"/>
  <c r="F2404" i="13"/>
  <c r="E2404" i="13"/>
  <c r="F2403" i="13"/>
  <c r="E2403" i="13"/>
  <c r="F2402" i="13"/>
  <c r="E2402" i="13"/>
  <c r="F2401" i="13"/>
  <c r="E2401" i="13"/>
  <c r="F2400" i="13"/>
  <c r="E2400" i="13"/>
  <c r="F2399" i="13"/>
  <c r="E2399" i="13"/>
  <c r="F2398" i="13"/>
  <c r="E2398" i="13"/>
  <c r="F2397" i="13"/>
  <c r="E2397" i="13"/>
  <c r="F2396" i="13"/>
  <c r="E2396" i="13"/>
  <c r="F2395" i="13"/>
  <c r="E2395" i="13"/>
  <c r="F2394" i="13"/>
  <c r="E2394" i="13"/>
  <c r="F2393" i="13"/>
  <c r="E2393" i="13"/>
  <c r="F2392" i="13"/>
  <c r="E2392" i="13"/>
  <c r="F2391" i="13"/>
  <c r="E2391" i="13"/>
  <c r="F2390" i="13"/>
  <c r="E2390" i="13"/>
  <c r="F2389" i="13"/>
  <c r="E2389" i="13"/>
  <c r="F2388" i="13"/>
  <c r="E2388" i="13"/>
  <c r="F2387" i="13"/>
  <c r="E2387" i="13"/>
  <c r="F2386" i="13"/>
  <c r="E2386" i="13"/>
  <c r="F2385" i="13"/>
  <c r="E2385" i="13"/>
  <c r="F2384" i="13"/>
  <c r="E2384" i="13"/>
  <c r="F2383" i="13"/>
  <c r="E2383" i="13"/>
  <c r="F2382" i="13"/>
  <c r="E2382" i="13"/>
  <c r="F2381" i="13"/>
  <c r="E2381" i="13"/>
  <c r="F2380" i="13"/>
  <c r="E2380" i="13"/>
  <c r="F2379" i="13"/>
  <c r="E2379" i="13"/>
  <c r="F2378" i="13"/>
  <c r="E2378" i="13"/>
  <c r="F2377" i="13"/>
  <c r="E2377" i="13"/>
  <c r="F2376" i="13"/>
  <c r="E2376" i="13"/>
  <c r="F2375" i="13"/>
  <c r="E2375" i="13"/>
  <c r="F2374" i="13"/>
  <c r="E2374" i="13"/>
  <c r="F2373" i="13"/>
  <c r="E2373" i="13"/>
  <c r="F2372" i="13"/>
  <c r="E2372" i="13"/>
  <c r="F2371" i="13"/>
  <c r="E2371" i="13"/>
  <c r="F2370" i="13"/>
  <c r="E2370" i="13"/>
  <c r="F2369" i="13"/>
  <c r="E2369" i="13"/>
  <c r="F2368" i="13"/>
  <c r="E2368" i="13"/>
  <c r="F2367" i="13"/>
  <c r="E2367" i="13"/>
  <c r="F2366" i="13"/>
  <c r="E2366" i="13"/>
  <c r="F2365" i="13"/>
  <c r="E2365" i="13"/>
  <c r="F2364" i="13"/>
  <c r="E2364" i="13"/>
  <c r="F2363" i="13"/>
  <c r="E2363" i="13"/>
  <c r="F2362" i="13"/>
  <c r="E2362" i="13"/>
  <c r="F2361" i="13"/>
  <c r="E2361" i="13"/>
  <c r="F2360" i="13"/>
  <c r="E2360" i="13"/>
  <c r="F2359" i="13"/>
  <c r="E2359" i="13"/>
  <c r="F2358" i="13"/>
  <c r="E2358" i="13"/>
  <c r="F2357" i="13"/>
  <c r="E2357" i="13"/>
  <c r="F2356" i="13"/>
  <c r="E2356" i="13"/>
  <c r="F2355" i="13"/>
  <c r="E2355" i="13"/>
  <c r="F2354" i="13"/>
  <c r="E2354" i="13"/>
  <c r="F2353" i="13"/>
  <c r="E2353" i="13"/>
  <c r="F2352" i="13"/>
  <c r="E2352" i="13"/>
  <c r="F2351" i="13"/>
  <c r="E2351" i="13"/>
  <c r="F2350" i="13"/>
  <c r="E2350" i="13"/>
  <c r="F2349" i="13"/>
  <c r="E2349" i="13"/>
  <c r="F2348" i="13"/>
  <c r="E2348" i="13"/>
  <c r="F2347" i="13"/>
  <c r="E2347" i="13"/>
  <c r="F2346" i="13"/>
  <c r="E2346" i="13"/>
  <c r="F2345" i="13"/>
  <c r="E2345" i="13"/>
  <c r="F2344" i="13"/>
  <c r="E2344" i="13"/>
  <c r="F2343" i="13"/>
  <c r="E2343" i="13"/>
  <c r="F2342" i="13"/>
  <c r="E2342" i="13"/>
  <c r="F2341" i="13"/>
  <c r="E2341" i="13"/>
  <c r="F2340" i="13"/>
  <c r="E2340" i="13"/>
  <c r="F2339" i="13"/>
  <c r="E2339" i="13"/>
  <c r="F2338" i="13"/>
  <c r="E2338" i="13"/>
  <c r="F2337" i="13"/>
  <c r="E2337" i="13"/>
  <c r="F2336" i="13"/>
  <c r="E2336" i="13"/>
  <c r="F2335" i="13"/>
  <c r="E2335" i="13"/>
  <c r="F2334" i="13"/>
  <c r="E2334" i="13"/>
  <c r="F2333" i="13"/>
  <c r="E2333" i="13"/>
  <c r="F2332" i="13"/>
  <c r="E2332" i="13"/>
  <c r="F2331" i="13"/>
  <c r="E2331" i="13"/>
  <c r="F2330" i="13"/>
  <c r="E2330" i="13"/>
  <c r="F2329" i="13"/>
  <c r="E2329" i="13"/>
  <c r="F2328" i="13"/>
  <c r="E2328" i="13"/>
  <c r="F2327" i="13"/>
  <c r="E2327" i="13"/>
  <c r="F2326" i="13"/>
  <c r="E2326" i="13"/>
  <c r="F2325" i="13"/>
  <c r="E2325" i="13"/>
  <c r="F2324" i="13"/>
  <c r="E2324" i="13"/>
  <c r="F2323" i="13"/>
  <c r="E2323" i="13"/>
  <c r="F2322" i="13"/>
  <c r="E2322" i="13"/>
  <c r="F2321" i="13"/>
  <c r="E2321" i="13"/>
  <c r="F2320" i="13"/>
  <c r="E2320" i="13"/>
  <c r="F2319" i="13"/>
  <c r="E2319" i="13"/>
  <c r="F2318" i="13"/>
  <c r="E2318" i="13"/>
  <c r="F2317" i="13"/>
  <c r="E2317" i="13"/>
  <c r="F2316" i="13"/>
  <c r="E2316" i="13"/>
  <c r="F2315" i="13"/>
  <c r="E2315" i="13"/>
  <c r="F2314" i="13"/>
  <c r="E2314" i="13"/>
  <c r="F2313" i="13"/>
  <c r="E2313" i="13"/>
  <c r="F2312" i="13"/>
  <c r="E2312" i="13"/>
  <c r="F2311" i="13"/>
  <c r="E2311" i="13"/>
  <c r="F2310" i="13"/>
  <c r="E2310" i="13"/>
  <c r="F2309" i="13"/>
  <c r="E2309" i="13"/>
  <c r="F2308" i="13"/>
  <c r="E2308" i="13"/>
  <c r="F2307" i="13"/>
  <c r="E2307" i="13"/>
  <c r="F2306" i="13"/>
  <c r="E2306" i="13"/>
  <c r="F2305" i="13"/>
  <c r="E2305" i="13"/>
  <c r="F2304" i="13"/>
  <c r="E2304" i="13"/>
  <c r="F2303" i="13"/>
  <c r="E2303" i="13"/>
  <c r="F2302" i="13"/>
  <c r="E2302" i="13"/>
  <c r="F2301" i="13"/>
  <c r="E2301" i="13"/>
  <c r="F2300" i="13"/>
  <c r="E2300" i="13"/>
  <c r="F2299" i="13"/>
  <c r="E2299" i="13"/>
  <c r="F2298" i="13"/>
  <c r="E2298" i="13"/>
  <c r="F2297" i="13"/>
  <c r="E2297" i="13"/>
  <c r="F2296" i="13"/>
  <c r="E2296" i="13"/>
  <c r="F2295" i="13"/>
  <c r="E2295" i="13"/>
  <c r="F2294" i="13"/>
  <c r="E2294" i="13"/>
  <c r="F2293" i="13"/>
  <c r="E2293" i="13"/>
  <c r="F2292" i="13"/>
  <c r="E2292" i="13"/>
  <c r="F2291" i="13"/>
  <c r="E2291" i="13"/>
  <c r="F2290" i="13"/>
  <c r="E2290" i="13"/>
  <c r="F2289" i="13"/>
  <c r="E2289" i="13"/>
  <c r="F2288" i="13"/>
  <c r="E2288" i="13"/>
  <c r="F2287" i="13"/>
  <c r="E2287" i="13"/>
  <c r="F2286" i="13"/>
  <c r="E2286" i="13"/>
  <c r="F2285" i="13"/>
  <c r="E2285" i="13"/>
  <c r="F2284" i="13"/>
  <c r="E2284" i="13"/>
  <c r="F2283" i="13"/>
  <c r="E2283" i="13"/>
  <c r="F2282" i="13"/>
  <c r="E2282" i="13"/>
  <c r="F2281" i="13"/>
  <c r="E2281" i="13"/>
  <c r="F2280" i="13"/>
  <c r="E2280" i="13"/>
  <c r="F2279" i="13"/>
  <c r="E2279" i="13"/>
  <c r="F2278" i="13"/>
  <c r="E2278" i="13"/>
  <c r="F2277" i="13"/>
  <c r="E2277" i="13"/>
  <c r="F2276" i="13"/>
  <c r="E2276" i="13"/>
  <c r="F2275" i="13"/>
  <c r="E2275" i="13"/>
  <c r="F2274" i="13"/>
  <c r="E2274" i="13"/>
  <c r="F2273" i="13"/>
  <c r="E2273" i="13"/>
  <c r="F2272" i="13"/>
  <c r="E2272" i="13"/>
  <c r="F2271" i="13"/>
  <c r="E2271" i="13"/>
  <c r="F2270" i="13"/>
  <c r="E2270" i="13"/>
  <c r="F2269" i="13"/>
  <c r="E2269" i="13"/>
  <c r="F2268" i="13"/>
  <c r="E2268" i="13"/>
  <c r="F2267" i="13"/>
  <c r="E2267" i="13"/>
  <c r="F2266" i="13"/>
  <c r="E2266" i="13"/>
  <c r="F2265" i="13"/>
  <c r="E2265" i="13"/>
  <c r="F2264" i="13"/>
  <c r="E2264" i="13"/>
  <c r="F2263" i="13"/>
  <c r="E2263" i="13"/>
  <c r="F2262" i="13"/>
  <c r="E2262" i="13"/>
  <c r="F2261" i="13"/>
  <c r="E2261" i="13"/>
  <c r="F2260" i="13"/>
  <c r="E2260" i="13"/>
  <c r="F2259" i="13"/>
  <c r="E2259" i="13"/>
  <c r="F2258" i="13"/>
  <c r="E2258" i="13"/>
  <c r="F2257" i="13"/>
  <c r="E2257" i="13"/>
  <c r="F2256" i="13"/>
  <c r="E2256" i="13"/>
  <c r="F2255" i="13"/>
  <c r="E2255" i="13"/>
  <c r="F2254" i="13"/>
  <c r="E2254" i="13"/>
  <c r="F2253" i="13"/>
  <c r="E2253" i="13"/>
  <c r="F2252" i="13"/>
  <c r="E2252" i="13"/>
  <c r="F2251" i="13"/>
  <c r="E2251" i="13"/>
  <c r="F2250" i="13"/>
  <c r="E2250" i="13"/>
  <c r="F2249" i="13"/>
  <c r="E2249" i="13"/>
  <c r="F2248" i="13"/>
  <c r="E2248" i="13"/>
  <c r="F2247" i="13"/>
  <c r="E2247" i="13"/>
  <c r="F2246" i="13"/>
  <c r="E2246" i="13"/>
  <c r="F2245" i="13"/>
  <c r="E2245" i="13"/>
  <c r="F2244" i="13"/>
  <c r="E2244" i="13"/>
  <c r="F2243" i="13"/>
  <c r="E2243" i="13"/>
  <c r="F2242" i="13"/>
  <c r="E2242" i="13"/>
  <c r="F2241" i="13"/>
  <c r="E2241" i="13"/>
  <c r="F2240" i="13"/>
  <c r="E2240" i="13"/>
  <c r="F2239" i="13"/>
  <c r="E2239" i="13"/>
  <c r="F2238" i="13"/>
  <c r="E2238" i="13"/>
  <c r="F2237" i="13"/>
  <c r="E2237" i="13"/>
  <c r="F2236" i="13"/>
  <c r="E2236" i="13"/>
  <c r="F2235" i="13"/>
  <c r="E2235" i="13"/>
  <c r="F2234" i="13"/>
  <c r="E2234" i="13"/>
  <c r="F2233" i="13"/>
  <c r="E2233" i="13"/>
  <c r="F2232" i="13"/>
  <c r="E2232" i="13"/>
  <c r="F2231" i="13"/>
  <c r="E2231" i="13"/>
  <c r="F2230" i="13"/>
  <c r="E2230" i="13"/>
  <c r="F2229" i="13"/>
  <c r="E2229" i="13"/>
  <c r="F2228" i="13"/>
  <c r="E2228" i="13"/>
  <c r="F2227" i="13"/>
  <c r="E2227" i="13"/>
  <c r="F2226" i="13"/>
  <c r="E2226" i="13"/>
  <c r="F2225" i="13"/>
  <c r="E2225" i="13"/>
  <c r="F2224" i="13"/>
  <c r="E2224" i="13"/>
  <c r="F2223" i="13"/>
  <c r="E2223" i="13"/>
  <c r="F2222" i="13"/>
  <c r="E2222" i="13"/>
  <c r="F2221" i="13"/>
  <c r="E2221" i="13"/>
  <c r="F2220" i="13"/>
  <c r="E2220" i="13"/>
  <c r="F2219" i="13"/>
  <c r="E2219" i="13"/>
  <c r="F2218" i="13"/>
  <c r="E2218" i="13"/>
  <c r="F2217" i="13"/>
  <c r="E2217" i="13"/>
  <c r="F2216" i="13"/>
  <c r="E2216" i="13"/>
  <c r="F2215" i="13"/>
  <c r="E2215" i="13"/>
  <c r="F2214" i="13"/>
  <c r="E2214" i="13"/>
  <c r="F2213" i="13"/>
  <c r="E2213" i="13"/>
  <c r="F2212" i="13"/>
  <c r="E2212" i="13"/>
  <c r="F2211" i="13"/>
  <c r="E2211" i="13"/>
  <c r="F2210" i="13"/>
  <c r="E2210" i="13"/>
  <c r="F2209" i="13"/>
  <c r="E2209" i="13"/>
  <c r="F2208" i="13"/>
  <c r="E2208" i="13"/>
  <c r="F2207" i="13"/>
  <c r="E2207" i="13"/>
  <c r="F2206" i="13"/>
  <c r="E2206" i="13"/>
  <c r="F2205" i="13"/>
  <c r="E2205" i="13"/>
  <c r="F2204" i="13"/>
  <c r="E2204" i="13"/>
  <c r="F2203" i="13"/>
  <c r="E2203" i="13"/>
  <c r="F2202" i="13"/>
  <c r="E2202" i="13"/>
  <c r="F2201" i="13"/>
  <c r="E2201" i="13"/>
  <c r="F2200" i="13"/>
  <c r="E2200" i="13"/>
  <c r="F2199" i="13"/>
  <c r="E2199" i="13"/>
  <c r="F2198" i="13"/>
  <c r="E2198" i="13"/>
  <c r="F2197" i="13"/>
  <c r="E2197" i="13"/>
  <c r="F2196" i="13"/>
  <c r="E2196" i="13"/>
  <c r="F2195" i="13"/>
  <c r="E2195" i="13"/>
  <c r="F2194" i="13"/>
  <c r="E2194" i="13"/>
  <c r="F2193" i="13"/>
  <c r="E2193" i="13"/>
  <c r="F2192" i="13"/>
  <c r="E2192" i="13"/>
  <c r="F2191" i="13"/>
  <c r="E2191" i="13"/>
  <c r="F2190" i="13"/>
  <c r="E2190" i="13"/>
  <c r="F2189" i="13"/>
  <c r="E2189" i="13"/>
  <c r="F2188" i="13"/>
  <c r="E2188" i="13"/>
  <c r="F2187" i="13"/>
  <c r="E2187" i="13"/>
  <c r="F2186" i="13"/>
  <c r="E2186" i="13"/>
  <c r="F2185" i="13"/>
  <c r="E2185" i="13"/>
  <c r="F2184" i="13"/>
  <c r="E2184" i="13"/>
  <c r="F2183" i="13"/>
  <c r="E2183" i="13"/>
  <c r="F2182" i="13"/>
  <c r="E2182" i="13"/>
  <c r="F2181" i="13"/>
  <c r="E2181" i="13"/>
  <c r="F2180" i="13"/>
  <c r="E2180" i="13"/>
  <c r="F2179" i="13"/>
  <c r="E2179" i="13"/>
  <c r="F2178" i="13"/>
  <c r="E2178" i="13"/>
  <c r="F2177" i="13"/>
  <c r="E2177" i="13"/>
  <c r="F2176" i="13"/>
  <c r="E2176" i="13"/>
  <c r="F2175" i="13"/>
  <c r="E2175" i="13"/>
  <c r="F2174" i="13"/>
  <c r="E2174" i="13"/>
  <c r="F2173" i="13"/>
  <c r="E2173" i="13"/>
  <c r="F2172" i="13"/>
  <c r="E2172" i="13"/>
  <c r="F2171" i="13"/>
  <c r="E2171" i="13"/>
  <c r="F2170" i="13"/>
  <c r="E2170" i="13"/>
  <c r="F2169" i="13"/>
  <c r="E2169" i="13"/>
  <c r="F2168" i="13"/>
  <c r="E2168" i="13"/>
  <c r="F2167" i="13"/>
  <c r="E2167" i="13"/>
  <c r="F2166" i="13"/>
  <c r="E2166" i="13"/>
  <c r="F2165" i="13"/>
  <c r="E2165" i="13"/>
  <c r="F2164" i="13"/>
  <c r="E2164" i="13"/>
  <c r="F2163" i="13"/>
  <c r="E2163" i="13"/>
  <c r="F2162" i="13"/>
  <c r="E2162" i="13"/>
  <c r="F2161" i="13"/>
  <c r="E2161" i="13"/>
  <c r="F2160" i="13"/>
  <c r="E2160" i="13"/>
  <c r="F2159" i="13"/>
  <c r="E2159" i="13"/>
  <c r="F2158" i="13"/>
  <c r="E2158" i="13"/>
  <c r="F2157" i="13"/>
  <c r="E2157" i="13"/>
  <c r="F2156" i="13"/>
  <c r="E2156" i="13"/>
  <c r="F2155" i="13"/>
  <c r="E2155" i="13"/>
  <c r="F2154" i="13"/>
  <c r="E2154" i="13"/>
  <c r="F2153" i="13"/>
  <c r="E2153" i="13"/>
  <c r="F2152" i="13"/>
  <c r="E2152" i="13"/>
  <c r="F2151" i="13"/>
  <c r="E2151" i="13"/>
  <c r="F2150" i="13"/>
  <c r="E2150" i="13"/>
  <c r="F2149" i="13"/>
  <c r="E2149" i="13"/>
  <c r="F2148" i="13"/>
  <c r="E2148" i="13"/>
  <c r="F2147" i="13"/>
  <c r="E2147" i="13"/>
  <c r="F2146" i="13"/>
  <c r="E2146" i="13"/>
  <c r="F2145" i="13"/>
  <c r="E2145" i="13"/>
  <c r="F2144" i="13"/>
  <c r="E2144" i="13"/>
  <c r="F2143" i="13"/>
  <c r="E2143" i="13"/>
  <c r="F2142" i="13"/>
  <c r="E2142" i="13"/>
  <c r="F2141" i="13"/>
  <c r="E2141" i="13"/>
  <c r="F2140" i="13"/>
  <c r="E2140" i="13"/>
  <c r="F2139" i="13"/>
  <c r="E2139" i="13"/>
  <c r="F2138" i="13"/>
  <c r="E2138" i="13"/>
  <c r="F2137" i="13"/>
  <c r="E2137" i="13"/>
  <c r="F2136" i="13"/>
  <c r="E2136" i="13"/>
  <c r="F2135" i="13"/>
  <c r="E2135" i="13"/>
  <c r="F2134" i="13"/>
  <c r="E2134" i="13"/>
  <c r="F2133" i="13"/>
  <c r="E2133" i="13"/>
  <c r="F2132" i="13"/>
  <c r="E2132" i="13"/>
  <c r="F2131" i="13"/>
  <c r="E2131" i="13"/>
  <c r="F2130" i="13"/>
  <c r="E2130" i="13"/>
  <c r="F2129" i="13"/>
  <c r="E2129" i="13"/>
  <c r="F2128" i="13"/>
  <c r="E2128" i="13"/>
  <c r="F2127" i="13"/>
  <c r="E2127" i="13"/>
  <c r="F2126" i="13"/>
  <c r="E2126" i="13"/>
  <c r="F2125" i="13"/>
  <c r="E2125" i="13"/>
  <c r="F2124" i="13"/>
  <c r="E2124" i="13"/>
  <c r="F2123" i="13"/>
  <c r="E2123" i="13"/>
  <c r="F2122" i="13"/>
  <c r="E2122" i="13"/>
  <c r="F2121" i="13"/>
  <c r="E2121" i="13"/>
  <c r="F2120" i="13"/>
  <c r="E2120" i="13"/>
  <c r="F2119" i="13"/>
  <c r="E2119" i="13"/>
  <c r="F2118" i="13"/>
  <c r="E2118" i="13"/>
  <c r="F2117" i="13"/>
  <c r="E2117" i="13"/>
  <c r="F2116" i="13"/>
  <c r="E2116" i="13"/>
  <c r="F2115" i="13"/>
  <c r="E2115" i="13"/>
  <c r="F2114" i="13"/>
  <c r="E2114" i="13"/>
  <c r="F2113" i="13"/>
  <c r="E2113" i="13"/>
  <c r="F2112" i="13"/>
  <c r="E2112" i="13"/>
  <c r="F2111" i="13"/>
  <c r="E2111" i="13"/>
  <c r="F2110" i="13"/>
  <c r="E2110" i="13"/>
  <c r="F2109" i="13"/>
  <c r="E2109" i="13"/>
  <c r="F2108" i="13"/>
  <c r="E2108" i="13"/>
  <c r="F2107" i="13"/>
  <c r="E2107" i="13"/>
  <c r="F2106" i="13"/>
  <c r="E2106" i="13"/>
  <c r="F2105" i="13"/>
  <c r="E2105" i="13"/>
  <c r="F2104" i="13"/>
  <c r="E2104" i="13"/>
  <c r="F2103" i="13"/>
  <c r="E2103" i="13"/>
  <c r="F2102" i="13"/>
  <c r="E2102" i="13"/>
  <c r="F2101" i="13"/>
  <c r="E2101" i="13"/>
  <c r="F2100" i="13"/>
  <c r="E2100" i="13"/>
  <c r="F2099" i="13"/>
  <c r="E2099" i="13"/>
  <c r="F2098" i="13"/>
  <c r="E2098" i="13"/>
  <c r="F2097" i="13"/>
  <c r="E2097" i="13"/>
  <c r="F2096" i="13"/>
  <c r="E2096" i="13"/>
  <c r="F2095" i="13"/>
  <c r="E2095" i="13"/>
  <c r="F2094" i="13"/>
  <c r="E2094" i="13"/>
  <c r="F2093" i="13"/>
  <c r="E2093" i="13"/>
  <c r="F2092" i="13"/>
  <c r="E2092" i="13"/>
  <c r="F2091" i="13"/>
  <c r="E2091" i="13"/>
  <c r="F2090" i="13"/>
  <c r="E2090" i="13"/>
  <c r="F2089" i="13"/>
  <c r="E2089" i="13"/>
  <c r="F2088" i="13"/>
  <c r="E2088" i="13"/>
  <c r="F2087" i="13"/>
  <c r="E2087" i="13"/>
  <c r="F2086" i="13"/>
  <c r="E2086" i="13"/>
  <c r="F2085" i="13"/>
  <c r="E2085" i="13"/>
  <c r="F2084" i="13"/>
  <c r="E2084" i="13"/>
  <c r="F2083" i="13"/>
  <c r="E2083" i="13"/>
  <c r="F2082" i="13"/>
  <c r="E2082" i="13"/>
  <c r="F2081" i="13"/>
  <c r="E2081" i="13"/>
  <c r="F2080" i="13"/>
  <c r="E2080" i="13"/>
  <c r="F2079" i="13"/>
  <c r="E2079" i="13"/>
  <c r="F2078" i="13"/>
  <c r="E2078" i="13"/>
  <c r="F2077" i="13"/>
  <c r="E2077" i="13"/>
  <c r="F2076" i="13"/>
  <c r="E2076" i="13"/>
  <c r="F2075" i="13"/>
  <c r="E2075" i="13"/>
  <c r="F2074" i="13"/>
  <c r="E2074" i="13"/>
  <c r="F2073" i="13"/>
  <c r="E2073" i="13"/>
  <c r="F2072" i="13"/>
  <c r="E2072" i="13"/>
  <c r="F2071" i="13"/>
  <c r="E2071" i="13"/>
  <c r="F2070" i="13"/>
  <c r="E2070" i="13"/>
  <c r="F2069" i="13"/>
  <c r="E2069" i="13"/>
  <c r="F2068" i="13"/>
  <c r="E2068" i="13"/>
  <c r="F2067" i="13"/>
  <c r="E2067" i="13"/>
  <c r="F2066" i="13"/>
  <c r="E2066" i="13"/>
  <c r="F2065" i="13"/>
  <c r="E2065" i="13"/>
  <c r="F2064" i="13"/>
  <c r="E2064" i="13"/>
  <c r="F2063" i="13"/>
  <c r="E2063" i="13"/>
  <c r="F2062" i="13"/>
  <c r="E2062" i="13"/>
  <c r="F2061" i="13"/>
  <c r="E2061" i="13"/>
  <c r="F2060" i="13"/>
  <c r="E2060" i="13"/>
  <c r="F2059" i="13"/>
  <c r="E2059" i="13"/>
  <c r="F2058" i="13"/>
  <c r="E2058" i="13"/>
  <c r="F2057" i="13"/>
  <c r="E2057" i="13"/>
  <c r="F2056" i="13"/>
  <c r="E2056" i="13"/>
  <c r="F2055" i="13"/>
  <c r="E2055" i="13"/>
  <c r="F2054" i="13"/>
  <c r="E2054" i="13"/>
  <c r="F2053" i="13"/>
  <c r="E2053" i="13"/>
  <c r="F2052" i="13"/>
  <c r="E2052" i="13"/>
  <c r="F2051" i="13"/>
  <c r="E2051" i="13"/>
  <c r="F2050" i="13"/>
  <c r="E2050" i="13"/>
  <c r="F2049" i="13"/>
  <c r="E2049" i="13"/>
  <c r="F2048" i="13"/>
  <c r="E2048" i="13"/>
  <c r="F2047" i="13"/>
  <c r="E2047" i="13"/>
  <c r="F2046" i="13"/>
  <c r="E2046" i="13"/>
  <c r="F2045" i="13"/>
  <c r="E2045" i="13"/>
  <c r="F2044" i="13"/>
  <c r="E2044" i="13"/>
  <c r="F2043" i="13"/>
  <c r="E2043" i="13"/>
  <c r="F2042" i="13"/>
  <c r="E2042" i="13"/>
  <c r="F2041" i="13"/>
  <c r="E2041" i="13"/>
  <c r="F2040" i="13"/>
  <c r="E2040" i="13"/>
  <c r="F2039" i="13"/>
  <c r="E2039" i="13"/>
  <c r="F2038" i="13"/>
  <c r="E2038" i="13"/>
  <c r="F2037" i="13"/>
  <c r="E2037" i="13"/>
  <c r="F2036" i="13"/>
  <c r="E2036" i="13"/>
  <c r="F2035" i="13"/>
  <c r="E2035" i="13"/>
  <c r="F2034" i="13"/>
  <c r="E2034" i="13"/>
  <c r="F2033" i="13"/>
  <c r="E2033" i="13"/>
  <c r="F2032" i="13"/>
  <c r="E2032" i="13"/>
  <c r="F2031" i="13"/>
  <c r="E2031" i="13"/>
  <c r="F2030" i="13"/>
  <c r="E2030" i="13"/>
  <c r="F2029" i="13"/>
  <c r="E2029" i="13"/>
  <c r="F2028" i="13"/>
  <c r="E2028" i="13"/>
  <c r="F2027" i="13"/>
  <c r="E2027" i="13"/>
  <c r="F2026" i="13"/>
  <c r="E2026" i="13"/>
  <c r="F2025" i="13"/>
  <c r="E2025" i="13"/>
  <c r="F2024" i="13"/>
  <c r="E2024" i="13"/>
  <c r="F2023" i="13"/>
  <c r="E2023" i="13"/>
  <c r="F2022" i="13"/>
  <c r="E2022" i="13"/>
  <c r="F2021" i="13"/>
  <c r="E2021" i="13"/>
  <c r="F2020" i="13"/>
  <c r="E2020" i="13"/>
  <c r="F2019" i="13"/>
  <c r="E2019" i="13"/>
  <c r="F2018" i="13"/>
  <c r="E2018" i="13"/>
  <c r="F2017" i="13"/>
  <c r="E2017" i="13"/>
  <c r="F2016" i="13"/>
  <c r="E2016" i="13"/>
  <c r="F2015" i="13"/>
  <c r="E2015" i="13"/>
  <c r="F2014" i="13"/>
  <c r="E2014" i="13"/>
  <c r="F2013" i="13"/>
  <c r="E2013" i="13"/>
  <c r="F2012" i="13"/>
  <c r="E2012" i="13"/>
  <c r="F2011" i="13"/>
  <c r="E2011" i="13"/>
  <c r="F2010" i="13"/>
  <c r="E2010" i="13"/>
  <c r="F2009" i="13"/>
  <c r="E2009" i="13"/>
  <c r="F2008" i="13"/>
  <c r="E2008" i="13"/>
  <c r="F2007" i="13"/>
  <c r="E2007" i="13"/>
  <c r="F2006" i="13"/>
  <c r="E2006" i="13"/>
  <c r="F2005" i="13"/>
  <c r="E2005" i="13"/>
  <c r="F2004" i="13"/>
  <c r="E2004" i="13"/>
  <c r="F2003" i="13"/>
  <c r="E2003" i="13"/>
  <c r="F2002" i="13"/>
  <c r="E2002" i="13"/>
  <c r="F2001" i="13"/>
  <c r="E2001" i="13"/>
  <c r="F2000" i="13"/>
  <c r="E2000" i="13"/>
  <c r="F1999" i="13"/>
  <c r="E1999" i="13"/>
  <c r="F1998" i="13"/>
  <c r="E1998" i="13"/>
  <c r="F1997" i="13"/>
  <c r="E1997" i="13"/>
  <c r="F1996" i="13"/>
  <c r="E1996" i="13"/>
  <c r="F1995" i="13"/>
  <c r="E1995" i="13"/>
  <c r="F1994" i="13"/>
  <c r="E1994" i="13"/>
  <c r="F1993" i="13"/>
  <c r="E1993" i="13"/>
  <c r="F1992" i="13"/>
  <c r="E1992" i="13"/>
  <c r="F1991" i="13"/>
  <c r="E1991" i="13"/>
  <c r="F1990" i="13"/>
  <c r="E1990" i="13"/>
  <c r="F1989" i="13"/>
  <c r="E1989" i="13"/>
  <c r="F1988" i="13"/>
  <c r="E1988" i="13"/>
  <c r="F1987" i="13"/>
  <c r="E1987" i="13"/>
  <c r="F1986" i="13"/>
  <c r="E1986" i="13"/>
  <c r="F1985" i="13"/>
  <c r="E1985" i="13"/>
  <c r="F1984" i="13"/>
  <c r="E1984" i="13"/>
  <c r="F1983" i="13"/>
  <c r="E1983" i="13"/>
  <c r="F1982" i="13"/>
  <c r="E1982" i="13"/>
  <c r="F1981" i="13"/>
  <c r="E1981" i="13"/>
  <c r="F1980" i="13"/>
  <c r="E1980" i="13"/>
  <c r="F1979" i="13"/>
  <c r="E1979" i="13"/>
  <c r="F1978" i="13"/>
  <c r="E1978" i="13"/>
  <c r="F1977" i="13"/>
  <c r="E1977" i="13"/>
  <c r="F1976" i="13"/>
  <c r="E1976" i="13"/>
  <c r="F1975" i="13"/>
  <c r="E1975" i="13"/>
  <c r="F1974" i="13"/>
  <c r="E1974" i="13"/>
  <c r="F1973" i="13"/>
  <c r="E1973" i="13"/>
  <c r="F1972" i="13"/>
  <c r="E1972" i="13"/>
  <c r="F1971" i="13"/>
  <c r="E1971" i="13"/>
  <c r="F1970" i="13"/>
  <c r="E1970" i="13"/>
  <c r="F1969" i="13"/>
  <c r="E1969" i="13"/>
  <c r="F1968" i="13"/>
  <c r="E1968" i="13"/>
  <c r="F1967" i="13"/>
  <c r="E1967" i="13"/>
  <c r="F1966" i="13"/>
  <c r="E1966" i="13"/>
  <c r="F1965" i="13"/>
  <c r="E1965" i="13"/>
  <c r="F1964" i="13"/>
  <c r="E1964" i="13"/>
  <c r="F1963" i="13"/>
  <c r="E1963" i="13"/>
  <c r="F1962" i="13"/>
  <c r="E1962" i="13"/>
  <c r="F1961" i="13"/>
  <c r="E1961" i="13"/>
  <c r="F1960" i="13"/>
  <c r="E1960" i="13"/>
  <c r="F1959" i="13"/>
  <c r="E1959" i="13"/>
  <c r="F1958" i="13"/>
  <c r="E1958" i="13"/>
  <c r="F1957" i="13"/>
  <c r="E1957" i="13"/>
  <c r="F1956" i="13"/>
  <c r="E1956" i="13"/>
  <c r="F1955" i="13"/>
  <c r="E1955" i="13"/>
  <c r="F1954" i="13"/>
  <c r="E1954" i="13"/>
  <c r="F1953" i="13"/>
  <c r="E1953" i="13"/>
  <c r="F1952" i="13"/>
  <c r="E1952" i="13"/>
  <c r="F1951" i="13"/>
  <c r="E1951" i="13"/>
  <c r="F1950" i="13"/>
  <c r="E1950" i="13"/>
  <c r="F1949" i="13"/>
  <c r="E1949" i="13"/>
  <c r="F1948" i="13"/>
  <c r="E1948" i="13"/>
  <c r="F1947" i="13"/>
  <c r="E1947" i="13"/>
  <c r="F1946" i="13"/>
  <c r="E1946" i="13"/>
  <c r="F1945" i="13"/>
  <c r="E1945" i="13"/>
  <c r="F1944" i="13"/>
  <c r="E1944" i="13"/>
  <c r="F1943" i="13"/>
  <c r="E1943" i="13"/>
  <c r="F1942" i="13"/>
  <c r="E1942" i="13"/>
  <c r="F1941" i="13"/>
  <c r="E1941" i="13"/>
  <c r="F1940" i="13"/>
  <c r="E1940" i="13"/>
  <c r="F1939" i="13"/>
  <c r="E1939" i="13"/>
  <c r="F1938" i="13"/>
  <c r="E1938" i="13"/>
  <c r="F1937" i="13"/>
  <c r="E1937" i="13"/>
  <c r="F1936" i="13"/>
  <c r="E1936" i="13"/>
  <c r="F1935" i="13"/>
  <c r="E1935" i="13"/>
  <c r="F1934" i="13"/>
  <c r="E1934" i="13"/>
  <c r="F1933" i="13"/>
  <c r="E1933" i="13"/>
  <c r="F1932" i="13"/>
  <c r="E1932" i="13"/>
  <c r="F1931" i="13"/>
  <c r="E1931" i="13"/>
  <c r="F1930" i="13"/>
  <c r="E1930" i="13"/>
  <c r="F1929" i="13"/>
  <c r="E1929" i="13"/>
  <c r="F1928" i="13"/>
  <c r="E1928" i="13"/>
  <c r="F1927" i="13"/>
  <c r="E1927" i="13"/>
  <c r="F1926" i="13"/>
  <c r="E1926" i="13"/>
  <c r="F1925" i="13"/>
  <c r="E1925" i="13"/>
  <c r="F1924" i="13"/>
  <c r="E1924" i="13"/>
  <c r="F1923" i="13"/>
  <c r="E1923" i="13"/>
  <c r="F1922" i="13"/>
  <c r="E1922" i="13"/>
  <c r="F1921" i="13"/>
  <c r="E1921" i="13"/>
  <c r="F1920" i="13"/>
  <c r="E1920" i="13"/>
  <c r="F1919" i="13"/>
  <c r="E1919" i="13"/>
  <c r="F1918" i="13"/>
  <c r="E1918" i="13"/>
  <c r="F1917" i="13"/>
  <c r="E1917" i="13"/>
  <c r="F1916" i="13"/>
  <c r="E1916" i="13"/>
  <c r="F1915" i="13"/>
  <c r="E1915" i="13"/>
  <c r="F1914" i="13"/>
  <c r="E1914" i="13"/>
  <c r="F1913" i="13"/>
  <c r="E1913" i="13"/>
  <c r="F1912" i="13"/>
  <c r="E1912" i="13"/>
  <c r="F1911" i="13"/>
  <c r="E1911" i="13"/>
  <c r="F1910" i="13"/>
  <c r="E1910" i="13"/>
  <c r="F1909" i="13"/>
  <c r="E1909" i="13"/>
  <c r="F1908" i="13"/>
  <c r="E1908" i="13"/>
  <c r="F1907" i="13"/>
  <c r="E1907" i="13"/>
  <c r="F1906" i="13"/>
  <c r="E1906" i="13"/>
  <c r="F1905" i="13"/>
  <c r="E1905" i="13"/>
  <c r="F1904" i="13"/>
  <c r="E1904" i="13"/>
  <c r="F1903" i="13"/>
  <c r="E1903" i="13"/>
  <c r="F1902" i="13"/>
  <c r="E1902" i="13"/>
  <c r="F1901" i="13"/>
  <c r="E1901" i="13"/>
  <c r="F1900" i="13"/>
  <c r="E1900" i="13"/>
  <c r="F1899" i="13"/>
  <c r="E1899" i="13"/>
  <c r="F1898" i="13"/>
  <c r="E1898" i="13"/>
  <c r="F1897" i="13"/>
  <c r="E1897" i="13"/>
  <c r="F1896" i="13"/>
  <c r="E1896" i="13"/>
  <c r="F1895" i="13"/>
  <c r="E1895" i="13"/>
  <c r="F1894" i="13"/>
  <c r="E1894" i="13"/>
  <c r="F1893" i="13"/>
  <c r="E1893" i="13"/>
  <c r="F1892" i="13"/>
  <c r="E1892" i="13"/>
  <c r="F1891" i="13"/>
  <c r="E1891" i="13"/>
  <c r="F1890" i="13"/>
  <c r="E1890" i="13"/>
  <c r="F1889" i="13"/>
  <c r="E1889" i="13"/>
  <c r="F1888" i="13"/>
  <c r="E1888" i="13"/>
  <c r="F1887" i="13"/>
  <c r="E1887" i="13"/>
  <c r="F1886" i="13"/>
  <c r="E1886" i="13"/>
  <c r="F1885" i="13"/>
  <c r="E1885" i="13"/>
  <c r="F1884" i="13"/>
  <c r="E1884" i="13"/>
  <c r="F1883" i="13"/>
  <c r="E1883" i="13"/>
  <c r="F1882" i="13"/>
  <c r="E1882" i="13"/>
  <c r="F1881" i="13"/>
  <c r="E1881" i="13"/>
  <c r="F1880" i="13"/>
  <c r="E1880" i="13"/>
  <c r="F1879" i="13"/>
  <c r="E1879" i="13"/>
  <c r="F1878" i="13"/>
  <c r="E1878" i="13"/>
  <c r="F1877" i="13"/>
  <c r="E1877" i="13"/>
  <c r="F1876" i="13"/>
  <c r="E1876" i="13"/>
  <c r="F1875" i="13"/>
  <c r="E1875" i="13"/>
  <c r="F1874" i="13"/>
  <c r="E1874" i="13"/>
  <c r="F1873" i="13"/>
  <c r="E1873" i="13"/>
  <c r="F1872" i="13"/>
  <c r="E1872" i="13"/>
  <c r="F1871" i="13"/>
  <c r="E1871" i="13"/>
  <c r="F1870" i="13"/>
  <c r="E1870" i="13"/>
  <c r="F1869" i="13"/>
  <c r="E1869" i="13"/>
  <c r="F1868" i="13"/>
  <c r="E1868" i="13"/>
  <c r="F1867" i="13"/>
  <c r="E1867" i="13"/>
  <c r="F1866" i="13"/>
  <c r="E1866" i="13"/>
  <c r="F1865" i="13"/>
  <c r="E1865" i="13"/>
  <c r="F1864" i="13"/>
  <c r="E1864" i="13"/>
  <c r="F1863" i="13"/>
  <c r="E1863" i="13"/>
  <c r="F1862" i="13"/>
  <c r="E1862" i="13"/>
  <c r="F1861" i="13"/>
  <c r="E1861" i="13"/>
  <c r="F1860" i="13"/>
  <c r="E1860" i="13"/>
  <c r="F1859" i="13"/>
  <c r="E1859" i="13"/>
  <c r="F1858" i="13"/>
  <c r="E1858" i="13"/>
  <c r="F1857" i="13"/>
  <c r="E1857" i="13"/>
  <c r="F1856" i="13"/>
  <c r="E1856" i="13"/>
  <c r="F1855" i="13"/>
  <c r="E1855" i="13"/>
  <c r="F1854" i="13"/>
  <c r="E1854" i="13"/>
  <c r="F1853" i="13"/>
  <c r="E1853" i="13"/>
  <c r="F1852" i="13"/>
  <c r="E1852" i="13"/>
  <c r="F1851" i="13"/>
  <c r="E1851" i="13"/>
  <c r="F1850" i="13"/>
  <c r="E1850" i="13"/>
  <c r="F1849" i="13"/>
  <c r="E1849" i="13"/>
  <c r="F1848" i="13"/>
  <c r="E1848" i="13"/>
  <c r="F1847" i="13"/>
  <c r="E1847" i="13"/>
  <c r="F1846" i="13"/>
  <c r="E1846" i="13"/>
  <c r="F1845" i="13"/>
  <c r="E1845" i="13"/>
  <c r="F1844" i="13"/>
  <c r="E1844" i="13"/>
  <c r="F1843" i="13"/>
  <c r="E1843" i="13"/>
  <c r="F1842" i="13"/>
  <c r="E1842" i="13"/>
  <c r="F1841" i="13"/>
  <c r="E1841" i="13"/>
  <c r="F1840" i="13"/>
  <c r="E1840" i="13"/>
  <c r="F1839" i="13"/>
  <c r="E1839" i="13"/>
  <c r="F1838" i="13"/>
  <c r="E1838" i="13"/>
  <c r="F1837" i="13"/>
  <c r="E1837" i="13"/>
  <c r="F1836" i="13"/>
  <c r="E1836" i="13"/>
  <c r="F1835" i="13"/>
  <c r="E1835" i="13"/>
  <c r="F1834" i="13"/>
  <c r="E1834" i="13"/>
  <c r="F1833" i="13"/>
  <c r="E1833" i="13"/>
  <c r="F1832" i="13"/>
  <c r="E1832" i="13"/>
  <c r="F1831" i="13"/>
  <c r="E1831" i="13"/>
  <c r="F1830" i="13"/>
  <c r="E1830" i="13"/>
  <c r="F1829" i="13"/>
  <c r="E1829" i="13"/>
  <c r="F1828" i="13"/>
  <c r="E1828" i="13"/>
  <c r="F1827" i="13"/>
  <c r="E1827" i="13"/>
  <c r="F1826" i="13"/>
  <c r="E1826" i="13"/>
  <c r="F1825" i="13"/>
  <c r="E1825" i="13"/>
  <c r="F1824" i="13"/>
  <c r="E1824" i="13"/>
  <c r="F1823" i="13"/>
  <c r="E1823" i="13"/>
  <c r="F1822" i="13"/>
  <c r="E1822" i="13"/>
  <c r="F1821" i="13"/>
  <c r="E1821" i="13"/>
  <c r="F1820" i="13"/>
  <c r="E1820" i="13"/>
  <c r="F1819" i="13"/>
  <c r="E1819" i="13"/>
  <c r="F1818" i="13"/>
  <c r="E1818" i="13"/>
  <c r="F1817" i="13"/>
  <c r="E1817" i="13"/>
  <c r="F1816" i="13"/>
  <c r="E1816" i="13"/>
  <c r="F1815" i="13"/>
  <c r="E1815" i="13"/>
  <c r="F1814" i="13"/>
  <c r="E1814" i="13"/>
  <c r="F1813" i="13"/>
  <c r="E1813" i="13"/>
  <c r="F1812" i="13"/>
  <c r="E1812" i="13"/>
  <c r="F1811" i="13"/>
  <c r="E1811" i="13"/>
  <c r="F1810" i="13"/>
  <c r="E1810" i="13"/>
  <c r="F1809" i="13"/>
  <c r="E1809" i="13"/>
  <c r="F1808" i="13"/>
  <c r="E1808" i="13"/>
  <c r="F1807" i="13"/>
  <c r="E1807" i="13"/>
  <c r="F1806" i="13"/>
  <c r="E1806" i="13"/>
  <c r="F1805" i="13"/>
  <c r="E1805" i="13"/>
  <c r="F1804" i="13"/>
  <c r="E1804" i="13"/>
  <c r="F1803" i="13"/>
  <c r="E1803" i="13"/>
  <c r="F1802" i="13"/>
  <c r="E1802" i="13"/>
  <c r="F1801" i="13"/>
  <c r="E1801" i="13"/>
  <c r="F1800" i="13"/>
  <c r="E1800" i="13"/>
  <c r="F1799" i="13"/>
  <c r="E1799" i="13"/>
  <c r="F1798" i="13"/>
  <c r="E1798" i="13"/>
  <c r="F1797" i="13"/>
  <c r="E1797" i="13"/>
  <c r="F1796" i="13"/>
  <c r="E1796" i="13"/>
  <c r="F1795" i="13"/>
  <c r="E1795" i="13"/>
  <c r="F1794" i="13"/>
  <c r="E1794" i="13"/>
  <c r="F1793" i="13"/>
  <c r="E1793" i="13"/>
  <c r="F1792" i="13"/>
  <c r="E1792" i="13"/>
  <c r="F1791" i="13"/>
  <c r="E1791" i="13"/>
  <c r="F1790" i="13"/>
  <c r="E1790" i="13"/>
  <c r="F1789" i="13"/>
  <c r="E1789" i="13"/>
  <c r="F1788" i="13"/>
  <c r="E1788" i="13"/>
  <c r="F1787" i="13"/>
  <c r="E1787" i="13"/>
  <c r="F1786" i="13"/>
  <c r="E1786" i="13"/>
  <c r="F1785" i="13"/>
  <c r="E1785" i="13"/>
  <c r="F1784" i="13"/>
  <c r="E1784" i="13"/>
  <c r="F1783" i="13"/>
  <c r="E1783" i="13"/>
  <c r="F1782" i="13"/>
  <c r="E1782" i="13"/>
  <c r="F1781" i="13"/>
  <c r="E1781" i="13"/>
  <c r="F1780" i="13"/>
  <c r="E1780" i="13"/>
  <c r="F1779" i="13"/>
  <c r="E1779" i="13"/>
  <c r="F1778" i="13"/>
  <c r="E1778" i="13"/>
  <c r="F1777" i="13"/>
  <c r="E1777" i="13"/>
  <c r="F1776" i="13"/>
  <c r="E1776" i="13"/>
  <c r="F1775" i="13"/>
  <c r="E1775" i="13"/>
  <c r="F1774" i="13"/>
  <c r="E1774" i="13"/>
  <c r="F1773" i="13"/>
  <c r="E1773" i="13"/>
  <c r="F1772" i="13"/>
  <c r="E1772" i="13"/>
  <c r="F1771" i="13"/>
  <c r="E1771" i="13"/>
  <c r="F1770" i="13"/>
  <c r="E1770" i="13"/>
  <c r="F1769" i="13"/>
  <c r="E1769" i="13"/>
  <c r="F1768" i="13"/>
  <c r="E1768" i="13"/>
  <c r="F1767" i="13"/>
  <c r="E1767" i="13"/>
  <c r="F1766" i="13"/>
  <c r="E1766" i="13"/>
  <c r="F1765" i="13"/>
  <c r="E1765" i="13"/>
  <c r="F1764" i="13"/>
  <c r="E1764" i="13"/>
  <c r="F1763" i="13"/>
  <c r="E1763" i="13"/>
  <c r="F1762" i="13"/>
  <c r="E1762" i="13"/>
  <c r="F1761" i="13"/>
  <c r="E1761" i="13"/>
  <c r="F1760" i="13"/>
  <c r="E1760" i="13"/>
  <c r="F1759" i="13"/>
  <c r="E1759" i="13"/>
  <c r="F1758" i="13"/>
  <c r="E1758" i="13"/>
  <c r="F1757" i="13"/>
  <c r="E1757" i="13"/>
  <c r="F1756" i="13"/>
  <c r="E1756" i="13"/>
  <c r="F1755" i="13"/>
  <c r="E1755" i="13"/>
  <c r="F1754" i="13"/>
  <c r="E1754" i="13"/>
  <c r="F1753" i="13"/>
  <c r="E1753" i="13"/>
  <c r="F1752" i="13"/>
  <c r="E1752" i="13"/>
  <c r="F1751" i="13"/>
  <c r="E1751" i="13"/>
  <c r="F1750" i="13"/>
  <c r="E1750" i="13"/>
  <c r="F1749" i="13"/>
  <c r="E1749" i="13"/>
  <c r="F1748" i="13"/>
  <c r="E1748" i="13"/>
  <c r="F1747" i="13"/>
  <c r="E1747" i="13"/>
  <c r="F1746" i="13"/>
  <c r="E1746" i="13"/>
  <c r="F1745" i="13"/>
  <c r="E1745" i="13"/>
  <c r="F1744" i="13"/>
  <c r="E1744" i="13"/>
  <c r="F1743" i="13"/>
  <c r="E1743" i="13"/>
  <c r="F1742" i="13"/>
  <c r="E1742" i="13"/>
  <c r="F1741" i="13"/>
  <c r="E1741" i="13"/>
  <c r="F1740" i="13"/>
  <c r="E1740" i="13"/>
  <c r="F1739" i="13"/>
  <c r="E1739" i="13"/>
  <c r="F1738" i="13"/>
  <c r="E1738" i="13"/>
  <c r="F1737" i="13"/>
  <c r="E1737" i="13"/>
  <c r="F1736" i="13"/>
  <c r="E1736" i="13"/>
  <c r="F1735" i="13"/>
  <c r="E1735" i="13"/>
  <c r="F1734" i="13"/>
  <c r="E1734" i="13"/>
  <c r="F1733" i="13"/>
  <c r="E1733" i="13"/>
  <c r="F1732" i="13"/>
  <c r="E1732" i="13"/>
  <c r="F1731" i="13"/>
  <c r="E1731" i="13"/>
  <c r="F1730" i="13"/>
  <c r="E1730" i="13"/>
  <c r="F1729" i="13"/>
  <c r="E1729" i="13"/>
  <c r="F1728" i="13"/>
  <c r="E1728" i="13"/>
  <c r="F1727" i="13"/>
  <c r="E1727" i="13"/>
  <c r="F1726" i="13"/>
  <c r="E1726" i="13"/>
  <c r="F1725" i="13"/>
  <c r="E1725" i="13"/>
  <c r="F1724" i="13"/>
  <c r="E1724" i="13"/>
  <c r="F1723" i="13"/>
  <c r="E1723" i="13"/>
  <c r="F1722" i="13"/>
  <c r="E1722" i="13"/>
  <c r="F1721" i="13"/>
  <c r="E1721" i="13"/>
  <c r="F1720" i="13"/>
  <c r="E1720" i="13"/>
  <c r="F1719" i="13"/>
  <c r="E1719" i="13"/>
  <c r="F1718" i="13"/>
  <c r="E1718" i="13"/>
  <c r="F1717" i="13"/>
  <c r="E1717" i="13"/>
  <c r="F1716" i="13"/>
  <c r="E1716" i="13"/>
  <c r="F1715" i="13"/>
  <c r="E1715" i="13"/>
  <c r="F1714" i="13"/>
  <c r="E1714" i="13"/>
  <c r="F1713" i="13"/>
  <c r="E1713" i="13"/>
  <c r="F1712" i="13"/>
  <c r="E1712" i="13"/>
  <c r="F1711" i="13"/>
  <c r="E1711" i="13"/>
  <c r="F1710" i="13"/>
  <c r="E1710" i="13"/>
  <c r="F1709" i="13"/>
  <c r="E1709" i="13"/>
  <c r="F1708" i="13"/>
  <c r="E1708" i="13"/>
  <c r="F1707" i="13"/>
  <c r="E1707" i="13"/>
  <c r="F1706" i="13"/>
  <c r="E1706" i="13"/>
  <c r="F1705" i="13"/>
  <c r="E1705" i="13"/>
  <c r="F1704" i="13"/>
  <c r="E1704" i="13"/>
  <c r="F1703" i="13"/>
  <c r="E1703" i="13"/>
  <c r="F1702" i="13"/>
  <c r="E1702" i="13"/>
  <c r="F1701" i="13"/>
  <c r="E1701" i="13"/>
  <c r="F1700" i="13"/>
  <c r="E1700" i="13"/>
  <c r="F1699" i="13"/>
  <c r="E1699" i="13"/>
  <c r="F1698" i="13"/>
  <c r="E1698" i="13"/>
  <c r="F1697" i="13"/>
  <c r="E1697" i="13"/>
  <c r="F1696" i="13"/>
  <c r="E1696" i="13"/>
  <c r="F1695" i="13"/>
  <c r="E1695" i="13"/>
  <c r="F1694" i="13"/>
  <c r="E1694" i="13"/>
  <c r="F1693" i="13"/>
  <c r="E1693" i="13"/>
  <c r="F1692" i="13"/>
  <c r="E1692" i="13"/>
  <c r="F1691" i="13"/>
  <c r="E1691" i="13"/>
  <c r="F1690" i="13"/>
  <c r="E1690" i="13"/>
  <c r="F1689" i="13"/>
  <c r="E1689" i="13"/>
  <c r="F1688" i="13"/>
  <c r="E1688" i="13"/>
  <c r="F1687" i="13"/>
  <c r="E1687" i="13"/>
  <c r="F1686" i="13"/>
  <c r="E1686" i="13"/>
  <c r="F1685" i="13"/>
  <c r="E1685" i="13"/>
  <c r="F1684" i="13"/>
  <c r="E1684" i="13"/>
  <c r="F1683" i="13"/>
  <c r="E1683" i="13"/>
  <c r="F1682" i="13"/>
  <c r="E1682" i="13"/>
  <c r="F1681" i="13"/>
  <c r="E1681" i="13"/>
  <c r="F1680" i="13"/>
  <c r="E1680" i="13"/>
  <c r="F1679" i="13"/>
  <c r="E1679" i="13"/>
  <c r="F1678" i="13"/>
  <c r="E1678" i="13"/>
  <c r="F1677" i="13"/>
  <c r="E1677" i="13"/>
  <c r="F1676" i="13"/>
  <c r="E1676" i="13"/>
  <c r="F1675" i="13"/>
  <c r="E1675" i="13"/>
  <c r="F1674" i="13"/>
  <c r="E1674" i="13"/>
  <c r="F1673" i="13"/>
  <c r="E1673" i="13"/>
  <c r="F1672" i="13"/>
  <c r="E1672" i="13"/>
  <c r="F1671" i="13"/>
  <c r="E1671" i="13"/>
  <c r="F1670" i="13"/>
  <c r="E1670" i="13"/>
  <c r="F1669" i="13"/>
  <c r="E1669" i="13"/>
  <c r="F1668" i="13"/>
  <c r="E1668" i="13"/>
  <c r="F1667" i="13"/>
  <c r="E1667" i="13"/>
  <c r="F1666" i="13"/>
  <c r="E1666" i="13"/>
  <c r="F1665" i="13"/>
  <c r="E1665" i="13"/>
  <c r="F1664" i="13"/>
  <c r="E1664" i="13"/>
  <c r="F1663" i="13"/>
  <c r="E1663" i="13"/>
  <c r="F1662" i="13"/>
  <c r="E1662" i="13"/>
  <c r="F1661" i="13"/>
  <c r="E1661" i="13"/>
  <c r="F1660" i="13"/>
  <c r="E1660" i="13"/>
  <c r="F1659" i="13"/>
  <c r="E1659" i="13"/>
  <c r="F1658" i="13"/>
  <c r="E1658" i="13"/>
  <c r="F1657" i="13"/>
  <c r="E1657" i="13"/>
  <c r="F1656" i="13"/>
  <c r="E1656" i="13"/>
  <c r="F1655" i="13"/>
  <c r="E1655" i="13"/>
  <c r="F1654" i="13"/>
  <c r="E1654" i="13"/>
  <c r="F1653" i="13"/>
  <c r="E1653" i="13"/>
  <c r="F1652" i="13"/>
  <c r="E1652" i="13"/>
  <c r="F1651" i="13"/>
  <c r="E1651" i="13"/>
  <c r="F1650" i="13"/>
  <c r="E1650" i="13"/>
  <c r="F1649" i="13"/>
  <c r="E1649" i="13"/>
  <c r="F1648" i="13"/>
  <c r="E1648" i="13"/>
  <c r="F1647" i="13"/>
  <c r="E1647" i="13"/>
  <c r="F1646" i="13"/>
  <c r="E1646" i="13"/>
  <c r="F1645" i="13"/>
  <c r="E1645" i="13"/>
  <c r="F1644" i="13"/>
  <c r="E1644" i="13"/>
  <c r="F1643" i="13"/>
  <c r="E1643" i="13"/>
  <c r="F1642" i="13"/>
  <c r="E1642" i="13"/>
  <c r="F1641" i="13"/>
  <c r="E1641" i="13"/>
  <c r="F1640" i="13"/>
  <c r="E1640" i="13"/>
  <c r="F1639" i="13"/>
  <c r="E1639" i="13"/>
  <c r="F1638" i="13"/>
  <c r="E1638" i="13"/>
  <c r="F1637" i="13"/>
  <c r="E1637" i="13"/>
  <c r="F1636" i="13"/>
  <c r="E1636" i="13"/>
  <c r="F1635" i="13"/>
  <c r="E1635" i="13"/>
  <c r="F1634" i="13"/>
  <c r="E1634" i="13"/>
  <c r="F1633" i="13"/>
  <c r="E1633" i="13"/>
  <c r="F1632" i="13"/>
  <c r="E1632" i="13"/>
  <c r="F1631" i="13"/>
  <c r="E1631" i="13"/>
  <c r="F1630" i="13"/>
  <c r="E1630" i="13"/>
  <c r="F1629" i="13"/>
  <c r="E1629" i="13"/>
  <c r="F1628" i="13"/>
  <c r="E1628" i="13"/>
  <c r="F1627" i="13"/>
  <c r="E1627" i="13"/>
  <c r="F1626" i="13"/>
  <c r="E1626" i="13"/>
  <c r="F1625" i="13"/>
  <c r="E1625" i="13"/>
  <c r="F1624" i="13"/>
  <c r="E1624" i="13"/>
  <c r="F1623" i="13"/>
  <c r="E1623" i="13"/>
  <c r="F1622" i="13"/>
  <c r="E1622" i="13"/>
  <c r="F1621" i="13"/>
  <c r="E1621" i="13"/>
  <c r="F1620" i="13"/>
  <c r="E1620" i="13"/>
  <c r="F1619" i="13"/>
  <c r="E1619" i="13"/>
  <c r="F1618" i="13"/>
  <c r="E1618" i="13"/>
  <c r="F1617" i="13"/>
  <c r="E1617" i="13"/>
  <c r="F1616" i="13"/>
  <c r="E1616" i="13"/>
  <c r="F1615" i="13"/>
  <c r="E1615" i="13"/>
  <c r="F1614" i="13"/>
  <c r="E1614" i="13"/>
  <c r="F1613" i="13"/>
  <c r="E1613" i="13"/>
  <c r="F1612" i="13"/>
  <c r="E1612" i="13"/>
  <c r="F1611" i="13"/>
  <c r="E1611" i="13"/>
  <c r="F1610" i="13"/>
  <c r="E1610" i="13"/>
  <c r="F1609" i="13"/>
  <c r="E1609" i="13"/>
  <c r="F1608" i="13"/>
  <c r="E1608" i="13"/>
  <c r="F1607" i="13"/>
  <c r="E1607" i="13"/>
  <c r="F1606" i="13"/>
  <c r="E1606" i="13"/>
  <c r="F1605" i="13"/>
  <c r="E1605" i="13"/>
  <c r="F1604" i="13"/>
  <c r="E1604" i="13"/>
  <c r="F1603" i="13"/>
  <c r="E1603" i="13"/>
  <c r="F1602" i="13"/>
  <c r="E1602" i="13"/>
  <c r="F1601" i="13"/>
  <c r="E1601" i="13"/>
  <c r="F1600" i="13"/>
  <c r="E1600" i="13"/>
  <c r="F1599" i="13"/>
  <c r="E1599" i="13"/>
  <c r="F1598" i="13"/>
  <c r="E1598" i="13"/>
  <c r="F1597" i="13"/>
  <c r="E1597" i="13"/>
  <c r="F1596" i="13"/>
  <c r="E1596" i="13"/>
  <c r="F1595" i="13"/>
  <c r="E1595" i="13"/>
  <c r="F1594" i="13"/>
  <c r="E1594" i="13"/>
  <c r="F1593" i="13"/>
  <c r="E1593" i="13"/>
  <c r="F1592" i="13"/>
  <c r="E1592" i="13"/>
  <c r="F1591" i="13"/>
  <c r="E1591" i="13"/>
  <c r="F1590" i="13"/>
  <c r="E1590" i="13"/>
  <c r="F1589" i="13"/>
  <c r="E1589" i="13"/>
  <c r="F1588" i="13"/>
  <c r="E1588" i="13"/>
  <c r="F1587" i="13"/>
  <c r="E1587" i="13"/>
  <c r="F1586" i="13"/>
  <c r="E1586" i="13"/>
  <c r="F1585" i="13"/>
  <c r="E1585" i="13"/>
  <c r="F1584" i="13"/>
  <c r="E1584" i="13"/>
  <c r="F1583" i="13"/>
  <c r="E1583" i="13"/>
  <c r="F1582" i="13"/>
  <c r="E1582" i="13"/>
  <c r="F1581" i="13"/>
  <c r="E1581" i="13"/>
  <c r="F1580" i="13"/>
  <c r="E1580" i="13"/>
  <c r="F1579" i="13"/>
  <c r="E1579" i="13"/>
  <c r="F1578" i="13"/>
  <c r="E1578" i="13"/>
  <c r="F1577" i="13"/>
  <c r="E1577" i="13"/>
  <c r="F1576" i="13"/>
  <c r="E1576" i="13"/>
  <c r="F1575" i="13"/>
  <c r="E1575" i="13"/>
  <c r="F1574" i="13"/>
  <c r="E1574" i="13"/>
  <c r="F1573" i="13"/>
  <c r="E1573" i="13"/>
  <c r="F1572" i="13"/>
  <c r="E1572" i="13"/>
  <c r="F1571" i="13"/>
  <c r="E1571" i="13"/>
  <c r="F1570" i="13"/>
  <c r="E1570" i="13"/>
  <c r="F1569" i="13"/>
  <c r="E1569" i="13"/>
  <c r="F1568" i="13"/>
  <c r="E1568" i="13"/>
  <c r="F1567" i="13"/>
  <c r="E1567" i="13"/>
  <c r="F1566" i="13"/>
  <c r="E1566" i="13"/>
  <c r="F1565" i="13"/>
  <c r="E1565" i="13"/>
  <c r="F1564" i="13"/>
  <c r="E1564" i="13"/>
  <c r="F1563" i="13"/>
  <c r="E1563" i="13"/>
  <c r="F1562" i="13"/>
  <c r="E1562" i="13"/>
  <c r="F1561" i="13"/>
  <c r="E1561" i="13"/>
  <c r="F1560" i="13"/>
  <c r="E1560" i="13"/>
  <c r="F1559" i="13"/>
  <c r="E1559" i="13"/>
  <c r="F1558" i="13"/>
  <c r="E1558" i="13"/>
  <c r="F1557" i="13"/>
  <c r="E1557" i="13"/>
  <c r="F1556" i="13"/>
  <c r="E1556" i="13"/>
  <c r="F1555" i="13"/>
  <c r="E1555" i="13"/>
  <c r="F1554" i="13"/>
  <c r="E1554" i="13"/>
  <c r="F1553" i="13"/>
  <c r="E1553" i="13"/>
  <c r="F1552" i="13"/>
  <c r="E1552" i="13"/>
  <c r="F1551" i="13"/>
  <c r="E1551" i="13"/>
  <c r="F1550" i="13"/>
  <c r="E1550" i="13"/>
  <c r="F1549" i="13"/>
  <c r="E1549" i="13"/>
  <c r="F1548" i="13"/>
  <c r="E1548" i="13"/>
  <c r="F1547" i="13"/>
  <c r="E1547" i="13"/>
  <c r="F1546" i="13"/>
  <c r="E1546" i="13"/>
  <c r="F1545" i="13"/>
  <c r="E1545" i="13"/>
  <c r="F1544" i="13"/>
  <c r="E1544" i="13"/>
  <c r="F1543" i="13"/>
  <c r="E1543" i="13"/>
  <c r="F1542" i="13"/>
  <c r="E1542" i="13"/>
  <c r="F1541" i="13"/>
  <c r="E1541" i="13"/>
  <c r="F1540" i="13"/>
  <c r="E1540" i="13"/>
  <c r="F1539" i="13"/>
  <c r="E1539" i="13"/>
  <c r="F1538" i="13"/>
  <c r="E1538" i="13"/>
  <c r="F1537" i="13"/>
  <c r="E1537" i="13"/>
  <c r="F1536" i="13"/>
  <c r="E1536" i="13"/>
  <c r="F1535" i="13"/>
  <c r="E1535" i="13"/>
  <c r="F1534" i="13"/>
  <c r="E1534" i="13"/>
  <c r="F1533" i="13"/>
  <c r="E1533" i="13"/>
  <c r="F1532" i="13"/>
  <c r="E1532" i="13"/>
  <c r="F1531" i="13"/>
  <c r="E1531" i="13"/>
  <c r="F1530" i="13"/>
  <c r="E1530" i="13"/>
  <c r="F1529" i="13"/>
  <c r="E1529" i="13"/>
  <c r="F1528" i="13"/>
  <c r="E1528" i="13"/>
  <c r="F1527" i="13"/>
  <c r="E1527" i="13"/>
  <c r="F1526" i="13"/>
  <c r="E1526" i="13"/>
  <c r="F1525" i="13"/>
  <c r="E1525" i="13"/>
  <c r="F1524" i="13"/>
  <c r="E1524" i="13"/>
  <c r="F1523" i="13"/>
  <c r="E1523" i="13"/>
  <c r="F1522" i="13"/>
  <c r="E1522" i="13"/>
  <c r="F1521" i="13"/>
  <c r="E1521" i="13"/>
  <c r="F1520" i="13"/>
  <c r="E1520" i="13"/>
  <c r="F1519" i="13"/>
  <c r="E1519" i="13"/>
  <c r="F1518" i="13"/>
  <c r="E1518" i="13"/>
  <c r="F1517" i="13"/>
  <c r="E1517" i="13"/>
  <c r="F1516" i="13"/>
  <c r="E1516" i="13"/>
  <c r="F1515" i="13"/>
  <c r="E1515" i="13"/>
  <c r="F1514" i="13"/>
  <c r="E1514" i="13"/>
  <c r="F1513" i="13"/>
  <c r="E1513" i="13"/>
  <c r="F1512" i="13"/>
  <c r="E1512" i="13"/>
  <c r="F1511" i="13"/>
  <c r="E1511" i="13"/>
  <c r="F1510" i="13"/>
  <c r="E1510" i="13"/>
  <c r="F1509" i="13"/>
  <c r="E1509" i="13"/>
  <c r="F1508" i="13"/>
  <c r="E1508" i="13"/>
  <c r="F1507" i="13"/>
  <c r="E1507" i="13"/>
  <c r="F1506" i="13"/>
  <c r="E1506" i="13"/>
  <c r="F1505" i="13"/>
  <c r="E1505" i="13"/>
  <c r="F1504" i="13"/>
  <c r="E1504" i="13"/>
  <c r="F1503" i="13"/>
  <c r="E1503" i="13"/>
  <c r="F1502" i="13"/>
  <c r="E1502" i="13"/>
  <c r="F1501" i="13"/>
  <c r="E1501" i="13"/>
  <c r="F1500" i="13"/>
  <c r="E1500" i="13"/>
  <c r="F1499" i="13"/>
  <c r="E1499" i="13"/>
  <c r="F1498" i="13"/>
  <c r="E1498" i="13"/>
  <c r="F1497" i="13"/>
  <c r="E1497" i="13"/>
  <c r="F1496" i="13"/>
  <c r="E1496" i="13"/>
  <c r="F1495" i="13"/>
  <c r="E1495" i="13"/>
  <c r="F1494" i="13"/>
  <c r="E1494" i="13"/>
  <c r="F1493" i="13"/>
  <c r="E1493" i="13"/>
  <c r="F1492" i="13"/>
  <c r="E1492" i="13"/>
  <c r="F1491" i="13"/>
  <c r="E1491" i="13"/>
  <c r="F1490" i="13"/>
  <c r="E1490" i="13"/>
  <c r="F1489" i="13"/>
  <c r="E1489" i="13"/>
  <c r="F1488" i="13"/>
  <c r="E1488" i="13"/>
  <c r="F1487" i="13"/>
  <c r="E1487" i="13"/>
  <c r="F1486" i="13"/>
  <c r="E1486" i="13"/>
  <c r="F1485" i="13"/>
  <c r="E1485" i="13"/>
  <c r="F1484" i="13"/>
  <c r="E1484" i="13"/>
  <c r="F1483" i="13"/>
  <c r="E1483" i="13"/>
  <c r="F1482" i="13"/>
  <c r="E1482" i="13"/>
  <c r="F1481" i="13"/>
  <c r="E1481" i="13"/>
  <c r="F1480" i="13"/>
  <c r="E1480" i="13"/>
  <c r="F1479" i="13"/>
  <c r="E1479" i="13"/>
  <c r="F1478" i="13"/>
  <c r="E1478" i="13"/>
  <c r="F1477" i="13"/>
  <c r="E1477" i="13"/>
  <c r="F1476" i="13"/>
  <c r="E1476" i="13"/>
  <c r="F1475" i="13"/>
  <c r="E1475" i="13"/>
  <c r="F1474" i="13"/>
  <c r="E1474" i="13"/>
  <c r="F1473" i="13"/>
  <c r="E1473" i="13"/>
  <c r="F1472" i="13"/>
  <c r="E1472" i="13"/>
  <c r="F1471" i="13"/>
  <c r="E1471" i="13"/>
  <c r="F1470" i="13"/>
  <c r="E1470" i="13"/>
  <c r="F1469" i="13"/>
  <c r="E1469" i="13"/>
  <c r="F1468" i="13"/>
  <c r="E1468" i="13"/>
  <c r="F1467" i="13"/>
  <c r="E1467" i="13"/>
  <c r="F1466" i="13"/>
  <c r="E1466" i="13"/>
  <c r="F1465" i="13"/>
  <c r="E1465" i="13"/>
  <c r="F1464" i="13"/>
  <c r="E1464" i="13"/>
  <c r="F1463" i="13"/>
  <c r="E1463" i="13"/>
  <c r="F1462" i="13"/>
  <c r="E1462" i="13"/>
  <c r="F1461" i="13"/>
  <c r="E1461" i="13"/>
  <c r="F1460" i="13"/>
  <c r="E1460" i="13"/>
  <c r="F1459" i="13"/>
  <c r="E1459" i="13"/>
  <c r="F1458" i="13"/>
  <c r="E1458" i="13"/>
  <c r="F1457" i="13"/>
  <c r="E1457" i="13"/>
  <c r="F1456" i="13"/>
  <c r="E1456" i="13"/>
  <c r="F1455" i="13"/>
  <c r="E1455" i="13"/>
  <c r="F1454" i="13"/>
  <c r="E1454" i="13"/>
  <c r="F1453" i="13"/>
  <c r="E1453" i="13"/>
  <c r="F1452" i="13"/>
  <c r="E1452" i="13"/>
  <c r="F1451" i="13"/>
  <c r="E1451" i="13"/>
  <c r="F1450" i="13"/>
  <c r="E1450" i="13"/>
  <c r="F1449" i="13"/>
  <c r="E1449" i="13"/>
  <c r="F1448" i="13"/>
  <c r="E1448" i="13"/>
  <c r="F1447" i="13"/>
  <c r="E1447" i="13"/>
  <c r="F1446" i="13"/>
  <c r="E1446" i="13"/>
  <c r="F1445" i="13"/>
  <c r="E1445" i="13"/>
  <c r="F1444" i="13"/>
  <c r="E1444" i="13"/>
  <c r="F1443" i="13"/>
  <c r="E1443" i="13"/>
  <c r="F1442" i="13"/>
  <c r="E1442" i="13"/>
  <c r="F1441" i="13"/>
  <c r="E1441" i="13"/>
  <c r="F1440" i="13"/>
  <c r="E1440" i="13"/>
  <c r="F1439" i="13"/>
  <c r="E1439" i="13"/>
  <c r="F1438" i="13"/>
  <c r="E1438" i="13"/>
  <c r="F1437" i="13"/>
  <c r="E1437" i="13"/>
  <c r="F1436" i="13"/>
  <c r="E1436" i="13"/>
  <c r="F1435" i="13"/>
  <c r="E1435" i="13"/>
  <c r="F1434" i="13"/>
  <c r="E1434" i="13"/>
  <c r="F1433" i="13"/>
  <c r="E1433" i="13"/>
  <c r="F1432" i="13"/>
  <c r="E1432" i="13"/>
  <c r="F1431" i="13"/>
  <c r="E1431" i="13"/>
  <c r="F1430" i="13"/>
  <c r="E1430" i="13"/>
  <c r="F1429" i="13"/>
  <c r="E1429" i="13"/>
  <c r="F1428" i="13"/>
  <c r="E1428" i="13"/>
  <c r="F1427" i="13"/>
  <c r="E1427" i="13"/>
  <c r="F1426" i="13"/>
  <c r="E1426" i="13"/>
  <c r="F1425" i="13"/>
  <c r="E1425" i="13"/>
  <c r="F1424" i="13"/>
  <c r="E1424" i="13"/>
  <c r="F1423" i="13"/>
  <c r="E1423" i="13"/>
  <c r="F1422" i="13"/>
  <c r="E1422" i="13"/>
  <c r="F1421" i="13"/>
  <c r="E1421" i="13"/>
  <c r="F1420" i="13"/>
  <c r="E1420" i="13"/>
  <c r="F1419" i="13"/>
  <c r="E1419" i="13"/>
  <c r="F1418" i="13"/>
  <c r="E1418" i="13"/>
  <c r="F1417" i="13"/>
  <c r="E1417" i="13"/>
  <c r="F1416" i="13"/>
  <c r="E1416" i="13"/>
  <c r="F1415" i="13"/>
  <c r="E1415" i="13"/>
  <c r="F1414" i="13"/>
  <c r="E1414" i="13"/>
  <c r="F1413" i="13"/>
  <c r="E1413" i="13"/>
  <c r="F1412" i="13"/>
  <c r="E1412" i="13"/>
  <c r="F1411" i="13"/>
  <c r="E1411" i="13"/>
  <c r="F1410" i="13"/>
  <c r="E1410" i="13"/>
  <c r="F1409" i="13"/>
  <c r="E1409" i="13"/>
  <c r="F1408" i="13"/>
  <c r="E1408" i="13"/>
  <c r="F1407" i="13"/>
  <c r="E1407" i="13"/>
  <c r="F1406" i="13"/>
  <c r="E1406" i="13"/>
  <c r="F1405" i="13"/>
  <c r="E1405" i="13"/>
  <c r="F1404" i="13"/>
  <c r="E1404" i="13"/>
  <c r="F1403" i="13"/>
  <c r="E1403" i="13"/>
  <c r="F1402" i="13"/>
  <c r="E1402" i="13"/>
  <c r="F1401" i="13"/>
  <c r="E1401" i="13"/>
  <c r="F1400" i="13"/>
  <c r="E1400" i="13"/>
  <c r="F1399" i="13"/>
  <c r="E1399" i="13"/>
  <c r="F1398" i="13"/>
  <c r="E1398" i="13"/>
  <c r="F1397" i="13"/>
  <c r="E1397" i="13"/>
  <c r="F1396" i="13"/>
  <c r="E1396" i="13"/>
  <c r="F1395" i="13"/>
  <c r="E1395" i="13"/>
  <c r="F1394" i="13"/>
  <c r="E1394" i="13"/>
  <c r="F1393" i="13"/>
  <c r="E1393" i="13"/>
  <c r="F1392" i="13"/>
  <c r="E1392" i="13"/>
  <c r="F1391" i="13"/>
  <c r="E1391" i="13"/>
  <c r="F1390" i="13"/>
  <c r="E1390" i="13"/>
  <c r="F1389" i="13"/>
  <c r="E1389" i="13"/>
  <c r="F1388" i="13"/>
  <c r="E1388" i="13"/>
  <c r="F1387" i="13"/>
  <c r="E1387" i="13"/>
  <c r="F1386" i="13"/>
  <c r="E1386" i="13"/>
  <c r="F1385" i="13"/>
  <c r="E1385" i="13"/>
  <c r="F1384" i="13"/>
  <c r="E1384" i="13"/>
  <c r="F1383" i="13"/>
  <c r="E1383" i="13"/>
  <c r="F1382" i="13"/>
  <c r="E1382" i="13"/>
  <c r="F1381" i="13"/>
  <c r="E1381" i="13"/>
  <c r="F1380" i="13"/>
  <c r="E1380" i="13"/>
  <c r="F1379" i="13"/>
  <c r="E1379" i="13"/>
  <c r="F1378" i="13"/>
  <c r="E1378" i="13"/>
  <c r="F1377" i="13"/>
  <c r="E1377" i="13"/>
  <c r="F1376" i="13"/>
  <c r="E1376" i="13"/>
  <c r="F1375" i="13"/>
  <c r="E1375" i="13"/>
  <c r="F1374" i="13"/>
  <c r="E1374" i="13"/>
  <c r="F1373" i="13"/>
  <c r="E1373" i="13"/>
  <c r="F1372" i="13"/>
  <c r="E1372" i="13"/>
  <c r="F1371" i="13"/>
  <c r="E1371" i="13"/>
  <c r="F1370" i="13"/>
  <c r="E1370" i="13"/>
  <c r="F1369" i="13"/>
  <c r="E1369" i="13"/>
  <c r="F1368" i="13"/>
  <c r="E1368" i="13"/>
  <c r="F1367" i="13"/>
  <c r="E1367" i="13"/>
  <c r="F1366" i="13"/>
  <c r="E1366" i="13"/>
  <c r="F1365" i="13"/>
  <c r="E1365" i="13"/>
  <c r="F1364" i="13"/>
  <c r="E1364" i="13"/>
  <c r="F1363" i="13"/>
  <c r="E1363" i="13"/>
  <c r="F1362" i="13"/>
  <c r="E1362" i="13"/>
  <c r="F1361" i="13"/>
  <c r="E1361" i="13"/>
  <c r="F1360" i="13"/>
  <c r="E1360" i="13"/>
  <c r="F1359" i="13"/>
  <c r="E1359" i="13"/>
  <c r="F1358" i="13"/>
  <c r="E1358" i="13"/>
  <c r="F1357" i="13"/>
  <c r="E1357" i="13"/>
  <c r="F1356" i="13"/>
  <c r="E1356" i="13"/>
  <c r="F1355" i="13"/>
  <c r="E1355" i="13"/>
  <c r="F1354" i="13"/>
  <c r="E1354" i="13"/>
  <c r="F1353" i="13"/>
  <c r="E1353" i="13"/>
  <c r="F1352" i="13"/>
  <c r="E1352" i="13"/>
  <c r="F1351" i="13"/>
  <c r="E1351" i="13"/>
  <c r="F1350" i="13"/>
  <c r="E1350" i="13"/>
  <c r="F1349" i="13"/>
  <c r="E1349" i="13"/>
  <c r="F1348" i="13"/>
  <c r="E1348" i="13"/>
  <c r="F1347" i="13"/>
  <c r="E1347" i="13"/>
  <c r="F1346" i="13"/>
  <c r="E1346" i="13"/>
  <c r="F1345" i="13"/>
  <c r="E1345" i="13"/>
  <c r="F1344" i="13"/>
  <c r="E1344" i="13"/>
  <c r="F1343" i="13"/>
  <c r="E1343" i="13"/>
  <c r="F1342" i="13"/>
  <c r="E1342" i="13"/>
  <c r="F1341" i="13"/>
  <c r="E1341" i="13"/>
  <c r="F1340" i="13"/>
  <c r="E1340" i="13"/>
  <c r="F1339" i="13"/>
  <c r="E1339" i="13"/>
  <c r="F1338" i="13"/>
  <c r="E1338" i="13"/>
  <c r="F1337" i="13"/>
  <c r="E1337" i="13"/>
  <c r="F1336" i="13"/>
  <c r="E1336" i="13"/>
  <c r="F1335" i="13"/>
  <c r="E1335" i="13"/>
  <c r="F1334" i="13"/>
  <c r="E1334" i="13"/>
  <c r="F1333" i="13"/>
  <c r="E1333" i="13"/>
  <c r="F1332" i="13"/>
  <c r="E1332" i="13"/>
  <c r="F1331" i="13"/>
  <c r="E1331" i="13"/>
  <c r="F1330" i="13"/>
  <c r="E1330" i="13"/>
  <c r="F1329" i="13"/>
  <c r="E1329" i="13"/>
  <c r="F1328" i="13"/>
  <c r="E1328" i="13"/>
  <c r="F1327" i="13"/>
  <c r="E1327" i="13"/>
  <c r="F1326" i="13"/>
  <c r="E1326" i="13"/>
  <c r="F1325" i="13"/>
  <c r="E1325" i="13"/>
  <c r="F1324" i="13"/>
  <c r="E1324" i="13"/>
  <c r="F1323" i="13"/>
  <c r="E1323" i="13"/>
  <c r="F1322" i="13"/>
  <c r="E1322" i="13"/>
  <c r="F1321" i="13"/>
  <c r="E1321" i="13"/>
  <c r="F1320" i="13"/>
  <c r="E1320" i="13"/>
  <c r="F1319" i="13"/>
  <c r="E1319" i="13"/>
  <c r="F1318" i="13"/>
  <c r="E1318" i="13"/>
  <c r="F1317" i="13"/>
  <c r="E1317" i="13"/>
  <c r="F1316" i="13"/>
  <c r="E1316" i="13"/>
  <c r="F1315" i="13"/>
  <c r="E1315" i="13"/>
  <c r="F1314" i="13"/>
  <c r="E1314" i="13"/>
  <c r="F1313" i="13"/>
  <c r="E1313" i="13"/>
  <c r="F1312" i="13"/>
  <c r="E1312" i="13"/>
  <c r="F1311" i="13"/>
  <c r="E1311" i="13"/>
  <c r="F1310" i="13"/>
  <c r="E1310" i="13"/>
  <c r="F1309" i="13"/>
  <c r="E1309" i="13"/>
  <c r="F1308" i="13"/>
  <c r="E1308" i="13"/>
  <c r="F1307" i="13"/>
  <c r="E1307" i="13"/>
  <c r="F1306" i="13"/>
  <c r="E1306" i="13"/>
  <c r="F1305" i="13"/>
  <c r="E1305" i="13"/>
  <c r="F1304" i="13"/>
  <c r="E1304" i="13"/>
  <c r="F1303" i="13"/>
  <c r="E1303" i="13"/>
  <c r="F1302" i="13"/>
  <c r="E1302" i="13"/>
  <c r="F1301" i="13"/>
  <c r="E1301" i="13"/>
  <c r="F1300" i="13"/>
  <c r="E1300" i="13"/>
  <c r="F1299" i="13"/>
  <c r="E1299" i="13"/>
  <c r="F1298" i="13"/>
  <c r="E1298" i="13"/>
  <c r="F1297" i="13"/>
  <c r="E1297" i="13"/>
  <c r="F1296" i="13"/>
  <c r="E1296" i="13"/>
  <c r="F1295" i="13"/>
  <c r="E1295" i="13"/>
  <c r="F1294" i="13"/>
  <c r="E1294" i="13"/>
  <c r="F1293" i="13"/>
  <c r="E1293" i="13"/>
  <c r="F1292" i="13"/>
  <c r="E1292" i="13"/>
  <c r="F1291" i="13"/>
  <c r="E1291" i="13"/>
  <c r="F1290" i="13"/>
  <c r="E1290" i="13"/>
  <c r="F1289" i="13"/>
  <c r="E1289" i="13"/>
  <c r="F1288" i="13"/>
  <c r="E1288" i="13"/>
  <c r="F1287" i="13"/>
  <c r="E1287" i="13"/>
  <c r="F1286" i="13"/>
  <c r="E1286" i="13"/>
  <c r="F1285" i="13"/>
  <c r="E1285" i="13"/>
  <c r="F1284" i="13"/>
  <c r="E1284" i="13"/>
  <c r="F1283" i="13"/>
  <c r="E1283" i="13"/>
  <c r="F1282" i="13"/>
  <c r="E1282" i="13"/>
  <c r="F1281" i="13"/>
  <c r="E1281" i="13"/>
  <c r="F1280" i="13"/>
  <c r="E1280" i="13"/>
  <c r="F1279" i="13"/>
  <c r="E1279" i="13"/>
  <c r="F1278" i="13"/>
  <c r="E1278" i="13"/>
  <c r="F1277" i="13"/>
  <c r="E1277" i="13"/>
  <c r="F1276" i="13"/>
  <c r="E1276" i="13"/>
  <c r="F1275" i="13"/>
  <c r="E1275" i="13"/>
  <c r="F1274" i="13"/>
  <c r="E1274" i="13"/>
  <c r="F1273" i="13"/>
  <c r="E1273" i="13"/>
  <c r="F1272" i="13"/>
  <c r="E1272" i="13"/>
  <c r="F1271" i="13"/>
  <c r="E1271" i="13"/>
  <c r="F1270" i="13"/>
  <c r="E1270" i="13"/>
  <c r="F1269" i="13"/>
  <c r="E1269" i="13"/>
  <c r="F1268" i="13"/>
  <c r="E1268" i="13"/>
  <c r="F1267" i="13"/>
  <c r="E1267" i="13"/>
  <c r="F1266" i="13"/>
  <c r="E1266" i="13"/>
  <c r="F1265" i="13"/>
  <c r="E1265" i="13"/>
  <c r="F1264" i="13"/>
  <c r="E1264" i="13"/>
  <c r="F1263" i="13"/>
  <c r="E1263" i="13"/>
  <c r="F1262" i="13"/>
  <c r="E1262" i="13"/>
  <c r="F1261" i="13"/>
  <c r="E1261" i="13"/>
  <c r="F1260" i="13"/>
  <c r="E1260" i="13"/>
  <c r="F1259" i="13"/>
  <c r="E1259" i="13"/>
  <c r="F1258" i="13"/>
  <c r="E1258" i="13"/>
  <c r="F1257" i="13"/>
  <c r="E1257" i="13"/>
  <c r="F1256" i="13"/>
  <c r="E1256" i="13"/>
  <c r="F1255" i="13"/>
  <c r="E1255" i="13"/>
  <c r="F1254" i="13"/>
  <c r="E1254" i="13"/>
  <c r="F1253" i="13"/>
  <c r="E1253" i="13"/>
  <c r="F1252" i="13"/>
  <c r="E1252" i="13"/>
  <c r="F1251" i="13"/>
  <c r="E1251" i="13"/>
  <c r="F1250" i="13"/>
  <c r="E1250" i="13"/>
  <c r="F1249" i="13"/>
  <c r="E1249" i="13"/>
  <c r="F1248" i="13"/>
  <c r="E1248" i="13"/>
  <c r="F1247" i="13"/>
  <c r="E1247" i="13"/>
  <c r="F1246" i="13"/>
  <c r="E1246" i="13"/>
  <c r="F1245" i="13"/>
  <c r="E1245" i="13"/>
  <c r="F1244" i="13"/>
  <c r="E1244" i="13"/>
  <c r="F1243" i="13"/>
  <c r="E1243" i="13"/>
  <c r="F1242" i="13"/>
  <c r="E1242" i="13"/>
  <c r="F1241" i="13"/>
  <c r="E1241" i="13"/>
  <c r="F1240" i="13"/>
  <c r="E1240" i="13"/>
  <c r="F1239" i="13"/>
  <c r="E1239" i="13"/>
  <c r="F1238" i="13"/>
  <c r="E1238" i="13"/>
  <c r="F1237" i="13"/>
  <c r="E1237" i="13"/>
  <c r="F1236" i="13"/>
  <c r="E1236" i="13"/>
  <c r="F1235" i="13"/>
  <c r="E1235" i="13"/>
  <c r="F1234" i="13"/>
  <c r="E1234" i="13"/>
  <c r="F1233" i="13"/>
  <c r="E1233" i="13"/>
  <c r="F1232" i="13"/>
  <c r="E1232" i="13"/>
  <c r="F1231" i="13"/>
  <c r="E1231" i="13"/>
  <c r="F1230" i="13"/>
  <c r="E1230" i="13"/>
  <c r="F1229" i="13"/>
  <c r="E1229" i="13"/>
  <c r="F1228" i="13"/>
  <c r="E1228" i="13"/>
  <c r="F1227" i="13"/>
  <c r="E1227" i="13"/>
  <c r="F1226" i="13"/>
  <c r="E1226" i="13"/>
  <c r="F1225" i="13"/>
  <c r="E1225" i="13"/>
  <c r="F1224" i="13"/>
  <c r="E1224" i="13"/>
  <c r="F1223" i="13"/>
  <c r="E1223" i="13"/>
  <c r="F1222" i="13"/>
  <c r="E1222" i="13"/>
  <c r="F1221" i="13"/>
  <c r="E1221" i="13"/>
  <c r="F1220" i="13"/>
  <c r="E1220" i="13"/>
  <c r="F1219" i="13"/>
  <c r="E1219" i="13"/>
  <c r="F1218" i="13"/>
  <c r="E1218" i="13"/>
  <c r="F1217" i="13"/>
  <c r="E1217" i="13"/>
  <c r="F1216" i="13"/>
  <c r="E1216" i="13"/>
  <c r="F1215" i="13"/>
  <c r="E1215" i="13"/>
  <c r="F1214" i="13"/>
  <c r="E1214" i="13"/>
  <c r="F1213" i="13"/>
  <c r="E1213" i="13"/>
  <c r="F1212" i="13"/>
  <c r="E1212" i="13"/>
  <c r="F1211" i="13"/>
  <c r="E1211" i="13"/>
  <c r="F1210" i="13"/>
  <c r="E1210" i="13"/>
  <c r="F1209" i="13"/>
  <c r="E1209" i="13"/>
  <c r="F1208" i="13"/>
  <c r="E1208" i="13"/>
  <c r="F1207" i="13"/>
  <c r="E1207" i="13"/>
  <c r="F1206" i="13"/>
  <c r="E1206" i="13"/>
  <c r="F1205" i="13"/>
  <c r="E1205" i="13"/>
  <c r="F1204" i="13"/>
  <c r="E1204" i="13"/>
  <c r="F1203" i="13"/>
  <c r="E1203" i="13"/>
  <c r="F1202" i="13"/>
  <c r="E1202" i="13"/>
  <c r="F1201" i="13"/>
  <c r="E1201" i="13"/>
  <c r="F1200" i="13"/>
  <c r="E1200" i="13"/>
  <c r="F1199" i="13"/>
  <c r="E1199" i="13"/>
  <c r="F1198" i="13"/>
  <c r="E1198" i="13"/>
  <c r="F1197" i="13"/>
  <c r="E1197" i="13"/>
  <c r="F1196" i="13"/>
  <c r="E1196" i="13"/>
  <c r="F1195" i="13"/>
  <c r="E1195" i="13"/>
  <c r="F1194" i="13"/>
  <c r="E1194" i="13"/>
  <c r="F1193" i="13"/>
  <c r="E1193" i="13"/>
  <c r="F1192" i="13"/>
  <c r="E1192" i="13"/>
  <c r="F1191" i="13"/>
  <c r="E1191" i="13"/>
  <c r="F1190" i="13"/>
  <c r="E1190" i="13"/>
  <c r="F1189" i="13"/>
  <c r="E1189" i="13"/>
  <c r="F1188" i="13"/>
  <c r="E1188" i="13"/>
  <c r="F1187" i="13"/>
  <c r="E1187" i="13"/>
  <c r="F1186" i="13"/>
  <c r="E1186" i="13"/>
  <c r="F1185" i="13"/>
  <c r="E1185" i="13"/>
  <c r="F1184" i="13"/>
  <c r="E1184" i="13"/>
  <c r="F1183" i="13"/>
  <c r="E1183" i="13"/>
  <c r="F1182" i="13"/>
  <c r="E1182" i="13"/>
  <c r="F1181" i="13"/>
  <c r="E1181" i="13"/>
  <c r="F1180" i="13"/>
  <c r="E1180" i="13"/>
  <c r="F1179" i="13"/>
  <c r="E1179" i="13"/>
  <c r="F1178" i="13"/>
  <c r="E1178" i="13"/>
  <c r="F1177" i="13"/>
  <c r="E1177" i="13"/>
  <c r="F1176" i="13"/>
  <c r="E1176" i="13"/>
  <c r="F1175" i="13"/>
  <c r="E1175" i="13"/>
  <c r="F1174" i="13"/>
  <c r="E1174" i="13"/>
  <c r="F1173" i="13"/>
  <c r="E1173" i="13"/>
  <c r="F1172" i="13"/>
  <c r="E1172" i="13"/>
  <c r="F1171" i="13"/>
  <c r="E1171" i="13"/>
  <c r="F1170" i="13"/>
  <c r="E1170" i="13"/>
  <c r="F1169" i="13"/>
  <c r="E1169" i="13"/>
  <c r="F1168" i="13"/>
  <c r="E1168" i="13"/>
  <c r="F1167" i="13"/>
  <c r="E1167" i="13"/>
  <c r="F1166" i="13"/>
  <c r="E1166" i="13"/>
  <c r="F1165" i="13"/>
  <c r="E1165" i="13"/>
  <c r="F1164" i="13"/>
  <c r="E1164" i="13"/>
  <c r="F1163" i="13"/>
  <c r="E1163" i="13"/>
  <c r="F1162" i="13"/>
  <c r="E1162" i="13"/>
  <c r="F1161" i="13"/>
  <c r="E1161" i="13"/>
  <c r="F1160" i="13"/>
  <c r="E1160" i="13"/>
  <c r="F1159" i="13"/>
  <c r="E1159" i="13"/>
  <c r="F1158" i="13"/>
  <c r="E1158" i="13"/>
  <c r="F1157" i="13"/>
  <c r="E1157" i="13"/>
  <c r="F1156" i="13"/>
  <c r="E1156" i="13"/>
  <c r="F1155" i="13"/>
  <c r="E1155" i="13"/>
  <c r="F1154" i="13"/>
  <c r="E1154" i="13"/>
  <c r="F1153" i="13"/>
  <c r="E1153" i="13"/>
  <c r="F1152" i="13"/>
  <c r="E1152" i="13"/>
  <c r="F1151" i="13"/>
  <c r="E1151" i="13"/>
  <c r="F1150" i="13"/>
  <c r="E1150" i="13"/>
  <c r="F1149" i="13"/>
  <c r="E1149" i="13"/>
  <c r="F1148" i="13"/>
  <c r="E1148" i="13"/>
  <c r="F1147" i="13"/>
  <c r="E1147" i="13"/>
  <c r="F1146" i="13"/>
  <c r="E1146" i="13"/>
  <c r="F1145" i="13"/>
  <c r="E1145" i="13"/>
  <c r="F1144" i="13"/>
  <c r="E1144" i="13"/>
  <c r="F1143" i="13"/>
  <c r="E1143" i="13"/>
  <c r="F1142" i="13"/>
  <c r="E1142" i="13"/>
  <c r="F1141" i="13"/>
  <c r="E1141" i="13"/>
  <c r="F1140" i="13"/>
  <c r="E1140" i="13"/>
  <c r="F1139" i="13"/>
  <c r="E1139" i="13"/>
  <c r="F1138" i="13"/>
  <c r="E1138" i="13"/>
  <c r="F1137" i="13"/>
  <c r="E1137" i="13"/>
  <c r="F1136" i="13"/>
  <c r="E1136" i="13"/>
  <c r="F1135" i="13"/>
  <c r="E1135" i="13"/>
  <c r="F1134" i="13"/>
  <c r="E1134" i="13"/>
  <c r="F1133" i="13"/>
  <c r="E1133" i="13"/>
  <c r="F1132" i="13"/>
  <c r="E1132" i="13"/>
  <c r="F1131" i="13"/>
  <c r="E1131" i="13"/>
  <c r="F1130" i="13"/>
  <c r="E1130" i="13"/>
  <c r="F1129" i="13"/>
  <c r="E1129" i="13"/>
  <c r="F1128" i="13"/>
  <c r="E1128" i="13"/>
  <c r="F1127" i="13"/>
  <c r="E1127" i="13"/>
  <c r="F1126" i="13"/>
  <c r="E1126" i="13"/>
  <c r="F1125" i="13"/>
  <c r="E1125" i="13"/>
  <c r="F1124" i="13"/>
  <c r="E1124" i="13"/>
  <c r="F1123" i="13"/>
  <c r="E1123" i="13"/>
  <c r="F1122" i="13"/>
  <c r="E1122" i="13"/>
  <c r="F1121" i="13"/>
  <c r="E1121" i="13"/>
  <c r="F1120" i="13"/>
  <c r="E1120" i="13"/>
  <c r="F1119" i="13"/>
  <c r="E1119" i="13"/>
  <c r="F1118" i="13"/>
  <c r="E1118" i="13"/>
  <c r="F1117" i="13"/>
  <c r="E1117" i="13"/>
  <c r="F1116" i="13"/>
  <c r="E1116" i="13"/>
  <c r="F1115" i="13"/>
  <c r="E1115" i="13"/>
  <c r="F1114" i="13"/>
  <c r="E1114" i="13"/>
  <c r="F1113" i="13"/>
  <c r="E1113" i="13"/>
  <c r="F1112" i="13"/>
  <c r="E1112" i="13"/>
  <c r="F1111" i="13"/>
  <c r="E1111" i="13"/>
  <c r="F1110" i="13"/>
  <c r="E1110" i="13"/>
  <c r="F1109" i="13"/>
  <c r="E1109" i="13"/>
  <c r="F1108" i="13"/>
  <c r="E1108" i="13"/>
  <c r="F1107" i="13"/>
  <c r="E1107" i="13"/>
  <c r="F1106" i="13"/>
  <c r="E1106" i="13"/>
  <c r="F1105" i="13"/>
  <c r="E1105" i="13"/>
  <c r="F1104" i="13"/>
  <c r="E1104" i="13"/>
  <c r="F1103" i="13"/>
  <c r="E1103" i="13"/>
  <c r="F1102" i="13"/>
  <c r="E1102" i="13"/>
  <c r="F1101" i="13"/>
  <c r="E1101" i="13"/>
  <c r="F1100" i="13"/>
  <c r="E1100" i="13"/>
  <c r="F1099" i="13"/>
  <c r="E1099" i="13"/>
  <c r="F1098" i="13"/>
  <c r="E1098" i="13"/>
  <c r="F1097" i="13"/>
  <c r="E1097" i="13"/>
  <c r="F1096" i="13"/>
  <c r="E1096" i="13"/>
  <c r="F1095" i="13"/>
  <c r="E1095" i="13"/>
  <c r="F1094" i="13"/>
  <c r="E1094" i="13"/>
  <c r="F1093" i="13"/>
  <c r="E1093" i="13"/>
  <c r="F1092" i="13"/>
  <c r="E1092" i="13"/>
  <c r="F1091" i="13"/>
  <c r="E1091" i="13"/>
  <c r="F1090" i="13"/>
  <c r="E1090" i="13"/>
  <c r="F1089" i="13"/>
  <c r="E1089" i="13"/>
  <c r="F1088" i="13"/>
  <c r="E1088" i="13"/>
  <c r="F1087" i="13"/>
  <c r="E1087" i="13"/>
  <c r="F1086" i="13"/>
  <c r="E1086" i="13"/>
  <c r="F1085" i="13"/>
  <c r="E1085" i="13"/>
  <c r="F1084" i="13"/>
  <c r="E1084" i="13"/>
  <c r="F1083" i="13"/>
  <c r="E1083" i="13"/>
  <c r="F1082" i="13"/>
  <c r="E1082" i="13"/>
  <c r="F1081" i="13"/>
  <c r="E1081" i="13"/>
  <c r="F1080" i="13"/>
  <c r="E1080" i="13"/>
  <c r="F1079" i="13"/>
  <c r="E1079" i="13"/>
  <c r="F1078" i="13"/>
  <c r="E1078" i="13"/>
  <c r="F1077" i="13"/>
  <c r="E1077" i="13"/>
  <c r="F1076" i="13"/>
  <c r="E1076" i="13"/>
  <c r="F1075" i="13"/>
  <c r="E1075" i="13"/>
  <c r="F1074" i="13"/>
  <c r="E1074" i="13"/>
  <c r="F1073" i="13"/>
  <c r="E1073" i="13"/>
  <c r="F1072" i="13"/>
  <c r="E1072" i="13"/>
  <c r="F1071" i="13"/>
  <c r="E1071" i="13"/>
  <c r="F1070" i="13"/>
  <c r="E1070" i="13"/>
  <c r="F1069" i="13"/>
  <c r="E1069" i="13"/>
  <c r="F1068" i="13"/>
  <c r="E1068" i="13"/>
  <c r="F1067" i="13"/>
  <c r="E1067" i="13"/>
  <c r="F1066" i="13"/>
  <c r="E1066" i="13"/>
  <c r="F1065" i="13"/>
  <c r="E1065" i="13"/>
  <c r="F1064" i="13"/>
  <c r="E1064" i="13"/>
  <c r="F1063" i="13"/>
  <c r="E1063" i="13"/>
  <c r="F1062" i="13"/>
  <c r="E1062" i="13"/>
  <c r="F1061" i="13"/>
  <c r="E1061" i="13"/>
  <c r="F1060" i="13"/>
  <c r="E1060" i="13"/>
  <c r="F1059" i="13"/>
  <c r="E1059" i="13"/>
  <c r="F1058" i="13"/>
  <c r="E1058" i="13"/>
  <c r="F1057" i="13"/>
  <c r="E1057" i="13"/>
  <c r="F1056" i="13"/>
  <c r="E1056" i="13"/>
  <c r="F1055" i="13"/>
  <c r="E1055" i="13"/>
  <c r="F1054" i="13"/>
  <c r="E1054" i="13"/>
  <c r="F1053" i="13"/>
  <c r="E1053" i="13"/>
  <c r="F1052" i="13"/>
  <c r="E1052" i="13"/>
  <c r="F1051" i="13"/>
  <c r="E1051" i="13"/>
  <c r="F1050" i="13"/>
  <c r="E1050" i="13"/>
  <c r="F1049" i="13"/>
  <c r="E1049" i="13"/>
  <c r="F1048" i="13"/>
  <c r="E1048" i="13"/>
  <c r="F1047" i="13"/>
  <c r="E1047" i="13"/>
  <c r="F1046" i="13"/>
  <c r="E1046" i="13"/>
  <c r="F1045" i="13"/>
  <c r="E1045" i="13"/>
  <c r="F1044" i="13"/>
  <c r="E1044" i="13"/>
  <c r="F1043" i="13"/>
  <c r="E1043" i="13"/>
  <c r="F1042" i="13"/>
  <c r="E1042" i="13"/>
  <c r="F1041" i="13"/>
  <c r="E1041" i="13"/>
  <c r="F1040" i="13"/>
  <c r="E1040" i="13"/>
  <c r="F1039" i="13"/>
  <c r="E1039" i="13"/>
  <c r="F1038" i="13"/>
  <c r="E1038" i="13"/>
  <c r="F1037" i="13"/>
  <c r="E1037" i="13"/>
  <c r="F1036" i="13"/>
  <c r="E1036" i="13"/>
  <c r="F1035" i="13"/>
  <c r="E1035" i="13"/>
  <c r="F1034" i="13"/>
  <c r="E1034" i="13"/>
  <c r="F1033" i="13"/>
  <c r="E1033" i="13"/>
  <c r="F1032" i="13"/>
  <c r="E1032" i="13"/>
  <c r="F1031" i="13"/>
  <c r="E1031" i="13"/>
  <c r="F1030" i="13"/>
  <c r="E1030" i="13"/>
  <c r="F1029" i="13"/>
  <c r="E1029" i="13"/>
  <c r="F1028" i="13"/>
  <c r="E1028" i="13"/>
  <c r="F1027" i="13"/>
  <c r="E1027" i="13"/>
  <c r="F1026" i="13"/>
  <c r="E1026" i="13"/>
  <c r="F1025" i="13"/>
  <c r="E1025" i="13"/>
  <c r="F1024" i="13"/>
  <c r="E1024" i="13"/>
  <c r="F1023" i="13"/>
  <c r="E1023" i="13"/>
  <c r="F1022" i="13"/>
  <c r="E1022" i="13"/>
  <c r="F1021" i="13"/>
  <c r="E1021" i="13"/>
  <c r="F1020" i="13"/>
  <c r="E1020" i="13"/>
  <c r="F1019" i="13"/>
  <c r="E1019" i="13"/>
  <c r="F1018" i="13"/>
  <c r="E1018" i="13"/>
  <c r="F1017" i="13"/>
  <c r="E1017" i="13"/>
  <c r="F1016" i="13"/>
  <c r="E1016" i="13"/>
  <c r="F1015" i="13"/>
  <c r="E1015" i="13"/>
  <c r="F1014" i="13"/>
  <c r="E1014" i="13"/>
  <c r="F1013" i="13"/>
  <c r="E1013" i="13"/>
  <c r="F1012" i="13"/>
  <c r="E1012" i="13"/>
  <c r="F1011" i="13"/>
  <c r="E1011" i="13"/>
  <c r="F1010" i="13"/>
  <c r="E1010" i="13"/>
  <c r="F1009" i="13"/>
  <c r="E1009" i="13"/>
  <c r="F1008" i="13"/>
  <c r="E1008" i="13"/>
  <c r="F1007" i="13"/>
  <c r="E1007" i="13"/>
  <c r="F1006" i="13"/>
  <c r="E1006" i="13"/>
  <c r="F1005" i="13"/>
  <c r="E1005" i="13"/>
  <c r="F1004" i="13"/>
  <c r="E1004" i="13"/>
  <c r="F1003" i="13"/>
  <c r="E1003" i="13"/>
  <c r="F1002" i="13"/>
  <c r="E1002" i="13"/>
  <c r="F1001" i="13"/>
  <c r="E1001" i="13"/>
  <c r="F1000" i="13"/>
  <c r="E1000" i="13"/>
  <c r="F999" i="13"/>
  <c r="E999" i="13"/>
  <c r="F998" i="13"/>
  <c r="E998" i="13"/>
  <c r="F997" i="13"/>
  <c r="E997" i="13"/>
  <c r="F996" i="13"/>
  <c r="E996" i="13"/>
  <c r="F995" i="13"/>
  <c r="E995" i="13"/>
  <c r="F994" i="13"/>
  <c r="E994" i="13"/>
  <c r="F993" i="13"/>
  <c r="E993" i="13"/>
  <c r="F992" i="13"/>
  <c r="E992" i="13"/>
  <c r="F991" i="13"/>
  <c r="E991" i="13"/>
  <c r="F990" i="13"/>
  <c r="E990" i="13"/>
  <c r="F989" i="13"/>
  <c r="E989" i="13"/>
  <c r="F988" i="13"/>
  <c r="E988" i="13"/>
  <c r="F987" i="13"/>
  <c r="E987" i="13"/>
  <c r="F986" i="13"/>
  <c r="E986" i="13"/>
  <c r="F985" i="13"/>
  <c r="E985" i="13"/>
  <c r="F984" i="13"/>
  <c r="E984" i="13"/>
  <c r="F983" i="13"/>
  <c r="E983" i="13"/>
  <c r="F982" i="13"/>
  <c r="E982" i="13"/>
  <c r="F981" i="13"/>
  <c r="E981" i="13"/>
  <c r="F980" i="13"/>
  <c r="E980" i="13"/>
  <c r="F979" i="13"/>
  <c r="E979" i="13"/>
  <c r="F978" i="13"/>
  <c r="E978" i="13"/>
  <c r="F977" i="13"/>
  <c r="E977" i="13"/>
  <c r="F976" i="13"/>
  <c r="E976" i="13"/>
  <c r="F975" i="13"/>
  <c r="E975" i="13"/>
  <c r="F974" i="13"/>
  <c r="E974" i="13"/>
  <c r="F973" i="13"/>
  <c r="E973" i="13"/>
  <c r="F972" i="13"/>
  <c r="E972" i="13"/>
  <c r="F971" i="13"/>
  <c r="E971" i="13"/>
  <c r="F970" i="13"/>
  <c r="E970" i="13"/>
  <c r="F969" i="13"/>
  <c r="E969" i="13"/>
  <c r="F968" i="13"/>
  <c r="E968" i="13"/>
  <c r="F967" i="13"/>
  <c r="E967" i="13"/>
  <c r="F966" i="13"/>
  <c r="E966" i="13"/>
  <c r="F965" i="13"/>
  <c r="E965" i="13"/>
  <c r="F964" i="13"/>
  <c r="E964" i="13"/>
  <c r="F963" i="13"/>
  <c r="E963" i="13"/>
  <c r="F962" i="13"/>
  <c r="E962" i="13"/>
  <c r="F961" i="13"/>
  <c r="E961" i="13"/>
  <c r="F960" i="13"/>
  <c r="E960" i="13"/>
  <c r="F959" i="13"/>
  <c r="E959" i="13"/>
  <c r="F958" i="13"/>
  <c r="E958" i="13"/>
  <c r="F957" i="13"/>
  <c r="E957" i="13"/>
  <c r="F956" i="13"/>
  <c r="E956" i="13"/>
  <c r="F955" i="13"/>
  <c r="E955" i="13"/>
  <c r="F954" i="13"/>
  <c r="E954" i="13"/>
  <c r="F953" i="13"/>
  <c r="E953" i="13"/>
  <c r="F952" i="13"/>
  <c r="E952" i="13"/>
  <c r="F951" i="13"/>
  <c r="E951" i="13"/>
  <c r="F950" i="13"/>
  <c r="E950" i="13"/>
  <c r="F949" i="13"/>
  <c r="E949" i="13"/>
  <c r="F948" i="13"/>
  <c r="E948" i="13"/>
  <c r="F947" i="13"/>
  <c r="E947" i="13"/>
  <c r="F946" i="13"/>
  <c r="E946" i="13"/>
  <c r="F945" i="13"/>
  <c r="E945" i="13"/>
  <c r="F944" i="13"/>
  <c r="E944" i="13"/>
  <c r="F943" i="13"/>
  <c r="E943" i="13"/>
  <c r="F942" i="13"/>
  <c r="E942" i="13"/>
  <c r="F941" i="13"/>
  <c r="E941" i="13"/>
  <c r="F940" i="13"/>
  <c r="E940" i="13"/>
  <c r="F939" i="13"/>
  <c r="E939" i="13"/>
  <c r="F938" i="13"/>
  <c r="E938" i="13"/>
  <c r="F937" i="13"/>
  <c r="E937" i="13"/>
  <c r="F936" i="13"/>
  <c r="E936" i="13"/>
  <c r="F935" i="13"/>
  <c r="E935" i="13"/>
  <c r="F934" i="13"/>
  <c r="E934" i="13"/>
  <c r="F933" i="13"/>
  <c r="E933" i="13"/>
  <c r="F932" i="13"/>
  <c r="E932" i="13"/>
  <c r="F931" i="13"/>
  <c r="E931" i="13"/>
  <c r="F930" i="13"/>
  <c r="E930" i="13"/>
  <c r="F929" i="13"/>
  <c r="E929" i="13"/>
  <c r="F928" i="13"/>
  <c r="E928" i="13"/>
  <c r="F927" i="13"/>
  <c r="E927" i="13"/>
  <c r="F926" i="13"/>
  <c r="E926" i="13"/>
  <c r="F925" i="13"/>
  <c r="E925" i="13"/>
  <c r="F924" i="13"/>
  <c r="E924" i="13"/>
  <c r="F923" i="13"/>
  <c r="E923" i="13"/>
  <c r="F922" i="13"/>
  <c r="E922" i="13"/>
  <c r="F921" i="13"/>
  <c r="E921" i="13"/>
  <c r="F920" i="13"/>
  <c r="E920" i="13"/>
  <c r="F919" i="13"/>
  <c r="E919" i="13"/>
  <c r="F918" i="13"/>
  <c r="E918" i="13"/>
  <c r="F917" i="13"/>
  <c r="E917" i="13"/>
  <c r="F916" i="13"/>
  <c r="E916" i="13"/>
  <c r="F915" i="13"/>
  <c r="E915" i="13"/>
  <c r="F914" i="13"/>
  <c r="E914" i="13"/>
  <c r="F913" i="13"/>
  <c r="E913" i="13"/>
  <c r="F912" i="13"/>
  <c r="E912" i="13"/>
  <c r="F911" i="13"/>
  <c r="E911" i="13"/>
  <c r="F910" i="13"/>
  <c r="E910" i="13"/>
  <c r="F909" i="13"/>
  <c r="E909" i="13"/>
  <c r="F908" i="13"/>
  <c r="E908" i="13"/>
  <c r="F907" i="13"/>
  <c r="E907" i="13"/>
  <c r="F906" i="13"/>
  <c r="E906" i="13"/>
  <c r="F905" i="13"/>
  <c r="E905" i="13"/>
  <c r="F904" i="13"/>
  <c r="E904" i="13"/>
  <c r="F903" i="13"/>
  <c r="E903" i="13"/>
  <c r="F902" i="13"/>
  <c r="E902" i="13"/>
  <c r="F901" i="13"/>
  <c r="E901" i="13"/>
  <c r="F900" i="13"/>
  <c r="E900" i="13"/>
  <c r="F899" i="13"/>
  <c r="E899" i="13"/>
  <c r="F898" i="13"/>
  <c r="E898" i="13"/>
  <c r="F897" i="13"/>
  <c r="E897" i="13"/>
  <c r="F896" i="13"/>
  <c r="E896" i="13"/>
  <c r="F895" i="13"/>
  <c r="E895" i="13"/>
  <c r="F894" i="13"/>
  <c r="E894" i="13"/>
  <c r="F893" i="13"/>
  <c r="E893" i="13"/>
  <c r="F892" i="13"/>
  <c r="E892" i="13"/>
  <c r="F891" i="13"/>
  <c r="E891" i="13"/>
  <c r="F890" i="13"/>
  <c r="E890" i="13"/>
  <c r="F889" i="13"/>
  <c r="E889" i="13"/>
  <c r="F888" i="13"/>
  <c r="E888" i="13"/>
  <c r="F887" i="13"/>
  <c r="E887" i="13"/>
  <c r="F886" i="13"/>
  <c r="E886" i="13"/>
  <c r="F885" i="13"/>
  <c r="E885" i="13"/>
  <c r="F884" i="13"/>
  <c r="E884" i="13"/>
  <c r="F883" i="13"/>
  <c r="E883" i="13"/>
  <c r="F882" i="13"/>
  <c r="E882" i="13"/>
  <c r="F881" i="13"/>
  <c r="E881" i="13"/>
  <c r="F880" i="13"/>
  <c r="E880" i="13"/>
  <c r="F879" i="13"/>
  <c r="E879" i="13"/>
  <c r="F878" i="13"/>
  <c r="E878" i="13"/>
  <c r="F877" i="13"/>
  <c r="E877" i="13"/>
  <c r="F876" i="13"/>
  <c r="E876" i="13"/>
  <c r="F875" i="13"/>
  <c r="E875" i="13"/>
  <c r="F874" i="13"/>
  <c r="E874" i="13"/>
  <c r="F873" i="13"/>
  <c r="E873" i="13"/>
  <c r="F872" i="13"/>
  <c r="E872" i="13"/>
  <c r="F871" i="13"/>
  <c r="E871" i="13"/>
  <c r="F870" i="13"/>
  <c r="E870" i="13"/>
  <c r="F869" i="13"/>
  <c r="E869" i="13"/>
  <c r="F868" i="13"/>
  <c r="E868" i="13"/>
  <c r="F867" i="13"/>
  <c r="E867" i="13"/>
  <c r="F866" i="13"/>
  <c r="E866" i="13"/>
  <c r="F865" i="13"/>
  <c r="E865" i="13"/>
  <c r="F864" i="13"/>
  <c r="E864" i="13"/>
  <c r="F863" i="13"/>
  <c r="E863" i="13"/>
  <c r="F862" i="13"/>
  <c r="E862" i="13"/>
  <c r="F861" i="13"/>
  <c r="E861" i="13"/>
  <c r="F860" i="13"/>
  <c r="E860" i="13"/>
  <c r="F859" i="13"/>
  <c r="E859" i="13"/>
  <c r="F858" i="13"/>
  <c r="E858" i="13"/>
  <c r="F857" i="13"/>
  <c r="E857" i="13"/>
  <c r="F856" i="13"/>
  <c r="E856" i="13"/>
  <c r="F855" i="13"/>
  <c r="E855" i="13"/>
  <c r="F854" i="13"/>
  <c r="E854" i="13"/>
  <c r="F853" i="13"/>
  <c r="E853" i="13"/>
  <c r="F852" i="13"/>
  <c r="E852" i="13"/>
  <c r="F851" i="13"/>
  <c r="E851" i="13"/>
  <c r="F850" i="13"/>
  <c r="E850" i="13"/>
  <c r="F849" i="13"/>
  <c r="E849" i="13"/>
  <c r="F848" i="13"/>
  <c r="E848" i="13"/>
  <c r="F847" i="13"/>
  <c r="E847" i="13"/>
  <c r="F846" i="13"/>
  <c r="E846" i="13"/>
  <c r="F845" i="13"/>
  <c r="E845" i="13"/>
  <c r="F844" i="13"/>
  <c r="E844" i="13"/>
  <c r="F843" i="13"/>
  <c r="E843" i="13"/>
  <c r="F842" i="13"/>
  <c r="E842" i="13"/>
  <c r="F841" i="13"/>
  <c r="E841" i="13"/>
  <c r="F840" i="13"/>
  <c r="E840" i="13"/>
  <c r="F839" i="13"/>
  <c r="E839" i="13"/>
  <c r="F838" i="13"/>
  <c r="E838" i="13"/>
  <c r="F837" i="13"/>
  <c r="E837" i="13"/>
  <c r="F836" i="13"/>
  <c r="E836" i="13"/>
  <c r="F835" i="13"/>
  <c r="E835" i="13"/>
  <c r="F834" i="13"/>
  <c r="E834" i="13"/>
  <c r="F833" i="13"/>
  <c r="E833" i="13"/>
  <c r="F832" i="13"/>
  <c r="E832" i="13"/>
  <c r="F831" i="13"/>
  <c r="E831" i="13"/>
  <c r="F830" i="13"/>
  <c r="E830" i="13"/>
  <c r="F829" i="13"/>
  <c r="E829" i="13"/>
  <c r="F828" i="13"/>
  <c r="E828" i="13"/>
  <c r="F827" i="13"/>
  <c r="E827" i="13"/>
  <c r="F826" i="13"/>
  <c r="E826" i="13"/>
  <c r="F825" i="13"/>
  <c r="E825" i="13"/>
  <c r="F824" i="13"/>
  <c r="E824" i="13"/>
  <c r="F823" i="13"/>
  <c r="E823" i="13"/>
  <c r="F822" i="13"/>
  <c r="E822" i="13"/>
  <c r="F821" i="13"/>
  <c r="E821" i="13"/>
  <c r="F820" i="13"/>
  <c r="E820" i="13"/>
  <c r="F819" i="13"/>
  <c r="E819" i="13"/>
  <c r="F818" i="13"/>
  <c r="E818" i="13"/>
  <c r="F817" i="13"/>
  <c r="E817" i="13"/>
  <c r="F816" i="13"/>
  <c r="E816" i="13"/>
  <c r="F815" i="13"/>
  <c r="E815" i="13"/>
  <c r="F814" i="13"/>
  <c r="E814" i="13"/>
  <c r="F813" i="13"/>
  <c r="E813" i="13"/>
  <c r="F812" i="13"/>
  <c r="E812" i="13"/>
  <c r="F811" i="13"/>
  <c r="E811" i="13"/>
  <c r="F810" i="13"/>
  <c r="E810" i="13"/>
  <c r="F809" i="13"/>
  <c r="E809" i="13"/>
  <c r="F808" i="13"/>
  <c r="E808" i="13"/>
  <c r="F807" i="13"/>
  <c r="E807" i="13"/>
  <c r="F806" i="13"/>
  <c r="E806" i="13"/>
  <c r="F805" i="13"/>
  <c r="E805" i="13"/>
  <c r="F804" i="13"/>
  <c r="E804" i="13"/>
  <c r="F803" i="13"/>
  <c r="E803" i="13"/>
  <c r="F802" i="13"/>
  <c r="E802" i="13"/>
  <c r="F801" i="13"/>
  <c r="E801" i="13"/>
  <c r="F800" i="13"/>
  <c r="E800" i="13"/>
  <c r="F799" i="13"/>
  <c r="E799" i="13"/>
  <c r="F798" i="13"/>
  <c r="E798" i="13"/>
  <c r="F797" i="13"/>
  <c r="E797" i="13"/>
  <c r="F796" i="13"/>
  <c r="E796" i="13"/>
  <c r="F795" i="13"/>
  <c r="E795" i="13"/>
  <c r="F794" i="13"/>
  <c r="E794" i="13"/>
  <c r="F793" i="13"/>
  <c r="E793" i="13"/>
  <c r="F792" i="13"/>
  <c r="E792" i="13"/>
  <c r="F791" i="13"/>
  <c r="E791" i="13"/>
  <c r="F790" i="13"/>
  <c r="E790" i="13"/>
  <c r="F789" i="13"/>
  <c r="E789" i="13"/>
  <c r="F788" i="13"/>
  <c r="E788" i="13"/>
  <c r="F787" i="13"/>
  <c r="E787" i="13"/>
  <c r="F786" i="13"/>
  <c r="E786" i="13"/>
  <c r="F785" i="13"/>
  <c r="E785" i="13"/>
  <c r="F784" i="13"/>
  <c r="E784" i="13"/>
  <c r="F783" i="13"/>
  <c r="E783" i="13"/>
  <c r="F782" i="13"/>
  <c r="E782" i="13"/>
  <c r="F781" i="13"/>
  <c r="E781" i="13"/>
  <c r="F780" i="13"/>
  <c r="E780" i="13"/>
  <c r="F779" i="13"/>
  <c r="E779" i="13"/>
  <c r="F778" i="13"/>
  <c r="E778" i="13"/>
  <c r="F777" i="13"/>
  <c r="E777" i="13"/>
  <c r="F776" i="13"/>
  <c r="E776" i="13"/>
  <c r="F775" i="13"/>
  <c r="E775" i="13"/>
  <c r="F774" i="13"/>
  <c r="E774" i="13"/>
  <c r="F773" i="13"/>
  <c r="E773" i="13"/>
  <c r="F772" i="13"/>
  <c r="E772" i="13"/>
  <c r="F771" i="13"/>
  <c r="E771" i="13"/>
  <c r="F770" i="13"/>
  <c r="E770" i="13"/>
  <c r="F769" i="13"/>
  <c r="E769" i="13"/>
  <c r="F768" i="13"/>
  <c r="E768" i="13"/>
  <c r="F767" i="13"/>
  <c r="E767" i="13"/>
  <c r="F766" i="13"/>
  <c r="E766" i="13"/>
  <c r="F765" i="13"/>
  <c r="E765" i="13"/>
  <c r="F764" i="13"/>
  <c r="E764" i="13"/>
  <c r="F763" i="13"/>
  <c r="E763" i="13"/>
  <c r="F762" i="13"/>
  <c r="E762" i="13"/>
  <c r="F761" i="13"/>
  <c r="E761" i="13"/>
  <c r="F760" i="13"/>
  <c r="E760" i="13"/>
  <c r="F759" i="13"/>
  <c r="E759" i="13"/>
  <c r="F758" i="13"/>
  <c r="E758" i="13"/>
  <c r="F757" i="13"/>
  <c r="E757" i="13"/>
  <c r="F756" i="13"/>
  <c r="E756" i="13"/>
  <c r="F755" i="13"/>
  <c r="E755" i="13"/>
  <c r="F754" i="13"/>
  <c r="E754" i="13"/>
  <c r="F753" i="13"/>
  <c r="E753" i="13"/>
  <c r="F752" i="13"/>
  <c r="E752" i="13"/>
  <c r="F751" i="13"/>
  <c r="E751" i="13"/>
  <c r="F750" i="13"/>
  <c r="E750" i="13"/>
  <c r="F749" i="13"/>
  <c r="E749" i="13"/>
  <c r="F748" i="13"/>
  <c r="E748" i="13"/>
  <c r="F747" i="13"/>
  <c r="E747" i="13"/>
  <c r="F746" i="13"/>
  <c r="E746" i="13"/>
  <c r="F745" i="13"/>
  <c r="E745" i="13"/>
  <c r="F744" i="13"/>
  <c r="E744" i="13"/>
  <c r="F743" i="13"/>
  <c r="E743" i="13"/>
  <c r="F742" i="13"/>
  <c r="E742" i="13"/>
  <c r="F741" i="13"/>
  <c r="E741" i="13"/>
  <c r="F740" i="13"/>
  <c r="E740" i="13"/>
  <c r="F739" i="13"/>
  <c r="E739" i="13"/>
  <c r="F738" i="13"/>
  <c r="E738" i="13"/>
  <c r="F737" i="13"/>
  <c r="E737" i="13"/>
  <c r="F736" i="13"/>
  <c r="E736" i="13"/>
  <c r="F735" i="13"/>
  <c r="E735" i="13"/>
  <c r="F734" i="13"/>
  <c r="E734" i="13"/>
  <c r="F733" i="13"/>
  <c r="E733" i="13"/>
  <c r="F732" i="13"/>
  <c r="E732" i="13"/>
  <c r="F731" i="13"/>
  <c r="E731" i="13"/>
  <c r="F730" i="13"/>
  <c r="E730" i="13"/>
  <c r="F729" i="13"/>
  <c r="E729" i="13"/>
  <c r="F728" i="13"/>
  <c r="E728" i="13"/>
  <c r="F727" i="13"/>
  <c r="E727" i="13"/>
  <c r="F726" i="13"/>
  <c r="E726" i="13"/>
  <c r="F725" i="13"/>
  <c r="E725" i="13"/>
  <c r="F724" i="13"/>
  <c r="E724" i="13"/>
  <c r="F723" i="13"/>
  <c r="E723" i="13"/>
  <c r="F722" i="13"/>
  <c r="E722" i="13"/>
  <c r="F721" i="13"/>
  <c r="E721" i="13"/>
  <c r="F720" i="13"/>
  <c r="E720" i="13"/>
  <c r="F719" i="13"/>
  <c r="E719" i="13"/>
  <c r="F718" i="13"/>
  <c r="E718" i="13"/>
  <c r="F717" i="13"/>
  <c r="E717" i="13"/>
  <c r="F716" i="13"/>
  <c r="E716" i="13"/>
  <c r="F715" i="13"/>
  <c r="E715" i="13"/>
  <c r="F714" i="13"/>
  <c r="E714" i="13"/>
  <c r="F713" i="13"/>
  <c r="E713" i="13"/>
  <c r="F712" i="13"/>
  <c r="E712" i="13"/>
  <c r="F711" i="13"/>
  <c r="E711" i="13"/>
  <c r="F710" i="13"/>
  <c r="E710" i="13"/>
  <c r="F709" i="13"/>
  <c r="E709" i="13"/>
  <c r="F708" i="13"/>
  <c r="E708" i="13"/>
  <c r="F707" i="13"/>
  <c r="E707" i="13"/>
  <c r="F706" i="13"/>
  <c r="E706" i="13"/>
  <c r="F705" i="13"/>
  <c r="E705" i="13"/>
  <c r="F704" i="13"/>
  <c r="E704" i="13"/>
  <c r="F703" i="13"/>
  <c r="E703" i="13"/>
  <c r="F702" i="13"/>
  <c r="E702" i="13"/>
  <c r="F701" i="13"/>
  <c r="E701" i="13"/>
  <c r="F700" i="13"/>
  <c r="E700" i="13"/>
  <c r="F699" i="13"/>
  <c r="E699" i="13"/>
  <c r="F698" i="13"/>
  <c r="E698" i="13"/>
  <c r="F697" i="13"/>
  <c r="E697" i="13"/>
  <c r="F696" i="13"/>
  <c r="E696" i="13"/>
  <c r="F695" i="13"/>
  <c r="E695" i="13"/>
  <c r="F694" i="13"/>
  <c r="E694" i="13"/>
  <c r="F693" i="13"/>
  <c r="E693" i="13"/>
  <c r="F692" i="13"/>
  <c r="E692" i="13"/>
  <c r="F691" i="13"/>
  <c r="E691" i="13"/>
  <c r="F690" i="13"/>
  <c r="E690" i="13"/>
  <c r="F689" i="13"/>
  <c r="E689" i="13"/>
  <c r="F688" i="13"/>
  <c r="E688" i="13"/>
  <c r="F687" i="13"/>
  <c r="E687" i="13"/>
  <c r="F686" i="13"/>
  <c r="E686" i="13"/>
  <c r="F685" i="13"/>
  <c r="E685" i="13"/>
  <c r="F684" i="13"/>
  <c r="E684" i="13"/>
  <c r="F683" i="13"/>
  <c r="E683" i="13"/>
  <c r="F682" i="13"/>
  <c r="E682" i="13"/>
  <c r="F681" i="13"/>
  <c r="E681" i="13"/>
  <c r="F680" i="13"/>
  <c r="E680" i="13"/>
  <c r="F679" i="13"/>
  <c r="E679" i="13"/>
  <c r="F678" i="13"/>
  <c r="E678" i="13"/>
  <c r="F677" i="13"/>
  <c r="E677" i="13"/>
  <c r="F676" i="13"/>
  <c r="E676" i="13"/>
  <c r="F675" i="13"/>
  <c r="E675" i="13"/>
  <c r="F674" i="13"/>
  <c r="E674" i="13"/>
  <c r="F673" i="13"/>
  <c r="E673" i="13"/>
  <c r="F672" i="13"/>
  <c r="E672" i="13"/>
  <c r="F671" i="13"/>
  <c r="E671" i="13"/>
  <c r="F670" i="13"/>
  <c r="E670" i="13"/>
  <c r="F669" i="13"/>
  <c r="E669" i="13"/>
  <c r="F668" i="13"/>
  <c r="E668" i="13"/>
  <c r="F667" i="13"/>
  <c r="E667" i="13"/>
  <c r="F666" i="13"/>
  <c r="E666" i="13"/>
  <c r="F665" i="13"/>
  <c r="E665" i="13"/>
  <c r="F664" i="13"/>
  <c r="E664" i="13"/>
  <c r="F663" i="13"/>
  <c r="E663" i="13"/>
  <c r="F662" i="13"/>
  <c r="E662" i="13"/>
  <c r="F661" i="13"/>
  <c r="E661" i="13"/>
  <c r="F660" i="13"/>
  <c r="E660" i="13"/>
  <c r="F659" i="13"/>
  <c r="E659" i="13"/>
  <c r="F658" i="13"/>
  <c r="E658" i="13"/>
  <c r="F657" i="13"/>
  <c r="E657" i="13"/>
  <c r="F656" i="13"/>
  <c r="E656" i="13"/>
  <c r="F655" i="13"/>
  <c r="E655" i="13"/>
  <c r="F654" i="13"/>
  <c r="E654" i="13"/>
  <c r="F653" i="13"/>
  <c r="E653" i="13"/>
  <c r="F652" i="13"/>
  <c r="E652" i="13"/>
  <c r="F651" i="13"/>
  <c r="E651" i="13"/>
  <c r="F650" i="13"/>
  <c r="E650" i="13"/>
  <c r="F649" i="13"/>
  <c r="E649" i="13"/>
  <c r="F648" i="13"/>
  <c r="E648" i="13"/>
  <c r="F647" i="13"/>
  <c r="E647" i="13"/>
  <c r="F646" i="13"/>
  <c r="E646" i="13"/>
  <c r="F645" i="13"/>
  <c r="E645" i="13"/>
  <c r="F644" i="13"/>
  <c r="E644" i="13"/>
  <c r="F643" i="13"/>
  <c r="E643" i="13"/>
  <c r="F642" i="13"/>
  <c r="E642" i="13"/>
  <c r="F641" i="13"/>
  <c r="E641" i="13"/>
  <c r="F640" i="13"/>
  <c r="E640" i="13"/>
  <c r="F639" i="13"/>
  <c r="E639" i="13"/>
  <c r="F638" i="13"/>
  <c r="E638" i="13"/>
  <c r="F637" i="13"/>
  <c r="E637" i="13"/>
  <c r="F636" i="13"/>
  <c r="E636" i="13"/>
  <c r="F635" i="13"/>
  <c r="E635" i="13"/>
  <c r="F634" i="13"/>
  <c r="E634" i="13"/>
  <c r="F633" i="13"/>
  <c r="E633" i="13"/>
  <c r="F632" i="13"/>
  <c r="E632" i="13"/>
  <c r="F631" i="13"/>
  <c r="E631" i="13"/>
  <c r="F630" i="13"/>
  <c r="E630" i="13"/>
  <c r="F629" i="13"/>
  <c r="E629" i="13"/>
  <c r="F628" i="13"/>
  <c r="E628" i="13"/>
  <c r="F627" i="13"/>
  <c r="E627" i="13"/>
  <c r="F626" i="13"/>
  <c r="E626" i="13"/>
  <c r="F625" i="13"/>
  <c r="E625" i="13"/>
  <c r="F624" i="13"/>
  <c r="E624" i="13"/>
  <c r="F623" i="13"/>
  <c r="E623" i="13"/>
  <c r="F622" i="13"/>
  <c r="E622" i="13"/>
  <c r="F621" i="13"/>
  <c r="E621" i="13"/>
  <c r="F620" i="13"/>
  <c r="E620" i="13"/>
  <c r="F619" i="13"/>
  <c r="E619" i="13"/>
  <c r="F618" i="13"/>
  <c r="E618" i="13"/>
  <c r="F617" i="13"/>
  <c r="E617" i="13"/>
  <c r="F616" i="13"/>
  <c r="E616" i="13"/>
  <c r="F615" i="13"/>
  <c r="E615" i="13"/>
  <c r="F614" i="13"/>
  <c r="E614" i="13"/>
  <c r="F613" i="13"/>
  <c r="E613" i="13"/>
  <c r="F612" i="13"/>
  <c r="E612" i="13"/>
  <c r="F611" i="13"/>
  <c r="E611" i="13"/>
  <c r="F610" i="13"/>
  <c r="E610" i="13"/>
  <c r="F609" i="13"/>
  <c r="E609" i="13"/>
  <c r="F608" i="13"/>
  <c r="E608" i="13"/>
  <c r="F607" i="13"/>
  <c r="E607" i="13"/>
  <c r="F606" i="13"/>
  <c r="E606" i="13"/>
  <c r="F605" i="13"/>
  <c r="E605" i="13"/>
  <c r="F604" i="13"/>
  <c r="E604" i="13"/>
  <c r="F603" i="13"/>
  <c r="E603" i="13"/>
  <c r="F602" i="13"/>
  <c r="E602" i="13"/>
  <c r="F601" i="13"/>
  <c r="E601" i="13"/>
  <c r="F600" i="13"/>
  <c r="E600" i="13"/>
  <c r="F599" i="13"/>
  <c r="E599" i="13"/>
  <c r="F598" i="13"/>
  <c r="E598" i="13"/>
  <c r="F597" i="13"/>
  <c r="E597" i="13"/>
  <c r="F596" i="13"/>
  <c r="E596" i="13"/>
  <c r="F595" i="13"/>
  <c r="E595" i="13"/>
  <c r="F594" i="13"/>
  <c r="E594" i="13"/>
  <c r="F593" i="13"/>
  <c r="E593" i="13"/>
  <c r="F592" i="13"/>
  <c r="E592" i="13"/>
  <c r="F591" i="13"/>
  <c r="E591" i="13"/>
  <c r="F590" i="13"/>
  <c r="E590" i="13"/>
  <c r="F589" i="13"/>
  <c r="E589" i="13"/>
  <c r="F588" i="13"/>
  <c r="E588" i="13"/>
  <c r="F587" i="13"/>
  <c r="E587" i="13"/>
  <c r="F586" i="13"/>
  <c r="E586" i="13"/>
  <c r="F585" i="13"/>
  <c r="E585" i="13"/>
  <c r="F584" i="13"/>
  <c r="E584" i="13"/>
  <c r="F583" i="13"/>
  <c r="E583" i="13"/>
  <c r="F582" i="13"/>
  <c r="E582" i="13"/>
  <c r="F581" i="13"/>
  <c r="E581" i="13"/>
  <c r="F580" i="13"/>
  <c r="E580" i="13"/>
  <c r="F579" i="13"/>
  <c r="E579" i="13"/>
  <c r="F578" i="13"/>
  <c r="E578" i="13"/>
  <c r="F577" i="13"/>
  <c r="E577" i="13"/>
  <c r="F576" i="13"/>
  <c r="E576" i="13"/>
  <c r="F575" i="13"/>
  <c r="E575" i="13"/>
  <c r="F574" i="13"/>
  <c r="E574" i="13"/>
  <c r="F573" i="13"/>
  <c r="E573" i="13"/>
  <c r="F572" i="13"/>
  <c r="E572" i="13"/>
  <c r="F571" i="13"/>
  <c r="E571" i="13"/>
  <c r="F570" i="13"/>
  <c r="E570" i="13"/>
  <c r="F569" i="13"/>
  <c r="E569" i="13"/>
  <c r="F568" i="13"/>
  <c r="E568" i="13"/>
  <c r="F567" i="13"/>
  <c r="E567" i="13"/>
  <c r="F566" i="13"/>
  <c r="E566" i="13"/>
  <c r="F565" i="13"/>
  <c r="E565" i="13"/>
  <c r="F564" i="13"/>
  <c r="E564" i="13"/>
  <c r="F563" i="13"/>
  <c r="E563" i="13"/>
  <c r="F562" i="13"/>
  <c r="E562" i="13"/>
  <c r="F561" i="13"/>
  <c r="E561" i="13"/>
  <c r="F560" i="13"/>
  <c r="E560" i="13"/>
  <c r="F559" i="13"/>
  <c r="E559" i="13"/>
  <c r="F558" i="13"/>
  <c r="E558" i="13"/>
  <c r="F557" i="13"/>
  <c r="E557" i="13"/>
  <c r="F556" i="13"/>
  <c r="E556" i="13"/>
  <c r="F555" i="13"/>
  <c r="E555" i="13"/>
  <c r="F554" i="13"/>
  <c r="E554" i="13"/>
  <c r="F553" i="13"/>
  <c r="E553" i="13"/>
  <c r="F552" i="13"/>
  <c r="E552" i="13"/>
  <c r="F551" i="13"/>
  <c r="E551" i="13"/>
  <c r="F550" i="13"/>
  <c r="E550" i="13"/>
  <c r="F549" i="13"/>
  <c r="E549" i="13"/>
  <c r="F548" i="13"/>
  <c r="E548" i="13"/>
  <c r="F547" i="13"/>
  <c r="E547" i="13"/>
  <c r="F546" i="13"/>
  <c r="E546" i="13"/>
  <c r="F545" i="13"/>
  <c r="E545" i="13"/>
  <c r="F544" i="13"/>
  <c r="E544" i="13"/>
  <c r="F543" i="13"/>
  <c r="E543" i="13"/>
  <c r="F542" i="13"/>
  <c r="E542" i="13"/>
  <c r="F541" i="13"/>
  <c r="E541" i="13"/>
  <c r="F540" i="13"/>
  <c r="E540" i="13"/>
  <c r="F539" i="13"/>
  <c r="E539" i="13"/>
  <c r="F538" i="13"/>
  <c r="E538" i="13"/>
  <c r="F537" i="13"/>
  <c r="E537" i="13"/>
  <c r="F536" i="13"/>
  <c r="E536" i="13"/>
  <c r="F535" i="13"/>
  <c r="E535" i="13"/>
  <c r="F534" i="13"/>
  <c r="E534" i="13"/>
  <c r="F533" i="13"/>
  <c r="E533" i="13"/>
  <c r="F532" i="13"/>
  <c r="E532" i="13"/>
  <c r="F531" i="13"/>
  <c r="E531" i="13"/>
  <c r="F530" i="13"/>
  <c r="E530" i="13"/>
  <c r="F529" i="13"/>
  <c r="E529" i="13"/>
  <c r="F528" i="13"/>
  <c r="E528" i="13"/>
  <c r="F527" i="13"/>
  <c r="E527" i="13"/>
  <c r="F526" i="13"/>
  <c r="E526" i="13"/>
  <c r="F525" i="13"/>
  <c r="E525" i="13"/>
  <c r="F524" i="13"/>
  <c r="E524" i="13"/>
  <c r="F523" i="13"/>
  <c r="E523" i="13"/>
  <c r="F522" i="13"/>
  <c r="E522" i="13"/>
  <c r="F521" i="13"/>
  <c r="E521" i="13"/>
  <c r="F520" i="13"/>
  <c r="E520" i="13"/>
  <c r="F519" i="13"/>
  <c r="E519" i="13"/>
  <c r="F518" i="13"/>
  <c r="E518" i="13"/>
  <c r="F517" i="13"/>
  <c r="E517" i="13"/>
  <c r="F516" i="13"/>
  <c r="E516" i="13"/>
  <c r="F515" i="13"/>
  <c r="E515" i="13"/>
  <c r="F514" i="13"/>
  <c r="E514" i="13"/>
  <c r="F513" i="13"/>
  <c r="E513" i="13"/>
  <c r="F512" i="13"/>
  <c r="E512" i="13"/>
  <c r="F511" i="13"/>
  <c r="E511" i="13"/>
  <c r="F510" i="13"/>
  <c r="E510" i="13"/>
  <c r="F509" i="13"/>
  <c r="E509" i="13"/>
  <c r="F508" i="13"/>
  <c r="E508" i="13"/>
  <c r="F507" i="13"/>
  <c r="E507" i="13"/>
  <c r="F506" i="13"/>
  <c r="E506" i="13"/>
  <c r="F505" i="13"/>
  <c r="E505" i="13"/>
  <c r="F504" i="13"/>
  <c r="E504" i="13"/>
  <c r="F503" i="13"/>
  <c r="E503" i="13"/>
  <c r="F502" i="13"/>
  <c r="E502" i="13"/>
  <c r="F501" i="13"/>
  <c r="E501" i="13"/>
  <c r="F500" i="13"/>
  <c r="E500" i="13"/>
  <c r="F499" i="13"/>
  <c r="E499" i="13"/>
  <c r="F498" i="13"/>
  <c r="E498" i="13"/>
  <c r="F497" i="13"/>
  <c r="E497" i="13"/>
  <c r="F496" i="13"/>
  <c r="E496" i="13"/>
  <c r="F495" i="13"/>
  <c r="E495" i="13"/>
  <c r="F494" i="13"/>
  <c r="E494" i="13"/>
  <c r="F493" i="13"/>
  <c r="E493" i="13"/>
  <c r="F492" i="13"/>
  <c r="E492" i="13"/>
  <c r="F491" i="13"/>
  <c r="E491" i="13"/>
  <c r="F490" i="13"/>
  <c r="E490" i="13"/>
  <c r="F489" i="13"/>
  <c r="E489" i="13"/>
  <c r="F488" i="13"/>
  <c r="E488" i="13"/>
  <c r="F487" i="13"/>
  <c r="E487" i="13"/>
  <c r="F486" i="13"/>
  <c r="E486" i="13"/>
  <c r="F485" i="13"/>
  <c r="E485" i="13"/>
  <c r="F484" i="13"/>
  <c r="E484" i="13"/>
  <c r="F483" i="13"/>
  <c r="E483" i="13"/>
  <c r="F482" i="13"/>
  <c r="E482" i="13"/>
  <c r="F481" i="13"/>
  <c r="E481" i="13"/>
  <c r="F480" i="13"/>
  <c r="E480" i="13"/>
  <c r="F479" i="13"/>
  <c r="E479" i="13"/>
  <c r="F478" i="13"/>
  <c r="E478" i="13"/>
  <c r="F477" i="13"/>
  <c r="E477" i="13"/>
  <c r="F476" i="13"/>
  <c r="E476" i="13"/>
  <c r="F475" i="13"/>
  <c r="E475" i="13"/>
  <c r="F474" i="13"/>
  <c r="E474" i="13"/>
  <c r="F473" i="13"/>
  <c r="E473" i="13"/>
  <c r="F472" i="13"/>
  <c r="E472" i="13"/>
  <c r="F471" i="13"/>
  <c r="E471" i="13"/>
  <c r="F470" i="13"/>
  <c r="E470" i="13"/>
  <c r="F469" i="13"/>
  <c r="E469" i="13"/>
  <c r="F468" i="13"/>
  <c r="E468" i="13"/>
  <c r="F467" i="13"/>
  <c r="E467" i="13"/>
  <c r="F466" i="13"/>
  <c r="E466" i="13"/>
  <c r="F465" i="13"/>
  <c r="E465" i="13"/>
  <c r="F464" i="13"/>
  <c r="E464" i="13"/>
  <c r="F463" i="13"/>
  <c r="E463" i="13"/>
  <c r="F462" i="13"/>
  <c r="E462" i="13"/>
  <c r="F461" i="13"/>
  <c r="E461" i="13"/>
  <c r="F460" i="13"/>
  <c r="E460" i="13"/>
  <c r="F459" i="13"/>
  <c r="E459" i="13"/>
  <c r="F458" i="13"/>
  <c r="E458" i="13"/>
  <c r="F457" i="13"/>
  <c r="E457" i="13"/>
  <c r="F456" i="13"/>
  <c r="E456" i="13"/>
  <c r="F455" i="13"/>
  <c r="E455" i="13"/>
  <c r="F454" i="13"/>
  <c r="E454" i="13"/>
  <c r="F453" i="13"/>
  <c r="E453" i="13"/>
  <c r="F452" i="13"/>
  <c r="E452" i="13"/>
  <c r="F451" i="13"/>
  <c r="E451" i="13"/>
  <c r="F450" i="13"/>
  <c r="E450" i="13"/>
  <c r="F449" i="13"/>
  <c r="E449" i="13"/>
  <c r="F448" i="13"/>
  <c r="E448" i="13"/>
  <c r="F447" i="13"/>
  <c r="E447" i="13"/>
  <c r="F446" i="13"/>
  <c r="E446" i="13"/>
  <c r="F445" i="13"/>
  <c r="E445" i="13"/>
  <c r="F444" i="13"/>
  <c r="E444" i="13"/>
  <c r="F443" i="13"/>
  <c r="E443" i="13"/>
  <c r="F442" i="13"/>
  <c r="E442" i="13"/>
  <c r="F441" i="13"/>
  <c r="E441" i="13"/>
  <c r="F440" i="13"/>
  <c r="E440" i="13"/>
  <c r="F439" i="13"/>
  <c r="E439" i="13"/>
  <c r="F438" i="13"/>
  <c r="E438" i="13"/>
  <c r="F437" i="13"/>
  <c r="E437" i="13"/>
  <c r="F436" i="13"/>
  <c r="E436" i="13"/>
  <c r="F435" i="13"/>
  <c r="E435" i="13"/>
  <c r="F434" i="13"/>
  <c r="E434" i="13"/>
  <c r="F433" i="13"/>
  <c r="E433" i="13"/>
  <c r="F432" i="13"/>
  <c r="E432" i="13"/>
  <c r="F431" i="13"/>
  <c r="E431" i="13"/>
  <c r="F430" i="13"/>
  <c r="E430" i="13"/>
  <c r="F429" i="13"/>
  <c r="E429" i="13"/>
  <c r="F428" i="13"/>
  <c r="E428" i="13"/>
  <c r="F427" i="13"/>
  <c r="E427" i="13"/>
  <c r="F426" i="13"/>
  <c r="E426" i="13"/>
  <c r="F425" i="13"/>
  <c r="E425" i="13"/>
  <c r="F424" i="13"/>
  <c r="E424" i="13"/>
  <c r="F423" i="13"/>
  <c r="E423" i="13"/>
  <c r="F422" i="13"/>
  <c r="E422" i="13"/>
  <c r="F421" i="13"/>
  <c r="E421" i="13"/>
  <c r="F420" i="13"/>
  <c r="E420" i="13"/>
  <c r="F419" i="13"/>
  <c r="E419" i="13"/>
  <c r="F418" i="13"/>
  <c r="E418" i="13"/>
  <c r="F417" i="13"/>
  <c r="E417" i="13"/>
  <c r="F416" i="13"/>
  <c r="E416" i="13"/>
  <c r="F415" i="13"/>
  <c r="E415" i="13"/>
  <c r="F414" i="13"/>
  <c r="E414" i="13"/>
  <c r="F413" i="13"/>
  <c r="E413" i="13"/>
  <c r="F412" i="13"/>
  <c r="E412" i="13"/>
  <c r="F411" i="13"/>
  <c r="E411" i="13"/>
  <c r="F410" i="13"/>
  <c r="E410" i="13"/>
  <c r="F409" i="13"/>
  <c r="E409" i="13"/>
  <c r="F408" i="13"/>
  <c r="E408" i="13"/>
  <c r="F407" i="13"/>
  <c r="E407" i="13"/>
  <c r="F406" i="13"/>
  <c r="E406" i="13"/>
  <c r="F405" i="13"/>
  <c r="E405" i="13"/>
  <c r="F404" i="13"/>
  <c r="E404" i="13"/>
  <c r="F403" i="13"/>
  <c r="E403" i="13"/>
  <c r="F402" i="13"/>
  <c r="E402" i="13"/>
  <c r="F401" i="13"/>
  <c r="E401" i="13"/>
  <c r="F400" i="13"/>
  <c r="E400" i="13"/>
  <c r="F399" i="13"/>
  <c r="E399" i="13"/>
  <c r="F398" i="13"/>
  <c r="E398" i="13"/>
  <c r="F397" i="13"/>
  <c r="E397" i="13"/>
  <c r="F396" i="13"/>
  <c r="E396" i="13"/>
  <c r="F395" i="13"/>
  <c r="E395" i="13"/>
  <c r="F394" i="13"/>
  <c r="E394" i="13"/>
  <c r="F393" i="13"/>
  <c r="E393" i="13"/>
  <c r="F392" i="13"/>
  <c r="E392" i="13"/>
  <c r="F391" i="13"/>
  <c r="E391" i="13"/>
  <c r="F390" i="13"/>
  <c r="E390" i="13"/>
  <c r="F389" i="13"/>
  <c r="E389" i="13"/>
  <c r="F388" i="13"/>
  <c r="E388" i="13"/>
  <c r="F387" i="13"/>
  <c r="E387" i="13"/>
  <c r="F386" i="13"/>
  <c r="E386" i="13"/>
  <c r="F385" i="13"/>
  <c r="E385" i="13"/>
  <c r="F384" i="13"/>
  <c r="E384" i="13"/>
  <c r="F383" i="13"/>
  <c r="E383" i="13"/>
  <c r="F382" i="13"/>
  <c r="E382" i="13"/>
  <c r="F381" i="13"/>
  <c r="E381" i="13"/>
  <c r="F380" i="13"/>
  <c r="E380" i="13"/>
  <c r="F379" i="13"/>
  <c r="E379" i="13"/>
  <c r="F378" i="13"/>
  <c r="E378" i="13"/>
  <c r="F377" i="13"/>
  <c r="E377" i="13"/>
  <c r="F376" i="13"/>
  <c r="E376" i="13"/>
  <c r="F375" i="13"/>
  <c r="E375" i="13"/>
  <c r="F374" i="13"/>
  <c r="E374" i="13"/>
  <c r="F373" i="13"/>
  <c r="E373" i="13"/>
  <c r="F372" i="13"/>
  <c r="E372" i="13"/>
  <c r="F371" i="13"/>
  <c r="E371" i="13"/>
  <c r="F370" i="13"/>
  <c r="E370" i="13"/>
  <c r="F369" i="13"/>
  <c r="E369" i="13"/>
  <c r="F368" i="13"/>
  <c r="E368" i="13"/>
  <c r="F367" i="13"/>
  <c r="E367" i="13"/>
  <c r="F366" i="13"/>
  <c r="E366" i="13"/>
  <c r="F365" i="13"/>
  <c r="E365" i="13"/>
  <c r="F364" i="13"/>
  <c r="E364" i="13"/>
  <c r="F363" i="13"/>
  <c r="E363" i="13"/>
  <c r="F362" i="13"/>
  <c r="E362" i="13"/>
  <c r="F361" i="13"/>
  <c r="E361" i="13"/>
  <c r="F360" i="13"/>
  <c r="E360" i="13"/>
  <c r="F359" i="13"/>
  <c r="E359" i="13"/>
  <c r="F358" i="13"/>
  <c r="E358" i="13"/>
  <c r="F357" i="13"/>
  <c r="E357" i="13"/>
  <c r="F356" i="13"/>
  <c r="E356" i="13"/>
  <c r="F355" i="13"/>
  <c r="E355" i="13"/>
  <c r="F354" i="13"/>
  <c r="E354" i="13"/>
  <c r="F353" i="13"/>
  <c r="E353" i="13"/>
  <c r="F352" i="13"/>
  <c r="E352" i="13"/>
  <c r="F351" i="13"/>
  <c r="E351" i="13"/>
  <c r="F350" i="13"/>
  <c r="E350" i="13"/>
  <c r="F349" i="13"/>
  <c r="E349" i="13"/>
  <c r="F348" i="13"/>
  <c r="E348" i="13"/>
  <c r="F347" i="13"/>
  <c r="E347" i="13"/>
  <c r="F346" i="13"/>
  <c r="E346" i="13"/>
  <c r="F345" i="13"/>
  <c r="E345" i="13"/>
  <c r="F344" i="13"/>
  <c r="E344" i="13"/>
  <c r="F343" i="13"/>
  <c r="E343" i="13"/>
  <c r="F342" i="13"/>
  <c r="E342" i="13"/>
  <c r="F341" i="13"/>
  <c r="E341" i="13"/>
  <c r="F340" i="13"/>
  <c r="E340" i="13"/>
  <c r="F339" i="13"/>
  <c r="E339" i="13"/>
  <c r="F338" i="13"/>
  <c r="E338" i="13"/>
  <c r="F337" i="13"/>
  <c r="E337" i="13"/>
  <c r="F336" i="13"/>
  <c r="E336" i="13"/>
  <c r="F335" i="13"/>
  <c r="E335" i="13"/>
  <c r="F334" i="13"/>
  <c r="E334" i="13"/>
  <c r="F333" i="13"/>
  <c r="E333" i="13"/>
  <c r="F332" i="13"/>
  <c r="E332" i="13"/>
  <c r="F331" i="13"/>
  <c r="E331" i="13"/>
  <c r="F330" i="13"/>
  <c r="E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312" i="13"/>
  <c r="E312" i="13"/>
  <c r="F311" i="13"/>
  <c r="E311" i="13"/>
  <c r="F310" i="13"/>
  <c r="E310" i="13"/>
  <c r="F309" i="13"/>
  <c r="E309" i="13"/>
  <c r="F308" i="13"/>
  <c r="E308" i="13"/>
  <c r="F307" i="13"/>
  <c r="E307" i="13"/>
  <c r="F306" i="13"/>
  <c r="E306" i="13"/>
  <c r="F305" i="13"/>
  <c r="E305" i="13"/>
  <c r="F304" i="13"/>
  <c r="E304" i="13"/>
  <c r="F303" i="13"/>
  <c r="E303" i="13"/>
  <c r="F302" i="13"/>
  <c r="E302" i="13"/>
  <c r="F301" i="13"/>
  <c r="E301" i="13"/>
  <c r="F300" i="13"/>
  <c r="E300" i="13"/>
  <c r="F299" i="13"/>
  <c r="E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4" i="13"/>
  <c r="E244" i="13"/>
  <c r="F243" i="13"/>
  <c r="E243" i="13"/>
  <c r="F242" i="13"/>
  <c r="E242" i="13"/>
  <c r="F241" i="13"/>
  <c r="E241" i="13"/>
  <c r="F240" i="13"/>
  <c r="E240" i="13"/>
  <c r="F239" i="13"/>
  <c r="E239" i="13"/>
  <c r="F238" i="13"/>
  <c r="E238" i="13"/>
  <c r="F237" i="13"/>
  <c r="E237" i="13"/>
  <c r="F236" i="13"/>
  <c r="E236" i="13"/>
  <c r="F235" i="13"/>
  <c r="E235" i="13"/>
  <c r="F234" i="13"/>
  <c r="E234" i="13"/>
  <c r="F233" i="13"/>
  <c r="E233" i="13"/>
  <c r="F232" i="13"/>
  <c r="E232" i="13"/>
  <c r="F231" i="13"/>
  <c r="E231" i="13"/>
  <c r="F230" i="13"/>
  <c r="E230" i="13"/>
  <c r="F229" i="13"/>
  <c r="E229" i="13"/>
  <c r="F228" i="13"/>
  <c r="E228" i="13"/>
  <c r="F227" i="13"/>
  <c r="E227" i="13"/>
  <c r="F226" i="13"/>
  <c r="E226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F201" i="13"/>
  <c r="E201" i="13"/>
  <c r="F200" i="13"/>
  <c r="E200" i="13"/>
  <c r="F199" i="13"/>
  <c r="E199" i="13"/>
  <c r="F198" i="13"/>
  <c r="E198" i="13"/>
  <c r="F197" i="13"/>
  <c r="E197" i="13"/>
  <c r="F196" i="13"/>
  <c r="E196" i="13"/>
  <c r="F195" i="13"/>
  <c r="E195" i="13"/>
  <c r="F194" i="13"/>
  <c r="E194" i="13"/>
  <c r="F193" i="13"/>
  <c r="E193" i="13"/>
  <c r="F192" i="13"/>
  <c r="E192" i="13"/>
  <c r="F191" i="13"/>
  <c r="E191" i="13"/>
  <c r="F190" i="13"/>
  <c r="E190" i="13"/>
  <c r="F189" i="13"/>
  <c r="E189" i="13"/>
  <c r="F188" i="13"/>
  <c r="E188" i="13"/>
  <c r="F187" i="13"/>
  <c r="E187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F176" i="13"/>
  <c r="E176" i="13"/>
  <c r="F175" i="13"/>
  <c r="E175" i="13"/>
  <c r="F174" i="13"/>
  <c r="E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F163" i="13"/>
  <c r="E163" i="13"/>
  <c r="F162" i="13"/>
  <c r="E162" i="13"/>
  <c r="F161" i="13"/>
  <c r="E161" i="13"/>
  <c r="F160" i="13"/>
  <c r="E160" i="13"/>
  <c r="F159" i="13"/>
  <c r="E159" i="13"/>
  <c r="F158" i="13"/>
  <c r="E158" i="13"/>
  <c r="F157" i="13"/>
  <c r="E157" i="13"/>
  <c r="F156" i="13"/>
  <c r="E156" i="13"/>
  <c r="F155" i="13"/>
  <c r="E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F146" i="13"/>
  <c r="E146" i="13"/>
  <c r="F145" i="13"/>
  <c r="E145" i="13"/>
  <c r="F144" i="13"/>
  <c r="E144" i="13"/>
  <c r="F143" i="13"/>
  <c r="E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8" i="13"/>
  <c r="E128" i="13"/>
  <c r="F127" i="13"/>
  <c r="E127" i="13"/>
  <c r="F126" i="13"/>
  <c r="E126" i="13"/>
  <c r="F125" i="13"/>
  <c r="E125" i="13"/>
  <c r="F124" i="13"/>
  <c r="E124" i="13"/>
  <c r="F123" i="13"/>
  <c r="E123" i="13"/>
  <c r="F122" i="13"/>
  <c r="E122" i="13"/>
  <c r="F121" i="13"/>
  <c r="E121" i="13"/>
  <c r="F120" i="13"/>
  <c r="E120" i="13"/>
  <c r="F119" i="13"/>
  <c r="E119" i="13"/>
  <c r="F118" i="13"/>
  <c r="E118" i="13"/>
  <c r="F117" i="13"/>
  <c r="E117" i="13"/>
  <c r="F116" i="13"/>
  <c r="E116" i="13"/>
  <c r="F115" i="13"/>
  <c r="E115" i="13"/>
  <c r="F114" i="13"/>
  <c r="E114" i="13"/>
  <c r="F113" i="13"/>
  <c r="E113" i="13"/>
  <c r="F112" i="13"/>
  <c r="E112" i="13"/>
  <c r="F111" i="13"/>
  <c r="E111" i="13"/>
  <c r="F110" i="13"/>
  <c r="E110" i="13"/>
  <c r="F109" i="13"/>
  <c r="E109" i="13"/>
  <c r="F108" i="13"/>
  <c r="E108" i="13"/>
  <c r="F107" i="13"/>
  <c r="E107" i="13"/>
  <c r="F106" i="13"/>
  <c r="E106" i="13"/>
  <c r="F105" i="13"/>
  <c r="E105" i="13"/>
  <c r="F104" i="13"/>
  <c r="E104" i="13"/>
  <c r="F103" i="13"/>
  <c r="E103" i="13"/>
  <c r="F102" i="13"/>
  <c r="E102" i="13"/>
  <c r="F101" i="13"/>
  <c r="E101" i="13"/>
  <c r="F100" i="13"/>
  <c r="E100" i="13"/>
  <c r="F99" i="13"/>
  <c r="E99" i="13"/>
  <c r="F98" i="13"/>
  <c r="E98" i="13"/>
  <c r="F97" i="13"/>
  <c r="E97" i="13"/>
  <c r="F96" i="13"/>
  <c r="E96" i="13"/>
  <c r="F95" i="13"/>
  <c r="E95" i="13"/>
  <c r="F94" i="13"/>
  <c r="E94" i="13"/>
  <c r="F93" i="13"/>
  <c r="E93" i="13"/>
  <c r="F92" i="13"/>
  <c r="E92" i="13"/>
  <c r="F91" i="13"/>
  <c r="E91" i="13"/>
  <c r="F90" i="13"/>
  <c r="E90" i="13"/>
  <c r="F89" i="13"/>
  <c r="E89" i="13"/>
  <c r="F88" i="13"/>
  <c r="E88" i="13"/>
  <c r="F87" i="13"/>
  <c r="E87" i="13"/>
  <c r="F86" i="13"/>
  <c r="E86" i="13"/>
  <c r="F85" i="13"/>
  <c r="E85" i="13"/>
  <c r="F84" i="13"/>
  <c r="E84" i="13"/>
  <c r="F83" i="13"/>
  <c r="E83" i="13"/>
  <c r="F82" i="13"/>
  <c r="E82" i="13"/>
  <c r="F81" i="13"/>
  <c r="E81" i="13"/>
  <c r="F80" i="13"/>
  <c r="E80" i="13"/>
  <c r="F79" i="13"/>
  <c r="E79" i="13"/>
  <c r="F78" i="13"/>
  <c r="E78" i="13"/>
  <c r="F77" i="13"/>
  <c r="E77" i="13"/>
  <c r="F76" i="13"/>
  <c r="E76" i="13"/>
  <c r="F75" i="13"/>
  <c r="E75" i="13"/>
  <c r="F74" i="13"/>
  <c r="E74" i="13"/>
  <c r="F73" i="13"/>
  <c r="E73" i="13"/>
  <c r="F72" i="13"/>
  <c r="E72" i="13"/>
  <c r="F71" i="13"/>
  <c r="E71" i="13"/>
  <c r="F70" i="13"/>
  <c r="E70" i="13"/>
  <c r="F69" i="13"/>
  <c r="E69" i="13"/>
  <c r="F68" i="13"/>
  <c r="E68" i="13"/>
  <c r="F67" i="13"/>
  <c r="E67" i="13"/>
  <c r="F66" i="13"/>
  <c r="E66" i="13"/>
  <c r="F65" i="13"/>
  <c r="E65" i="13"/>
  <c r="F64" i="13"/>
  <c r="E64" i="13"/>
  <c r="F63" i="13"/>
  <c r="E63" i="13"/>
  <c r="F62" i="13"/>
  <c r="E62" i="13"/>
  <c r="F61" i="13"/>
  <c r="E61" i="13"/>
  <c r="F60" i="13"/>
  <c r="E60" i="13"/>
  <c r="F59" i="13"/>
  <c r="E59" i="13"/>
  <c r="F58" i="13"/>
  <c r="E58" i="13"/>
  <c r="F57" i="13"/>
  <c r="E57" i="13"/>
  <c r="F56" i="13"/>
  <c r="E56" i="13"/>
  <c r="F55" i="13"/>
  <c r="E55" i="13"/>
  <c r="F54" i="13"/>
  <c r="E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F46" i="13"/>
  <c r="E46" i="13"/>
  <c r="F45" i="13"/>
  <c r="E45" i="13"/>
  <c r="F44" i="13"/>
  <c r="E44" i="13"/>
  <c r="F43" i="13"/>
  <c r="E43" i="13"/>
  <c r="F42" i="13"/>
  <c r="E42" i="13"/>
  <c r="F41" i="13"/>
  <c r="E41" i="13"/>
  <c r="F40" i="13"/>
  <c r="E40" i="13"/>
  <c r="F39" i="13"/>
  <c r="E39" i="13"/>
  <c r="F38" i="13"/>
  <c r="E38" i="13"/>
  <c r="F37" i="13"/>
  <c r="E37" i="13"/>
  <c r="F36" i="13"/>
  <c r="E36" i="13"/>
  <c r="F35" i="13"/>
  <c r="E35" i="13"/>
  <c r="F34" i="13"/>
  <c r="E34" i="13"/>
  <c r="F33" i="13"/>
  <c r="E33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3" i="13"/>
  <c r="E23" i="13"/>
  <c r="F22" i="13"/>
  <c r="E22" i="13"/>
  <c r="F21" i="13"/>
  <c r="E21" i="13"/>
  <c r="F20" i="13"/>
  <c r="E20" i="13"/>
  <c r="F18" i="13"/>
  <c r="E18" i="13"/>
  <c r="F17" i="13"/>
  <c r="E17" i="13"/>
  <c r="F16" i="13"/>
  <c r="E16" i="13"/>
  <c r="F15" i="13"/>
  <c r="E15" i="13"/>
  <c r="F14" i="13"/>
  <c r="E14" i="13"/>
  <c r="F13" i="13"/>
  <c r="E13" i="13"/>
  <c r="F11" i="13"/>
  <c r="E11" i="13"/>
  <c r="F12" i="13"/>
  <c r="F9" i="13"/>
  <c r="E9" i="13"/>
  <c r="E12" i="13" s="1"/>
  <c r="E32" i="13"/>
  <c r="A3436" i="17"/>
  <c r="A3433" i="17"/>
  <c r="A3435" i="17"/>
  <c r="A3429" i="17"/>
  <c r="A3432" i="17"/>
  <c r="A3434" i="17"/>
  <c r="A3428" i="17"/>
  <c r="A3431" i="17"/>
  <c r="A3424" i="17"/>
  <c r="A3427" i="17"/>
  <c r="A3430" i="17"/>
  <c r="A3423" i="17"/>
  <c r="A3426" i="17"/>
  <c r="A3419" i="17"/>
  <c r="A3422" i="17"/>
  <c r="A3425" i="17"/>
  <c r="A3418" i="17"/>
  <c r="A3421" i="17"/>
  <c r="A3414" i="17"/>
  <c r="A3417" i="17"/>
  <c r="A3420" i="17"/>
  <c r="A3413" i="17"/>
  <c r="A3416" i="17"/>
  <c r="A3409" i="17"/>
  <c r="A3412" i="17"/>
  <c r="A3415" i="17"/>
  <c r="A3404" i="17"/>
  <c r="A3408" i="17"/>
  <c r="A3411" i="17"/>
  <c r="A3403" i="17"/>
  <c r="A3407" i="17"/>
  <c r="A3410" i="17"/>
  <c r="A3398" i="17"/>
  <c r="A3402" i="17"/>
  <c r="A3406" i="17"/>
  <c r="A3392" i="17"/>
  <c r="A3397" i="17"/>
  <c r="A3401" i="17"/>
  <c r="A3405" i="17"/>
  <c r="A3385" i="17"/>
  <c r="A3391" i="17"/>
  <c r="A3396" i="17"/>
  <c r="A3400" i="17"/>
  <c r="A3377" i="17"/>
  <c r="A3384" i="17"/>
  <c r="A3390" i="17"/>
  <c r="A3395" i="17"/>
  <c r="A3399" i="17"/>
  <c r="A3369" i="17"/>
  <c r="A3376" i="17"/>
  <c r="A3383" i="17"/>
  <c r="A3389" i="17"/>
  <c r="A3394" i="17"/>
  <c r="A3368" i="17"/>
  <c r="A3375" i="17"/>
  <c r="A3382" i="17"/>
  <c r="A3388" i="17"/>
  <c r="A3393" i="17"/>
  <c r="A3360" i="17"/>
  <c r="A3367" i="17"/>
  <c r="A3374" i="17"/>
  <c r="A3381" i="17"/>
  <c r="A3387" i="17"/>
  <c r="A3359" i="17"/>
  <c r="A3366" i="17"/>
  <c r="A3373" i="17"/>
  <c r="A3380" i="17"/>
  <c r="A3386" i="17"/>
  <c r="A3351" i="17"/>
  <c r="A3358" i="17"/>
  <c r="A3365" i="17"/>
  <c r="A3372" i="17"/>
  <c r="A3379" i="17"/>
  <c r="A3342" i="17"/>
  <c r="A3350" i="17"/>
  <c r="A3357" i="17"/>
  <c r="A3364" i="17"/>
  <c r="A3371" i="17"/>
  <c r="A3378" i="17"/>
  <c r="A3332" i="17"/>
  <c r="A3341" i="17"/>
  <c r="A3349" i="17"/>
  <c r="A3356" i="17"/>
  <c r="A3363" i="17"/>
  <c r="A3370" i="17"/>
  <c r="A3331" i="17"/>
  <c r="A3340" i="17"/>
  <c r="A3348" i="17"/>
  <c r="A3355" i="17"/>
  <c r="A3362" i="17"/>
  <c r="A3321" i="17"/>
  <c r="A3330" i="17"/>
  <c r="A3339" i="17"/>
  <c r="A3347" i="17"/>
  <c r="A3354" i="17"/>
  <c r="A3361" i="17"/>
  <c r="A3310" i="17"/>
  <c r="A3320" i="17"/>
  <c r="A3329" i="17"/>
  <c r="A3338" i="17"/>
  <c r="A3346" i="17"/>
  <c r="A3353" i="17"/>
  <c r="A3298" i="17"/>
  <c r="A3309" i="17"/>
  <c r="A3319" i="17"/>
  <c r="A3328" i="17"/>
  <c r="A3337" i="17"/>
  <c r="A3345" i="17"/>
  <c r="A3352" i="17"/>
  <c r="A3285" i="17"/>
  <c r="A3297" i="17"/>
  <c r="A3308" i="17"/>
  <c r="A3318" i="17"/>
  <c r="A3327" i="17"/>
  <c r="A3336" i="17"/>
  <c r="A3344" i="17"/>
  <c r="A3284" i="17"/>
  <c r="A3296" i="17"/>
  <c r="A3307" i="17"/>
  <c r="A3317" i="17"/>
  <c r="A3326" i="17"/>
  <c r="A3335" i="17"/>
  <c r="A3343" i="17"/>
  <c r="A3271" i="17"/>
  <c r="A3283" i="17"/>
  <c r="A3295" i="17"/>
  <c r="A3306" i="17"/>
  <c r="A3316" i="17"/>
  <c r="A3325" i="17"/>
  <c r="A3334" i="17"/>
  <c r="A3270" i="17"/>
  <c r="A3282" i="17"/>
  <c r="A3294" i="17"/>
  <c r="A3305" i="17"/>
  <c r="A3315" i="17"/>
  <c r="A3324" i="17"/>
  <c r="A3333" i="17"/>
  <c r="A3257" i="17"/>
  <c r="A3269" i="17"/>
  <c r="A3281" i="17"/>
  <c r="A3293" i="17"/>
  <c r="A3304" i="17"/>
  <c r="A3314" i="17"/>
  <c r="A3323" i="17"/>
  <c r="A3256" i="17"/>
  <c r="A3268" i="17"/>
  <c r="A3280" i="17"/>
  <c r="A3292" i="17"/>
  <c r="A3303" i="17"/>
  <c r="A3313" i="17"/>
  <c r="A3322" i="17"/>
  <c r="A3244" i="17"/>
  <c r="A3255" i="17"/>
  <c r="A3267" i="17"/>
  <c r="A3279" i="17"/>
  <c r="A3291" i="17"/>
  <c r="A3302" i="17"/>
  <c r="A3312" i="17"/>
  <c r="A3231" i="17"/>
  <c r="A3243" i="17"/>
  <c r="A3254" i="17"/>
  <c r="A3266" i="17"/>
  <c r="A3278" i="17"/>
  <c r="A3290" i="17"/>
  <c r="A3301" i="17"/>
  <c r="A3311" i="17"/>
  <c r="A3230" i="17"/>
  <c r="A3242" i="17"/>
  <c r="A3253" i="17"/>
  <c r="A3265" i="17"/>
  <c r="A3277" i="17"/>
  <c r="A3289" i="17"/>
  <c r="A3300" i="17"/>
  <c r="A3217" i="17"/>
  <c r="A3229" i="17"/>
  <c r="A3241" i="17"/>
  <c r="A3252" i="17"/>
  <c r="A3264" i="17"/>
  <c r="A3276" i="17"/>
  <c r="A3288" i="17"/>
  <c r="A3299" i="17"/>
  <c r="A3216" i="17"/>
  <c r="A3228" i="17"/>
  <c r="A3240" i="17"/>
  <c r="A3251" i="17"/>
  <c r="A3263" i="17"/>
  <c r="A3275" i="17"/>
  <c r="A3287" i="17"/>
  <c r="A3203" i="17"/>
  <c r="A3215" i="17"/>
  <c r="A3227" i="17"/>
  <c r="A3239" i="17"/>
  <c r="A3250" i="17"/>
  <c r="A3262" i="17"/>
  <c r="A3274" i="17"/>
  <c r="A3286" i="17"/>
  <c r="A3189" i="17"/>
  <c r="A3202" i="17"/>
  <c r="A3214" i="17"/>
  <c r="A3226" i="17"/>
  <c r="A3238" i="17"/>
  <c r="A3249" i="17"/>
  <c r="A3261" i="17"/>
  <c r="A3273" i="17"/>
  <c r="A3188" i="17"/>
  <c r="A3201" i="17"/>
  <c r="A3213" i="17"/>
  <c r="A3225" i="17"/>
  <c r="A3237" i="17"/>
  <c r="A3248" i="17"/>
  <c r="A3260" i="17"/>
  <c r="A3272" i="17"/>
  <c r="A3174" i="17"/>
  <c r="A3187" i="17"/>
  <c r="A3200" i="17"/>
  <c r="A3212" i="17"/>
  <c r="A3224" i="17"/>
  <c r="A3236" i="17"/>
  <c r="A3247" i="17"/>
  <c r="A3259" i="17"/>
  <c r="A3173" i="17"/>
  <c r="A3186" i="17"/>
  <c r="A3199" i="17"/>
  <c r="A3211" i="17"/>
  <c r="A3223" i="17"/>
  <c r="A3235" i="17"/>
  <c r="A3246" i="17"/>
  <c r="A3258" i="17"/>
  <c r="A3159" i="17"/>
  <c r="A3172" i="17"/>
  <c r="A3185" i="17"/>
  <c r="A3198" i="17"/>
  <c r="A3210" i="17"/>
  <c r="A3222" i="17"/>
  <c r="A3234" i="17"/>
  <c r="A3245" i="17"/>
  <c r="A3158" i="17"/>
  <c r="A3171" i="17"/>
  <c r="A3184" i="17"/>
  <c r="A3197" i="17"/>
  <c r="A3209" i="17"/>
  <c r="A3221" i="17"/>
  <c r="A3233" i="17"/>
  <c r="A3144" i="17"/>
  <c r="A3157" i="17"/>
  <c r="A3170" i="17"/>
  <c r="A3183" i="17"/>
  <c r="A3196" i="17"/>
  <c r="A3208" i="17"/>
  <c r="A3220" i="17"/>
  <c r="A3232" i="17"/>
  <c r="A3129" i="17"/>
  <c r="A3143" i="17"/>
  <c r="A3156" i="17"/>
  <c r="A3169" i="17"/>
  <c r="A3182" i="17"/>
  <c r="A3195" i="17"/>
  <c r="A3207" i="17"/>
  <c r="A3219" i="17"/>
  <c r="A3128" i="17"/>
  <c r="A3142" i="17"/>
  <c r="A3155" i="17"/>
  <c r="A3168" i="17"/>
  <c r="A3181" i="17"/>
  <c r="A3194" i="17"/>
  <c r="A3206" i="17"/>
  <c r="A3218" i="17"/>
  <c r="A3113" i="17"/>
  <c r="A3127" i="17"/>
  <c r="A3141" i="17"/>
  <c r="A3154" i="17"/>
  <c r="A3167" i="17"/>
  <c r="A3180" i="17"/>
  <c r="A3193" i="17"/>
  <c r="A3205" i="17"/>
  <c r="A3097" i="17"/>
  <c r="A3112" i="17"/>
  <c r="A3126" i="17"/>
  <c r="A3140" i="17"/>
  <c r="A3153" i="17"/>
  <c r="A3166" i="17"/>
  <c r="A3179" i="17"/>
  <c r="A3192" i="17"/>
  <c r="A3204" i="17"/>
  <c r="A3096" i="17"/>
  <c r="A3111" i="17"/>
  <c r="A3125" i="17"/>
  <c r="A3139" i="17"/>
  <c r="A3152" i="17"/>
  <c r="A3165" i="17"/>
  <c r="A3178" i="17"/>
  <c r="A3191" i="17"/>
  <c r="A3080" i="17"/>
  <c r="A3095" i="17"/>
  <c r="A3110" i="17"/>
  <c r="A3124" i="17"/>
  <c r="A3138" i="17"/>
  <c r="A3151" i="17"/>
  <c r="A3164" i="17"/>
  <c r="A3177" i="17"/>
  <c r="A3190" i="17"/>
  <c r="A3063" i="17"/>
  <c r="A3079" i="17"/>
  <c r="A3094" i="17"/>
  <c r="A3109" i="17"/>
  <c r="A3123" i="17"/>
  <c r="A3137" i="17"/>
  <c r="A3150" i="17"/>
  <c r="A3163" i="17"/>
  <c r="A3176" i="17"/>
  <c r="A3046" i="17"/>
  <c r="A3062" i="17"/>
  <c r="A3078" i="17"/>
  <c r="A3093" i="17"/>
  <c r="A3108" i="17"/>
  <c r="A3122" i="17"/>
  <c r="A3136" i="17"/>
  <c r="A3149" i="17"/>
  <c r="A3162" i="17"/>
  <c r="A3175" i="17"/>
  <c r="A3045" i="17"/>
  <c r="A3061" i="17"/>
  <c r="A3077" i="17"/>
  <c r="A3092" i="17"/>
  <c r="A3107" i="17"/>
  <c r="A3121" i="17"/>
  <c r="A3135" i="17"/>
  <c r="A3148" i="17"/>
  <c r="A3161" i="17"/>
  <c r="A3028" i="17"/>
  <c r="A3044" i="17"/>
  <c r="A3060" i="17"/>
  <c r="A3076" i="17"/>
  <c r="A3091" i="17"/>
  <c r="A3106" i="17"/>
  <c r="A3120" i="17"/>
  <c r="A3134" i="17"/>
  <c r="A3147" i="17"/>
  <c r="A3160" i="17"/>
  <c r="A3027" i="17"/>
  <c r="A3043" i="17"/>
  <c r="A3059" i="17"/>
  <c r="A3075" i="17"/>
  <c r="A3090" i="17"/>
  <c r="A3105" i="17"/>
  <c r="A3119" i="17"/>
  <c r="A3133" i="17"/>
  <c r="A3146" i="17"/>
  <c r="A3011" i="17"/>
  <c r="A3026" i="17"/>
  <c r="A3042" i="17"/>
  <c r="A3058" i="17"/>
  <c r="A3074" i="17"/>
  <c r="A3089" i="17"/>
  <c r="A3104" i="17"/>
  <c r="A3118" i="17"/>
  <c r="A3132" i="17"/>
  <c r="A3145" i="17"/>
  <c r="A3010" i="17"/>
  <c r="A3025" i="17"/>
  <c r="A3041" i="17"/>
  <c r="A3057" i="17"/>
  <c r="A3073" i="17"/>
  <c r="A3088" i="17"/>
  <c r="A3103" i="17"/>
  <c r="A3117" i="17"/>
  <c r="A3131" i="17"/>
  <c r="A2995" i="17"/>
  <c r="A3009" i="17"/>
  <c r="A3024" i="17"/>
  <c r="A3040" i="17"/>
  <c r="A3056" i="17"/>
  <c r="A3072" i="17"/>
  <c r="A3087" i="17"/>
  <c r="A3102" i="17"/>
  <c r="A3116" i="17"/>
  <c r="A3130" i="17"/>
  <c r="A2979" i="17"/>
  <c r="A2994" i="17"/>
  <c r="A3008" i="17"/>
  <c r="A3023" i="17"/>
  <c r="A3039" i="17"/>
  <c r="A3055" i="17"/>
  <c r="A3071" i="17"/>
  <c r="A3086" i="17"/>
  <c r="A3101" i="17"/>
  <c r="A3115" i="17"/>
  <c r="A2962" i="17"/>
  <c r="A2978" i="17"/>
  <c r="A2993" i="17"/>
  <c r="A3007" i="17"/>
  <c r="A3022" i="17"/>
  <c r="A3038" i="17"/>
  <c r="A3054" i="17"/>
  <c r="A3070" i="17"/>
  <c r="A3085" i="17"/>
  <c r="A3100" i="17"/>
  <c r="A3114" i="17"/>
  <c r="A2961" i="17"/>
  <c r="A2977" i="17"/>
  <c r="A2992" i="17"/>
  <c r="A3006" i="17"/>
  <c r="A3021" i="17"/>
  <c r="A3037" i="17"/>
  <c r="A3053" i="17"/>
  <c r="A3069" i="17"/>
  <c r="A3084" i="17"/>
  <c r="A3099" i="17"/>
  <c r="A2944" i="17"/>
  <c r="A2960" i="17"/>
  <c r="A2976" i="17"/>
  <c r="A2991" i="17"/>
  <c r="A3005" i="17"/>
  <c r="A3020" i="17"/>
  <c r="A3036" i="17"/>
  <c r="A3052" i="17"/>
  <c r="A3068" i="17"/>
  <c r="A3083" i="17"/>
  <c r="A3098" i="17"/>
  <c r="A2943" i="17"/>
  <c r="A2959" i="17"/>
  <c r="A2975" i="17"/>
  <c r="A2990" i="17"/>
  <c r="A3004" i="17"/>
  <c r="A3019" i="17"/>
  <c r="A3035" i="17"/>
  <c r="A3051" i="17"/>
  <c r="A3067" i="17"/>
  <c r="A3082" i="17"/>
  <c r="A2927" i="17"/>
  <c r="A2942" i="17"/>
  <c r="A2958" i="17"/>
  <c r="A2974" i="17"/>
  <c r="A2989" i="17"/>
  <c r="A3003" i="17"/>
  <c r="A3018" i="17"/>
  <c r="A3034" i="17"/>
  <c r="A3050" i="17"/>
  <c r="A3066" i="17"/>
  <c r="A3081" i="17"/>
  <c r="A2926" i="17"/>
  <c r="A2941" i="17"/>
  <c r="A2957" i="17"/>
  <c r="A2973" i="17"/>
  <c r="A2988" i="17"/>
  <c r="A3002" i="17"/>
  <c r="A3017" i="17"/>
  <c r="A3033" i="17"/>
  <c r="A3049" i="17"/>
  <c r="A3065" i="17"/>
  <c r="A2911" i="17"/>
  <c r="A2925" i="17"/>
  <c r="A2940" i="17"/>
  <c r="A2956" i="17"/>
  <c r="A2972" i="17"/>
  <c r="A2987" i="17"/>
  <c r="A3001" i="17"/>
  <c r="A3016" i="17"/>
  <c r="A3032" i="17"/>
  <c r="A3048" i="17"/>
  <c r="A3064" i="17"/>
  <c r="A2910" i="17"/>
  <c r="A2924" i="17"/>
  <c r="A2939" i="17"/>
  <c r="A2955" i="17"/>
  <c r="A2971" i="17"/>
  <c r="A2986" i="17"/>
  <c r="A3000" i="17"/>
  <c r="A3015" i="17"/>
  <c r="A3031" i="17"/>
  <c r="A3047" i="17"/>
  <c r="A2896" i="17"/>
  <c r="A2909" i="17"/>
  <c r="A2923" i="17"/>
  <c r="A2938" i="17"/>
  <c r="A2954" i="17"/>
  <c r="A2970" i="17"/>
  <c r="A2985" i="17"/>
  <c r="A2999" i="17"/>
  <c r="A3014" i="17"/>
  <c r="A3030" i="17"/>
  <c r="A2882" i="17"/>
  <c r="A2895" i="17"/>
  <c r="A2908" i="17"/>
  <c r="A2922" i="17"/>
  <c r="A2937" i="17"/>
  <c r="A2953" i="17"/>
  <c r="A2969" i="17"/>
  <c r="A2984" i="17"/>
  <c r="A2998" i="17"/>
  <c r="A3013" i="17"/>
  <c r="A3029" i="17"/>
  <c r="A2867" i="17"/>
  <c r="A2881" i="17"/>
  <c r="A2894" i="17"/>
  <c r="A2907" i="17"/>
  <c r="A2921" i="17"/>
  <c r="A2936" i="17"/>
  <c r="A2952" i="17"/>
  <c r="A2968" i="17"/>
  <c r="A2983" i="17"/>
  <c r="A2997" i="17"/>
  <c r="A3012" i="17"/>
  <c r="A2851" i="17"/>
  <c r="A2866" i="17"/>
  <c r="A2880" i="17"/>
  <c r="A2893" i="17"/>
  <c r="A2906" i="17"/>
  <c r="A2920" i="17"/>
  <c r="A2935" i="17"/>
  <c r="A2951" i="17"/>
  <c r="A2967" i="17"/>
  <c r="A2982" i="17"/>
  <c r="A2996" i="17"/>
  <c r="A2835" i="17"/>
  <c r="A2850" i="17"/>
  <c r="A2865" i="17"/>
  <c r="A2879" i="17"/>
  <c r="A2892" i="17"/>
  <c r="A2905" i="17"/>
  <c r="A2919" i="17"/>
  <c r="A2934" i="17"/>
  <c r="A2950" i="17"/>
  <c r="A2966" i="17"/>
  <c r="A2981" i="17"/>
  <c r="A2818" i="17"/>
  <c r="A2834" i="17"/>
  <c r="A2849" i="17"/>
  <c r="A2864" i="17"/>
  <c r="A2878" i="17"/>
  <c r="A2891" i="17"/>
  <c r="A2904" i="17"/>
  <c r="A2918" i="17"/>
  <c r="A2933" i="17"/>
  <c r="A2949" i="17"/>
  <c r="A2965" i="17"/>
  <c r="A2980" i="17"/>
  <c r="A2800" i="17"/>
  <c r="A2817" i="17"/>
  <c r="A2833" i="17"/>
  <c r="A2848" i="17"/>
  <c r="A2863" i="17"/>
  <c r="A2877" i="17"/>
  <c r="A2890" i="17"/>
  <c r="A2903" i="17"/>
  <c r="A2917" i="17"/>
  <c r="A2932" i="17"/>
  <c r="A2948" i="17"/>
  <c r="A2964" i="17"/>
  <c r="A2799" i="17"/>
  <c r="A2816" i="17"/>
  <c r="A2832" i="17"/>
  <c r="A2847" i="17"/>
  <c r="A2862" i="17"/>
  <c r="A2876" i="17"/>
  <c r="A2889" i="17"/>
  <c r="A2902" i="17"/>
  <c r="A2916" i="17"/>
  <c r="A2931" i="17"/>
  <c r="A2947" i="17"/>
  <c r="A2963" i="17"/>
  <c r="A2782" i="17"/>
  <c r="A2798" i="17"/>
  <c r="A2815" i="17"/>
  <c r="A2831" i="17"/>
  <c r="A2846" i="17"/>
  <c r="A2861" i="17"/>
  <c r="A2875" i="17"/>
  <c r="A2888" i="17"/>
  <c r="A2901" i="17"/>
  <c r="A2915" i="17"/>
  <c r="A2930" i="17"/>
  <c r="A2946" i="17"/>
  <c r="A2765" i="17"/>
  <c r="A2781" i="17"/>
  <c r="A2797" i="17"/>
  <c r="A2814" i="17"/>
  <c r="A2830" i="17"/>
  <c r="A2845" i="17"/>
  <c r="A2860" i="17"/>
  <c r="A2874" i="17"/>
  <c r="A2887" i="17"/>
  <c r="A2900" i="17"/>
  <c r="A2914" i="17"/>
  <c r="A2929" i="17"/>
  <c r="A2945" i="17"/>
  <c r="A2747" i="17"/>
  <c r="A2764" i="17"/>
  <c r="A2780" i="17"/>
  <c r="A2796" i="17"/>
  <c r="A2813" i="17"/>
  <c r="A2829" i="17"/>
  <c r="A2844" i="17"/>
  <c r="A2859" i="17"/>
  <c r="A2873" i="17"/>
  <c r="A2886" i="17"/>
  <c r="A2899" i="17"/>
  <c r="A2913" i="17"/>
  <c r="A2928" i="17"/>
  <c r="A2746" i="17"/>
  <c r="A2763" i="17"/>
  <c r="A2779" i="17"/>
  <c r="A2795" i="17"/>
  <c r="A2812" i="17"/>
  <c r="A2828" i="17"/>
  <c r="A2843" i="17"/>
  <c r="A2858" i="17"/>
  <c r="A2872" i="17"/>
  <c r="A2885" i="17"/>
  <c r="A2898" i="17"/>
  <c r="A2912" i="17"/>
  <c r="A2728" i="17"/>
  <c r="A2745" i="17"/>
  <c r="A2762" i="17"/>
  <c r="A2778" i="17"/>
  <c r="A2794" i="17"/>
  <c r="A2811" i="17"/>
  <c r="A2827" i="17"/>
  <c r="A2842" i="17"/>
  <c r="A2857" i="17"/>
  <c r="A2871" i="17"/>
  <c r="A2884" i="17"/>
  <c r="A2897" i="17"/>
  <c r="A2710" i="17"/>
  <c r="A2727" i="17"/>
  <c r="A2744" i="17"/>
  <c r="A2761" i="17"/>
  <c r="A2777" i="17"/>
  <c r="A2793" i="17"/>
  <c r="A2810" i="17"/>
  <c r="A2826" i="17"/>
  <c r="A2841" i="17"/>
  <c r="A2856" i="17"/>
  <c r="A2870" i="17"/>
  <c r="A2883" i="17"/>
  <c r="A2691" i="17"/>
  <c r="A2709" i="17"/>
  <c r="A2726" i="17"/>
  <c r="A2743" i="17"/>
  <c r="A2760" i="17"/>
  <c r="A2776" i="17"/>
  <c r="A2792" i="17"/>
  <c r="A2809" i="17"/>
  <c r="A2825" i="17"/>
  <c r="A2840" i="17"/>
  <c r="A2855" i="17"/>
  <c r="A2869" i="17"/>
  <c r="A2690" i="17"/>
  <c r="A2708" i="17"/>
  <c r="A2725" i="17"/>
  <c r="A2742" i="17"/>
  <c r="A2759" i="17"/>
  <c r="A2775" i="17"/>
  <c r="A2791" i="17"/>
  <c r="A2808" i="17"/>
  <c r="A2824" i="17"/>
  <c r="A2839" i="17"/>
  <c r="A2854" i="17"/>
  <c r="A2868" i="17"/>
  <c r="A2672" i="17"/>
  <c r="A2689" i="17"/>
  <c r="A2707" i="17"/>
  <c r="A2724" i="17"/>
  <c r="A2741" i="17"/>
  <c r="A2758" i="17"/>
  <c r="A2774" i="17"/>
  <c r="A2790" i="17"/>
  <c r="A2807" i="17"/>
  <c r="A2823" i="17"/>
  <c r="A2838" i="17"/>
  <c r="A2853" i="17"/>
  <c r="A2654" i="17"/>
  <c r="A2671" i="17"/>
  <c r="A2688" i="17"/>
  <c r="A2706" i="17"/>
  <c r="A2723" i="17"/>
  <c r="A2740" i="17"/>
  <c r="A2757" i="17"/>
  <c r="A2773" i="17"/>
  <c r="A2789" i="17"/>
  <c r="A2806" i="17"/>
  <c r="A2822" i="17"/>
  <c r="A2837" i="17"/>
  <c r="A2852" i="17"/>
  <c r="A2653" i="17"/>
  <c r="A2670" i="17"/>
  <c r="A2687" i="17"/>
  <c r="A2705" i="17"/>
  <c r="A2722" i="17"/>
  <c r="A2739" i="17"/>
  <c r="A2756" i="17"/>
  <c r="A2772" i="17"/>
  <c r="A2788" i="17"/>
  <c r="A2805" i="17"/>
  <c r="A2821" i="17"/>
  <c r="A2836" i="17"/>
  <c r="A2635" i="17"/>
  <c r="A2652" i="17"/>
  <c r="A2669" i="17"/>
  <c r="A2686" i="17"/>
  <c r="A2704" i="17"/>
  <c r="A2721" i="17"/>
  <c r="A2738" i="17"/>
  <c r="A2755" i="17"/>
  <c r="A2771" i="17"/>
  <c r="A2787" i="17"/>
  <c r="A2804" i="17"/>
  <c r="A2820" i="17"/>
  <c r="A2616" i="17"/>
  <c r="A2634" i="17"/>
  <c r="A2651" i="17"/>
  <c r="A2668" i="17"/>
  <c r="A2685" i="17"/>
  <c r="A2703" i="17"/>
  <c r="A2720" i="17"/>
  <c r="A2737" i="17"/>
  <c r="A2754" i="17"/>
  <c r="A2770" i="17"/>
  <c r="A2786" i="17"/>
  <c r="A2803" i="17"/>
  <c r="A2819" i="17"/>
  <c r="A2615" i="17"/>
  <c r="A2633" i="17"/>
  <c r="A2650" i="17"/>
  <c r="A2667" i="17"/>
  <c r="A2684" i="17"/>
  <c r="A2702" i="17"/>
  <c r="A2719" i="17"/>
  <c r="A2736" i="17"/>
  <c r="A2753" i="17"/>
  <c r="A2769" i="17"/>
  <c r="A2785" i="17"/>
  <c r="A2802" i="17"/>
  <c r="A2597" i="17"/>
  <c r="A2614" i="17"/>
  <c r="A2632" i="17"/>
  <c r="A2649" i="17"/>
  <c r="A2666" i="17"/>
  <c r="A2683" i="17"/>
  <c r="A2701" i="17"/>
  <c r="A2718" i="17"/>
  <c r="A2735" i="17"/>
  <c r="A2752" i="17"/>
  <c r="A2768" i="17"/>
  <c r="A2784" i="17"/>
  <c r="A2801" i="17"/>
  <c r="A2578" i="17"/>
  <c r="A2596" i="17"/>
  <c r="A2613" i="17"/>
  <c r="A2631" i="17"/>
  <c r="A2648" i="17"/>
  <c r="A2665" i="17"/>
  <c r="A2682" i="17"/>
  <c r="A2700" i="17"/>
  <c r="A2717" i="17"/>
  <c r="A2734" i="17"/>
  <c r="A2751" i="17"/>
  <c r="A2767" i="17"/>
  <c r="A2783" i="17"/>
  <c r="A2559" i="17"/>
  <c r="A2577" i="17"/>
  <c r="A2595" i="17"/>
  <c r="A2612" i="17"/>
  <c r="A2630" i="17"/>
  <c r="A2647" i="17"/>
  <c r="A2664" i="17"/>
  <c r="A2681" i="17"/>
  <c r="A2699" i="17"/>
  <c r="A2716" i="17"/>
  <c r="A2733" i="17"/>
  <c r="A2750" i="17"/>
  <c r="A2766" i="17"/>
  <c r="A2558" i="17"/>
  <c r="A2576" i="17"/>
  <c r="A2594" i="17"/>
  <c r="A2611" i="17"/>
  <c r="A2629" i="17"/>
  <c r="A2646" i="17"/>
  <c r="A2663" i="17"/>
  <c r="A2680" i="17"/>
  <c r="A2698" i="17"/>
  <c r="A2715" i="17"/>
  <c r="A2732" i="17"/>
  <c r="A2749" i="17"/>
  <c r="A2540" i="17"/>
  <c r="A2557" i="17"/>
  <c r="A2575" i="17"/>
  <c r="A2593" i="17"/>
  <c r="A2610" i="17"/>
  <c r="A2628" i="17"/>
  <c r="A2645" i="17"/>
  <c r="A2662" i="17"/>
  <c r="A2679" i="17"/>
  <c r="A2697" i="17"/>
  <c r="A2714" i="17"/>
  <c r="A2731" i="17"/>
  <c r="A2748" i="17"/>
  <c r="A2521" i="17"/>
  <c r="A2539" i="17"/>
  <c r="A2556" i="17"/>
  <c r="A2574" i="17"/>
  <c r="A2592" i="17"/>
  <c r="A2609" i="17"/>
  <c r="A2627" i="17"/>
  <c r="A2644" i="17"/>
  <c r="A2661" i="17"/>
  <c r="A2678" i="17"/>
  <c r="A2696" i="17"/>
  <c r="A2713" i="17"/>
  <c r="A2730" i="17"/>
  <c r="A2502" i="17"/>
  <c r="A2520" i="17"/>
  <c r="A2538" i="17"/>
  <c r="A2555" i="17"/>
  <c r="A2573" i="17"/>
  <c r="A2591" i="17"/>
  <c r="A2608" i="17"/>
  <c r="A2626" i="17"/>
  <c r="A2643" i="17"/>
  <c r="A2660" i="17"/>
  <c r="A2677" i="17"/>
  <c r="A2695" i="17"/>
  <c r="A2712" i="17"/>
  <c r="A2729" i="17"/>
  <c r="A2501" i="17"/>
  <c r="A2519" i="17"/>
  <c r="A2537" i="17"/>
  <c r="A2554" i="17"/>
  <c r="A2572" i="17"/>
  <c r="A2590" i="17"/>
  <c r="A2607" i="17"/>
  <c r="A2625" i="17"/>
  <c r="A2642" i="17"/>
  <c r="A2659" i="17"/>
  <c r="A2676" i="17"/>
  <c r="A2694" i="17"/>
  <c r="A2711" i="17"/>
  <c r="A2482" i="17"/>
  <c r="A2500" i="17"/>
  <c r="A2518" i="17"/>
  <c r="A2536" i="17"/>
  <c r="A2553" i="17"/>
  <c r="A2571" i="17"/>
  <c r="A2589" i="17"/>
  <c r="A2606" i="17"/>
  <c r="A2624" i="17"/>
  <c r="A2641" i="17"/>
  <c r="A2658" i="17"/>
  <c r="A2675" i="17"/>
  <c r="A2693" i="17"/>
  <c r="A2462" i="17"/>
  <c r="A2481" i="17"/>
  <c r="A2499" i="17"/>
  <c r="A2517" i="17"/>
  <c r="A2535" i="17"/>
  <c r="A2552" i="17"/>
  <c r="A2570" i="17"/>
  <c r="A2588" i="17"/>
  <c r="A2605" i="17"/>
  <c r="A2623" i="17"/>
  <c r="A2640" i="17"/>
  <c r="A2657" i="17"/>
  <c r="A2674" i="17"/>
  <c r="A2692" i="17"/>
  <c r="A2441" i="17"/>
  <c r="A2461" i="17"/>
  <c r="A2480" i="17"/>
  <c r="A2498" i="17"/>
  <c r="A2516" i="17"/>
  <c r="A2534" i="17"/>
  <c r="A2551" i="17"/>
  <c r="A2569" i="17"/>
  <c r="A2587" i="17"/>
  <c r="A2604" i="17"/>
  <c r="A2622" i="17"/>
  <c r="A2639" i="17"/>
  <c r="A2656" i="17"/>
  <c r="A2673" i="17"/>
  <c r="A2440" i="17"/>
  <c r="A2460" i="17"/>
  <c r="A2479" i="17"/>
  <c r="A2497" i="17"/>
  <c r="A2515" i="17"/>
  <c r="A2533" i="17"/>
  <c r="A2550" i="17"/>
  <c r="A2568" i="17"/>
  <c r="A2586" i="17"/>
  <c r="A2603" i="17"/>
  <c r="A2621" i="17"/>
  <c r="A2638" i="17"/>
  <c r="A2655" i="17"/>
  <c r="A2419" i="17"/>
  <c r="A2439" i="17"/>
  <c r="A2459" i="17"/>
  <c r="A2478" i="17"/>
  <c r="A2496" i="17"/>
  <c r="A2514" i="17"/>
  <c r="A2532" i="17"/>
  <c r="A2549" i="17"/>
  <c r="A2567" i="17"/>
  <c r="A2585" i="17"/>
  <c r="A2602" i="17"/>
  <c r="A2620" i="17"/>
  <c r="A2637" i="17"/>
  <c r="A2418" i="17"/>
  <c r="A2438" i="17"/>
  <c r="A2458" i="17"/>
  <c r="A2477" i="17"/>
  <c r="A2495" i="17"/>
  <c r="A2513" i="17"/>
  <c r="A2531" i="17"/>
  <c r="A2548" i="17"/>
  <c r="A2566" i="17"/>
  <c r="A2584" i="17"/>
  <c r="A2601" i="17"/>
  <c r="A2619" i="17"/>
  <c r="A2636" i="17"/>
  <c r="A2397" i="17"/>
  <c r="A2417" i="17"/>
  <c r="A2437" i="17"/>
  <c r="A2457" i="17"/>
  <c r="A2476" i="17"/>
  <c r="A2494" i="17"/>
  <c r="A2512" i="17"/>
  <c r="A2530" i="17"/>
  <c r="A2547" i="17"/>
  <c r="A2565" i="17"/>
  <c r="A2583" i="17"/>
  <c r="A2600" i="17"/>
  <c r="A2618" i="17"/>
  <c r="A2375" i="17"/>
  <c r="A2396" i="17"/>
  <c r="A2416" i="17"/>
  <c r="A2436" i="17"/>
  <c r="A2456" i="17"/>
  <c r="A2475" i="17"/>
  <c r="A2493" i="17"/>
  <c r="A2511" i="17"/>
  <c r="A2529" i="17"/>
  <c r="A2546" i="17"/>
  <c r="A2564" i="17"/>
  <c r="A2582" i="17"/>
  <c r="A2599" i="17"/>
  <c r="A2617" i="17"/>
  <c r="A2352" i="17"/>
  <c r="A2374" i="17"/>
  <c r="A2395" i="17"/>
  <c r="A2415" i="17"/>
  <c r="A2435" i="17"/>
  <c r="A2455" i="17"/>
  <c r="A2474" i="17"/>
  <c r="A2492" i="17"/>
  <c r="A2510" i="17"/>
  <c r="A2528" i="17"/>
  <c r="A2545" i="17"/>
  <c r="A2563" i="17"/>
  <c r="A2581" i="17"/>
  <c r="A2598" i="17"/>
  <c r="A2328" i="17"/>
  <c r="A2351" i="17"/>
  <c r="A2373" i="17"/>
  <c r="A2394" i="17"/>
  <c r="A2414" i="17"/>
  <c r="A2434" i="17"/>
  <c r="A2454" i="17"/>
  <c r="A2473" i="17"/>
  <c r="A2491" i="17"/>
  <c r="A2509" i="17"/>
  <c r="A2527" i="17"/>
  <c r="A2544" i="17"/>
  <c r="A2562" i="17"/>
  <c r="A2580" i="17"/>
  <c r="A2327" i="17"/>
  <c r="A2350" i="17"/>
  <c r="A2372" i="17"/>
  <c r="A2393" i="17"/>
  <c r="A2413" i="17"/>
  <c r="A2433" i="17"/>
  <c r="A2453" i="17"/>
  <c r="A2472" i="17"/>
  <c r="A2490" i="17"/>
  <c r="A2508" i="17"/>
  <c r="A2526" i="17"/>
  <c r="A2543" i="17"/>
  <c r="A2561" i="17"/>
  <c r="A2579" i="17"/>
  <c r="A2303" i="17"/>
  <c r="A2326" i="17"/>
  <c r="A2349" i="17"/>
  <c r="A2371" i="17"/>
  <c r="A2392" i="17"/>
  <c r="A2412" i="17"/>
  <c r="A2432" i="17"/>
  <c r="A2452" i="17"/>
  <c r="A2471" i="17"/>
  <c r="A2489" i="17"/>
  <c r="A2507" i="17"/>
  <c r="A2525" i="17"/>
  <c r="A2542" i="17"/>
  <c r="A2560" i="17"/>
  <c r="A2302" i="17"/>
  <c r="A2325" i="17"/>
  <c r="A2348" i="17"/>
  <c r="A2370" i="17"/>
  <c r="A2391" i="17"/>
  <c r="A2411" i="17"/>
  <c r="A2431" i="17"/>
  <c r="A2451" i="17"/>
  <c r="A2470" i="17"/>
  <c r="A2488" i="17"/>
  <c r="A2506" i="17"/>
  <c r="A2524" i="17"/>
  <c r="A2541" i="17"/>
  <c r="A2278" i="17"/>
  <c r="A2301" i="17"/>
  <c r="A2324" i="17"/>
  <c r="A2347" i="17"/>
  <c r="A2369" i="17"/>
  <c r="A2390" i="17"/>
  <c r="A2410" i="17"/>
  <c r="A2430" i="17"/>
  <c r="A2450" i="17"/>
  <c r="A2469" i="17"/>
  <c r="A2487" i="17"/>
  <c r="A2505" i="17"/>
  <c r="A2523" i="17"/>
  <c r="A2253" i="17"/>
  <c r="A2277" i="17"/>
  <c r="A2300" i="17"/>
  <c r="A2323" i="17"/>
  <c r="A2346" i="17"/>
  <c r="A2368" i="17"/>
  <c r="A2389" i="17"/>
  <c r="A2409" i="17"/>
  <c r="A2429" i="17"/>
  <c r="A2449" i="17"/>
  <c r="A2468" i="17"/>
  <c r="A2486" i="17"/>
  <c r="A2504" i="17"/>
  <c r="A2522" i="17"/>
  <c r="A2227" i="17"/>
  <c r="A2252" i="17"/>
  <c r="A2276" i="17"/>
  <c r="A2299" i="17"/>
  <c r="A2322" i="17"/>
  <c r="A2345" i="17"/>
  <c r="A2367" i="17"/>
  <c r="A2388" i="17"/>
  <c r="A2408" i="17"/>
  <c r="A2428" i="17"/>
  <c r="A2448" i="17"/>
  <c r="A2467" i="17"/>
  <c r="A2485" i="17"/>
  <c r="A2503" i="17"/>
  <c r="A2200" i="17"/>
  <c r="A2226" i="17"/>
  <c r="A2251" i="17"/>
  <c r="A2275" i="17"/>
  <c r="A2298" i="17"/>
  <c r="A2321" i="17"/>
  <c r="A2344" i="17"/>
  <c r="A2366" i="17"/>
  <c r="A2387" i="17"/>
  <c r="A2407" i="17"/>
  <c r="A2427" i="17"/>
  <c r="A2447" i="17"/>
  <c r="A2466" i="17"/>
  <c r="A2484" i="17"/>
  <c r="A2172" i="17"/>
  <c r="A2199" i="17"/>
  <c r="A2225" i="17"/>
  <c r="A2250" i="17"/>
  <c r="A2274" i="17"/>
  <c r="A2297" i="17"/>
  <c r="A2320" i="17"/>
  <c r="A2343" i="17"/>
  <c r="A2365" i="17"/>
  <c r="A2386" i="17"/>
  <c r="A2406" i="17"/>
  <c r="A2426" i="17"/>
  <c r="A2446" i="17"/>
  <c r="A2465" i="17"/>
  <c r="A2483" i="17"/>
  <c r="A2171" i="17"/>
  <c r="A2198" i="17"/>
  <c r="A2224" i="17"/>
  <c r="A2249" i="17"/>
  <c r="A2273" i="17"/>
  <c r="A2296" i="17"/>
  <c r="A2319" i="17"/>
  <c r="A2342" i="17"/>
  <c r="A2364" i="17"/>
  <c r="A2385" i="17"/>
  <c r="A2405" i="17"/>
  <c r="A2425" i="17"/>
  <c r="A2445" i="17"/>
  <c r="A2464" i="17"/>
  <c r="A2144" i="17"/>
  <c r="A2170" i="17"/>
  <c r="A2197" i="17"/>
  <c r="A2223" i="17"/>
  <c r="A2248" i="17"/>
  <c r="A2272" i="17"/>
  <c r="A2295" i="17"/>
  <c r="A2318" i="17"/>
  <c r="A2341" i="17"/>
  <c r="A2363" i="17"/>
  <c r="A2384" i="17"/>
  <c r="A2404" i="17"/>
  <c r="A2424" i="17"/>
  <c r="A2444" i="17"/>
  <c r="A2463" i="17"/>
  <c r="A2143" i="17"/>
  <c r="A2169" i="17"/>
  <c r="A2196" i="17"/>
  <c r="A2222" i="17"/>
  <c r="A2247" i="17"/>
  <c r="A2271" i="17"/>
  <c r="A2294" i="17"/>
  <c r="A2317" i="17"/>
  <c r="A2340" i="17"/>
  <c r="A2362" i="17"/>
  <c r="A2383" i="17"/>
  <c r="A2403" i="17"/>
  <c r="A2423" i="17"/>
  <c r="A2443" i="17"/>
  <c r="A2117" i="17"/>
  <c r="A2142" i="17"/>
  <c r="A2168" i="17"/>
  <c r="A2195" i="17"/>
  <c r="A2221" i="17"/>
  <c r="A2246" i="17"/>
  <c r="A2270" i="17"/>
  <c r="A2293" i="17"/>
  <c r="A2316" i="17"/>
  <c r="A2339" i="17"/>
  <c r="A2361" i="17"/>
  <c r="A2382" i="17"/>
  <c r="A2402" i="17"/>
  <c r="A2422" i="17"/>
  <c r="A2442" i="17"/>
  <c r="A2090" i="17"/>
  <c r="A2116" i="17"/>
  <c r="A2141" i="17"/>
  <c r="A2167" i="17"/>
  <c r="A2194" i="17"/>
  <c r="A2220" i="17"/>
  <c r="A2245" i="17"/>
  <c r="A2269" i="17"/>
  <c r="A2292" i="17"/>
  <c r="A2315" i="17"/>
  <c r="A2338" i="17"/>
  <c r="A2360" i="17"/>
  <c r="A2381" i="17"/>
  <c r="A2401" i="17"/>
  <c r="A2421" i="17"/>
  <c r="A2063" i="17"/>
  <c r="A2089" i="17"/>
  <c r="A2115" i="17"/>
  <c r="A2140" i="17"/>
  <c r="A2166" i="17"/>
  <c r="A2193" i="17"/>
  <c r="A2219" i="17"/>
  <c r="A2244" i="17"/>
  <c r="A2268" i="17"/>
  <c r="A2291" i="17"/>
  <c r="A2314" i="17"/>
  <c r="A2337" i="17"/>
  <c r="A2359" i="17"/>
  <c r="A2380" i="17"/>
  <c r="A2400" i="17"/>
  <c r="A2420" i="17"/>
  <c r="A2035" i="17"/>
  <c r="A2062" i="17"/>
  <c r="A2088" i="17"/>
  <c r="A2114" i="17"/>
  <c r="A2139" i="17"/>
  <c r="A2165" i="17"/>
  <c r="A2192" i="17"/>
  <c r="A2218" i="17"/>
  <c r="A2243" i="17"/>
  <c r="A2267" i="17"/>
  <c r="A2290" i="17"/>
  <c r="A2313" i="17"/>
  <c r="A2336" i="17"/>
  <c r="A2358" i="17"/>
  <c r="A2379" i="17"/>
  <c r="A2399" i="17"/>
  <c r="A2034" i="17"/>
  <c r="A2061" i="17"/>
  <c r="A2087" i="17"/>
  <c r="A2113" i="17"/>
  <c r="A2138" i="17"/>
  <c r="A2164" i="17"/>
  <c r="A2191" i="17"/>
  <c r="A2217" i="17"/>
  <c r="A2242" i="17"/>
  <c r="A2266" i="17"/>
  <c r="A2289" i="17"/>
  <c r="A2312" i="17"/>
  <c r="A2335" i="17"/>
  <c r="A2357" i="17"/>
  <c r="A2378" i="17"/>
  <c r="A2398" i="17"/>
  <c r="A2006" i="17"/>
  <c r="A2033" i="17"/>
  <c r="A2060" i="17"/>
  <c r="A2086" i="17"/>
  <c r="A2112" i="17"/>
  <c r="A2137" i="17"/>
  <c r="A2163" i="17"/>
  <c r="A2190" i="17"/>
  <c r="A2216" i="17"/>
  <c r="A2241" i="17"/>
  <c r="A2265" i="17"/>
  <c r="A2288" i="17"/>
  <c r="A2311" i="17"/>
  <c r="A2334" i="17"/>
  <c r="A2356" i="17"/>
  <c r="A2377" i="17"/>
  <c r="A2005" i="17"/>
  <c r="A2032" i="17"/>
  <c r="A2059" i="17"/>
  <c r="A2085" i="17"/>
  <c r="A2111" i="17"/>
  <c r="A2136" i="17"/>
  <c r="A2162" i="17"/>
  <c r="A2189" i="17"/>
  <c r="A2215" i="17"/>
  <c r="A2240" i="17"/>
  <c r="A2264" i="17"/>
  <c r="A2287" i="17"/>
  <c r="A2310" i="17"/>
  <c r="A2333" i="17"/>
  <c r="A2355" i="17"/>
  <c r="A2376" i="17"/>
  <c r="A1977" i="17"/>
  <c r="A2004" i="17"/>
  <c r="A2031" i="17"/>
  <c r="A2058" i="17"/>
  <c r="A2084" i="17"/>
  <c r="A2110" i="17"/>
  <c r="A2135" i="17"/>
  <c r="A2161" i="17"/>
  <c r="A2188" i="17"/>
  <c r="A2214" i="17"/>
  <c r="A2239" i="17"/>
  <c r="A2263" i="17"/>
  <c r="A2286" i="17"/>
  <c r="A2309" i="17"/>
  <c r="A2332" i="17"/>
  <c r="A2354" i="17"/>
  <c r="A1948" i="17"/>
  <c r="A1976" i="17"/>
  <c r="A2003" i="17"/>
  <c r="A2030" i="17"/>
  <c r="A2057" i="17"/>
  <c r="A2083" i="17"/>
  <c r="A2109" i="17"/>
  <c r="A2134" i="17"/>
  <c r="A2160" i="17"/>
  <c r="A2187" i="17"/>
  <c r="A2213" i="17"/>
  <c r="A2238" i="17"/>
  <c r="A2262" i="17"/>
  <c r="A2285" i="17"/>
  <c r="A2308" i="17"/>
  <c r="A2331" i="17"/>
  <c r="A2353" i="17"/>
  <c r="A1947" i="17"/>
  <c r="A1975" i="17"/>
  <c r="A2002" i="17"/>
  <c r="A2029" i="17"/>
  <c r="A2056" i="17"/>
  <c r="A2082" i="17"/>
  <c r="A2108" i="17"/>
  <c r="A2133" i="17"/>
  <c r="A2159" i="17"/>
  <c r="A2186" i="17"/>
  <c r="A2212" i="17"/>
  <c r="A2237" i="17"/>
  <c r="A2261" i="17"/>
  <c r="A2284" i="17"/>
  <c r="A2307" i="17"/>
  <c r="A2330" i="17"/>
  <c r="A1918" i="17"/>
  <c r="A1946" i="17"/>
  <c r="A1974" i="17"/>
  <c r="A2001" i="17"/>
  <c r="A2028" i="17"/>
  <c r="A2055" i="17"/>
  <c r="A2081" i="17"/>
  <c r="A2107" i="17"/>
  <c r="A2132" i="17"/>
  <c r="A2158" i="17"/>
  <c r="A2185" i="17"/>
  <c r="A2211" i="17"/>
  <c r="A2236" i="17"/>
  <c r="A2260" i="17"/>
  <c r="A2283" i="17"/>
  <c r="A2306" i="17"/>
  <c r="A2329" i="17"/>
  <c r="A1917" i="17"/>
  <c r="A1945" i="17"/>
  <c r="A1973" i="17"/>
  <c r="A2000" i="17"/>
  <c r="A2027" i="17"/>
  <c r="A2054" i="17"/>
  <c r="A2080" i="17"/>
  <c r="A2106" i="17"/>
  <c r="A2131" i="17"/>
  <c r="A2157" i="17"/>
  <c r="A2184" i="17"/>
  <c r="A2210" i="17"/>
  <c r="A2235" i="17"/>
  <c r="A2259" i="17"/>
  <c r="A2282" i="17"/>
  <c r="A2305" i="17"/>
  <c r="A1889" i="17"/>
  <c r="A1916" i="17"/>
  <c r="A1944" i="17"/>
  <c r="A1972" i="17"/>
  <c r="A1999" i="17"/>
  <c r="A2026" i="17"/>
  <c r="A2053" i="17"/>
  <c r="A2079" i="17"/>
  <c r="A2105" i="17"/>
  <c r="A2130" i="17"/>
  <c r="A2156" i="17"/>
  <c r="A2183" i="17"/>
  <c r="A2209" i="17"/>
  <c r="A2234" i="17"/>
  <c r="A2258" i="17"/>
  <c r="A2281" i="17"/>
  <c r="A2304" i="17"/>
  <c r="A1860" i="17"/>
  <c r="A1888" i="17"/>
  <c r="A1915" i="17"/>
  <c r="A1943" i="17"/>
  <c r="A1971" i="17"/>
  <c r="A1998" i="17"/>
  <c r="A2025" i="17"/>
  <c r="A2052" i="17"/>
  <c r="A2078" i="17"/>
  <c r="A2104" i="17"/>
  <c r="A2129" i="17"/>
  <c r="A2155" i="17"/>
  <c r="A2182" i="17"/>
  <c r="A2208" i="17"/>
  <c r="A2233" i="17"/>
  <c r="A2257" i="17"/>
  <c r="A2280" i="17"/>
  <c r="A1859" i="17"/>
  <c r="A1887" i="17"/>
  <c r="A1914" i="17"/>
  <c r="A1942" i="17"/>
  <c r="A1970" i="17"/>
  <c r="A1997" i="17"/>
  <c r="A2024" i="17"/>
  <c r="A2051" i="17"/>
  <c r="A2077" i="17"/>
  <c r="A2103" i="17"/>
  <c r="A2128" i="17"/>
  <c r="A2154" i="17"/>
  <c r="A2181" i="17"/>
  <c r="A2207" i="17"/>
  <c r="A2232" i="17"/>
  <c r="A2256" i="17"/>
  <c r="A2279" i="17"/>
  <c r="A1830" i="17"/>
  <c r="A1858" i="17"/>
  <c r="A1886" i="17"/>
  <c r="A1913" i="17"/>
  <c r="A1941" i="17"/>
  <c r="A1969" i="17"/>
  <c r="A1996" i="17"/>
  <c r="A2023" i="17"/>
  <c r="A2050" i="17"/>
  <c r="A2076" i="17"/>
  <c r="A2102" i="17"/>
  <c r="A2127" i="17"/>
  <c r="A2153" i="17"/>
  <c r="A2180" i="17"/>
  <c r="A2206" i="17"/>
  <c r="A2231" i="17"/>
  <c r="A2255" i="17"/>
  <c r="A1829" i="17"/>
  <c r="A1857" i="17"/>
  <c r="A1885" i="17"/>
  <c r="A1912" i="17"/>
  <c r="A1940" i="17"/>
  <c r="A1968" i="17"/>
  <c r="A1995" i="17"/>
  <c r="A2022" i="17"/>
  <c r="A2049" i="17"/>
  <c r="A2075" i="17"/>
  <c r="A2101" i="17"/>
  <c r="A2126" i="17"/>
  <c r="A2152" i="17"/>
  <c r="A2179" i="17"/>
  <c r="A2205" i="17"/>
  <c r="A2230" i="17"/>
  <c r="A2254" i="17"/>
  <c r="A1801" i="17"/>
  <c r="A1828" i="17"/>
  <c r="A1856" i="17"/>
  <c r="A1884" i="17"/>
  <c r="A1911" i="17"/>
  <c r="A1939" i="17"/>
  <c r="A1967" i="17"/>
  <c r="A1994" i="17"/>
  <c r="A2021" i="17"/>
  <c r="A2048" i="17"/>
  <c r="A2074" i="17"/>
  <c r="A2100" i="17"/>
  <c r="A2125" i="17"/>
  <c r="A2151" i="17"/>
  <c r="A2178" i="17"/>
  <c r="A2204" i="17"/>
  <c r="A2229" i="17"/>
  <c r="A1800" i="17"/>
  <c r="A1827" i="17"/>
  <c r="A1855" i="17"/>
  <c r="A1883" i="17"/>
  <c r="A1910" i="17"/>
  <c r="A1938" i="17"/>
  <c r="A1966" i="17"/>
  <c r="A1993" i="17"/>
  <c r="A2020" i="17"/>
  <c r="A2047" i="17"/>
  <c r="A2073" i="17"/>
  <c r="A2099" i="17"/>
  <c r="A2124" i="17"/>
  <c r="A2150" i="17"/>
  <c r="A2177" i="17"/>
  <c r="A2203" i="17"/>
  <c r="A2228" i="17"/>
  <c r="A1772" i="17"/>
  <c r="A1799" i="17"/>
  <c r="A1826" i="17"/>
  <c r="A1854" i="17"/>
  <c r="A1882" i="17"/>
  <c r="A1909" i="17"/>
  <c r="A1937" i="17"/>
  <c r="A1965" i="17"/>
  <c r="A1992" i="17"/>
  <c r="A2019" i="17"/>
  <c r="A2046" i="17"/>
  <c r="A2072" i="17"/>
  <c r="A2098" i="17"/>
  <c r="A2123" i="17"/>
  <c r="A2149" i="17"/>
  <c r="A2176" i="17"/>
  <c r="A2202" i="17"/>
  <c r="A1771" i="17"/>
  <c r="A1798" i="17"/>
  <c r="A1825" i="17"/>
  <c r="A1853" i="17"/>
  <c r="A1881" i="17"/>
  <c r="A1908" i="17"/>
  <c r="A1936" i="17"/>
  <c r="A1964" i="17"/>
  <c r="A1991" i="17"/>
  <c r="A2018" i="17"/>
  <c r="A2045" i="17"/>
  <c r="A2071" i="17"/>
  <c r="A2097" i="17"/>
  <c r="A2122" i="17"/>
  <c r="A2148" i="17"/>
  <c r="A2175" i="17"/>
  <c r="A2201" i="17"/>
  <c r="A1743" i="17"/>
  <c r="A1770" i="17"/>
  <c r="A1797" i="17"/>
  <c r="A1824" i="17"/>
  <c r="A1852" i="17"/>
  <c r="A1880" i="17"/>
  <c r="A1907" i="17"/>
  <c r="A1935" i="17"/>
  <c r="A1963" i="17"/>
  <c r="A1990" i="17"/>
  <c r="A2017" i="17"/>
  <c r="A2044" i="17"/>
  <c r="A2070" i="17"/>
  <c r="A2096" i="17"/>
  <c r="A2121" i="17"/>
  <c r="A2147" i="17"/>
  <c r="A2174" i="17"/>
  <c r="A1742" i="17"/>
  <c r="A1769" i="17"/>
  <c r="A1796" i="17"/>
  <c r="A1823" i="17"/>
  <c r="A1851" i="17"/>
  <c r="A1879" i="17"/>
  <c r="A1906" i="17"/>
  <c r="A1934" i="17"/>
  <c r="A1962" i="17"/>
  <c r="A1989" i="17"/>
  <c r="A2016" i="17"/>
  <c r="A2043" i="17"/>
  <c r="A2069" i="17"/>
  <c r="A2095" i="17"/>
  <c r="A2120" i="17"/>
  <c r="A2146" i="17"/>
  <c r="A2173" i="17"/>
  <c r="A1715" i="17"/>
  <c r="A1741" i="17"/>
  <c r="A1768" i="17"/>
  <c r="A1795" i="17"/>
  <c r="A1822" i="17"/>
  <c r="A1850" i="17"/>
  <c r="A1878" i="17"/>
  <c r="A1905" i="17"/>
  <c r="A1933" i="17"/>
  <c r="A1961" i="17"/>
  <c r="A1988" i="17"/>
  <c r="A2015" i="17"/>
  <c r="A2042" i="17"/>
  <c r="A2068" i="17"/>
  <c r="A2094" i="17"/>
  <c r="A2119" i="17"/>
  <c r="A2145" i="17"/>
  <c r="A1687" i="17"/>
  <c r="A1714" i="17"/>
  <c r="A1740" i="17"/>
  <c r="A1767" i="17"/>
  <c r="A1794" i="17"/>
  <c r="A1821" i="17"/>
  <c r="A1849" i="17"/>
  <c r="A1877" i="17"/>
  <c r="A1904" i="17"/>
  <c r="A1932" i="17"/>
  <c r="A1960" i="17"/>
  <c r="A1987" i="17"/>
  <c r="A2014" i="17"/>
  <c r="A2041" i="17"/>
  <c r="A2067" i="17"/>
  <c r="A2093" i="17"/>
  <c r="A2118" i="17"/>
  <c r="A1686" i="17"/>
  <c r="A1713" i="17"/>
  <c r="A1739" i="17"/>
  <c r="A1766" i="17"/>
  <c r="A1793" i="17"/>
  <c r="A1820" i="17"/>
  <c r="A1848" i="17"/>
  <c r="A1876" i="17"/>
  <c r="A1903" i="17"/>
  <c r="A1931" i="17"/>
  <c r="A1959" i="17"/>
  <c r="A1986" i="17"/>
  <c r="A2013" i="17"/>
  <c r="A2040" i="17"/>
  <c r="A2066" i="17"/>
  <c r="A2092" i="17"/>
  <c r="A1659" i="17"/>
  <c r="A1685" i="17"/>
  <c r="A1712" i="17"/>
  <c r="A1738" i="17"/>
  <c r="A1765" i="17"/>
  <c r="A1792" i="17"/>
  <c r="A1819" i="17"/>
  <c r="A1847" i="17"/>
  <c r="A1875" i="17"/>
  <c r="A1902" i="17"/>
  <c r="A1930" i="17"/>
  <c r="A1958" i="17"/>
  <c r="A1985" i="17"/>
  <c r="A2012" i="17"/>
  <c r="A2039" i="17"/>
  <c r="A2065" i="17"/>
  <c r="A2091" i="17"/>
  <c r="A1658" i="17"/>
  <c r="A1684" i="17"/>
  <c r="A1711" i="17"/>
  <c r="A1737" i="17"/>
  <c r="A1764" i="17"/>
  <c r="A1791" i="17"/>
  <c r="A1818" i="17"/>
  <c r="A1846" i="17"/>
  <c r="A1874" i="17"/>
  <c r="A1901" i="17"/>
  <c r="A1929" i="17"/>
  <c r="A1957" i="17"/>
  <c r="A1984" i="17"/>
  <c r="A2011" i="17"/>
  <c r="A2038" i="17"/>
  <c r="A2064" i="17"/>
  <c r="A1631" i="17"/>
  <c r="A1657" i="17"/>
  <c r="A1683" i="17"/>
  <c r="A1710" i="17"/>
  <c r="A1736" i="17"/>
  <c r="A1763" i="17"/>
  <c r="A1790" i="17"/>
  <c r="A1817" i="17"/>
  <c r="A1845" i="17"/>
  <c r="A1873" i="17"/>
  <c r="A1900" i="17"/>
  <c r="A1928" i="17"/>
  <c r="A1956" i="17"/>
  <c r="A1983" i="17"/>
  <c r="A2010" i="17"/>
  <c r="A2037" i="17"/>
  <c r="A1604" i="17"/>
  <c r="A1630" i="17"/>
  <c r="A1656" i="17"/>
  <c r="A1682" i="17"/>
  <c r="A1709" i="17"/>
  <c r="A1735" i="17"/>
  <c r="A1762" i="17"/>
  <c r="A1789" i="17"/>
  <c r="A1816" i="17"/>
  <c r="A1844" i="17"/>
  <c r="A1872" i="17"/>
  <c r="A1899" i="17"/>
  <c r="A1927" i="17"/>
  <c r="A1955" i="17"/>
  <c r="A1982" i="17"/>
  <c r="A2009" i="17"/>
  <c r="A2036" i="17"/>
  <c r="A1576" i="17"/>
  <c r="A1603" i="17"/>
  <c r="A1629" i="17"/>
  <c r="A1655" i="17"/>
  <c r="A1681" i="17"/>
  <c r="A1708" i="17"/>
  <c r="A1734" i="17"/>
  <c r="A1761" i="17"/>
  <c r="A1788" i="17"/>
  <c r="A1815" i="17"/>
  <c r="A1843" i="17"/>
  <c r="A1871" i="17"/>
  <c r="A1898" i="17"/>
  <c r="A1926" i="17"/>
  <c r="A1954" i="17"/>
  <c r="A1981" i="17"/>
  <c r="A2008" i="17"/>
  <c r="A1575" i="17"/>
  <c r="A1602" i="17"/>
  <c r="A1628" i="17"/>
  <c r="A1654" i="17"/>
  <c r="A1680" i="17"/>
  <c r="A1707" i="17"/>
  <c r="A1733" i="17"/>
  <c r="A1760" i="17"/>
  <c r="A1787" i="17"/>
  <c r="A1814" i="17"/>
  <c r="A1842" i="17"/>
  <c r="A1870" i="17"/>
  <c r="A1897" i="17"/>
  <c r="A1925" i="17"/>
  <c r="A1953" i="17"/>
  <c r="A1980" i="17"/>
  <c r="A2007" i="17"/>
  <c r="A1548" i="17"/>
  <c r="A1574" i="17"/>
  <c r="A1601" i="17"/>
  <c r="A1627" i="17"/>
  <c r="A1653" i="17"/>
  <c r="A1679" i="17"/>
  <c r="A1706" i="17"/>
  <c r="A1732" i="17"/>
  <c r="A1759" i="17"/>
  <c r="A1786" i="17"/>
  <c r="A1813" i="17"/>
  <c r="A1841" i="17"/>
  <c r="A1869" i="17"/>
  <c r="A1896" i="17"/>
  <c r="A1924" i="17"/>
  <c r="A1952" i="17"/>
  <c r="A1979" i="17"/>
  <c r="A1547" i="17"/>
  <c r="A1573" i="17"/>
  <c r="A1600" i="17"/>
  <c r="A1626" i="17"/>
  <c r="A1652" i="17"/>
  <c r="A1678" i="17"/>
  <c r="A1705" i="17"/>
  <c r="A1731" i="17"/>
  <c r="A1758" i="17"/>
  <c r="A1785" i="17"/>
  <c r="A1812" i="17"/>
  <c r="A1840" i="17"/>
  <c r="A1868" i="17"/>
  <c r="A1895" i="17"/>
  <c r="A1923" i="17"/>
  <c r="A1951" i="17"/>
  <c r="A1978" i="17"/>
  <c r="A1520" i="17"/>
  <c r="A1546" i="17"/>
  <c r="A1572" i="17"/>
  <c r="A1599" i="17"/>
  <c r="A1625" i="17"/>
  <c r="A1651" i="17"/>
  <c r="A1677" i="17"/>
  <c r="A1704" i="17"/>
  <c r="A1730" i="17"/>
  <c r="A1757" i="17"/>
  <c r="A1784" i="17"/>
  <c r="A1811" i="17"/>
  <c r="A1839" i="17"/>
  <c r="A1867" i="17"/>
  <c r="A1894" i="17"/>
  <c r="A1922" i="17"/>
  <c r="A1950" i="17"/>
  <c r="A1519" i="17"/>
  <c r="A1545" i="17"/>
  <c r="A1571" i="17"/>
  <c r="A1598" i="17"/>
  <c r="A1624" i="17"/>
  <c r="A1650" i="17"/>
  <c r="A1676" i="17"/>
  <c r="A1703" i="17"/>
  <c r="A1729" i="17"/>
  <c r="A1756" i="17"/>
  <c r="A1783" i="17"/>
  <c r="A1810" i="17"/>
  <c r="A1838" i="17"/>
  <c r="A1866" i="17"/>
  <c r="A1893" i="17"/>
  <c r="A1921" i="17"/>
  <c r="A1949" i="17"/>
  <c r="A1493" i="17"/>
  <c r="A1518" i="17"/>
  <c r="A1544" i="17"/>
  <c r="A1570" i="17"/>
  <c r="A1597" i="17"/>
  <c r="A1623" i="17"/>
  <c r="A1649" i="17"/>
  <c r="A1675" i="17"/>
  <c r="A1702" i="17"/>
  <c r="A1728" i="17"/>
  <c r="A1755" i="17"/>
  <c r="A1782" i="17"/>
  <c r="A1809" i="17"/>
  <c r="A1837" i="17"/>
  <c r="A1865" i="17"/>
  <c r="A1892" i="17"/>
  <c r="A1920" i="17"/>
  <c r="A1492" i="17"/>
  <c r="A1517" i="17"/>
  <c r="A1543" i="17"/>
  <c r="A1569" i="17"/>
  <c r="A1596" i="17"/>
  <c r="A1622" i="17"/>
  <c r="A1648" i="17"/>
  <c r="A1674" i="17"/>
  <c r="A1701" i="17"/>
  <c r="A1727" i="17"/>
  <c r="A1754" i="17"/>
  <c r="A1781" i="17"/>
  <c r="A1808" i="17"/>
  <c r="A1836" i="17"/>
  <c r="A1864" i="17"/>
  <c r="A1891" i="17"/>
  <c r="A1919" i="17"/>
  <c r="A1466" i="17"/>
  <c r="A1491" i="17"/>
  <c r="A1516" i="17"/>
  <c r="A1542" i="17"/>
  <c r="A1568" i="17"/>
  <c r="A1595" i="17"/>
  <c r="A1621" i="17"/>
  <c r="A1647" i="17"/>
  <c r="A1673" i="17"/>
  <c r="A1700" i="17"/>
  <c r="A1726" i="17"/>
  <c r="A1753" i="17"/>
  <c r="A1780" i="17"/>
  <c r="A1807" i="17"/>
  <c r="A1835" i="17"/>
  <c r="A1863" i="17"/>
  <c r="A1890" i="17"/>
  <c r="A1440" i="17"/>
  <c r="A1465" i="17"/>
  <c r="A1490" i="17"/>
  <c r="A1515" i="17"/>
  <c r="A1541" i="17"/>
  <c r="A1567" i="17"/>
  <c r="A1594" i="17"/>
  <c r="A1620" i="17"/>
  <c r="A1646" i="17"/>
  <c r="A1672" i="17"/>
  <c r="A1699" i="17"/>
  <c r="A1725" i="17"/>
  <c r="A1752" i="17"/>
  <c r="A1779" i="17"/>
  <c r="A1806" i="17"/>
  <c r="A1834" i="17"/>
  <c r="A1862" i="17"/>
  <c r="A1439" i="17"/>
  <c r="A1464" i="17"/>
  <c r="A1489" i="17"/>
  <c r="A1514" i="17"/>
  <c r="A1540" i="17"/>
  <c r="A1566" i="17"/>
  <c r="A1593" i="17"/>
  <c r="A1619" i="17"/>
  <c r="A1645" i="17"/>
  <c r="A1671" i="17"/>
  <c r="A1698" i="17"/>
  <c r="A1724" i="17"/>
  <c r="A1751" i="17"/>
  <c r="A1778" i="17"/>
  <c r="A1805" i="17"/>
  <c r="A1833" i="17"/>
  <c r="A1861" i="17"/>
  <c r="A1413" i="17"/>
  <c r="A1438" i="17"/>
  <c r="A1463" i="17"/>
  <c r="A1488" i="17"/>
  <c r="A1513" i="17"/>
  <c r="A1539" i="17"/>
  <c r="A1565" i="17"/>
  <c r="A1592" i="17"/>
  <c r="A1618" i="17"/>
  <c r="A1644" i="17"/>
  <c r="A1670" i="17"/>
  <c r="A1697" i="17"/>
  <c r="A1723" i="17"/>
  <c r="A1750" i="17"/>
  <c r="A1777" i="17"/>
  <c r="A1804" i="17"/>
  <c r="A1832" i="17"/>
  <c r="A1412" i="17"/>
  <c r="A1437" i="17"/>
  <c r="A1462" i="17"/>
  <c r="A1487" i="17"/>
  <c r="A1512" i="17"/>
  <c r="A1538" i="17"/>
  <c r="A1564" i="17"/>
  <c r="A1591" i="17"/>
  <c r="A1617" i="17"/>
  <c r="A1643" i="17"/>
  <c r="A1669" i="17"/>
  <c r="A1696" i="17"/>
  <c r="A1722" i="17"/>
  <c r="A1749" i="17"/>
  <c r="A1776" i="17"/>
  <c r="A1803" i="17"/>
  <c r="A1831" i="17"/>
  <c r="A1386" i="17"/>
  <c r="A1411" i="17"/>
  <c r="A1436" i="17"/>
  <c r="A1461" i="17"/>
  <c r="A1486" i="17"/>
  <c r="A1511" i="17"/>
  <c r="A1537" i="17"/>
  <c r="A1563" i="17"/>
  <c r="A1590" i="17"/>
  <c r="A1616" i="17"/>
  <c r="A1642" i="17"/>
  <c r="A1668" i="17"/>
  <c r="A1695" i="17"/>
  <c r="A1721" i="17"/>
  <c r="A1748" i="17"/>
  <c r="A1775" i="17"/>
  <c r="A1802" i="17"/>
  <c r="A1360" i="17"/>
  <c r="A1385" i="17"/>
  <c r="A1410" i="17"/>
  <c r="A1435" i="17"/>
  <c r="A1460" i="17"/>
  <c r="A1485" i="17"/>
  <c r="A1510" i="17"/>
  <c r="A1536" i="17"/>
  <c r="A1562" i="17"/>
  <c r="A1589" i="17"/>
  <c r="A1615" i="17"/>
  <c r="A1641" i="17"/>
  <c r="A1667" i="17"/>
  <c r="A1694" i="17"/>
  <c r="A1720" i="17"/>
  <c r="A1747" i="17"/>
  <c r="A1774" i="17"/>
  <c r="A1359" i="17"/>
  <c r="A1384" i="17"/>
  <c r="A1409" i="17"/>
  <c r="A1434" i="17"/>
  <c r="A1459" i="17"/>
  <c r="A1484" i="17"/>
  <c r="A1509" i="17"/>
  <c r="A1535" i="17"/>
  <c r="A1561" i="17"/>
  <c r="A1588" i="17"/>
  <c r="A1614" i="17"/>
  <c r="A1640" i="17"/>
  <c r="A1666" i="17"/>
  <c r="A1693" i="17"/>
  <c r="A1719" i="17"/>
  <c r="A1746" i="17"/>
  <c r="A1773" i="17"/>
  <c r="A1334" i="17"/>
  <c r="A1358" i="17"/>
  <c r="A1383" i="17"/>
  <c r="A1408" i="17"/>
  <c r="A1433" i="17"/>
  <c r="A1458" i="17"/>
  <c r="A1483" i="17"/>
  <c r="A1508" i="17"/>
  <c r="A1534" i="17"/>
  <c r="A1560" i="17"/>
  <c r="A1587" i="17"/>
  <c r="A1613" i="17"/>
  <c r="A1639" i="17"/>
  <c r="A1665" i="17"/>
  <c r="A1692" i="17"/>
  <c r="A1718" i="17"/>
  <c r="A1745" i="17"/>
  <c r="A1333" i="17"/>
  <c r="A1357" i="17"/>
  <c r="A1382" i="17"/>
  <c r="A1407" i="17"/>
  <c r="A1432" i="17"/>
  <c r="A1457" i="17"/>
  <c r="A1482" i="17"/>
  <c r="A1507" i="17"/>
  <c r="A1533" i="17"/>
  <c r="A1559" i="17"/>
  <c r="A1586" i="17"/>
  <c r="A1612" i="17"/>
  <c r="A1638" i="17"/>
  <c r="A1664" i="17"/>
  <c r="A1691" i="17"/>
  <c r="A1717" i="17"/>
  <c r="A1744" i="17"/>
  <c r="A1308" i="17"/>
  <c r="A1332" i="17"/>
  <c r="A1356" i="17"/>
  <c r="A1381" i="17"/>
  <c r="A1406" i="17"/>
  <c r="A1431" i="17"/>
  <c r="A1456" i="17"/>
  <c r="A1481" i="17"/>
  <c r="A1506" i="17"/>
  <c r="A1532" i="17"/>
  <c r="A1558" i="17"/>
  <c r="A1585" i="17"/>
  <c r="A1611" i="17"/>
  <c r="A1637" i="17"/>
  <c r="A1663" i="17"/>
  <c r="A1690" i="17"/>
  <c r="A1716" i="17"/>
  <c r="A1307" i="17"/>
  <c r="A1331" i="17"/>
  <c r="A1355" i="17"/>
  <c r="A1380" i="17"/>
  <c r="A1405" i="17"/>
  <c r="A1430" i="17"/>
  <c r="A1455" i="17"/>
  <c r="A1480" i="17"/>
  <c r="A1505" i="17"/>
  <c r="A1531" i="17"/>
  <c r="A1557" i="17"/>
  <c r="A1584" i="17"/>
  <c r="A1610" i="17"/>
  <c r="A1636" i="17"/>
  <c r="A1662" i="17"/>
  <c r="A1689" i="17"/>
  <c r="A1282" i="17"/>
  <c r="A1306" i="17"/>
  <c r="A1330" i="17"/>
  <c r="A1354" i="17"/>
  <c r="A1379" i="17"/>
  <c r="A1404" i="17"/>
  <c r="A1429" i="17"/>
  <c r="A1454" i="17"/>
  <c r="A1479" i="17"/>
  <c r="A1504" i="17"/>
  <c r="A1530" i="17"/>
  <c r="A1556" i="17"/>
  <c r="A1583" i="17"/>
  <c r="A1609" i="17"/>
  <c r="A1635" i="17"/>
  <c r="A1661" i="17"/>
  <c r="A1688" i="17"/>
  <c r="A1281" i="17"/>
  <c r="A1305" i="17"/>
  <c r="A1329" i="17"/>
  <c r="A1353" i="17"/>
  <c r="A1378" i="17"/>
  <c r="A1403" i="17"/>
  <c r="A1428" i="17"/>
  <c r="A1453" i="17"/>
  <c r="A1478" i="17"/>
  <c r="A1503" i="17"/>
  <c r="A1529" i="17"/>
  <c r="A1555" i="17"/>
  <c r="A1582" i="17"/>
  <c r="A1608" i="17"/>
  <c r="A1634" i="17"/>
  <c r="A1660" i="17"/>
  <c r="A1257" i="17"/>
  <c r="A1280" i="17"/>
  <c r="A1304" i="17"/>
  <c r="A1328" i="17"/>
  <c r="A1352" i="17"/>
  <c r="A1377" i="17"/>
  <c r="A1402" i="17"/>
  <c r="A1427" i="17"/>
  <c r="A1452" i="17"/>
  <c r="A1477" i="17"/>
  <c r="A1502" i="17"/>
  <c r="A1528" i="17"/>
  <c r="A1554" i="17"/>
  <c r="A1581" i="17"/>
  <c r="A1607" i="17"/>
  <c r="A1633" i="17"/>
  <c r="A1232" i="17"/>
  <c r="A1256" i="17"/>
  <c r="A1279" i="17"/>
  <c r="A1303" i="17"/>
  <c r="A1327" i="17"/>
  <c r="A1351" i="17"/>
  <c r="A1376" i="17"/>
  <c r="A1401" i="17"/>
  <c r="A1426" i="17"/>
  <c r="A1451" i="17"/>
  <c r="A1476" i="17"/>
  <c r="A1501" i="17"/>
  <c r="A1527" i="17"/>
  <c r="A1553" i="17"/>
  <c r="A1580" i="17"/>
  <c r="A1606" i="17"/>
  <c r="A1632" i="17"/>
  <c r="A1231" i="17"/>
  <c r="A1255" i="17"/>
  <c r="A1278" i="17"/>
  <c r="A1302" i="17"/>
  <c r="A1326" i="17"/>
  <c r="A1350" i="17"/>
  <c r="A1375" i="17"/>
  <c r="A1400" i="17"/>
  <c r="A1425" i="17"/>
  <c r="A1450" i="17"/>
  <c r="A1475" i="17"/>
  <c r="A1500" i="17"/>
  <c r="A1526" i="17"/>
  <c r="A1552" i="17"/>
  <c r="A1579" i="17"/>
  <c r="A1605" i="17"/>
  <c r="A1207" i="17"/>
  <c r="A1230" i="17"/>
  <c r="A1254" i="17"/>
  <c r="A1277" i="17"/>
  <c r="A1301" i="17"/>
  <c r="A1325" i="17"/>
  <c r="A1349" i="17"/>
  <c r="A1374" i="17"/>
  <c r="A1399" i="17"/>
  <c r="A1424" i="17"/>
  <c r="A1449" i="17"/>
  <c r="A1474" i="17"/>
  <c r="A1499" i="17"/>
  <c r="A1525" i="17"/>
  <c r="A1551" i="17"/>
  <c r="A1578" i="17"/>
  <c r="A1206" i="17"/>
  <c r="A1229" i="17"/>
  <c r="A1253" i="17"/>
  <c r="A1276" i="17"/>
  <c r="A1300" i="17"/>
  <c r="A1324" i="17"/>
  <c r="A1348" i="17"/>
  <c r="A1373" i="17"/>
  <c r="A1398" i="17"/>
  <c r="A1423" i="17"/>
  <c r="A1448" i="17"/>
  <c r="A1473" i="17"/>
  <c r="A1498" i="17"/>
  <c r="A1524" i="17"/>
  <c r="A1550" i="17"/>
  <c r="A1577" i="17"/>
  <c r="A1182" i="17"/>
  <c r="A1205" i="17"/>
  <c r="A1228" i="17"/>
  <c r="A1252" i="17"/>
  <c r="A1275" i="17"/>
  <c r="A1299" i="17"/>
  <c r="A1323" i="17"/>
  <c r="A1347" i="17"/>
  <c r="A1372" i="17"/>
  <c r="A1397" i="17"/>
  <c r="A1422" i="17"/>
  <c r="A1447" i="17"/>
  <c r="A1472" i="17"/>
  <c r="A1497" i="17"/>
  <c r="A1523" i="17"/>
  <c r="A1549" i="17"/>
  <c r="A1158" i="17"/>
  <c r="A1181" i="17"/>
  <c r="A1204" i="17"/>
  <c r="A1227" i="17"/>
  <c r="A1251" i="17"/>
  <c r="A1274" i="17"/>
  <c r="A1298" i="17"/>
  <c r="A1322" i="17"/>
  <c r="A1346" i="17"/>
  <c r="A1371" i="17"/>
  <c r="A1396" i="17"/>
  <c r="A1421" i="17"/>
  <c r="A1446" i="17"/>
  <c r="A1471" i="17"/>
  <c r="A1496" i="17"/>
  <c r="A1522" i="17"/>
  <c r="A1157" i="17"/>
  <c r="A1180" i="17"/>
  <c r="A1203" i="17"/>
  <c r="A1226" i="17"/>
  <c r="A1250" i="17"/>
  <c r="A1273" i="17"/>
  <c r="A1297" i="17"/>
  <c r="A1321" i="17"/>
  <c r="A1345" i="17"/>
  <c r="A1370" i="17"/>
  <c r="A1395" i="17"/>
  <c r="A1420" i="17"/>
  <c r="A1445" i="17"/>
  <c r="A1470" i="17"/>
  <c r="A1495" i="17"/>
  <c r="A1521" i="17"/>
  <c r="A1133" i="17"/>
  <c r="A1156" i="17"/>
  <c r="A1179" i="17"/>
  <c r="A1202" i="17"/>
  <c r="A1225" i="17"/>
  <c r="A1249" i="17"/>
  <c r="A1272" i="17"/>
  <c r="A1296" i="17"/>
  <c r="A1320" i="17"/>
  <c r="A1344" i="17"/>
  <c r="A1369" i="17"/>
  <c r="A1394" i="17"/>
  <c r="A1419" i="17"/>
  <c r="A1444" i="17"/>
  <c r="A1469" i="17"/>
  <c r="A1494" i="17"/>
  <c r="A1108" i="17"/>
  <c r="A1132" i="17"/>
  <c r="A1155" i="17"/>
  <c r="A1178" i="17"/>
  <c r="A1201" i="17"/>
  <c r="A1224" i="17"/>
  <c r="A1248" i="17"/>
  <c r="A1271" i="17"/>
  <c r="A1295" i="17"/>
  <c r="A1319" i="17"/>
  <c r="A1343" i="17"/>
  <c r="A1368" i="17"/>
  <c r="A1393" i="17"/>
  <c r="A1418" i="17"/>
  <c r="A1443" i="17"/>
  <c r="A1468" i="17"/>
  <c r="A1107" i="17"/>
  <c r="A1131" i="17"/>
  <c r="A1154" i="17"/>
  <c r="A1177" i="17"/>
  <c r="A1200" i="17"/>
  <c r="A1223" i="17"/>
  <c r="A1247" i="17"/>
  <c r="A1270" i="17"/>
  <c r="A1294" i="17"/>
  <c r="A1318" i="17"/>
  <c r="A1342" i="17"/>
  <c r="A1367" i="17"/>
  <c r="A1392" i="17"/>
  <c r="A1417" i="17"/>
  <c r="A1442" i="17"/>
  <c r="A1467" i="17"/>
  <c r="A1083" i="17"/>
  <c r="A1106" i="17"/>
  <c r="A1130" i="17"/>
  <c r="A1153" i="17"/>
  <c r="A1176" i="17"/>
  <c r="A1199" i="17"/>
  <c r="A1222" i="17"/>
  <c r="A1246" i="17"/>
  <c r="A1269" i="17"/>
  <c r="A1293" i="17"/>
  <c r="A1317" i="17"/>
  <c r="A1341" i="17"/>
  <c r="A1366" i="17"/>
  <c r="A1391" i="17"/>
  <c r="A1416" i="17"/>
  <c r="A1441" i="17"/>
  <c r="A1082" i="17"/>
  <c r="A1105" i="17"/>
  <c r="A1129" i="17"/>
  <c r="A1152" i="17"/>
  <c r="A1175" i="17"/>
  <c r="A1198" i="17"/>
  <c r="A1221" i="17"/>
  <c r="A1245" i="17"/>
  <c r="A1268" i="17"/>
  <c r="A1292" i="17"/>
  <c r="A1316" i="17"/>
  <c r="A1340" i="17"/>
  <c r="A1365" i="17"/>
  <c r="A1390" i="17"/>
  <c r="A1415" i="17"/>
  <c r="A1058" i="17"/>
  <c r="A1081" i="17"/>
  <c r="A1104" i="17"/>
  <c r="A1128" i="17"/>
  <c r="A1151" i="17"/>
  <c r="A1174" i="17"/>
  <c r="A1197" i="17"/>
  <c r="A1220" i="17"/>
  <c r="A1244" i="17"/>
  <c r="A1267" i="17"/>
  <c r="A1291" i="17"/>
  <c r="A1315" i="17"/>
  <c r="A1339" i="17"/>
  <c r="A1364" i="17"/>
  <c r="A1389" i="17"/>
  <c r="A1414" i="17"/>
  <c r="A1057" i="17"/>
  <c r="A1080" i="17"/>
  <c r="A1103" i="17"/>
  <c r="A1127" i="17"/>
  <c r="A1150" i="17"/>
  <c r="A1173" i="17"/>
  <c r="A1196" i="17"/>
  <c r="A1219" i="17"/>
  <c r="A1243" i="17"/>
  <c r="A1266" i="17"/>
  <c r="A1290" i="17"/>
  <c r="A1314" i="17"/>
  <c r="A1338" i="17"/>
  <c r="A1363" i="17"/>
  <c r="A1388" i="17"/>
  <c r="A1033" i="17"/>
  <c r="A1056" i="17"/>
  <c r="A1079" i="17"/>
  <c r="A1102" i="17"/>
  <c r="A1126" i="17"/>
  <c r="A1149" i="17"/>
  <c r="A1172" i="17"/>
  <c r="A1195" i="17"/>
  <c r="A1218" i="17"/>
  <c r="A1242" i="17"/>
  <c r="A1265" i="17"/>
  <c r="A1289" i="17"/>
  <c r="A1313" i="17"/>
  <c r="A1337" i="17"/>
  <c r="A1362" i="17"/>
  <c r="A1387" i="17"/>
  <c r="A1032" i="17"/>
  <c r="A1055" i="17"/>
  <c r="A1078" i="17"/>
  <c r="A1101" i="17"/>
  <c r="A1125" i="17"/>
  <c r="A1148" i="17"/>
  <c r="A1171" i="17"/>
  <c r="A1194" i="17"/>
  <c r="A1217" i="17"/>
  <c r="A1241" i="17"/>
  <c r="A1264" i="17"/>
  <c r="A1288" i="17"/>
  <c r="A1312" i="17"/>
  <c r="A1336" i="17"/>
  <c r="A1361" i="17"/>
  <c r="A1009" i="17"/>
  <c r="A1031" i="17"/>
  <c r="A1054" i="17"/>
  <c r="A1077" i="17"/>
  <c r="A1100" i="17"/>
  <c r="A1124" i="17"/>
  <c r="A1147" i="17"/>
  <c r="A1170" i="17"/>
  <c r="A1193" i="17"/>
  <c r="A1216" i="17"/>
  <c r="A1240" i="17"/>
  <c r="A1263" i="17"/>
  <c r="A1287" i="17"/>
  <c r="A1311" i="17"/>
  <c r="A1335" i="17"/>
  <c r="A1008" i="17"/>
  <c r="A1030" i="17"/>
  <c r="A1053" i="17"/>
  <c r="A1076" i="17"/>
  <c r="A1099" i="17"/>
  <c r="A1123" i="17"/>
  <c r="A1146" i="17"/>
  <c r="A1169" i="17"/>
  <c r="A1192" i="17"/>
  <c r="A1215" i="17"/>
  <c r="A1239" i="17"/>
  <c r="A1262" i="17"/>
  <c r="A1286" i="17"/>
  <c r="A1310" i="17"/>
  <c r="A985" i="17"/>
  <c r="A1007" i="17"/>
  <c r="A1029" i="17"/>
  <c r="A1052" i="17"/>
  <c r="A1075" i="17"/>
  <c r="A1098" i="17"/>
  <c r="A1122" i="17"/>
  <c r="A1145" i="17"/>
  <c r="A1168" i="17"/>
  <c r="A1191" i="17"/>
  <c r="A1214" i="17"/>
  <c r="A1238" i="17"/>
  <c r="A1261" i="17"/>
  <c r="A1285" i="17"/>
  <c r="A1309" i="17"/>
  <c r="A984" i="17"/>
  <c r="A1006" i="17"/>
  <c r="A1028" i="17"/>
  <c r="A1051" i="17"/>
  <c r="A1074" i="17"/>
  <c r="A1097" i="17"/>
  <c r="A1121" i="17"/>
  <c r="A1144" i="17"/>
  <c r="A1167" i="17"/>
  <c r="A1190" i="17"/>
  <c r="A1213" i="17"/>
  <c r="A1237" i="17"/>
  <c r="A1260" i="17"/>
  <c r="A1284" i="17"/>
  <c r="A961" i="17"/>
  <c r="A983" i="17"/>
  <c r="A1005" i="17"/>
  <c r="A1027" i="17"/>
  <c r="A1050" i="17"/>
  <c r="A1073" i="17"/>
  <c r="A1096" i="17"/>
  <c r="A1120" i="17"/>
  <c r="A1143" i="17"/>
  <c r="A1166" i="17"/>
  <c r="A1189" i="17"/>
  <c r="A1212" i="17"/>
  <c r="A1236" i="17"/>
  <c r="A1259" i="17"/>
  <c r="A1283" i="17"/>
  <c r="A938" i="17"/>
  <c r="A960" i="17"/>
  <c r="A982" i="17"/>
  <c r="A1004" i="17"/>
  <c r="A1026" i="17"/>
  <c r="A1049" i="17"/>
  <c r="A1072" i="17"/>
  <c r="A1095" i="17"/>
  <c r="A1119" i="17"/>
  <c r="A1142" i="17"/>
  <c r="A1165" i="17"/>
  <c r="A1188" i="17"/>
  <c r="A1211" i="17"/>
  <c r="A1235" i="17"/>
  <c r="A1258" i="17"/>
  <c r="A914" i="17"/>
  <c r="A937" i="17"/>
  <c r="A959" i="17"/>
  <c r="A981" i="17"/>
  <c r="A1003" i="17"/>
  <c r="A1025" i="17"/>
  <c r="A1048" i="17"/>
  <c r="A1071" i="17"/>
  <c r="A1094" i="17"/>
  <c r="A1118" i="17"/>
  <c r="A1141" i="17"/>
  <c r="A1164" i="17"/>
  <c r="A1187" i="17"/>
  <c r="A1210" i="17"/>
  <c r="A1234" i="17"/>
  <c r="A913" i="17"/>
  <c r="A936" i="17"/>
  <c r="A958" i="17"/>
  <c r="A980" i="17"/>
  <c r="A1002" i="17"/>
  <c r="A1024" i="17"/>
  <c r="A1047" i="17"/>
  <c r="A1070" i="17"/>
  <c r="A1093" i="17"/>
  <c r="A1117" i="17"/>
  <c r="A1140" i="17"/>
  <c r="A1163" i="17"/>
  <c r="A1186" i="17"/>
  <c r="A1209" i="17"/>
  <c r="A1233" i="17"/>
  <c r="A889" i="17"/>
  <c r="A912" i="17"/>
  <c r="A935" i="17"/>
  <c r="A957" i="17"/>
  <c r="A979" i="17"/>
  <c r="A1001" i="17"/>
  <c r="A1023" i="17"/>
  <c r="A1046" i="17"/>
  <c r="A1069" i="17"/>
  <c r="A1092" i="17"/>
  <c r="A1116" i="17"/>
  <c r="A1139" i="17"/>
  <c r="A1162" i="17"/>
  <c r="A1185" i="17"/>
  <c r="A1208" i="17"/>
  <c r="A865" i="17"/>
  <c r="A888" i="17"/>
  <c r="A911" i="17"/>
  <c r="A934" i="17"/>
  <c r="A956" i="17"/>
  <c r="A978" i="17"/>
  <c r="A1000" i="17"/>
  <c r="A1022" i="17"/>
  <c r="A1045" i="17"/>
  <c r="A1068" i="17"/>
  <c r="A1091" i="17"/>
  <c r="A1115" i="17"/>
  <c r="A1138" i="17"/>
  <c r="A1161" i="17"/>
  <c r="A1184" i="17"/>
  <c r="A864" i="17"/>
  <c r="A887" i="17"/>
  <c r="A910" i="17"/>
  <c r="A933" i="17"/>
  <c r="A955" i="17"/>
  <c r="A977" i="17"/>
  <c r="A999" i="17"/>
  <c r="A1021" i="17"/>
  <c r="A1044" i="17"/>
  <c r="A1067" i="17"/>
  <c r="A1090" i="17"/>
  <c r="A1114" i="17"/>
  <c r="A1137" i="17"/>
  <c r="A1160" i="17"/>
  <c r="A1183" i="17"/>
  <c r="A840" i="17"/>
  <c r="A863" i="17"/>
  <c r="A886" i="17"/>
  <c r="A909" i="17"/>
  <c r="A932" i="17"/>
  <c r="A954" i="17"/>
  <c r="A976" i="17"/>
  <c r="A998" i="17"/>
  <c r="A1020" i="17"/>
  <c r="A1043" i="17"/>
  <c r="A1066" i="17"/>
  <c r="A1089" i="17"/>
  <c r="A1113" i="17"/>
  <c r="A1136" i="17"/>
  <c r="A1159" i="17"/>
  <c r="A839" i="17"/>
  <c r="A862" i="17"/>
  <c r="A885" i="17"/>
  <c r="A908" i="17"/>
  <c r="A931" i="17"/>
  <c r="A953" i="17"/>
  <c r="A975" i="17"/>
  <c r="A997" i="17"/>
  <c r="A1019" i="17"/>
  <c r="A1042" i="17"/>
  <c r="A1065" i="17"/>
  <c r="A1088" i="17"/>
  <c r="A1112" i="17"/>
  <c r="A1135" i="17"/>
  <c r="A815" i="17"/>
  <c r="A838" i="17"/>
  <c r="A861" i="17"/>
  <c r="A884" i="17"/>
  <c r="A907" i="17"/>
  <c r="A930" i="17"/>
  <c r="A952" i="17"/>
  <c r="A974" i="17"/>
  <c r="A996" i="17"/>
  <c r="A1018" i="17"/>
  <c r="A1041" i="17"/>
  <c r="A1064" i="17"/>
  <c r="A1087" i="17"/>
  <c r="A1111" i="17"/>
  <c r="A1134" i="17"/>
  <c r="A814" i="17"/>
  <c r="A837" i="17"/>
  <c r="A860" i="17"/>
  <c r="A883" i="17"/>
  <c r="A906" i="17"/>
  <c r="A929" i="17"/>
  <c r="A951" i="17"/>
  <c r="A973" i="17"/>
  <c r="A995" i="17"/>
  <c r="A1017" i="17"/>
  <c r="A1040" i="17"/>
  <c r="A1063" i="17"/>
  <c r="A1086" i="17"/>
  <c r="A1110" i="17"/>
  <c r="A791" i="17"/>
  <c r="A813" i="17"/>
  <c r="A836" i="17"/>
  <c r="A859" i="17"/>
  <c r="A882" i="17"/>
  <c r="A905" i="17"/>
  <c r="A928" i="17"/>
  <c r="A950" i="17"/>
  <c r="A972" i="17"/>
  <c r="A994" i="17"/>
  <c r="A1016" i="17"/>
  <c r="A1039" i="17"/>
  <c r="A1062" i="17"/>
  <c r="A1085" i="17"/>
  <c r="A1109" i="17"/>
  <c r="A790" i="17"/>
  <c r="A812" i="17"/>
  <c r="A835" i="17"/>
  <c r="A858" i="17"/>
  <c r="A881" i="17"/>
  <c r="A904" i="17"/>
  <c r="A927" i="17"/>
  <c r="A949" i="17"/>
  <c r="A971" i="17"/>
  <c r="A993" i="17"/>
  <c r="A1015" i="17"/>
  <c r="A1038" i="17"/>
  <c r="A1061" i="17"/>
  <c r="A1084" i="17"/>
  <c r="A767" i="17"/>
  <c r="A789" i="17"/>
  <c r="A811" i="17"/>
  <c r="A834" i="17"/>
  <c r="A857" i="17"/>
  <c r="A880" i="17"/>
  <c r="A903" i="17"/>
  <c r="A926" i="17"/>
  <c r="A948" i="17"/>
  <c r="A970" i="17"/>
  <c r="A992" i="17"/>
  <c r="A1014" i="17"/>
  <c r="A1037" i="17"/>
  <c r="A1060" i="17"/>
  <c r="A766" i="17"/>
  <c r="A788" i="17"/>
  <c r="A810" i="17"/>
  <c r="A833" i="17"/>
  <c r="A856" i="17"/>
  <c r="A879" i="17"/>
  <c r="A902" i="17"/>
  <c r="A925" i="17"/>
  <c r="A947" i="17"/>
  <c r="A969" i="17"/>
  <c r="A991" i="17"/>
  <c r="A1013" i="17"/>
  <c r="A1036" i="17"/>
  <c r="A1059" i="17"/>
  <c r="A744" i="17"/>
  <c r="A765" i="17"/>
  <c r="A787" i="17"/>
  <c r="A809" i="17"/>
  <c r="A832" i="17"/>
  <c r="A855" i="17"/>
  <c r="A878" i="17"/>
  <c r="A901" i="17"/>
  <c r="A924" i="17"/>
  <c r="A946" i="17"/>
  <c r="A968" i="17"/>
  <c r="A990" i="17"/>
  <c r="A1012" i="17"/>
  <c r="A1035" i="17"/>
  <c r="A721" i="17"/>
  <c r="A743" i="17"/>
  <c r="A764" i="17"/>
  <c r="A786" i="17"/>
  <c r="A808" i="17"/>
  <c r="A831" i="17"/>
  <c r="A854" i="17"/>
  <c r="A877" i="17"/>
  <c r="A900" i="17"/>
  <c r="A923" i="17"/>
  <c r="A945" i="17"/>
  <c r="A967" i="17"/>
  <c r="A989" i="17"/>
  <c r="A1011" i="17"/>
  <c r="A1034" i="17"/>
  <c r="A720" i="17"/>
  <c r="A742" i="17"/>
  <c r="A763" i="17"/>
  <c r="A785" i="17"/>
  <c r="A807" i="17"/>
  <c r="A830" i="17"/>
  <c r="A853" i="17"/>
  <c r="A876" i="17"/>
  <c r="A899" i="17"/>
  <c r="A922" i="17"/>
  <c r="A944" i="17"/>
  <c r="A966" i="17"/>
  <c r="A988" i="17"/>
  <c r="A1010" i="17"/>
  <c r="A698" i="17"/>
  <c r="A719" i="17"/>
  <c r="A741" i="17"/>
  <c r="A762" i="17"/>
  <c r="A784" i="17"/>
  <c r="A806" i="17"/>
  <c r="A829" i="17"/>
  <c r="A852" i="17"/>
  <c r="A875" i="17"/>
  <c r="A898" i="17"/>
  <c r="A921" i="17"/>
  <c r="A943" i="17"/>
  <c r="A965" i="17"/>
  <c r="A987" i="17"/>
  <c r="A697" i="17"/>
  <c r="A718" i="17"/>
  <c r="A740" i="17"/>
  <c r="A761" i="17"/>
  <c r="A783" i="17"/>
  <c r="A805" i="17"/>
  <c r="A828" i="17"/>
  <c r="A851" i="17"/>
  <c r="A874" i="17"/>
  <c r="A897" i="17"/>
  <c r="A920" i="17"/>
  <c r="A942" i="17"/>
  <c r="A964" i="17"/>
  <c r="A986" i="17"/>
  <c r="A675" i="17"/>
  <c r="A696" i="17"/>
  <c r="A717" i="17"/>
  <c r="A739" i="17"/>
  <c r="A760" i="17"/>
  <c r="A782" i="17"/>
  <c r="A804" i="17"/>
  <c r="A827" i="17"/>
  <c r="A850" i="17"/>
  <c r="A873" i="17"/>
  <c r="A896" i="17"/>
  <c r="A919" i="17"/>
  <c r="A941" i="17"/>
  <c r="A963" i="17"/>
  <c r="A674" i="17"/>
  <c r="A695" i="17"/>
  <c r="A716" i="17"/>
  <c r="A738" i="17"/>
  <c r="A759" i="17"/>
  <c r="A781" i="17"/>
  <c r="A803" i="17"/>
  <c r="A826" i="17"/>
  <c r="A849" i="17"/>
  <c r="A872" i="17"/>
  <c r="A895" i="17"/>
  <c r="A918" i="17"/>
  <c r="A940" i="17"/>
  <c r="A962" i="17"/>
  <c r="A653" i="17"/>
  <c r="A673" i="17"/>
  <c r="A694" i="17"/>
  <c r="A715" i="17"/>
  <c r="A737" i="17"/>
  <c r="A758" i="17"/>
  <c r="A780" i="17"/>
  <c r="A802" i="17"/>
  <c r="A825" i="17"/>
  <c r="A848" i="17"/>
  <c r="A871" i="17"/>
  <c r="A894" i="17"/>
  <c r="A917" i="17"/>
  <c r="A939" i="17"/>
  <c r="A652" i="17"/>
  <c r="A672" i="17"/>
  <c r="A693" i="17"/>
  <c r="A714" i="17"/>
  <c r="A736" i="17"/>
  <c r="A757" i="17"/>
  <c r="A779" i="17"/>
  <c r="A801" i="17"/>
  <c r="A824" i="17"/>
  <c r="A847" i="17"/>
  <c r="A870" i="17"/>
  <c r="A893" i="17"/>
  <c r="A916" i="17"/>
  <c r="A631" i="17"/>
  <c r="A651" i="17"/>
  <c r="A671" i="17"/>
  <c r="A692" i="17"/>
  <c r="A713" i="17"/>
  <c r="A735" i="17"/>
  <c r="A756" i="17"/>
  <c r="A778" i="17"/>
  <c r="A800" i="17"/>
  <c r="A823" i="17"/>
  <c r="A846" i="17"/>
  <c r="A869" i="17"/>
  <c r="A892" i="17"/>
  <c r="A915" i="17"/>
  <c r="A630" i="17"/>
  <c r="A650" i="17"/>
  <c r="A670" i="17"/>
  <c r="A691" i="17"/>
  <c r="A712" i="17"/>
  <c r="A734" i="17"/>
  <c r="A755" i="17"/>
  <c r="A777" i="17"/>
  <c r="A799" i="17"/>
  <c r="A822" i="17"/>
  <c r="A845" i="17"/>
  <c r="A868" i="17"/>
  <c r="A891" i="17"/>
  <c r="A609" i="17"/>
  <c r="A629" i="17"/>
  <c r="A649" i="17"/>
  <c r="A669" i="17"/>
  <c r="A690" i="17"/>
  <c r="A711" i="17"/>
  <c r="A733" i="17"/>
  <c r="A754" i="17"/>
  <c r="A776" i="17"/>
  <c r="A798" i="17"/>
  <c r="A821" i="17"/>
  <c r="A844" i="17"/>
  <c r="A867" i="17"/>
  <c r="A890" i="17"/>
  <c r="A608" i="17"/>
  <c r="A628" i="17"/>
  <c r="A648" i="17"/>
  <c r="A668" i="17"/>
  <c r="A689" i="17"/>
  <c r="A710" i="17"/>
  <c r="A732" i="17"/>
  <c r="A753" i="17"/>
  <c r="A775" i="17"/>
  <c r="A797" i="17"/>
  <c r="A820" i="17"/>
  <c r="A843" i="17"/>
  <c r="A866" i="17"/>
  <c r="A588" i="17"/>
  <c r="A607" i="17"/>
  <c r="A627" i="17"/>
  <c r="A647" i="17"/>
  <c r="A667" i="17"/>
  <c r="A688" i="17"/>
  <c r="A709" i="17"/>
  <c r="A731" i="17"/>
  <c r="A752" i="17"/>
  <c r="A774" i="17"/>
  <c r="A796" i="17"/>
  <c r="A819" i="17"/>
  <c r="A842" i="17"/>
  <c r="A587" i="17"/>
  <c r="A606" i="17"/>
  <c r="A626" i="17"/>
  <c r="A646" i="17"/>
  <c r="A666" i="17"/>
  <c r="A687" i="17"/>
  <c r="A708" i="17"/>
  <c r="A730" i="17"/>
  <c r="A751" i="17"/>
  <c r="A773" i="17"/>
  <c r="A795" i="17"/>
  <c r="A818" i="17"/>
  <c r="A841" i="17"/>
  <c r="A567" i="17"/>
  <c r="A586" i="17"/>
  <c r="A605" i="17"/>
  <c r="A625" i="17"/>
  <c r="A645" i="17"/>
  <c r="A665" i="17"/>
  <c r="A686" i="17"/>
  <c r="A707" i="17"/>
  <c r="A729" i="17"/>
  <c r="A750" i="17"/>
  <c r="A772" i="17"/>
  <c r="A794" i="17"/>
  <c r="A817" i="17"/>
  <c r="A566" i="17"/>
  <c r="A585" i="17"/>
  <c r="A604" i="17"/>
  <c r="A624" i="17"/>
  <c r="A644" i="17"/>
  <c r="A664" i="17"/>
  <c r="A685" i="17"/>
  <c r="A706" i="17"/>
  <c r="A728" i="17"/>
  <c r="A749" i="17"/>
  <c r="A771" i="17"/>
  <c r="A793" i="17"/>
  <c r="A816" i="17"/>
  <c r="A546" i="17"/>
  <c r="A565" i="17"/>
  <c r="A584" i="17"/>
  <c r="A603" i="17"/>
  <c r="A623" i="17"/>
  <c r="A643" i="17"/>
  <c r="A663" i="17"/>
  <c r="A684" i="17"/>
  <c r="A705" i="17"/>
  <c r="A727" i="17"/>
  <c r="A748" i="17"/>
  <c r="A770" i="17"/>
  <c r="A792" i="17"/>
  <c r="A545" i="17"/>
  <c r="A564" i="17"/>
  <c r="A583" i="17"/>
  <c r="A602" i="17"/>
  <c r="A622" i="17"/>
  <c r="A642" i="17"/>
  <c r="A662" i="17"/>
  <c r="A683" i="17"/>
  <c r="A704" i="17"/>
  <c r="A726" i="17"/>
  <c r="A747" i="17"/>
  <c r="A769" i="17"/>
  <c r="A525" i="17"/>
  <c r="A544" i="17"/>
  <c r="A563" i="17"/>
  <c r="A582" i="17"/>
  <c r="A601" i="17"/>
  <c r="A621" i="17"/>
  <c r="A641" i="17"/>
  <c r="A661" i="17"/>
  <c r="A682" i="17"/>
  <c r="A703" i="17"/>
  <c r="A725" i="17"/>
  <c r="A746" i="17"/>
  <c r="A768" i="17"/>
  <c r="A524" i="17"/>
  <c r="A543" i="17"/>
  <c r="A562" i="17"/>
  <c r="A581" i="17"/>
  <c r="A600" i="17"/>
  <c r="A620" i="17"/>
  <c r="A640" i="17"/>
  <c r="A660" i="17"/>
  <c r="A681" i="17"/>
  <c r="A702" i="17"/>
  <c r="A724" i="17"/>
  <c r="A745" i="17"/>
  <c r="A504" i="17"/>
  <c r="A523" i="17"/>
  <c r="A542" i="17"/>
  <c r="A561" i="17"/>
  <c r="A580" i="17"/>
  <c r="A599" i="17"/>
  <c r="A619" i="17"/>
  <c r="A639" i="17"/>
  <c r="A659" i="17"/>
  <c r="A680" i="17"/>
  <c r="A701" i="17"/>
  <c r="A723" i="17"/>
  <c r="A483" i="17"/>
  <c r="A503" i="17"/>
  <c r="A522" i="17"/>
  <c r="A541" i="17"/>
  <c r="A560" i="17"/>
  <c r="A579" i="17"/>
  <c r="A598" i="17"/>
  <c r="A618" i="17"/>
  <c r="A638" i="17"/>
  <c r="A658" i="17"/>
  <c r="A679" i="17"/>
  <c r="A700" i="17"/>
  <c r="A722" i="17"/>
  <c r="A482" i="17"/>
  <c r="A502" i="17"/>
  <c r="A521" i="17"/>
  <c r="A540" i="17"/>
  <c r="A559" i="17"/>
  <c r="A578" i="17"/>
  <c r="A597" i="17"/>
  <c r="A617" i="17"/>
  <c r="A637" i="17"/>
  <c r="A657" i="17"/>
  <c r="A678" i="17"/>
  <c r="A699" i="17"/>
  <c r="A461" i="17"/>
  <c r="A481" i="17"/>
  <c r="A501" i="17"/>
  <c r="A520" i="17"/>
  <c r="A539" i="17"/>
  <c r="A558" i="17"/>
  <c r="A577" i="17"/>
  <c r="A596" i="17"/>
  <c r="A616" i="17"/>
  <c r="A636" i="17"/>
  <c r="A656" i="17"/>
  <c r="A677" i="17"/>
  <c r="A440" i="17"/>
  <c r="A460" i="17"/>
  <c r="A480" i="17"/>
  <c r="A500" i="17"/>
  <c r="A519" i="17"/>
  <c r="A538" i="17"/>
  <c r="A557" i="17"/>
  <c r="A576" i="17"/>
  <c r="A595" i="17"/>
  <c r="A615" i="17"/>
  <c r="A635" i="17"/>
  <c r="A655" i="17"/>
  <c r="A676" i="17"/>
  <c r="A418" i="17"/>
  <c r="A439" i="17"/>
  <c r="A459" i="17"/>
  <c r="A479" i="17"/>
  <c r="A499" i="17"/>
  <c r="A518" i="17"/>
  <c r="A537" i="17"/>
  <c r="A556" i="17"/>
  <c r="A575" i="17"/>
  <c r="A594" i="17"/>
  <c r="A614" i="17"/>
  <c r="A634" i="17"/>
  <c r="A654" i="17"/>
  <c r="A417" i="17"/>
  <c r="A438" i="17"/>
  <c r="A458" i="17"/>
  <c r="A478" i="17"/>
  <c r="A498" i="17"/>
  <c r="A517" i="17"/>
  <c r="A536" i="17"/>
  <c r="A555" i="17"/>
  <c r="A574" i="17"/>
  <c r="A593" i="17"/>
  <c r="A613" i="17"/>
  <c r="A633" i="17"/>
  <c r="A396" i="17"/>
  <c r="A416" i="17"/>
  <c r="A437" i="17"/>
  <c r="A457" i="17"/>
  <c r="A477" i="17"/>
  <c r="A497" i="17"/>
  <c r="A516" i="17"/>
  <c r="A535" i="17"/>
  <c r="A554" i="17"/>
  <c r="A573" i="17"/>
  <c r="A592" i="17"/>
  <c r="A612" i="17"/>
  <c r="A632" i="17"/>
  <c r="A395" i="17"/>
  <c r="A415" i="17"/>
  <c r="A436" i="17"/>
  <c r="A456" i="17"/>
  <c r="A476" i="17"/>
  <c r="A496" i="17"/>
  <c r="A515" i="17"/>
  <c r="A534" i="17"/>
  <c r="A553" i="17"/>
  <c r="A572" i="17"/>
  <c r="A591" i="17"/>
  <c r="A611" i="17"/>
  <c r="A374" i="17"/>
  <c r="A394" i="17"/>
  <c r="A414" i="17"/>
  <c r="A435" i="17"/>
  <c r="A455" i="17"/>
  <c r="A475" i="17"/>
  <c r="A495" i="17"/>
  <c r="A514" i="17"/>
  <c r="A533" i="17"/>
  <c r="A552" i="17"/>
  <c r="A571" i="17"/>
  <c r="A590" i="17"/>
  <c r="A610" i="17"/>
  <c r="A373" i="17"/>
  <c r="A393" i="17"/>
  <c r="A413" i="17"/>
  <c r="A434" i="17"/>
  <c r="A454" i="17"/>
  <c r="A474" i="17"/>
  <c r="A494" i="17"/>
  <c r="A513" i="17"/>
  <c r="A532" i="17"/>
  <c r="A551" i="17"/>
  <c r="A570" i="17"/>
  <c r="A589" i="17"/>
  <c r="A353" i="17"/>
  <c r="A372" i="17"/>
  <c r="A392" i="17"/>
  <c r="A412" i="17"/>
  <c r="A433" i="17"/>
  <c r="A453" i="17"/>
  <c r="A473" i="17"/>
  <c r="A493" i="17"/>
  <c r="A512" i="17"/>
  <c r="A531" i="17"/>
  <c r="A550" i="17"/>
  <c r="A569" i="17"/>
  <c r="A352" i="17"/>
  <c r="A371" i="17"/>
  <c r="A391" i="17"/>
  <c r="A411" i="17"/>
  <c r="A432" i="17"/>
  <c r="A452" i="17"/>
  <c r="A472" i="17"/>
  <c r="A492" i="17"/>
  <c r="A511" i="17"/>
  <c r="A530" i="17"/>
  <c r="A549" i="17"/>
  <c r="A568" i="17"/>
  <c r="A332" i="17"/>
  <c r="A351" i="17"/>
  <c r="A370" i="17"/>
  <c r="A390" i="17"/>
  <c r="A410" i="17"/>
  <c r="A431" i="17"/>
  <c r="A451" i="17"/>
  <c r="A471" i="17"/>
  <c r="A491" i="17"/>
  <c r="A510" i="17"/>
  <c r="A529" i="17"/>
  <c r="A548" i="17"/>
  <c r="A331" i="17"/>
  <c r="A350" i="17"/>
  <c r="A369" i="17"/>
  <c r="A389" i="17"/>
  <c r="A409" i="17"/>
  <c r="A430" i="17"/>
  <c r="A450" i="17"/>
  <c r="A470" i="17"/>
  <c r="A490" i="17"/>
  <c r="A509" i="17"/>
  <c r="A528" i="17"/>
  <c r="A547" i="17"/>
  <c r="A312" i="17"/>
  <c r="A330" i="17"/>
  <c r="A349" i="17"/>
  <c r="A368" i="17"/>
  <c r="A388" i="17"/>
  <c r="A408" i="17"/>
  <c r="A429" i="17"/>
  <c r="A449" i="17"/>
  <c r="A469" i="17"/>
  <c r="A489" i="17"/>
  <c r="A508" i="17"/>
  <c r="A527" i="17"/>
  <c r="A292" i="17"/>
  <c r="A311" i="17"/>
  <c r="A329" i="17"/>
  <c r="A348" i="17"/>
  <c r="A367" i="17"/>
  <c r="A387" i="17"/>
  <c r="A407" i="17"/>
  <c r="A428" i="17"/>
  <c r="A448" i="17"/>
  <c r="A468" i="17"/>
  <c r="A488" i="17"/>
  <c r="A507" i="17"/>
  <c r="A526" i="17"/>
  <c r="A272" i="17"/>
  <c r="A291" i="17"/>
  <c r="A310" i="17"/>
  <c r="A328" i="17"/>
  <c r="A347" i="17"/>
  <c r="A366" i="17"/>
  <c r="A386" i="17"/>
  <c r="A406" i="17"/>
  <c r="A427" i="17"/>
  <c r="A447" i="17"/>
  <c r="A467" i="17"/>
  <c r="A487" i="17"/>
  <c r="A506" i="17"/>
  <c r="A271" i="17"/>
  <c r="A290" i="17"/>
  <c r="A309" i="17"/>
  <c r="A327" i="17"/>
  <c r="A346" i="17"/>
  <c r="A365" i="17"/>
  <c r="A385" i="17"/>
  <c r="A405" i="17"/>
  <c r="A426" i="17"/>
  <c r="A446" i="17"/>
  <c r="A466" i="17"/>
  <c r="A486" i="17"/>
  <c r="A505" i="17"/>
  <c r="A270" i="17"/>
  <c r="A289" i="17"/>
  <c r="A308" i="17"/>
  <c r="A326" i="17"/>
  <c r="A345" i="17"/>
  <c r="A364" i="17"/>
  <c r="A384" i="17"/>
  <c r="A404" i="17"/>
  <c r="A425" i="17"/>
  <c r="A445" i="17"/>
  <c r="A465" i="17"/>
  <c r="A485" i="17"/>
  <c r="A251" i="17"/>
  <c r="A269" i="17"/>
  <c r="A288" i="17"/>
  <c r="A307" i="17"/>
  <c r="A325" i="17"/>
  <c r="A344" i="17"/>
  <c r="A363" i="17"/>
  <c r="A383" i="17"/>
  <c r="A403" i="17"/>
  <c r="A424" i="17"/>
  <c r="A444" i="17"/>
  <c r="A464" i="17"/>
  <c r="A484" i="17"/>
  <c r="A250" i="17"/>
  <c r="A268" i="17"/>
  <c r="A287" i="17"/>
  <c r="A306" i="17"/>
  <c r="A324" i="17"/>
  <c r="A343" i="17"/>
  <c r="A362" i="17"/>
  <c r="A382" i="17"/>
  <c r="A402" i="17"/>
  <c r="A423" i="17"/>
  <c r="A443" i="17"/>
  <c r="A463" i="17"/>
  <c r="A249" i="17"/>
  <c r="A267" i="17"/>
  <c r="A286" i="17"/>
  <c r="A305" i="17"/>
  <c r="A323" i="17"/>
  <c r="A342" i="17"/>
  <c r="A361" i="17"/>
  <c r="A381" i="17"/>
  <c r="A401" i="17"/>
  <c r="A422" i="17"/>
  <c r="A442" i="17"/>
  <c r="A462" i="17"/>
  <c r="A232" i="17"/>
  <c r="A248" i="17"/>
  <c r="A266" i="17"/>
  <c r="A285" i="17"/>
  <c r="A304" i="17"/>
  <c r="A322" i="17"/>
  <c r="A341" i="17"/>
  <c r="A360" i="17"/>
  <c r="A380" i="17"/>
  <c r="A400" i="17"/>
  <c r="A421" i="17"/>
  <c r="A441" i="17"/>
  <c r="A231" i="17"/>
  <c r="A247" i="17"/>
  <c r="A265" i="17"/>
  <c r="A284" i="17"/>
  <c r="A303" i="17"/>
  <c r="A321" i="17"/>
  <c r="A340" i="17"/>
  <c r="A359" i="17"/>
  <c r="A379" i="17"/>
  <c r="A399" i="17"/>
  <c r="A420" i="17"/>
  <c r="A214" i="17"/>
  <c r="A230" i="17"/>
  <c r="A246" i="17"/>
  <c r="A264" i="17"/>
  <c r="A283" i="17"/>
  <c r="A302" i="17"/>
  <c r="A320" i="17"/>
  <c r="A339" i="17"/>
  <c r="A358" i="17"/>
  <c r="A378" i="17"/>
  <c r="A398" i="17"/>
  <c r="A419" i="17"/>
  <c r="A213" i="17"/>
  <c r="A229" i="17"/>
  <c r="A245" i="17"/>
  <c r="A263" i="17"/>
  <c r="A282" i="17"/>
  <c r="A301" i="17"/>
  <c r="A319" i="17"/>
  <c r="A338" i="17"/>
  <c r="A357" i="17"/>
  <c r="A377" i="17"/>
  <c r="A397" i="17"/>
  <c r="A196" i="17"/>
  <c r="A212" i="17"/>
  <c r="A228" i="17"/>
  <c r="A244" i="17"/>
  <c r="A262" i="17"/>
  <c r="A281" i="17"/>
  <c r="A300" i="17"/>
  <c r="A318" i="17"/>
  <c r="A337" i="17"/>
  <c r="A356" i="17"/>
  <c r="A376" i="17"/>
  <c r="A195" i="17"/>
  <c r="A211" i="17"/>
  <c r="A227" i="17"/>
  <c r="A243" i="17"/>
  <c r="A261" i="17"/>
  <c r="A280" i="17"/>
  <c r="A299" i="17"/>
  <c r="A317" i="17"/>
  <c r="A336" i="17"/>
  <c r="A355" i="17"/>
  <c r="A375" i="17"/>
  <c r="A178" i="17"/>
  <c r="A194" i="17"/>
  <c r="A210" i="17"/>
  <c r="A226" i="17"/>
  <c r="A242" i="17"/>
  <c r="A260" i="17"/>
  <c r="A279" i="17"/>
  <c r="A298" i="17"/>
  <c r="A316" i="17"/>
  <c r="A335" i="17"/>
  <c r="A354" i="17"/>
  <c r="A177" i="17"/>
  <c r="A193" i="17"/>
  <c r="A209" i="17"/>
  <c r="A225" i="17"/>
  <c r="A241" i="17"/>
  <c r="A259" i="17"/>
  <c r="A278" i="17"/>
  <c r="A297" i="17"/>
  <c r="A315" i="17"/>
  <c r="A334" i="17"/>
  <c r="A161" i="17"/>
  <c r="A176" i="17"/>
  <c r="A192" i="17"/>
  <c r="A208" i="17"/>
  <c r="A224" i="17"/>
  <c r="A240" i="17"/>
  <c r="A258" i="17"/>
  <c r="A277" i="17"/>
  <c r="A296" i="17"/>
  <c r="A314" i="17"/>
  <c r="A333" i="17"/>
  <c r="A160" i="17"/>
  <c r="A175" i="17"/>
  <c r="A191" i="17"/>
  <c r="A207" i="17"/>
  <c r="A223" i="17"/>
  <c r="A239" i="17"/>
  <c r="A257" i="17"/>
  <c r="A276" i="17"/>
  <c r="A295" i="17"/>
  <c r="A313" i="17"/>
  <c r="A145" i="17"/>
  <c r="A159" i="17"/>
  <c r="A174" i="17"/>
  <c r="A190" i="17"/>
  <c r="A206" i="17"/>
  <c r="A222" i="17"/>
  <c r="A238" i="17"/>
  <c r="A256" i="17"/>
  <c r="A275" i="17"/>
  <c r="A294" i="17"/>
  <c r="A144" i="17"/>
  <c r="A158" i="17"/>
  <c r="A173" i="17"/>
  <c r="A189" i="17"/>
  <c r="A205" i="17"/>
  <c r="A221" i="17"/>
  <c r="A237" i="17"/>
  <c r="A255" i="17"/>
  <c r="A274" i="17"/>
  <c r="A293" i="17"/>
  <c r="A130" i="17"/>
  <c r="A143" i="17"/>
  <c r="A157" i="17"/>
  <c r="A172" i="17"/>
  <c r="A188" i="17"/>
  <c r="A204" i="17"/>
  <c r="A220" i="17"/>
  <c r="A236" i="17"/>
  <c r="A254" i="17"/>
  <c r="A273" i="17"/>
  <c r="A129" i="17"/>
  <c r="A142" i="17"/>
  <c r="A156" i="17"/>
  <c r="A171" i="17"/>
  <c r="A187" i="17"/>
  <c r="A203" i="17"/>
  <c r="A219" i="17"/>
  <c r="A235" i="17"/>
  <c r="A253" i="17"/>
  <c r="A115" i="17"/>
  <c r="A128" i="17"/>
  <c r="A141" i="17"/>
  <c r="A155" i="17"/>
  <c r="A170" i="17"/>
  <c r="A186" i="17"/>
  <c r="A202" i="17"/>
  <c r="A218" i="17"/>
  <c r="A234" i="17"/>
  <c r="A252" i="17"/>
  <c r="A114" i="17"/>
  <c r="A127" i="17"/>
  <c r="A140" i="17"/>
  <c r="A154" i="17"/>
  <c r="A169" i="17"/>
  <c r="A185" i="17"/>
  <c r="A201" i="17"/>
  <c r="A217" i="17"/>
  <c r="A233" i="17"/>
  <c r="A101" i="17"/>
  <c r="A113" i="17"/>
  <c r="A126" i="17"/>
  <c r="A139" i="17"/>
  <c r="A153" i="17"/>
  <c r="A168" i="17"/>
  <c r="A184" i="17"/>
  <c r="A200" i="17"/>
  <c r="A216" i="17"/>
  <c r="A100" i="17"/>
  <c r="A112" i="17"/>
  <c r="A125" i="17"/>
  <c r="A138" i="17"/>
  <c r="A152" i="17"/>
  <c r="A167" i="17"/>
  <c r="A183" i="17"/>
  <c r="A199" i="17"/>
  <c r="A215" i="17"/>
  <c r="A87" i="17"/>
  <c r="A99" i="17"/>
  <c r="A111" i="17"/>
  <c r="A124" i="17"/>
  <c r="A137" i="17"/>
  <c r="A151" i="17"/>
  <c r="A166" i="17"/>
  <c r="A182" i="17"/>
  <c r="A198" i="17"/>
  <c r="A86" i="17"/>
  <c r="A98" i="17"/>
  <c r="A110" i="17"/>
  <c r="A123" i="17"/>
  <c r="A136" i="17"/>
  <c r="A150" i="17"/>
  <c r="A165" i="17"/>
  <c r="A181" i="17"/>
  <c r="A197" i="17"/>
  <c r="A74" i="17"/>
  <c r="A85" i="17"/>
  <c r="A97" i="17"/>
  <c r="A109" i="17"/>
  <c r="A122" i="17"/>
  <c r="A135" i="17"/>
  <c r="A149" i="17"/>
  <c r="A164" i="17"/>
  <c r="A180" i="17"/>
  <c r="A73" i="17"/>
  <c r="A84" i="17"/>
  <c r="A96" i="17"/>
  <c r="A108" i="17"/>
  <c r="A121" i="17"/>
  <c r="A134" i="17"/>
  <c r="A148" i="17"/>
  <c r="A163" i="17"/>
  <c r="A179" i="17"/>
  <c r="A72" i="17"/>
  <c r="A83" i="17"/>
  <c r="A95" i="17"/>
  <c r="A107" i="17"/>
  <c r="A120" i="17"/>
  <c r="A133" i="17"/>
  <c r="A147" i="17"/>
  <c r="A162" i="17"/>
  <c r="A61" i="17"/>
  <c r="A71" i="17"/>
  <c r="A82" i="17"/>
  <c r="A94" i="17"/>
  <c r="A106" i="17"/>
  <c r="A119" i="17"/>
  <c r="A132" i="17"/>
  <c r="A146" i="17"/>
  <c r="A60" i="17"/>
  <c r="A70" i="17"/>
  <c r="A81" i="17"/>
  <c r="A93" i="17"/>
  <c r="A105" i="17"/>
  <c r="A118" i="17"/>
  <c r="A131" i="17"/>
  <c r="A50" i="17"/>
  <c r="A59" i="17"/>
  <c r="A69" i="17"/>
  <c r="A80" i="17"/>
  <c r="A92" i="17"/>
  <c r="A104" i="17"/>
  <c r="A117" i="17"/>
  <c r="A49" i="17"/>
  <c r="A58" i="17"/>
  <c r="A68" i="17"/>
  <c r="A79" i="17"/>
  <c r="A91" i="17"/>
  <c r="A103" i="17"/>
  <c r="A116" i="17"/>
  <c r="A39" i="17"/>
  <c r="A48" i="17"/>
  <c r="A57" i="17"/>
  <c r="A67" i="17"/>
  <c r="A78" i="17"/>
  <c r="A90" i="17"/>
  <c r="A102" i="17"/>
  <c r="A38" i="17"/>
  <c r="A47" i="17"/>
  <c r="A56" i="17"/>
  <c r="A66" i="17"/>
  <c r="A77" i="17"/>
  <c r="A89" i="17"/>
  <c r="A37" i="17"/>
  <c r="A46" i="17"/>
  <c r="A55" i="17"/>
  <c r="A65" i="17"/>
  <c r="A76" i="17"/>
  <c r="A88" i="17"/>
  <c r="A29" i="17"/>
  <c r="A36" i="17"/>
  <c r="A45" i="17"/>
  <c r="A54" i="17"/>
  <c r="A64" i="17"/>
  <c r="A75" i="17"/>
  <c r="A28" i="17"/>
  <c r="A35" i="17"/>
  <c r="A44" i="17"/>
  <c r="A53" i="17"/>
  <c r="A63" i="17"/>
  <c r="A21" i="17"/>
  <c r="A27" i="17"/>
  <c r="A34" i="17"/>
  <c r="A43" i="17"/>
  <c r="A52" i="17"/>
  <c r="A62" i="17"/>
  <c r="A20" i="17"/>
  <c r="A26" i="17"/>
  <c r="A33" i="17"/>
  <c r="A42" i="17"/>
  <c r="A51" i="17"/>
  <c r="A14" i="17"/>
  <c r="A19" i="17"/>
  <c r="A25" i="17"/>
  <c r="A32" i="17"/>
  <c r="A41" i="17"/>
  <c r="A13" i="17"/>
  <c r="A18" i="17"/>
  <c r="A24" i="17"/>
  <c r="A31" i="17"/>
  <c r="A40" i="17"/>
  <c r="A8" i="17"/>
  <c r="A12" i="17"/>
  <c r="A17" i="17"/>
  <c r="A23" i="17"/>
  <c r="A30" i="17"/>
  <c r="A7" i="17"/>
  <c r="A11" i="17"/>
  <c r="A16" i="17"/>
  <c r="A22" i="17"/>
  <c r="A6" i="17"/>
  <c r="A10" i="17"/>
  <c r="A15" i="17"/>
  <c r="A2" i="17"/>
  <c r="A5" i="17"/>
  <c r="A9" i="17"/>
  <c r="A4" i="17"/>
  <c r="A1" i="17"/>
  <c r="A3" i="17"/>
  <c r="M2944" i="13"/>
  <c r="M2943" i="13"/>
  <c r="M2942" i="13"/>
  <c r="M2941" i="13"/>
  <c r="M2940" i="13"/>
  <c r="M2939" i="13"/>
  <c r="M2938" i="13"/>
  <c r="M2937" i="13"/>
  <c r="M2936" i="13"/>
  <c r="M2935" i="13"/>
  <c r="M2934" i="13"/>
  <c r="M2933" i="13"/>
  <c r="M2932" i="13"/>
  <c r="M2931" i="13"/>
  <c r="M2930" i="13"/>
  <c r="M2929" i="13"/>
  <c r="M2928" i="13"/>
  <c r="M2927" i="13"/>
  <c r="M2926" i="13"/>
  <c r="M2925" i="13"/>
  <c r="M2924" i="13"/>
  <c r="M2923" i="13"/>
  <c r="M2922" i="13"/>
  <c r="M2921" i="13"/>
  <c r="M2920" i="13"/>
  <c r="M2919" i="13"/>
  <c r="M2918" i="13"/>
  <c r="M2917" i="13"/>
  <c r="M2916" i="13"/>
  <c r="M2915" i="13"/>
  <c r="M2914" i="13"/>
  <c r="M2913" i="13"/>
  <c r="M2912" i="13"/>
  <c r="M2911" i="13"/>
  <c r="M2910" i="13"/>
  <c r="M2909" i="13"/>
  <c r="M2908" i="13"/>
  <c r="M2907" i="13"/>
  <c r="M2906" i="13"/>
  <c r="M2905" i="13"/>
  <c r="M2904" i="13"/>
  <c r="M2903" i="13"/>
  <c r="M2902" i="13"/>
  <c r="M2901" i="13"/>
  <c r="M2900" i="13"/>
  <c r="M2899" i="13"/>
  <c r="M2898" i="13"/>
  <c r="M2897" i="13"/>
  <c r="M2896" i="13"/>
  <c r="M2895" i="13"/>
  <c r="M2894" i="13"/>
  <c r="M2893" i="13"/>
  <c r="M2892" i="13"/>
  <c r="M2891" i="13"/>
  <c r="M2890" i="13"/>
  <c r="M2889" i="13"/>
  <c r="M2888" i="13"/>
  <c r="M2887" i="13"/>
  <c r="M2886" i="13"/>
  <c r="M2885" i="13"/>
  <c r="M2884" i="13"/>
  <c r="M2883" i="13"/>
  <c r="M2882" i="13"/>
  <c r="M2881" i="13"/>
  <c r="M2880" i="13"/>
  <c r="M2879" i="13"/>
  <c r="M2878" i="13"/>
  <c r="M2877" i="13"/>
  <c r="M2876" i="13"/>
  <c r="M2875" i="13"/>
  <c r="M2874" i="13"/>
  <c r="M2873" i="13"/>
  <c r="M2872" i="13"/>
  <c r="M2871" i="13"/>
  <c r="M2870" i="13"/>
  <c r="M2869" i="13"/>
  <c r="M2868" i="13"/>
  <c r="M2867" i="13"/>
  <c r="M2866" i="13"/>
  <c r="M2865" i="13"/>
  <c r="M2864" i="13"/>
  <c r="M2863" i="13"/>
  <c r="M2862" i="13"/>
  <c r="M2861" i="13"/>
  <c r="M2860" i="13"/>
  <c r="M2859" i="13"/>
  <c r="M2858" i="13"/>
  <c r="M2857" i="13"/>
  <c r="M2856" i="13"/>
  <c r="M2855" i="13"/>
  <c r="M2854" i="13"/>
  <c r="M2853" i="13"/>
  <c r="M2852" i="13"/>
  <c r="M2851" i="13"/>
  <c r="M2850" i="13"/>
  <c r="M2849" i="13"/>
  <c r="M2848" i="13"/>
  <c r="M2847" i="13"/>
  <c r="M2846" i="13"/>
  <c r="M2845" i="13"/>
  <c r="M2844" i="13"/>
  <c r="M2843" i="13"/>
  <c r="M2842" i="13"/>
  <c r="M2841" i="13"/>
  <c r="M2840" i="13"/>
  <c r="M2839" i="13"/>
  <c r="M2838" i="13"/>
  <c r="M2837" i="13"/>
  <c r="M2836" i="13"/>
  <c r="M2835" i="13"/>
  <c r="M2834" i="13"/>
  <c r="M2833" i="13"/>
  <c r="M2832" i="13"/>
  <c r="M2831" i="13"/>
  <c r="M2830" i="13"/>
  <c r="M2829" i="13"/>
  <c r="M2828" i="13"/>
  <c r="M2827" i="13"/>
  <c r="M2826" i="13"/>
  <c r="M2825" i="13"/>
  <c r="M2824" i="13"/>
  <c r="M2823" i="13"/>
  <c r="M2822" i="13"/>
  <c r="M2821" i="13"/>
  <c r="M2820" i="13"/>
  <c r="M2819" i="13"/>
  <c r="M2818" i="13"/>
  <c r="M2817" i="13"/>
  <c r="M2816" i="13"/>
  <c r="M2815" i="13"/>
  <c r="M2814" i="13"/>
  <c r="M2813" i="13"/>
  <c r="M2812" i="13"/>
  <c r="M2811" i="13"/>
  <c r="M2810" i="13"/>
  <c r="M2809" i="13"/>
  <c r="M2808" i="13"/>
  <c r="M2807" i="13"/>
  <c r="M2806" i="13"/>
  <c r="M2805" i="13"/>
  <c r="M2804" i="13"/>
  <c r="M2803" i="13"/>
  <c r="M2802" i="13"/>
  <c r="M2801" i="13"/>
  <c r="M2800" i="13"/>
  <c r="M2799" i="13"/>
  <c r="M2798" i="13"/>
  <c r="M2797" i="13"/>
  <c r="M2796" i="13"/>
  <c r="M2795" i="13"/>
  <c r="M2794" i="13"/>
  <c r="M2793" i="13"/>
  <c r="M2792" i="13"/>
  <c r="M2791" i="13"/>
  <c r="M2790" i="13"/>
  <c r="M2789" i="13"/>
  <c r="M2788" i="13"/>
  <c r="M2787" i="13"/>
  <c r="M2786" i="13"/>
  <c r="M2785" i="13"/>
  <c r="M2784" i="13"/>
  <c r="M2783" i="13"/>
  <c r="M2782" i="13"/>
  <c r="M2781" i="13"/>
  <c r="M2780" i="13"/>
  <c r="M2779" i="13"/>
  <c r="M2778" i="13"/>
  <c r="M2777" i="13"/>
  <c r="M2776" i="13"/>
  <c r="M2775" i="13"/>
  <c r="M2774" i="13"/>
  <c r="M2773" i="13"/>
  <c r="M2772" i="13"/>
  <c r="M2771" i="13"/>
  <c r="M2770" i="13"/>
  <c r="M2769" i="13"/>
  <c r="M2768" i="13"/>
  <c r="M2767" i="13"/>
  <c r="M2766" i="13"/>
  <c r="M2765" i="13"/>
  <c r="M2764" i="13"/>
  <c r="M2763" i="13"/>
  <c r="M2762" i="13"/>
  <c r="M2761" i="13"/>
  <c r="M2760" i="13"/>
  <c r="M2759" i="13"/>
  <c r="M2758" i="13"/>
  <c r="M2757" i="13"/>
  <c r="M2756" i="13"/>
  <c r="M2755" i="13"/>
  <c r="M2754" i="13"/>
  <c r="M2753" i="13"/>
  <c r="M2752" i="13"/>
  <c r="M2751" i="13"/>
  <c r="M2750" i="13"/>
  <c r="M2749" i="13"/>
  <c r="M2748" i="13"/>
  <c r="M2747" i="13"/>
  <c r="M2746" i="13"/>
  <c r="M2745" i="13"/>
  <c r="M2744" i="13"/>
  <c r="M2743" i="13"/>
  <c r="M2742" i="13"/>
  <c r="M2741" i="13"/>
  <c r="M2740" i="13"/>
  <c r="M2739" i="13"/>
  <c r="M2738" i="13"/>
  <c r="M2737" i="13"/>
  <c r="M2736" i="13"/>
  <c r="M2735" i="13"/>
  <c r="M2734" i="13"/>
  <c r="M2733" i="13"/>
  <c r="M2732" i="13"/>
  <c r="M2731" i="13"/>
  <c r="M2730" i="13"/>
  <c r="M2729" i="13"/>
  <c r="M2728" i="13"/>
  <c r="M2727" i="13"/>
  <c r="M2726" i="13"/>
  <c r="M2725" i="13"/>
  <c r="M2724" i="13"/>
  <c r="M2723" i="13"/>
  <c r="M2722" i="13"/>
  <c r="M2721" i="13"/>
  <c r="M2720" i="13"/>
  <c r="M2719" i="13"/>
  <c r="M2718" i="13"/>
  <c r="M2717" i="13"/>
  <c r="M2716" i="13"/>
  <c r="M2715" i="13"/>
  <c r="M2714" i="13"/>
  <c r="M2713" i="13"/>
  <c r="M2712" i="13"/>
  <c r="M2711" i="13"/>
  <c r="M2710" i="13"/>
  <c r="M2709" i="13"/>
  <c r="M2708" i="13"/>
  <c r="M2707" i="13"/>
  <c r="M2706" i="13"/>
  <c r="M2705" i="13"/>
  <c r="M2704" i="13"/>
  <c r="M2703" i="13"/>
  <c r="M2702" i="13"/>
  <c r="M2701" i="13"/>
  <c r="M2700" i="13"/>
  <c r="M2699" i="13"/>
  <c r="M2698" i="13"/>
  <c r="M2697" i="13"/>
  <c r="M2696" i="13"/>
  <c r="M2695" i="13"/>
  <c r="M2694" i="13"/>
  <c r="M2693" i="13"/>
  <c r="M2692" i="13"/>
  <c r="M2691" i="13"/>
  <c r="M2690" i="13"/>
  <c r="M2689" i="13"/>
  <c r="M2688" i="13"/>
  <c r="M2687" i="13"/>
  <c r="M2686" i="13"/>
  <c r="M2685" i="13"/>
  <c r="M2684" i="13"/>
  <c r="M2683" i="13"/>
  <c r="M2682" i="13"/>
  <c r="M2681" i="13"/>
  <c r="M2680" i="13"/>
  <c r="M2679" i="13"/>
  <c r="M2678" i="13"/>
  <c r="M2677" i="13"/>
  <c r="M2676" i="13"/>
  <c r="M2675" i="13"/>
  <c r="M2674" i="13"/>
  <c r="M2673" i="13"/>
  <c r="M2672" i="13"/>
  <c r="M2671" i="13"/>
  <c r="M2670" i="13"/>
  <c r="M2669" i="13"/>
  <c r="M2668" i="13"/>
  <c r="M2667" i="13"/>
  <c r="M2666" i="13"/>
  <c r="M2665" i="13"/>
  <c r="M2664" i="13"/>
  <c r="M2663" i="13"/>
  <c r="M2662" i="13"/>
  <c r="M2661" i="13"/>
  <c r="M2660" i="13"/>
  <c r="M2659" i="13"/>
  <c r="M2658" i="13"/>
  <c r="M2657" i="13"/>
  <c r="M2656" i="13"/>
  <c r="M2655" i="13"/>
  <c r="M2654" i="13"/>
  <c r="M2653" i="13"/>
  <c r="M2652" i="13"/>
  <c r="M2651" i="13"/>
  <c r="M2650" i="13"/>
  <c r="M2649" i="13"/>
  <c r="M2648" i="13"/>
  <c r="M2647" i="13"/>
  <c r="M2646" i="13"/>
  <c r="M2645" i="13"/>
  <c r="M2644" i="13"/>
  <c r="M2643" i="13"/>
  <c r="M2642" i="13"/>
  <c r="M2641" i="13"/>
  <c r="M2640" i="13"/>
  <c r="M2639" i="13"/>
  <c r="M2638" i="13"/>
  <c r="M2637" i="13"/>
  <c r="M2636" i="13"/>
  <c r="M2635" i="13"/>
  <c r="M2634" i="13"/>
  <c r="M2633" i="13"/>
  <c r="M2632" i="13"/>
  <c r="M2631" i="13"/>
  <c r="M2630" i="13"/>
  <c r="M2629" i="13"/>
  <c r="M2628" i="13"/>
  <c r="M2627" i="13"/>
  <c r="M2626" i="13"/>
  <c r="M2625" i="13"/>
  <c r="M2624" i="13"/>
  <c r="M2623" i="13"/>
  <c r="M2622" i="13"/>
  <c r="M2621" i="13"/>
  <c r="M2620" i="13"/>
  <c r="M2619" i="13"/>
  <c r="M2618" i="13"/>
  <c r="M2617" i="13"/>
  <c r="M2616" i="13"/>
  <c r="M2615" i="13"/>
  <c r="M2614" i="13"/>
  <c r="M2613" i="13"/>
  <c r="M2612" i="13"/>
  <c r="M2611" i="13"/>
  <c r="M2610" i="13"/>
  <c r="M2609" i="13"/>
  <c r="M2608" i="13"/>
  <c r="M2607" i="13"/>
  <c r="M2606" i="13"/>
  <c r="M2605" i="13"/>
  <c r="M2604" i="13"/>
  <c r="M2603" i="13"/>
  <c r="M2602" i="13"/>
  <c r="M2601" i="13"/>
  <c r="M2600" i="13"/>
  <c r="M2599" i="13"/>
  <c r="M2598" i="13"/>
  <c r="M2597" i="13"/>
  <c r="M2596" i="13"/>
  <c r="M2595" i="13"/>
  <c r="M2594" i="13"/>
  <c r="M2593" i="13"/>
  <c r="M2592" i="13"/>
  <c r="M2591" i="13"/>
  <c r="M2590" i="13"/>
  <c r="M2589" i="13"/>
  <c r="M2588" i="13"/>
  <c r="M2587" i="13"/>
  <c r="M2586" i="13"/>
  <c r="M2585" i="13"/>
  <c r="M2584" i="13"/>
  <c r="M2583" i="13"/>
  <c r="M2582" i="13"/>
  <c r="M2581" i="13"/>
  <c r="M2580" i="13"/>
  <c r="M2579" i="13"/>
  <c r="M2578" i="13"/>
  <c r="M2577" i="13"/>
  <c r="M2576" i="13"/>
  <c r="M2575" i="13"/>
  <c r="M2574" i="13"/>
  <c r="M2573" i="13"/>
  <c r="M2572" i="13"/>
  <c r="M2571" i="13"/>
  <c r="M2570" i="13"/>
  <c r="M2569" i="13"/>
  <c r="M2568" i="13"/>
  <c r="M2567" i="13"/>
  <c r="M2566" i="13"/>
  <c r="M2565" i="13"/>
  <c r="M2564" i="13"/>
  <c r="M2563" i="13"/>
  <c r="M2562" i="13"/>
  <c r="M2561" i="13"/>
  <c r="M2560" i="13"/>
  <c r="M2559" i="13"/>
  <c r="M2558" i="13"/>
  <c r="M2557" i="13"/>
  <c r="M2556" i="13"/>
  <c r="M2555" i="13"/>
  <c r="M2554" i="13"/>
  <c r="M2553" i="13"/>
  <c r="M2552" i="13"/>
  <c r="M2551" i="13"/>
  <c r="M2550" i="13"/>
  <c r="M2549" i="13"/>
  <c r="M2548" i="13"/>
  <c r="M2547" i="13"/>
  <c r="M2546" i="13"/>
  <c r="M2545" i="13"/>
  <c r="M2544" i="13"/>
  <c r="M2543" i="13"/>
  <c r="M2542" i="13"/>
  <c r="M2541" i="13"/>
  <c r="M2540" i="13"/>
  <c r="M2539" i="13"/>
  <c r="M2538" i="13"/>
  <c r="M2537" i="13"/>
  <c r="M2536" i="13"/>
  <c r="M2535" i="13"/>
  <c r="M2534" i="13"/>
  <c r="M2533" i="13"/>
  <c r="M2532" i="13"/>
  <c r="M2531" i="13"/>
  <c r="M2530" i="13"/>
  <c r="M2529" i="13"/>
  <c r="M2528" i="13"/>
  <c r="M2527" i="13"/>
  <c r="M2526" i="13"/>
  <c r="M2525" i="13"/>
  <c r="M2524" i="13"/>
  <c r="M2523" i="13"/>
  <c r="M2522" i="13"/>
  <c r="M2521" i="13"/>
  <c r="M2520" i="13"/>
  <c r="M2519" i="13"/>
  <c r="M2518" i="13"/>
  <c r="M2517" i="13"/>
  <c r="M2516" i="13"/>
  <c r="M2515" i="13"/>
  <c r="M2514" i="13"/>
  <c r="M2513" i="13"/>
  <c r="M2512" i="13"/>
  <c r="M2511" i="13"/>
  <c r="M2510" i="13"/>
  <c r="M2509" i="13"/>
  <c r="M2508" i="13"/>
  <c r="M2507" i="13"/>
  <c r="M2506" i="13"/>
  <c r="M2505" i="13"/>
  <c r="M2504" i="13"/>
  <c r="M2503" i="13"/>
  <c r="M2502" i="13"/>
  <c r="M2501" i="13"/>
  <c r="M2500" i="13"/>
  <c r="M2499" i="13"/>
  <c r="M2498" i="13"/>
  <c r="M2497" i="13"/>
  <c r="M2496" i="13"/>
  <c r="M2495" i="13"/>
  <c r="M2494" i="13"/>
  <c r="M2493" i="13"/>
  <c r="M2492" i="13"/>
  <c r="M2491" i="13"/>
  <c r="M2490" i="13"/>
  <c r="M2489" i="13"/>
  <c r="M2488" i="13"/>
  <c r="M2487" i="13"/>
  <c r="M2486" i="13"/>
  <c r="M2485" i="13"/>
  <c r="M2484" i="13"/>
  <c r="M2483" i="13"/>
  <c r="M2482" i="13"/>
  <c r="M2481" i="13"/>
  <c r="M2480" i="13"/>
  <c r="M2479" i="13"/>
  <c r="M2478" i="13"/>
  <c r="M2477" i="13"/>
  <c r="M2476" i="13"/>
  <c r="M2475" i="13"/>
  <c r="M2474" i="13"/>
  <c r="M2473" i="13"/>
  <c r="M2472" i="13"/>
  <c r="M2471" i="13"/>
  <c r="M2470" i="13"/>
  <c r="M2469" i="13"/>
  <c r="M2468" i="13"/>
  <c r="M2467" i="13"/>
  <c r="M2466" i="13"/>
  <c r="M2465" i="13"/>
  <c r="M2464" i="13"/>
  <c r="M2463" i="13"/>
  <c r="M2462" i="13"/>
  <c r="M2461" i="13"/>
  <c r="M2460" i="13"/>
  <c r="M2459" i="13"/>
  <c r="M2458" i="13"/>
  <c r="M2457" i="13"/>
  <c r="M2456" i="13"/>
  <c r="M2455" i="13"/>
  <c r="M2454" i="13"/>
  <c r="M2453" i="13"/>
  <c r="M2452" i="13"/>
  <c r="M2451" i="13"/>
  <c r="M2450" i="13"/>
  <c r="M2449" i="13"/>
  <c r="M2448" i="13"/>
  <c r="M2447" i="13"/>
  <c r="M2446" i="13"/>
  <c r="M2445" i="13"/>
  <c r="M2444" i="13"/>
  <c r="M2443" i="13"/>
  <c r="M2442" i="13"/>
  <c r="M2441" i="13"/>
  <c r="M2440" i="13"/>
  <c r="M2439" i="13"/>
  <c r="M2438" i="13"/>
  <c r="M2437" i="13"/>
  <c r="M2436" i="13"/>
  <c r="M2435" i="13"/>
  <c r="M2434" i="13"/>
  <c r="M2433" i="13"/>
  <c r="M2432" i="13"/>
  <c r="M2431" i="13"/>
  <c r="M2430" i="13"/>
  <c r="M2429" i="13"/>
  <c r="M2428" i="13"/>
  <c r="M2427" i="13"/>
  <c r="M2426" i="13"/>
  <c r="M2425" i="13"/>
  <c r="M2424" i="13"/>
  <c r="M2423" i="13"/>
  <c r="M2422" i="13"/>
  <c r="M2421" i="13"/>
  <c r="M2420" i="13"/>
  <c r="M2419" i="13"/>
  <c r="M2418" i="13"/>
  <c r="M2417" i="13"/>
  <c r="M2416" i="13"/>
  <c r="M2415" i="13"/>
  <c r="M2414" i="13"/>
  <c r="M2413" i="13"/>
  <c r="M2412" i="13"/>
  <c r="M2411" i="13"/>
  <c r="M2410" i="13"/>
  <c r="M2409" i="13"/>
  <c r="M2408" i="13"/>
  <c r="M2407" i="13"/>
  <c r="M2406" i="13"/>
  <c r="M2405" i="13"/>
  <c r="M2404" i="13"/>
  <c r="M2403" i="13"/>
  <c r="M2402" i="13"/>
  <c r="M2401" i="13"/>
  <c r="M2400" i="13"/>
  <c r="M2399" i="13"/>
  <c r="M2398" i="13"/>
  <c r="M2397" i="13"/>
  <c r="M2396" i="13"/>
  <c r="M2395" i="13"/>
  <c r="M2394" i="13"/>
  <c r="M2393" i="13"/>
  <c r="M2392" i="13"/>
  <c r="M2391" i="13"/>
  <c r="M2390" i="13"/>
  <c r="M2389" i="13"/>
  <c r="M2388" i="13"/>
  <c r="M2387" i="13"/>
  <c r="M2386" i="13"/>
  <c r="M2385" i="13"/>
  <c r="M2384" i="13"/>
  <c r="M2383" i="13"/>
  <c r="M2382" i="13"/>
  <c r="M2381" i="13"/>
  <c r="M2380" i="13"/>
  <c r="M2379" i="13"/>
  <c r="M2378" i="13"/>
  <c r="M2377" i="13"/>
  <c r="M2376" i="13"/>
  <c r="M2375" i="13"/>
  <c r="M2374" i="13"/>
  <c r="M2373" i="13"/>
  <c r="M2372" i="13"/>
  <c r="M2371" i="13"/>
  <c r="M2370" i="13"/>
  <c r="M2369" i="13"/>
  <c r="M2368" i="13"/>
  <c r="M2367" i="13"/>
  <c r="M2366" i="13"/>
  <c r="M2365" i="13"/>
  <c r="M2364" i="13"/>
  <c r="M2363" i="13"/>
  <c r="M2362" i="13"/>
  <c r="M2361" i="13"/>
  <c r="M2360" i="13"/>
  <c r="M2359" i="13"/>
  <c r="M2358" i="13"/>
  <c r="M2357" i="13"/>
  <c r="M2356" i="13"/>
  <c r="M2355" i="13"/>
  <c r="M2354" i="13"/>
  <c r="M2353" i="13"/>
  <c r="M2352" i="13"/>
  <c r="M2351" i="13"/>
  <c r="M2350" i="13"/>
  <c r="M2349" i="13"/>
  <c r="M2348" i="13"/>
  <c r="M2347" i="13"/>
  <c r="M2346" i="13"/>
  <c r="M2345" i="13"/>
  <c r="M2344" i="13"/>
  <c r="M2343" i="13"/>
  <c r="M2342" i="13"/>
  <c r="M2341" i="13"/>
  <c r="M2340" i="13"/>
  <c r="M2339" i="13"/>
  <c r="M2338" i="13"/>
  <c r="M2337" i="13"/>
  <c r="M2336" i="13"/>
  <c r="M2335" i="13"/>
  <c r="M2334" i="13"/>
  <c r="M2333" i="13"/>
  <c r="M2332" i="13"/>
  <c r="M2331" i="13"/>
  <c r="M2330" i="13"/>
  <c r="M2329" i="13"/>
  <c r="M2328" i="13"/>
  <c r="M2327" i="13"/>
  <c r="M2326" i="13"/>
  <c r="M2325" i="13"/>
  <c r="M2324" i="13"/>
  <c r="M2323" i="13"/>
  <c r="M2322" i="13"/>
  <c r="M2321" i="13"/>
  <c r="M2320" i="13"/>
  <c r="M2319" i="13"/>
  <c r="M2318" i="13"/>
  <c r="M2317" i="13"/>
  <c r="M2316" i="13"/>
  <c r="M2315" i="13"/>
  <c r="M2314" i="13"/>
  <c r="M2313" i="13"/>
  <c r="M2312" i="13"/>
  <c r="M2311" i="13"/>
  <c r="M2310" i="13"/>
  <c r="M2309" i="13"/>
  <c r="M2308" i="13"/>
  <c r="M2307" i="13"/>
  <c r="M2306" i="13"/>
  <c r="M2305" i="13"/>
  <c r="M2304" i="13"/>
  <c r="M2303" i="13"/>
  <c r="M2302" i="13"/>
  <c r="M2301" i="13"/>
  <c r="M2300" i="13"/>
  <c r="M2299" i="13"/>
  <c r="M2298" i="13"/>
  <c r="M2297" i="13"/>
  <c r="M2296" i="13"/>
  <c r="M2295" i="13"/>
  <c r="M2294" i="13"/>
  <c r="M2293" i="13"/>
  <c r="M2292" i="13"/>
  <c r="M2291" i="13"/>
  <c r="M2290" i="13"/>
  <c r="M2289" i="13"/>
  <c r="M2288" i="13"/>
  <c r="M2287" i="13"/>
  <c r="M2286" i="13"/>
  <c r="M2285" i="13"/>
  <c r="M2284" i="13"/>
  <c r="M2283" i="13"/>
  <c r="M2282" i="13"/>
  <c r="M2281" i="13"/>
  <c r="M2280" i="13"/>
  <c r="M2279" i="13"/>
  <c r="M2278" i="13"/>
  <c r="M2277" i="13"/>
  <c r="M2276" i="13"/>
  <c r="M2275" i="13"/>
  <c r="M2274" i="13"/>
  <c r="M2273" i="13"/>
  <c r="M2272" i="13"/>
  <c r="M2271" i="13"/>
  <c r="M2270" i="13"/>
  <c r="M2269" i="13"/>
  <c r="M2268" i="13"/>
  <c r="M2267" i="13"/>
  <c r="M2266" i="13"/>
  <c r="M2265" i="13"/>
  <c r="M2264" i="13"/>
  <c r="M2263" i="13"/>
  <c r="M2262" i="13"/>
  <c r="M2261" i="13"/>
  <c r="M2260" i="13"/>
  <c r="M2259" i="13"/>
  <c r="M2258" i="13"/>
  <c r="M2257" i="13"/>
  <c r="M2256" i="13"/>
  <c r="M2255" i="13"/>
  <c r="M2254" i="13"/>
  <c r="M2253" i="13"/>
  <c r="M2252" i="13"/>
  <c r="M2251" i="13"/>
  <c r="M2250" i="13"/>
  <c r="M2249" i="13"/>
  <c r="M2248" i="13"/>
  <c r="M2247" i="13"/>
  <c r="M2246" i="13"/>
  <c r="M2245" i="13"/>
  <c r="M2244" i="13"/>
  <c r="M2243" i="13"/>
  <c r="M2242" i="13"/>
  <c r="M2241" i="13"/>
  <c r="M2240" i="13"/>
  <c r="M2239" i="13"/>
  <c r="M2238" i="13"/>
  <c r="M2237" i="13"/>
  <c r="M2236" i="13"/>
  <c r="M2235" i="13"/>
  <c r="M2234" i="13"/>
  <c r="M2233" i="13"/>
  <c r="M2232" i="13"/>
  <c r="M2231" i="13"/>
  <c r="M2230" i="13"/>
  <c r="M2229" i="13"/>
  <c r="M2228" i="13"/>
  <c r="M2227" i="13"/>
  <c r="M2226" i="13"/>
  <c r="M2225" i="13"/>
  <c r="M2224" i="13"/>
  <c r="M2223" i="13"/>
  <c r="M2222" i="13"/>
  <c r="M2221" i="13"/>
  <c r="M2220" i="13"/>
  <c r="M2219" i="13"/>
  <c r="M2218" i="13"/>
  <c r="M2217" i="13"/>
  <c r="M2216" i="13"/>
  <c r="M2215" i="13"/>
  <c r="M2214" i="13"/>
  <c r="M2213" i="13"/>
  <c r="M2212" i="13"/>
  <c r="M2211" i="13"/>
  <c r="M2210" i="13"/>
  <c r="M2209" i="13"/>
  <c r="M2208" i="13"/>
  <c r="M2207" i="13"/>
  <c r="M2206" i="13"/>
  <c r="M2205" i="13"/>
  <c r="M2204" i="13"/>
  <c r="M2203" i="13"/>
  <c r="M2202" i="13"/>
  <c r="M2201" i="13"/>
  <c r="M2200" i="13"/>
  <c r="M2199" i="13"/>
  <c r="M2198" i="13"/>
  <c r="M2197" i="13"/>
  <c r="M2196" i="13"/>
  <c r="M2195" i="13"/>
  <c r="M2194" i="13"/>
  <c r="M2193" i="13"/>
  <c r="M2192" i="13"/>
  <c r="M2191" i="13"/>
  <c r="M2190" i="13"/>
  <c r="M2189" i="13"/>
  <c r="M2188" i="13"/>
  <c r="M2187" i="13"/>
  <c r="M2186" i="13"/>
  <c r="M2185" i="13"/>
  <c r="M2184" i="13"/>
  <c r="M2183" i="13"/>
  <c r="M2182" i="13"/>
  <c r="M2181" i="13"/>
  <c r="M2180" i="13"/>
  <c r="M2179" i="13"/>
  <c r="M2178" i="13"/>
  <c r="M2177" i="13"/>
  <c r="M2176" i="13"/>
  <c r="M2175" i="13"/>
  <c r="M2174" i="13"/>
  <c r="M2173" i="13"/>
  <c r="M2172" i="13"/>
  <c r="M2171" i="13"/>
  <c r="M2170" i="13"/>
  <c r="M2169" i="13"/>
  <c r="M2168" i="13"/>
  <c r="M2167" i="13"/>
  <c r="M2166" i="13"/>
  <c r="M2165" i="13"/>
  <c r="M2164" i="13"/>
  <c r="M2163" i="13"/>
  <c r="M2162" i="13"/>
  <c r="M2161" i="13"/>
  <c r="M2160" i="13"/>
  <c r="M2159" i="13"/>
  <c r="M2158" i="13"/>
  <c r="M2157" i="13"/>
  <c r="M2156" i="13"/>
  <c r="M2155" i="13"/>
  <c r="M2154" i="13"/>
  <c r="M2153" i="13"/>
  <c r="M2152" i="13"/>
  <c r="M2151" i="13"/>
  <c r="M2150" i="13"/>
  <c r="M2149" i="13"/>
  <c r="M2148" i="13"/>
  <c r="M2147" i="13"/>
  <c r="M2146" i="13"/>
  <c r="M2145" i="13"/>
  <c r="M2144" i="13"/>
  <c r="M2143" i="13"/>
  <c r="M2142" i="13"/>
  <c r="M2141" i="13"/>
  <c r="M2140" i="13"/>
  <c r="M2139" i="13"/>
  <c r="M2138" i="13"/>
  <c r="M2137" i="13"/>
  <c r="M2136" i="13"/>
  <c r="M2135" i="13"/>
  <c r="M2134" i="13"/>
  <c r="M2133" i="13"/>
  <c r="M2132" i="13"/>
  <c r="M2131" i="13"/>
  <c r="M2130" i="13"/>
  <c r="M2129" i="13"/>
  <c r="M2128" i="13"/>
  <c r="M2127" i="13"/>
  <c r="M2126" i="13"/>
  <c r="M2125" i="13"/>
  <c r="M2124" i="13"/>
  <c r="M2123" i="13"/>
  <c r="M2122" i="13"/>
  <c r="M2121" i="13"/>
  <c r="M2120" i="13"/>
  <c r="M2119" i="13"/>
  <c r="M2118" i="13"/>
  <c r="M2117" i="13"/>
  <c r="M2116" i="13"/>
  <c r="M2115" i="13"/>
  <c r="M2114" i="13"/>
  <c r="M2113" i="13"/>
  <c r="M2112" i="13"/>
  <c r="M2111" i="13"/>
  <c r="M2110" i="13"/>
  <c r="M2109" i="13"/>
  <c r="M2108" i="13"/>
  <c r="M2107" i="13"/>
  <c r="M2106" i="13"/>
  <c r="M2105" i="13"/>
  <c r="M2104" i="13"/>
  <c r="M2103" i="13"/>
  <c r="M2102" i="13"/>
  <c r="M2101" i="13"/>
  <c r="M2100" i="13"/>
  <c r="M2099" i="13"/>
  <c r="M2098" i="13"/>
  <c r="M2097" i="13"/>
  <c r="M2096" i="13"/>
  <c r="M2095" i="13"/>
  <c r="M2094" i="13"/>
  <c r="M2093" i="13"/>
  <c r="M2092" i="13"/>
  <c r="M2091" i="13"/>
  <c r="M2090" i="13"/>
  <c r="M2089" i="13"/>
  <c r="M2088" i="13"/>
  <c r="M2087" i="13"/>
  <c r="M2086" i="13"/>
  <c r="M2085" i="13"/>
  <c r="M2084" i="13"/>
  <c r="M2083" i="13"/>
  <c r="M2082" i="13"/>
  <c r="M2081" i="13"/>
  <c r="M2080" i="13"/>
  <c r="M2079" i="13"/>
  <c r="M2078" i="13"/>
  <c r="M2077" i="13"/>
  <c r="M2076" i="13"/>
  <c r="M2075" i="13"/>
  <c r="M2074" i="13"/>
  <c r="M2073" i="13"/>
  <c r="M2072" i="13"/>
  <c r="M2071" i="13"/>
  <c r="M2070" i="13"/>
  <c r="M2069" i="13"/>
  <c r="M2068" i="13"/>
  <c r="M2067" i="13"/>
  <c r="M2066" i="13"/>
  <c r="M2065" i="13"/>
  <c r="M2064" i="13"/>
  <c r="M2063" i="13"/>
  <c r="M2062" i="13"/>
  <c r="M2061" i="13"/>
  <c r="M2060" i="13"/>
  <c r="M2059" i="13"/>
  <c r="M2058" i="13"/>
  <c r="M2057" i="13"/>
  <c r="M2056" i="13"/>
  <c r="M2055" i="13"/>
  <c r="M2054" i="13"/>
  <c r="M2053" i="13"/>
  <c r="M2052" i="13"/>
  <c r="M2051" i="13"/>
  <c r="M2050" i="13"/>
  <c r="M2049" i="13"/>
  <c r="M2048" i="13"/>
  <c r="M2047" i="13"/>
  <c r="M2046" i="13"/>
  <c r="M2045" i="13"/>
  <c r="M2044" i="13"/>
  <c r="M2043" i="13"/>
  <c r="M2042" i="13"/>
  <c r="M2041" i="13"/>
  <c r="M2040" i="13"/>
  <c r="M2039" i="13"/>
  <c r="M2038" i="13"/>
  <c r="M2037" i="13"/>
  <c r="M2036" i="13"/>
  <c r="M2035" i="13"/>
  <c r="M2034" i="13"/>
  <c r="M2033" i="13"/>
  <c r="M2032" i="13"/>
  <c r="M2031" i="13"/>
  <c r="M2030" i="13"/>
  <c r="M2029" i="13"/>
  <c r="M2028" i="13"/>
  <c r="M2027" i="13"/>
  <c r="M2026" i="13"/>
  <c r="M2025" i="13"/>
  <c r="M2024" i="13"/>
  <c r="M2023" i="13"/>
  <c r="M2022" i="13"/>
  <c r="M2021" i="13"/>
  <c r="M2020" i="13"/>
  <c r="M2019" i="13"/>
  <c r="M2018" i="13"/>
  <c r="M2017" i="13"/>
  <c r="M2016" i="13"/>
  <c r="M2015" i="13"/>
  <c r="M2014" i="13"/>
  <c r="M2013" i="13"/>
  <c r="M2012" i="13"/>
  <c r="M2011" i="13"/>
  <c r="M2010" i="13"/>
  <c r="M2009" i="13"/>
  <c r="M2008" i="13"/>
  <c r="M2007" i="13"/>
  <c r="M2006" i="13"/>
  <c r="M2005" i="13"/>
  <c r="M2004" i="13"/>
  <c r="M2003" i="13"/>
  <c r="M2002" i="13"/>
  <c r="M2001" i="13"/>
  <c r="M2000" i="13"/>
  <c r="M1999" i="13"/>
  <c r="M1998" i="13"/>
  <c r="M1997" i="13"/>
  <c r="M1996" i="13"/>
  <c r="M1995" i="13"/>
  <c r="M1994" i="13"/>
  <c r="M1993" i="13"/>
  <c r="M1992" i="13"/>
  <c r="M1991" i="13"/>
  <c r="M1990" i="13"/>
  <c r="M1989" i="13"/>
  <c r="M1988" i="13"/>
  <c r="M1987" i="13"/>
  <c r="M1986" i="13"/>
  <c r="M1985" i="13"/>
  <c r="M1984" i="13"/>
  <c r="M1983" i="13"/>
  <c r="M1982" i="13"/>
  <c r="M1981" i="13"/>
  <c r="M1980" i="13"/>
  <c r="M1979" i="13"/>
  <c r="M1978" i="13"/>
  <c r="M1977" i="13"/>
  <c r="M1976" i="13"/>
  <c r="M1975" i="13"/>
  <c r="M1974" i="13"/>
  <c r="M1973" i="13"/>
  <c r="M1972" i="13"/>
  <c r="M1971" i="13"/>
  <c r="M1970" i="13"/>
  <c r="M1969" i="13"/>
  <c r="M1968" i="13"/>
  <c r="M1967" i="13"/>
  <c r="M1966" i="13"/>
  <c r="M1965" i="13"/>
  <c r="M1964" i="13"/>
  <c r="M1963" i="13"/>
  <c r="M1962" i="13"/>
  <c r="M1961" i="13"/>
  <c r="M1960" i="13"/>
  <c r="M1959" i="13"/>
  <c r="M1958" i="13"/>
  <c r="M1957" i="13"/>
  <c r="M1956" i="13"/>
  <c r="M1955" i="13"/>
  <c r="M1954" i="13"/>
  <c r="M1953" i="13"/>
  <c r="M1952" i="13"/>
  <c r="M1951" i="13"/>
  <c r="M1950" i="13"/>
  <c r="M1949" i="13"/>
  <c r="M1948" i="13"/>
  <c r="M1947" i="13"/>
  <c r="M1946" i="13"/>
  <c r="M1945" i="13"/>
  <c r="M1944" i="13"/>
  <c r="M1943" i="13"/>
  <c r="M1942" i="13"/>
  <c r="M1941" i="13"/>
  <c r="M1940" i="13"/>
  <c r="M1939" i="13"/>
  <c r="M1938" i="13"/>
  <c r="M1937" i="13"/>
  <c r="M1936" i="13"/>
  <c r="M1935" i="13"/>
  <c r="M1934" i="13"/>
  <c r="M1933" i="13"/>
  <c r="M1932" i="13"/>
  <c r="M1931" i="13"/>
  <c r="M1930" i="13"/>
  <c r="M1929" i="13"/>
  <c r="M1928" i="13"/>
  <c r="M1927" i="13"/>
  <c r="M1926" i="13"/>
  <c r="M1925" i="13"/>
  <c r="M1924" i="13"/>
  <c r="M1923" i="13"/>
  <c r="M1922" i="13"/>
  <c r="M1921" i="13"/>
  <c r="M1920" i="13"/>
  <c r="M1919" i="13"/>
  <c r="M1918" i="13"/>
  <c r="M1917" i="13"/>
  <c r="M1916" i="13"/>
  <c r="M1915" i="13"/>
  <c r="M1914" i="13"/>
  <c r="M1913" i="13"/>
  <c r="M1912" i="13"/>
  <c r="M1911" i="13"/>
  <c r="M1910" i="13"/>
  <c r="M1909" i="13"/>
  <c r="M1908" i="13"/>
  <c r="M1907" i="13"/>
  <c r="M1906" i="13"/>
  <c r="M1905" i="13"/>
  <c r="M1904" i="13"/>
  <c r="M1903" i="13"/>
  <c r="M1902" i="13"/>
  <c r="M1901" i="13"/>
  <c r="M1900" i="13"/>
  <c r="M1899" i="13"/>
  <c r="M1898" i="13"/>
  <c r="M1897" i="13"/>
  <c r="M1896" i="13"/>
  <c r="M1895" i="13"/>
  <c r="M1894" i="13"/>
  <c r="M1893" i="13"/>
  <c r="M1892" i="13"/>
  <c r="M1891" i="13"/>
  <c r="M1890" i="13"/>
  <c r="M1889" i="13"/>
  <c r="M1888" i="13"/>
  <c r="M1887" i="13"/>
  <c r="M1886" i="13"/>
  <c r="M1885" i="13"/>
  <c r="M1884" i="13"/>
  <c r="M1883" i="13"/>
  <c r="M1882" i="13"/>
  <c r="M1881" i="13"/>
  <c r="M1880" i="13"/>
  <c r="M1879" i="13"/>
  <c r="M1878" i="13"/>
  <c r="M1877" i="13"/>
  <c r="M1876" i="13"/>
  <c r="M1875" i="13"/>
  <c r="M1874" i="13"/>
  <c r="M1873" i="13"/>
  <c r="M1872" i="13"/>
  <c r="M1871" i="13"/>
  <c r="M1870" i="13"/>
  <c r="M1869" i="13"/>
  <c r="M1868" i="13"/>
  <c r="M1867" i="13"/>
  <c r="M1866" i="13"/>
  <c r="M1865" i="13"/>
  <c r="M1864" i="13"/>
  <c r="M1863" i="13"/>
  <c r="M1862" i="13"/>
  <c r="M1861" i="13"/>
  <c r="M1860" i="13"/>
  <c r="M1859" i="13"/>
  <c r="M1858" i="13"/>
  <c r="M1857" i="13"/>
  <c r="M1856" i="13"/>
  <c r="M1855" i="13"/>
  <c r="M1854" i="13"/>
  <c r="M1853" i="13"/>
  <c r="M1852" i="13"/>
  <c r="M1851" i="13"/>
  <c r="M1850" i="13"/>
  <c r="M1849" i="13"/>
  <c r="M1848" i="13"/>
  <c r="M1847" i="13"/>
  <c r="M1846" i="13"/>
  <c r="M1845" i="13"/>
  <c r="M1844" i="13"/>
  <c r="M1843" i="13"/>
  <c r="M1842" i="13"/>
  <c r="M1841" i="13"/>
  <c r="M1840" i="13"/>
  <c r="M1839" i="13"/>
  <c r="M1838" i="13"/>
  <c r="M1837" i="13"/>
  <c r="M1836" i="13"/>
  <c r="M1835" i="13"/>
  <c r="M1834" i="13"/>
  <c r="M1833" i="13"/>
  <c r="M1832" i="13"/>
  <c r="M1831" i="13"/>
  <c r="M1830" i="13"/>
  <c r="M1829" i="13"/>
  <c r="M1828" i="13"/>
  <c r="M1827" i="13"/>
  <c r="M1826" i="13"/>
  <c r="M1825" i="13"/>
  <c r="M1824" i="13"/>
  <c r="M1823" i="13"/>
  <c r="M1822" i="13"/>
  <c r="M1821" i="13"/>
  <c r="M1820" i="13"/>
  <c r="M1819" i="13"/>
  <c r="M1818" i="13"/>
  <c r="M1817" i="13"/>
  <c r="M1816" i="13"/>
  <c r="M1815" i="13"/>
  <c r="M1814" i="13"/>
  <c r="M1813" i="13"/>
  <c r="M1812" i="13"/>
  <c r="M1811" i="13"/>
  <c r="M1810" i="13"/>
  <c r="M1809" i="13"/>
  <c r="M1808" i="13"/>
  <c r="M1807" i="13"/>
  <c r="M1806" i="13"/>
  <c r="M1805" i="13"/>
  <c r="M1804" i="13"/>
  <c r="M1803" i="13"/>
  <c r="M1802" i="13"/>
  <c r="M1801" i="13"/>
  <c r="M1800" i="13"/>
  <c r="M1799" i="13"/>
  <c r="M1798" i="13"/>
  <c r="M1797" i="13"/>
  <c r="M1796" i="13"/>
  <c r="M1795" i="13"/>
  <c r="M1794" i="13"/>
  <c r="M1793" i="13"/>
  <c r="M1792" i="13"/>
  <c r="M1791" i="13"/>
  <c r="M1790" i="13"/>
  <c r="M1789" i="13"/>
  <c r="M1788" i="13"/>
  <c r="M1787" i="13"/>
  <c r="M1786" i="13"/>
  <c r="M1785" i="13"/>
  <c r="M1784" i="13"/>
  <c r="M1783" i="13"/>
  <c r="M1782" i="13"/>
  <c r="M1781" i="13"/>
  <c r="M1780" i="13"/>
  <c r="M1779" i="13"/>
  <c r="M1778" i="13"/>
  <c r="M1777" i="13"/>
  <c r="M1776" i="13"/>
  <c r="M1775" i="13"/>
  <c r="M1774" i="13"/>
  <c r="M1773" i="13"/>
  <c r="M1772" i="13"/>
  <c r="M1771" i="13"/>
  <c r="M1770" i="13"/>
  <c r="M1769" i="13"/>
  <c r="M1768" i="13"/>
  <c r="M1767" i="13"/>
  <c r="M1766" i="13"/>
  <c r="M1765" i="13"/>
  <c r="M1764" i="13"/>
  <c r="M1763" i="13"/>
  <c r="M1762" i="13"/>
  <c r="M1761" i="13"/>
  <c r="M1760" i="13"/>
  <c r="M1759" i="13"/>
  <c r="M1758" i="13"/>
  <c r="M1757" i="13"/>
  <c r="M1756" i="13"/>
  <c r="M1755" i="13"/>
  <c r="M1754" i="13"/>
  <c r="M1753" i="13"/>
  <c r="M1752" i="13"/>
  <c r="M1751" i="13"/>
  <c r="M1750" i="13"/>
  <c r="M1749" i="13"/>
  <c r="M1748" i="13"/>
  <c r="M1747" i="13"/>
  <c r="M1746" i="13"/>
  <c r="M1745" i="13"/>
  <c r="M1744" i="13"/>
  <c r="M1743" i="13"/>
  <c r="M1742" i="13"/>
  <c r="M1741" i="13"/>
  <c r="M1740" i="13"/>
  <c r="M1739" i="13"/>
  <c r="M1738" i="13"/>
  <c r="M1737" i="13"/>
  <c r="M1736" i="13"/>
  <c r="M1735" i="13"/>
  <c r="M1734" i="13"/>
  <c r="M1733" i="13"/>
  <c r="M1732" i="13"/>
  <c r="M1731" i="13"/>
  <c r="M1730" i="13"/>
  <c r="M1729" i="13"/>
  <c r="M1728" i="13"/>
  <c r="M1727" i="13"/>
  <c r="M1726" i="13"/>
  <c r="M1725" i="13"/>
  <c r="M1724" i="13"/>
  <c r="M1723" i="13"/>
  <c r="M1722" i="13"/>
  <c r="M1721" i="13"/>
  <c r="M1720" i="13"/>
  <c r="M1719" i="13"/>
  <c r="M1718" i="13"/>
  <c r="M1717" i="13"/>
  <c r="M1716" i="13"/>
  <c r="M1715" i="13"/>
  <c r="M1714" i="13"/>
  <c r="M1713" i="13"/>
  <c r="M1712" i="13"/>
  <c r="M1711" i="13"/>
  <c r="M1710" i="13"/>
  <c r="M1709" i="13"/>
  <c r="M1708" i="13"/>
  <c r="M1707" i="13"/>
  <c r="M1706" i="13"/>
  <c r="M1705" i="13"/>
  <c r="M1704" i="13"/>
  <c r="M1703" i="13"/>
  <c r="M1702" i="13"/>
  <c r="M1701" i="13"/>
  <c r="M1700" i="13"/>
  <c r="M1699" i="13"/>
  <c r="M1698" i="13"/>
  <c r="M1697" i="13"/>
  <c r="M1696" i="13"/>
  <c r="M1695" i="13"/>
  <c r="M1694" i="13"/>
  <c r="M1693" i="13"/>
  <c r="M1692" i="13"/>
  <c r="M1691" i="13"/>
  <c r="M1690" i="13"/>
  <c r="M1689" i="13"/>
  <c r="M1688" i="13"/>
  <c r="M1687" i="13"/>
  <c r="M1686" i="13"/>
  <c r="M1685" i="13"/>
  <c r="M1684" i="13"/>
  <c r="M1683" i="13"/>
  <c r="M1682" i="13"/>
  <c r="M1681" i="13"/>
  <c r="M1680" i="13"/>
  <c r="M1679" i="13"/>
  <c r="M1678" i="13"/>
  <c r="M1677" i="13"/>
  <c r="M1676" i="13"/>
  <c r="M1675" i="13"/>
  <c r="M1674" i="13"/>
  <c r="M1673" i="13"/>
  <c r="M1672" i="13"/>
  <c r="M1671" i="13"/>
  <c r="M1670" i="13"/>
  <c r="M1669" i="13"/>
  <c r="M1668" i="13"/>
  <c r="M1667" i="13"/>
  <c r="M1666" i="13"/>
  <c r="M1665" i="13"/>
  <c r="M1664" i="13"/>
  <c r="M1663" i="13"/>
  <c r="M1662" i="13"/>
  <c r="M1661" i="13"/>
  <c r="M1660" i="13"/>
  <c r="M1659" i="13"/>
  <c r="M1658" i="13"/>
  <c r="M1657" i="13"/>
  <c r="M1656" i="13"/>
  <c r="M1655" i="13"/>
  <c r="M1654" i="13"/>
  <c r="M1653" i="13"/>
  <c r="M1652" i="13"/>
  <c r="M1651" i="13"/>
  <c r="M1650" i="13"/>
  <c r="M1649" i="13"/>
  <c r="M1648" i="13"/>
  <c r="M1647" i="13"/>
  <c r="M1646" i="13"/>
  <c r="M1645" i="13"/>
  <c r="M1644" i="13"/>
  <c r="M1643" i="13"/>
  <c r="M1642" i="13"/>
  <c r="M1641" i="13"/>
  <c r="M1640" i="13"/>
  <c r="M1639" i="13"/>
  <c r="M1638" i="13"/>
  <c r="M1637" i="13"/>
  <c r="M1636" i="13"/>
  <c r="M1635" i="13"/>
  <c r="M1634" i="13"/>
  <c r="M1633" i="13"/>
  <c r="M1632" i="13"/>
  <c r="M1631" i="13"/>
  <c r="M1630" i="13"/>
  <c r="M1629" i="13"/>
  <c r="M1628" i="13"/>
  <c r="M1627" i="13"/>
  <c r="M1626" i="13"/>
  <c r="M1625" i="13"/>
  <c r="M1624" i="13"/>
  <c r="M1623" i="13"/>
  <c r="M1622" i="13"/>
  <c r="M1621" i="13"/>
  <c r="M1620" i="13"/>
  <c r="M1619" i="13"/>
  <c r="M1618" i="13"/>
  <c r="M1617" i="13"/>
  <c r="M1616" i="13"/>
  <c r="M1615" i="13"/>
  <c r="M1614" i="13"/>
  <c r="M1613" i="13"/>
  <c r="M1612" i="13"/>
  <c r="M1611" i="13"/>
  <c r="M1610" i="13"/>
  <c r="M1609" i="13"/>
  <c r="M1608" i="13"/>
  <c r="M1607" i="13"/>
  <c r="M1606" i="13"/>
  <c r="M1605" i="13"/>
  <c r="M1604" i="13"/>
  <c r="M1603" i="13"/>
  <c r="M1602" i="13"/>
  <c r="M1601" i="13"/>
  <c r="M1600" i="13"/>
  <c r="M1599" i="13"/>
  <c r="M1598" i="13"/>
  <c r="M1597" i="13"/>
  <c r="M1596" i="13"/>
  <c r="M1595" i="13"/>
  <c r="M1594" i="13"/>
  <c r="M1593" i="13"/>
  <c r="M1592" i="13"/>
  <c r="M1591" i="13"/>
  <c r="M1590" i="13"/>
  <c r="M1589" i="13"/>
  <c r="M1588" i="13"/>
  <c r="M1587" i="13"/>
  <c r="M1586" i="13"/>
  <c r="M1585" i="13"/>
  <c r="M1584" i="13"/>
  <c r="M1583" i="13"/>
  <c r="M1582" i="13"/>
  <c r="M1581" i="13"/>
  <c r="M1580" i="13"/>
  <c r="M1579" i="13"/>
  <c r="M1578" i="13"/>
  <c r="M1577" i="13"/>
  <c r="M1576" i="13"/>
  <c r="M1575" i="13"/>
  <c r="M1574" i="13"/>
  <c r="M1573" i="13"/>
  <c r="M1572" i="13"/>
  <c r="M1571" i="13"/>
  <c r="M1570" i="13"/>
  <c r="M1569" i="13"/>
  <c r="M1568" i="13"/>
  <c r="M1567" i="13"/>
  <c r="M1566" i="13"/>
  <c r="M1565" i="13"/>
  <c r="M1564" i="13"/>
  <c r="M1563" i="13"/>
  <c r="M1562" i="13"/>
  <c r="M1561" i="13"/>
  <c r="M1560" i="13"/>
  <c r="M1559" i="13"/>
  <c r="M1558" i="13"/>
  <c r="M1557" i="13"/>
  <c r="M1556" i="13"/>
  <c r="M1555" i="13"/>
  <c r="M1554" i="13"/>
  <c r="M1553" i="13"/>
  <c r="M1552" i="13"/>
  <c r="M1551" i="13"/>
  <c r="M1550" i="13"/>
  <c r="M1549" i="13"/>
  <c r="M1548" i="13"/>
  <c r="M1547" i="13"/>
  <c r="M1546" i="13"/>
  <c r="M1545" i="13"/>
  <c r="M1544" i="13"/>
  <c r="M1543" i="13"/>
  <c r="M1542" i="13"/>
  <c r="M1541" i="13"/>
  <c r="M1540" i="13"/>
  <c r="M1539" i="13"/>
  <c r="M1538" i="13"/>
  <c r="M1537" i="13"/>
  <c r="M1536" i="13"/>
  <c r="M1535" i="13"/>
  <c r="M1534" i="13"/>
  <c r="M1533" i="13"/>
  <c r="M1532" i="13"/>
  <c r="M1531" i="13"/>
  <c r="M1530" i="13"/>
  <c r="M1529" i="13"/>
  <c r="M1528" i="13"/>
  <c r="M1527" i="13"/>
  <c r="M1526" i="13"/>
  <c r="M1525" i="13"/>
  <c r="M1524" i="13"/>
  <c r="M1523" i="13"/>
  <c r="M1522" i="13"/>
  <c r="M1521" i="13"/>
  <c r="M1520" i="13"/>
  <c r="M1519" i="13"/>
  <c r="M1518" i="13"/>
  <c r="M1517" i="13"/>
  <c r="M1516" i="13"/>
  <c r="M1515" i="13"/>
  <c r="M1514" i="13"/>
  <c r="M1513" i="13"/>
  <c r="M1512" i="13"/>
  <c r="M1511" i="13"/>
  <c r="M1510" i="13"/>
  <c r="M1509" i="13"/>
  <c r="M1508" i="13"/>
  <c r="M1507" i="13"/>
  <c r="M1506" i="13"/>
  <c r="M1505" i="13"/>
  <c r="M1504" i="13"/>
  <c r="M1503" i="13"/>
  <c r="M1502" i="13"/>
  <c r="M1501" i="13"/>
  <c r="M1500" i="13"/>
  <c r="M1499" i="13"/>
  <c r="M1498" i="13"/>
  <c r="M1497" i="13"/>
  <c r="M1496" i="13"/>
  <c r="M1495" i="13"/>
  <c r="M1494" i="13"/>
  <c r="M1493" i="13"/>
  <c r="M1492" i="13"/>
  <c r="M1491" i="13"/>
  <c r="M1490" i="13"/>
  <c r="M1489" i="13"/>
  <c r="M1488" i="13"/>
  <c r="M1487" i="13"/>
  <c r="M1486" i="13"/>
  <c r="M1485" i="13"/>
  <c r="M1484" i="13"/>
  <c r="M1483" i="13"/>
  <c r="M1482" i="13"/>
  <c r="M1481" i="13"/>
  <c r="M1480" i="13"/>
  <c r="M1479" i="13"/>
  <c r="M1478" i="13"/>
  <c r="M1477" i="13"/>
  <c r="M1476" i="13"/>
  <c r="M1475" i="13"/>
  <c r="M1474" i="13"/>
  <c r="M1473" i="13"/>
  <c r="M1472" i="13"/>
  <c r="M1471" i="13"/>
  <c r="M1470" i="13"/>
  <c r="M1469" i="13"/>
  <c r="M1468" i="13"/>
  <c r="M1467" i="13"/>
  <c r="M1466" i="13"/>
  <c r="M1465" i="13"/>
  <c r="M1464" i="13"/>
  <c r="M1463" i="13"/>
  <c r="M1462" i="13"/>
  <c r="M1461" i="13"/>
  <c r="M1460" i="13"/>
  <c r="M1459" i="13"/>
  <c r="M1458" i="13"/>
  <c r="M1457" i="13"/>
  <c r="M1456" i="13"/>
  <c r="M1455" i="13"/>
  <c r="M1454" i="13"/>
  <c r="M1453" i="13"/>
  <c r="M1452" i="13"/>
  <c r="M1451" i="13"/>
  <c r="M1450" i="13"/>
  <c r="M1449" i="13"/>
  <c r="M1448" i="13"/>
  <c r="M1447" i="13"/>
  <c r="M1446" i="13"/>
  <c r="M1445" i="13"/>
  <c r="M1444" i="13"/>
  <c r="M1443" i="13"/>
  <c r="M1442" i="13"/>
  <c r="M1441" i="13"/>
  <c r="M1440" i="13"/>
  <c r="M1439" i="13"/>
  <c r="M1438" i="13"/>
  <c r="M1437" i="13"/>
  <c r="M1436" i="13"/>
  <c r="M1435" i="13"/>
  <c r="M1434" i="13"/>
  <c r="M1433" i="13"/>
  <c r="M1432" i="13"/>
  <c r="M1431" i="13"/>
  <c r="M1430" i="13"/>
  <c r="M1429" i="13"/>
  <c r="M1428" i="13"/>
  <c r="M1427" i="13"/>
  <c r="M1426" i="13"/>
  <c r="M1425" i="13"/>
  <c r="M1424" i="13"/>
  <c r="M1423" i="13"/>
  <c r="M1422" i="13"/>
  <c r="M1421" i="13"/>
  <c r="M1420" i="13"/>
  <c r="M1419" i="13"/>
  <c r="M1418" i="13"/>
  <c r="M1417" i="13"/>
  <c r="M1416" i="13"/>
  <c r="M1415" i="13"/>
  <c r="M1414" i="13"/>
  <c r="M1413" i="13"/>
  <c r="M1412" i="13"/>
  <c r="M1411" i="13"/>
  <c r="M1410" i="13"/>
  <c r="M1409" i="13"/>
  <c r="M1408" i="13"/>
  <c r="M1407" i="13"/>
  <c r="M1406" i="13"/>
  <c r="M1405" i="13"/>
  <c r="M1404" i="13"/>
  <c r="M1403" i="13"/>
  <c r="M1402" i="13"/>
  <c r="M1401" i="13"/>
  <c r="M1400" i="13"/>
  <c r="M1399" i="13"/>
  <c r="M1398" i="13"/>
  <c r="M1397" i="13"/>
  <c r="M1396" i="13"/>
  <c r="M1395" i="13"/>
  <c r="M1394" i="13"/>
  <c r="M1393" i="13"/>
  <c r="M1392" i="13"/>
  <c r="M1391" i="13"/>
  <c r="M1390" i="13"/>
  <c r="M1389" i="13"/>
  <c r="M1388" i="13"/>
  <c r="M1387" i="13"/>
  <c r="M1386" i="13"/>
  <c r="M1385" i="13"/>
  <c r="M1384" i="13"/>
  <c r="M1383" i="13"/>
  <c r="M1382" i="13"/>
  <c r="M1381" i="13"/>
  <c r="M1380" i="13"/>
  <c r="M1379" i="13"/>
  <c r="M1378" i="13"/>
  <c r="M1377" i="13"/>
  <c r="M1376" i="13"/>
  <c r="M1375" i="13"/>
  <c r="M1374" i="13"/>
  <c r="M1373" i="13"/>
  <c r="M1372" i="13"/>
  <c r="M1371" i="13"/>
  <c r="M1370" i="13"/>
  <c r="M1369" i="13"/>
  <c r="M1368" i="13"/>
  <c r="M1367" i="13"/>
  <c r="M1366" i="13"/>
  <c r="M1365" i="13"/>
  <c r="M1364" i="13"/>
  <c r="M1363" i="13"/>
  <c r="M1362" i="13"/>
  <c r="M1361" i="13"/>
  <c r="M1360" i="13"/>
  <c r="M1359" i="13"/>
  <c r="M1358" i="13"/>
  <c r="M1357" i="13"/>
  <c r="M1356" i="13"/>
  <c r="M1355" i="13"/>
  <c r="M1354" i="13"/>
  <c r="M1353" i="13"/>
  <c r="M1352" i="13"/>
  <c r="M1351" i="13"/>
  <c r="M1350" i="13"/>
  <c r="M1349" i="13"/>
  <c r="M1348" i="13"/>
  <c r="M1347" i="13"/>
  <c r="M1346" i="13"/>
  <c r="M1345" i="13"/>
  <c r="M1344" i="13"/>
  <c r="M1343" i="13"/>
  <c r="M1342" i="13"/>
  <c r="M1341" i="13"/>
  <c r="M1340" i="13"/>
  <c r="M1339" i="13"/>
  <c r="M1338" i="13"/>
  <c r="M1337" i="13"/>
  <c r="M1336" i="13"/>
  <c r="M1335" i="13"/>
  <c r="M1334" i="13"/>
  <c r="M1333" i="13"/>
  <c r="M1332" i="13"/>
  <c r="M1331" i="13"/>
  <c r="M1330" i="13"/>
  <c r="M1329" i="13"/>
  <c r="M1328" i="13"/>
  <c r="M1327" i="13"/>
  <c r="M1326" i="13"/>
  <c r="M1325" i="13"/>
  <c r="M1324" i="13"/>
  <c r="M1323" i="13"/>
  <c r="M1322" i="13"/>
  <c r="M1321" i="13"/>
  <c r="M1320" i="13"/>
  <c r="M1319" i="13"/>
  <c r="M1318" i="13"/>
  <c r="M1317" i="13"/>
  <c r="M1316" i="13"/>
  <c r="M1315" i="13"/>
  <c r="M1314" i="13"/>
  <c r="M1313" i="13"/>
  <c r="M1312" i="13"/>
  <c r="M1311" i="13"/>
  <c r="M1310" i="13"/>
  <c r="M1309" i="13"/>
  <c r="M1308" i="13"/>
  <c r="M1307" i="13"/>
  <c r="M1306" i="13"/>
  <c r="M1305" i="13"/>
  <c r="M1304" i="13"/>
  <c r="M1303" i="13"/>
  <c r="M1302" i="13"/>
  <c r="M1301" i="13"/>
  <c r="M1300" i="13"/>
  <c r="M1299" i="13"/>
  <c r="M1298" i="13"/>
  <c r="M1297" i="13"/>
  <c r="M1296" i="13"/>
  <c r="M1295" i="13"/>
  <c r="M1294" i="13"/>
  <c r="M1293" i="13"/>
  <c r="M1292" i="13"/>
  <c r="M1291" i="13"/>
  <c r="M1290" i="13"/>
  <c r="M1289" i="13"/>
  <c r="M1288" i="13"/>
  <c r="M1287" i="13"/>
  <c r="M1286" i="13"/>
  <c r="M1285" i="13"/>
  <c r="M1284" i="13"/>
  <c r="M1283" i="13"/>
  <c r="M1282" i="13"/>
  <c r="M1281" i="13"/>
  <c r="M1280" i="13"/>
  <c r="M1279" i="13"/>
  <c r="M1278" i="13"/>
  <c r="M1277" i="13"/>
  <c r="M1276" i="13"/>
  <c r="M1275" i="13"/>
  <c r="M1274" i="13"/>
  <c r="M1273" i="13"/>
  <c r="M1272" i="13"/>
  <c r="M1271" i="13"/>
  <c r="M1270" i="13"/>
  <c r="M1269" i="13"/>
  <c r="M1268" i="13"/>
  <c r="M1267" i="13"/>
  <c r="M1266" i="13"/>
  <c r="M1265" i="13"/>
  <c r="M1264" i="13"/>
  <c r="M1263" i="13"/>
  <c r="M1262" i="13"/>
  <c r="M1261" i="13"/>
  <c r="M1260" i="13"/>
  <c r="M1259" i="13"/>
  <c r="M1258" i="13"/>
  <c r="M1257" i="13"/>
  <c r="M1256" i="13"/>
  <c r="M1255" i="13"/>
  <c r="M1254" i="13"/>
  <c r="M1253" i="13"/>
  <c r="M1252" i="13"/>
  <c r="M1251" i="13"/>
  <c r="M1250" i="13"/>
  <c r="M1249" i="13"/>
  <c r="M1248" i="13"/>
  <c r="M1247" i="13"/>
  <c r="M1246" i="13"/>
  <c r="M1245" i="13"/>
  <c r="M1244" i="13"/>
  <c r="M1243" i="13"/>
  <c r="M1242" i="13"/>
  <c r="M1241" i="13"/>
  <c r="M1240" i="13"/>
  <c r="M1239" i="13"/>
  <c r="M1238" i="13"/>
  <c r="M1237" i="13"/>
  <c r="M1236" i="13"/>
  <c r="M1235" i="13"/>
  <c r="M1234" i="13"/>
  <c r="M1233" i="13"/>
  <c r="M1232" i="13"/>
  <c r="M1231" i="13"/>
  <c r="M1230" i="13"/>
  <c r="M1229" i="13"/>
  <c r="M1228" i="13"/>
  <c r="M1227" i="13"/>
  <c r="M1226" i="13"/>
  <c r="M1225" i="13"/>
  <c r="M1224" i="13"/>
  <c r="M1223" i="13"/>
  <c r="M1222" i="13"/>
  <c r="M1221" i="13"/>
  <c r="M1220" i="13"/>
  <c r="M1219" i="13"/>
  <c r="M1218" i="13"/>
  <c r="M1217" i="13"/>
  <c r="M1216" i="13"/>
  <c r="M1215" i="13"/>
  <c r="M1214" i="13"/>
  <c r="M1213" i="13"/>
  <c r="M1212" i="13"/>
  <c r="M1211" i="13"/>
  <c r="M1210" i="13"/>
  <c r="M1209" i="13"/>
  <c r="M1208" i="13"/>
  <c r="M1207" i="13"/>
  <c r="M1206" i="13"/>
  <c r="M1205" i="13"/>
  <c r="M1204" i="13"/>
  <c r="M1203" i="13"/>
  <c r="M1202" i="13"/>
  <c r="M1201" i="13"/>
  <c r="M1200" i="13"/>
  <c r="M1199" i="13"/>
  <c r="M1198" i="13"/>
  <c r="M1197" i="13"/>
  <c r="M1196" i="13"/>
  <c r="M1195" i="13"/>
  <c r="M1194" i="13"/>
  <c r="M1193" i="13"/>
  <c r="M1192" i="13"/>
  <c r="M1191" i="13"/>
  <c r="M1190" i="13"/>
  <c r="M1189" i="13"/>
  <c r="M1188" i="13"/>
  <c r="M1187" i="13"/>
  <c r="M1186" i="13"/>
  <c r="M1185" i="13"/>
  <c r="M1184" i="13"/>
  <c r="M1183" i="13"/>
  <c r="M1182" i="13"/>
  <c r="M1181" i="13"/>
  <c r="M1180" i="13"/>
  <c r="M1179" i="13"/>
  <c r="M1178" i="13"/>
  <c r="M1177" i="13"/>
  <c r="M1176" i="13"/>
  <c r="M1175" i="13"/>
  <c r="M1174" i="13"/>
  <c r="M1173" i="13"/>
  <c r="M1172" i="13"/>
  <c r="M1171" i="13"/>
  <c r="M1170" i="13"/>
  <c r="M1169" i="13"/>
  <c r="M1168" i="13"/>
  <c r="M1167" i="13"/>
  <c r="M1166" i="13"/>
  <c r="M1165" i="13"/>
  <c r="M1164" i="13"/>
  <c r="M1163" i="13"/>
  <c r="M1162" i="13"/>
  <c r="M1161" i="13"/>
  <c r="M1160" i="13"/>
  <c r="M1159" i="13"/>
  <c r="M1158" i="13"/>
  <c r="M1157" i="13"/>
  <c r="M1156" i="13"/>
  <c r="M1155" i="13"/>
  <c r="M1154" i="13"/>
  <c r="M1153" i="13"/>
  <c r="M1152" i="13"/>
  <c r="M1151" i="13"/>
  <c r="M1150" i="13"/>
  <c r="M1149" i="13"/>
  <c r="M1148" i="13"/>
  <c r="M1147" i="13"/>
  <c r="M1146" i="13"/>
  <c r="M1145" i="13"/>
  <c r="M1144" i="13"/>
  <c r="M1143" i="13"/>
  <c r="M1142" i="13"/>
  <c r="M1141" i="13"/>
  <c r="M1140" i="13"/>
  <c r="M1139" i="13"/>
  <c r="M1138" i="13"/>
  <c r="M1137" i="13"/>
  <c r="M1136" i="13"/>
  <c r="M1135" i="13"/>
  <c r="M1134" i="13"/>
  <c r="M1133" i="13"/>
  <c r="M1132" i="13"/>
  <c r="M1131" i="13"/>
  <c r="M1130" i="13"/>
  <c r="M1129" i="13"/>
  <c r="M1128" i="13"/>
  <c r="M1127" i="13"/>
  <c r="M1126" i="13"/>
  <c r="M1125" i="13"/>
  <c r="M1124" i="13"/>
  <c r="M1123" i="13"/>
  <c r="M1122" i="13"/>
  <c r="M1121" i="13"/>
  <c r="M1120" i="13"/>
  <c r="M1119" i="13"/>
  <c r="M1118" i="13"/>
  <c r="M1117" i="13"/>
  <c r="M1116" i="13"/>
  <c r="M1115" i="13"/>
  <c r="M1114" i="13"/>
  <c r="M1113" i="13"/>
  <c r="M1112" i="13"/>
  <c r="M1111" i="13"/>
  <c r="M1110" i="13"/>
  <c r="M1109" i="13"/>
  <c r="M1108" i="13"/>
  <c r="M1107" i="13"/>
  <c r="M1106" i="13"/>
  <c r="M1105" i="13"/>
  <c r="M1104" i="13"/>
  <c r="M1103" i="13"/>
  <c r="M1102" i="13"/>
  <c r="M1101" i="13"/>
  <c r="M1100" i="13"/>
  <c r="M1099" i="13"/>
  <c r="M1098" i="13"/>
  <c r="M1097" i="13"/>
  <c r="M1096" i="13"/>
  <c r="M1095" i="13"/>
  <c r="M1094" i="13"/>
  <c r="M1093" i="13"/>
  <c r="M1092" i="13"/>
  <c r="M1091" i="13"/>
  <c r="M1090" i="13"/>
  <c r="M1089" i="13"/>
  <c r="M1088" i="13"/>
  <c r="M1087" i="13"/>
  <c r="M1086" i="13"/>
  <c r="M1085" i="13"/>
  <c r="M1084" i="13"/>
  <c r="M1083" i="13"/>
  <c r="M1082" i="13"/>
  <c r="M1081" i="13"/>
  <c r="M1080" i="13"/>
  <c r="M1079" i="13"/>
  <c r="M1078" i="13"/>
  <c r="M1077" i="13"/>
  <c r="M1076" i="13"/>
  <c r="M1075" i="13"/>
  <c r="M1074" i="13"/>
  <c r="M1073" i="13"/>
  <c r="M1072" i="13"/>
  <c r="M1071" i="13"/>
  <c r="M1070" i="13"/>
  <c r="M1069" i="13"/>
  <c r="M1068" i="13"/>
  <c r="M1067" i="13"/>
  <c r="M1066" i="13"/>
  <c r="M1065" i="13"/>
  <c r="M1064" i="13"/>
  <c r="M1063" i="13"/>
  <c r="M1062" i="13"/>
  <c r="M1061" i="13"/>
  <c r="M1060" i="13"/>
  <c r="M1059" i="13"/>
  <c r="M1058" i="13"/>
  <c r="M1057" i="13"/>
  <c r="M1056" i="13"/>
  <c r="M1055" i="13"/>
  <c r="M1054" i="13"/>
  <c r="M1053" i="13"/>
  <c r="M1052" i="13"/>
  <c r="M1051" i="13"/>
  <c r="M1050" i="13"/>
  <c r="M1049" i="13"/>
  <c r="M1048" i="13"/>
  <c r="M1047" i="13"/>
  <c r="M1046" i="13"/>
  <c r="M1045" i="13"/>
  <c r="M1044" i="13"/>
  <c r="M1043" i="13"/>
  <c r="M1042" i="13"/>
  <c r="M1041" i="13"/>
  <c r="M1040" i="13"/>
  <c r="M1039" i="13"/>
  <c r="M1038" i="13"/>
  <c r="M1037" i="13"/>
  <c r="M1036" i="13"/>
  <c r="M1035" i="13"/>
  <c r="M1034" i="13"/>
  <c r="M1033" i="13"/>
  <c r="M1032" i="13"/>
  <c r="M1031" i="13"/>
  <c r="M1030" i="13"/>
  <c r="M1029" i="13"/>
  <c r="M1028" i="13"/>
  <c r="M1027" i="13"/>
  <c r="M1026" i="13"/>
  <c r="M1025" i="13"/>
  <c r="M1024" i="13"/>
  <c r="M1023" i="13"/>
  <c r="M1022" i="13"/>
  <c r="M1021" i="13"/>
  <c r="M1020" i="13"/>
  <c r="M1019" i="13"/>
  <c r="M1018" i="13"/>
  <c r="M1017" i="13"/>
  <c r="M1016" i="13"/>
  <c r="M1015" i="13"/>
  <c r="M1014" i="13"/>
  <c r="M1013" i="13"/>
  <c r="M1012" i="13"/>
  <c r="M1011" i="13"/>
  <c r="M1010" i="13"/>
  <c r="M1009" i="13"/>
  <c r="M1008" i="13"/>
  <c r="M1007" i="13"/>
  <c r="M1006" i="13"/>
  <c r="M1005" i="13"/>
  <c r="M1004" i="13"/>
  <c r="M1003" i="13"/>
  <c r="M1002" i="13"/>
  <c r="M1001" i="13"/>
  <c r="M1000" i="13"/>
  <c r="M999" i="13"/>
  <c r="M998" i="13"/>
  <c r="M997" i="13"/>
  <c r="M996" i="13"/>
  <c r="M995" i="13"/>
  <c r="M994" i="13"/>
  <c r="M993" i="13"/>
  <c r="M992" i="13"/>
  <c r="M991" i="13"/>
  <c r="M990" i="13"/>
  <c r="M989" i="13"/>
  <c r="M988" i="13"/>
  <c r="M987" i="13"/>
  <c r="M986" i="13"/>
  <c r="M985" i="13"/>
  <c r="M984" i="13"/>
  <c r="M983" i="13"/>
  <c r="M982" i="13"/>
  <c r="M981" i="13"/>
  <c r="M980" i="13"/>
  <c r="M979" i="13"/>
  <c r="M978" i="13"/>
  <c r="M977" i="13"/>
  <c r="M976" i="13"/>
  <c r="M975" i="13"/>
  <c r="M974" i="13"/>
  <c r="M973" i="13"/>
  <c r="M972" i="13"/>
  <c r="M971" i="13"/>
  <c r="M970" i="13"/>
  <c r="M969" i="13"/>
  <c r="M968" i="13"/>
  <c r="M967" i="13"/>
  <c r="M966" i="13"/>
  <c r="M965" i="13"/>
  <c r="M964" i="13"/>
  <c r="M963" i="13"/>
  <c r="M962" i="13"/>
  <c r="M961" i="13"/>
  <c r="M960" i="13"/>
  <c r="M959" i="13"/>
  <c r="M958" i="13"/>
  <c r="M957" i="13"/>
  <c r="M956" i="13"/>
  <c r="M955" i="13"/>
  <c r="M954" i="13"/>
  <c r="M953" i="13"/>
  <c r="M952" i="13"/>
  <c r="M951" i="13"/>
  <c r="M950" i="13"/>
  <c r="M949" i="13"/>
  <c r="M948" i="13"/>
  <c r="M947" i="13"/>
  <c r="M946" i="13"/>
  <c r="M945" i="13"/>
  <c r="M944" i="13"/>
  <c r="M943" i="13"/>
  <c r="M942" i="13"/>
  <c r="M941" i="13"/>
  <c r="M940" i="13"/>
  <c r="M939" i="13"/>
  <c r="M938" i="13"/>
  <c r="M937" i="13"/>
  <c r="M936" i="13"/>
  <c r="M935" i="13"/>
  <c r="M934" i="13"/>
  <c r="M933" i="13"/>
  <c r="M932" i="13"/>
  <c r="M931" i="13"/>
  <c r="M930" i="13"/>
  <c r="M929" i="13"/>
  <c r="M928" i="13"/>
  <c r="M927" i="13"/>
  <c r="M926" i="13"/>
  <c r="M925" i="13"/>
  <c r="M924" i="13"/>
  <c r="M923" i="13"/>
  <c r="M922" i="13"/>
  <c r="M921" i="13"/>
  <c r="M920" i="13"/>
  <c r="M919" i="13"/>
  <c r="M918" i="13"/>
  <c r="M917" i="13"/>
  <c r="M916" i="13"/>
  <c r="M915" i="13"/>
  <c r="M914" i="13"/>
  <c r="M913" i="13"/>
  <c r="M912" i="13"/>
  <c r="M911" i="13"/>
  <c r="M910" i="13"/>
  <c r="M909" i="13"/>
  <c r="M908" i="13"/>
  <c r="M907" i="13"/>
  <c r="M906" i="13"/>
  <c r="M905" i="13"/>
  <c r="M904" i="13"/>
  <c r="M903" i="13"/>
  <c r="M902" i="13"/>
  <c r="M901" i="13"/>
  <c r="M900" i="13"/>
  <c r="M899" i="13"/>
  <c r="M898" i="13"/>
  <c r="M897" i="13"/>
  <c r="M896" i="13"/>
  <c r="M895" i="13"/>
  <c r="M894" i="13"/>
  <c r="M893" i="13"/>
  <c r="M892" i="13"/>
  <c r="M891" i="13"/>
  <c r="M890" i="13"/>
  <c r="M889" i="13"/>
  <c r="M888" i="13"/>
  <c r="M887" i="13"/>
  <c r="M886" i="13"/>
  <c r="M885" i="13"/>
  <c r="M884" i="13"/>
  <c r="M883" i="13"/>
  <c r="M882" i="13"/>
  <c r="M881" i="13"/>
  <c r="M880" i="13"/>
  <c r="M879" i="13"/>
  <c r="M878" i="13"/>
  <c r="M877" i="13"/>
  <c r="M876" i="13"/>
  <c r="M875" i="13"/>
  <c r="M874" i="13"/>
  <c r="M873" i="13"/>
  <c r="M872" i="13"/>
  <c r="M871" i="13"/>
  <c r="M870" i="13"/>
  <c r="M869" i="13"/>
  <c r="M868" i="13"/>
  <c r="M867" i="13"/>
  <c r="M866" i="13"/>
  <c r="M865" i="13"/>
  <c r="M864" i="13"/>
  <c r="M863" i="13"/>
  <c r="M862" i="13"/>
  <c r="M861" i="13"/>
  <c r="M860" i="13"/>
  <c r="M859" i="13"/>
  <c r="M858" i="13"/>
  <c r="M857" i="13"/>
  <c r="M856" i="13"/>
  <c r="M855" i="13"/>
  <c r="M854" i="13"/>
  <c r="M853" i="13"/>
  <c r="M852" i="13"/>
  <c r="M851" i="13"/>
  <c r="M850" i="13"/>
  <c r="M849" i="13"/>
  <c r="M848" i="13"/>
  <c r="M847" i="13"/>
  <c r="M846" i="13"/>
  <c r="M845" i="13"/>
  <c r="M844" i="13"/>
  <c r="M843" i="13"/>
  <c r="M842" i="13"/>
  <c r="M841" i="13"/>
  <c r="M840" i="13"/>
  <c r="M839" i="13"/>
  <c r="M838" i="13"/>
  <c r="M837" i="13"/>
  <c r="M836" i="13"/>
  <c r="M835" i="13"/>
  <c r="M834" i="13"/>
  <c r="M833" i="13"/>
  <c r="M832" i="13"/>
  <c r="M831" i="13"/>
  <c r="M830" i="13"/>
  <c r="M829" i="13"/>
  <c r="M828" i="13"/>
  <c r="M827" i="13"/>
  <c r="M826" i="13"/>
  <c r="M825" i="13"/>
  <c r="M824" i="13"/>
  <c r="M823" i="13"/>
  <c r="M822" i="13"/>
  <c r="M821" i="13"/>
  <c r="M820" i="13"/>
  <c r="M819" i="13"/>
  <c r="M818" i="13"/>
  <c r="M817" i="13"/>
  <c r="M816" i="13"/>
  <c r="M815" i="13"/>
  <c r="M814" i="13"/>
  <c r="M813" i="13"/>
  <c r="M812" i="13"/>
  <c r="M811" i="13"/>
  <c r="M810" i="13"/>
  <c r="M809" i="13"/>
  <c r="M808" i="13"/>
  <c r="M807" i="13"/>
  <c r="M806" i="13"/>
  <c r="M805" i="13"/>
  <c r="M804" i="13"/>
  <c r="M803" i="13"/>
  <c r="M802" i="13"/>
  <c r="M801" i="13"/>
  <c r="M800" i="13"/>
  <c r="M799" i="13"/>
  <c r="M798" i="13"/>
  <c r="M797" i="13"/>
  <c r="M796" i="13"/>
  <c r="M795" i="13"/>
  <c r="M794" i="13"/>
  <c r="M793" i="13"/>
  <c r="M792" i="13"/>
  <c r="M791" i="13"/>
  <c r="M790" i="13"/>
  <c r="M789" i="13"/>
  <c r="M788" i="13"/>
  <c r="M787" i="13"/>
  <c r="M786" i="13"/>
  <c r="M785" i="13"/>
  <c r="M784" i="13"/>
  <c r="M783" i="13"/>
  <c r="M782" i="13"/>
  <c r="M781" i="13"/>
  <c r="M780" i="13"/>
  <c r="M779" i="13"/>
  <c r="M778" i="13"/>
  <c r="M777" i="13"/>
  <c r="M776" i="13"/>
  <c r="M775" i="13"/>
  <c r="M774" i="13"/>
  <c r="M773" i="13"/>
  <c r="M772" i="13"/>
  <c r="M771" i="13"/>
  <c r="M770" i="13"/>
  <c r="M769" i="13"/>
  <c r="M768" i="13"/>
  <c r="M767" i="13"/>
  <c r="M766" i="13"/>
  <c r="M765" i="13"/>
  <c r="M764" i="13"/>
  <c r="M763" i="13"/>
  <c r="M762" i="13"/>
  <c r="M761" i="13"/>
  <c r="M760" i="13"/>
  <c r="M759" i="13"/>
  <c r="M758" i="13"/>
  <c r="M757" i="13"/>
  <c r="M756" i="13"/>
  <c r="M755" i="13"/>
  <c r="M754" i="13"/>
  <c r="M753" i="13"/>
  <c r="M752" i="13"/>
  <c r="M751" i="13"/>
  <c r="M750" i="13"/>
  <c r="M749" i="13"/>
  <c r="M748" i="13"/>
  <c r="M747" i="13"/>
  <c r="M746" i="13"/>
  <c r="M745" i="13"/>
  <c r="M744" i="13"/>
  <c r="M743" i="13"/>
  <c r="M742" i="13"/>
  <c r="M741" i="13"/>
  <c r="M740" i="13"/>
  <c r="M739" i="13"/>
  <c r="M738" i="13"/>
  <c r="M737" i="13"/>
  <c r="M736" i="13"/>
  <c r="M735" i="13"/>
  <c r="M734" i="13"/>
  <c r="M733" i="13"/>
  <c r="M732" i="13"/>
  <c r="M731" i="13"/>
  <c r="M730" i="13"/>
  <c r="M729" i="13"/>
  <c r="M728" i="13"/>
  <c r="M727" i="13"/>
  <c r="M726" i="13"/>
  <c r="M725" i="13"/>
  <c r="M724" i="13"/>
  <c r="M723" i="13"/>
  <c r="M722" i="13"/>
  <c r="M721" i="13"/>
  <c r="M720" i="13"/>
  <c r="M719" i="13"/>
  <c r="M718" i="13"/>
  <c r="M717" i="13"/>
  <c r="M716" i="13"/>
  <c r="M715" i="13"/>
  <c r="M714" i="13"/>
  <c r="M713" i="13"/>
  <c r="M712" i="13"/>
  <c r="M711" i="13"/>
  <c r="M710" i="13"/>
  <c r="M709" i="13"/>
  <c r="M708" i="13"/>
  <c r="M707" i="13"/>
  <c r="M706" i="13"/>
  <c r="M705" i="13"/>
  <c r="M704" i="13"/>
  <c r="M703" i="13"/>
  <c r="M702" i="13"/>
  <c r="M701" i="13"/>
  <c r="M700" i="13"/>
  <c r="M699" i="13"/>
  <c r="M698" i="13"/>
  <c r="M697" i="13"/>
  <c r="M696" i="13"/>
  <c r="M695" i="13"/>
  <c r="M694" i="13"/>
  <c r="M693" i="13"/>
  <c r="M692" i="13"/>
  <c r="M691" i="13"/>
  <c r="M690" i="13"/>
  <c r="M689" i="13"/>
  <c r="M688" i="13"/>
  <c r="M687" i="13"/>
  <c r="M686" i="13"/>
  <c r="M685" i="13"/>
  <c r="M684" i="13"/>
  <c r="M683" i="13"/>
  <c r="M682" i="13"/>
  <c r="M681" i="13"/>
  <c r="M680" i="13"/>
  <c r="M679" i="13"/>
  <c r="M678" i="13"/>
  <c r="M677" i="13"/>
  <c r="M676" i="13"/>
  <c r="M675" i="13"/>
  <c r="M674" i="13"/>
  <c r="M673" i="13"/>
  <c r="M672" i="13"/>
  <c r="M671" i="13"/>
  <c r="M670" i="13"/>
  <c r="M669" i="13"/>
  <c r="M668" i="13"/>
  <c r="M667" i="13"/>
  <c r="M666" i="13"/>
  <c r="M665" i="13"/>
  <c r="M664" i="13"/>
  <c r="M663" i="13"/>
  <c r="M662" i="13"/>
  <c r="M661" i="13"/>
  <c r="M660" i="13"/>
  <c r="M659" i="13"/>
  <c r="M658" i="13"/>
  <c r="M657" i="13"/>
  <c r="M656" i="13"/>
  <c r="M655" i="13"/>
  <c r="M654" i="13"/>
  <c r="M653" i="13"/>
  <c r="M652" i="13"/>
  <c r="M651" i="13"/>
  <c r="M650" i="13"/>
  <c r="M649" i="13"/>
  <c r="M648" i="13"/>
  <c r="M647" i="13"/>
  <c r="M646" i="13"/>
  <c r="M645" i="13"/>
  <c r="M644" i="13"/>
  <c r="M643" i="13"/>
  <c r="M642" i="13"/>
  <c r="M641" i="13"/>
  <c r="M640" i="13"/>
  <c r="M639" i="13"/>
  <c r="M638" i="13"/>
  <c r="M637" i="13"/>
  <c r="M636" i="13"/>
  <c r="M635" i="13"/>
  <c r="M634" i="13"/>
  <c r="M633" i="13"/>
  <c r="M632" i="13"/>
  <c r="M631" i="13"/>
  <c r="M630" i="13"/>
  <c r="M629" i="13"/>
  <c r="M628" i="13"/>
  <c r="M627" i="13"/>
  <c r="M626" i="13"/>
  <c r="M625" i="13"/>
  <c r="M624" i="13"/>
  <c r="M623" i="13"/>
  <c r="M622" i="13"/>
  <c r="M621" i="13"/>
  <c r="M620" i="13"/>
  <c r="M619" i="13"/>
  <c r="M618" i="13"/>
  <c r="M617" i="13"/>
  <c r="M616" i="13"/>
  <c r="M615" i="13"/>
  <c r="M614" i="13"/>
  <c r="M613" i="13"/>
  <c r="M612" i="13"/>
  <c r="M611" i="13"/>
  <c r="M610" i="13"/>
  <c r="M609" i="13"/>
  <c r="M608" i="13"/>
  <c r="M607" i="13"/>
  <c r="M606" i="13"/>
  <c r="M605" i="13"/>
  <c r="M604" i="13"/>
  <c r="M603" i="13"/>
  <c r="M602" i="13"/>
  <c r="M601" i="13"/>
  <c r="M600" i="13"/>
  <c r="M599" i="13"/>
  <c r="M598" i="13"/>
  <c r="M597" i="13"/>
  <c r="M596" i="13"/>
  <c r="M595" i="13"/>
  <c r="M594" i="13"/>
  <c r="M593" i="13"/>
  <c r="M592" i="13"/>
  <c r="M591" i="13"/>
  <c r="M590" i="13"/>
  <c r="M589" i="13"/>
  <c r="M588" i="13"/>
  <c r="M587" i="13"/>
  <c r="M586" i="13"/>
  <c r="M585" i="13"/>
  <c r="M584" i="13"/>
  <c r="M583" i="13"/>
  <c r="M582" i="13"/>
  <c r="M581" i="13"/>
  <c r="M580" i="13"/>
  <c r="M579" i="13"/>
  <c r="M578" i="13"/>
  <c r="M577" i="13"/>
  <c r="M576" i="13"/>
  <c r="M575" i="13"/>
  <c r="M574" i="13"/>
  <c r="M573" i="13"/>
  <c r="M572" i="13"/>
  <c r="M571" i="13"/>
  <c r="M570" i="13"/>
  <c r="M569" i="13"/>
  <c r="M568" i="13"/>
  <c r="M567" i="13"/>
  <c r="M566" i="13"/>
  <c r="M565" i="13"/>
  <c r="M564" i="13"/>
  <c r="M563" i="13"/>
  <c r="M562" i="13"/>
  <c r="M561" i="13"/>
  <c r="M560" i="13"/>
  <c r="M559" i="13"/>
  <c r="M558" i="13"/>
  <c r="M557" i="13"/>
  <c r="M556" i="13"/>
  <c r="M555" i="13"/>
  <c r="M554" i="13"/>
  <c r="M553" i="13"/>
  <c r="M552" i="13"/>
  <c r="M551" i="13"/>
  <c r="M550" i="13"/>
  <c r="M549" i="13"/>
  <c r="M548" i="13"/>
  <c r="M547" i="13"/>
  <c r="M546" i="13"/>
  <c r="M545" i="13"/>
  <c r="M544" i="13"/>
  <c r="M543" i="13"/>
  <c r="M542" i="13"/>
  <c r="M541" i="13"/>
  <c r="M540" i="13"/>
  <c r="M539" i="13"/>
  <c r="M538" i="13"/>
  <c r="M537" i="13"/>
  <c r="M536" i="13"/>
  <c r="M535" i="13"/>
  <c r="M534" i="13"/>
  <c r="M533" i="13"/>
  <c r="M532" i="13"/>
  <c r="M531" i="13"/>
  <c r="M530" i="13"/>
  <c r="M529" i="13"/>
  <c r="M528" i="13"/>
  <c r="M527" i="13"/>
  <c r="M526" i="13"/>
  <c r="M525" i="13"/>
  <c r="M524" i="13"/>
  <c r="M523" i="13"/>
  <c r="M522" i="13"/>
  <c r="M521" i="13"/>
  <c r="M520" i="13"/>
  <c r="M519" i="13"/>
  <c r="M518" i="13"/>
  <c r="M517" i="13"/>
  <c r="M516" i="13"/>
  <c r="M515" i="13"/>
  <c r="M514" i="13"/>
  <c r="M513" i="13"/>
  <c r="M512" i="13"/>
  <c r="M511" i="13"/>
  <c r="M510" i="13"/>
  <c r="M509" i="13"/>
  <c r="M508" i="13"/>
  <c r="M507" i="13"/>
  <c r="M506" i="13"/>
  <c r="M505" i="13"/>
  <c r="M504" i="13"/>
  <c r="M503" i="13"/>
  <c r="M502" i="13"/>
  <c r="M501" i="13"/>
  <c r="M500" i="13"/>
  <c r="M499" i="13"/>
  <c r="M498" i="13"/>
  <c r="M497" i="13"/>
  <c r="M496" i="13"/>
  <c r="M495" i="13"/>
  <c r="M494" i="13"/>
  <c r="M493" i="13"/>
  <c r="M492" i="13"/>
  <c r="M491" i="13"/>
  <c r="M490" i="13"/>
  <c r="M489" i="13"/>
  <c r="M488" i="13"/>
  <c r="M487" i="13"/>
  <c r="M486" i="13"/>
  <c r="M485" i="13"/>
  <c r="M484" i="13"/>
  <c r="M483" i="13"/>
  <c r="M482" i="13"/>
  <c r="M481" i="13"/>
  <c r="M480" i="13"/>
  <c r="M479" i="13"/>
  <c r="M478" i="13"/>
  <c r="M477" i="13"/>
  <c r="M476" i="13"/>
  <c r="M475" i="13"/>
  <c r="M474" i="13"/>
  <c r="M473" i="13"/>
  <c r="M472" i="13"/>
  <c r="M471" i="13"/>
  <c r="M470" i="13"/>
  <c r="M469" i="13"/>
  <c r="M468" i="13"/>
  <c r="M467" i="13"/>
  <c r="M466" i="13"/>
  <c r="M465" i="13"/>
  <c r="M464" i="13"/>
  <c r="M463" i="13"/>
  <c r="M462" i="13"/>
  <c r="M461" i="13"/>
  <c r="M460" i="13"/>
  <c r="M459" i="13"/>
  <c r="M458" i="13"/>
  <c r="M457" i="13"/>
  <c r="M456" i="13"/>
  <c r="M455" i="13"/>
  <c r="M454" i="13"/>
  <c r="M453" i="13"/>
  <c r="M452" i="13"/>
  <c r="M451" i="13"/>
  <c r="M450" i="13"/>
  <c r="M449" i="13"/>
  <c r="M448" i="13"/>
  <c r="M447" i="13"/>
  <c r="M446" i="13"/>
  <c r="M445" i="13"/>
  <c r="M444" i="13"/>
  <c r="M443" i="13"/>
  <c r="M442" i="13"/>
  <c r="M441" i="13"/>
  <c r="M440" i="13"/>
  <c r="M439" i="13"/>
  <c r="M438" i="13"/>
  <c r="M437" i="13"/>
  <c r="M436" i="13"/>
  <c r="M435" i="13"/>
  <c r="M434" i="13"/>
  <c r="M433" i="13"/>
  <c r="M432" i="13"/>
  <c r="M431" i="13"/>
  <c r="M430" i="13"/>
  <c r="M429" i="13"/>
  <c r="M428" i="13"/>
  <c r="M427" i="13"/>
  <c r="M426" i="13"/>
  <c r="M425" i="13"/>
  <c r="M424" i="13"/>
  <c r="M423" i="13"/>
  <c r="M422" i="13"/>
  <c r="M421" i="13"/>
  <c r="M420" i="13"/>
  <c r="M419" i="13"/>
  <c r="M418" i="13"/>
  <c r="M417" i="13"/>
  <c r="M416" i="13"/>
  <c r="M415" i="13"/>
  <c r="M414" i="13"/>
  <c r="M413" i="13"/>
  <c r="M412" i="13"/>
  <c r="M411" i="13"/>
  <c r="M410" i="13"/>
  <c r="M409" i="13"/>
  <c r="M408" i="13"/>
  <c r="M407" i="13"/>
  <c r="M406" i="13"/>
  <c r="M405" i="13"/>
  <c r="M404" i="13"/>
  <c r="M403" i="13"/>
  <c r="M402" i="13"/>
  <c r="M401" i="13"/>
  <c r="M400" i="13"/>
  <c r="M399" i="13"/>
  <c r="M398" i="13"/>
  <c r="M397" i="13"/>
  <c r="M396" i="13"/>
  <c r="M395" i="13"/>
  <c r="M394" i="13"/>
  <c r="M393" i="13"/>
  <c r="M392" i="13"/>
  <c r="M391" i="13"/>
  <c r="M390" i="13"/>
  <c r="M389" i="13"/>
  <c r="M388" i="13"/>
  <c r="M387" i="13"/>
  <c r="M386" i="13"/>
  <c r="M385" i="13"/>
  <c r="M384" i="13"/>
  <c r="M383" i="13"/>
  <c r="M382" i="13"/>
  <c r="M381" i="13"/>
  <c r="M380" i="13"/>
  <c r="M379" i="13"/>
  <c r="M378" i="13"/>
  <c r="M377" i="13"/>
  <c r="M376" i="13"/>
  <c r="M375" i="13"/>
  <c r="M374" i="13"/>
  <c r="M373" i="13"/>
  <c r="M372" i="13"/>
  <c r="M371" i="13"/>
  <c r="M370" i="13"/>
  <c r="M369" i="13"/>
  <c r="M368" i="13"/>
  <c r="M367" i="13"/>
  <c r="M366" i="13"/>
  <c r="M365" i="13"/>
  <c r="M364" i="13"/>
  <c r="M363" i="13"/>
  <c r="M362" i="13"/>
  <c r="M361" i="13"/>
  <c r="M360" i="13"/>
  <c r="M359" i="13"/>
  <c r="M358" i="13"/>
  <c r="M357" i="13"/>
  <c r="M356" i="13"/>
  <c r="M355" i="13"/>
  <c r="M354" i="13"/>
  <c r="M353" i="13"/>
  <c r="M352" i="13"/>
  <c r="M351" i="13"/>
  <c r="M350" i="13"/>
  <c r="M349" i="13"/>
  <c r="M348" i="13"/>
  <c r="M347" i="13"/>
  <c r="M346" i="13"/>
  <c r="M345" i="13"/>
  <c r="M344" i="13"/>
  <c r="M343" i="13"/>
  <c r="M342" i="13"/>
  <c r="M341" i="13"/>
  <c r="M340" i="13"/>
  <c r="M339" i="13"/>
  <c r="M338" i="13"/>
  <c r="M337" i="13"/>
  <c r="M336" i="13"/>
  <c r="M335" i="13"/>
  <c r="M334" i="13"/>
  <c r="M333" i="13"/>
  <c r="M332" i="13"/>
  <c r="M331" i="13"/>
  <c r="M330" i="13"/>
  <c r="M329" i="13"/>
  <c r="M328" i="13"/>
  <c r="M327" i="13"/>
  <c r="M326" i="13"/>
  <c r="M325" i="13"/>
  <c r="M324" i="13"/>
  <c r="M323" i="13"/>
  <c r="M322" i="13"/>
  <c r="M321" i="13"/>
  <c r="M320" i="13"/>
  <c r="M319" i="13"/>
  <c r="M318" i="13"/>
  <c r="M317" i="13"/>
  <c r="M316" i="13"/>
  <c r="M315" i="13"/>
  <c r="M314" i="13"/>
  <c r="M313" i="13"/>
  <c r="M312" i="13"/>
  <c r="M311" i="13"/>
  <c r="M310" i="13"/>
  <c r="M309" i="13"/>
  <c r="M308" i="13"/>
  <c r="M307" i="13"/>
  <c r="M306" i="13"/>
  <c r="M305" i="13"/>
  <c r="M304" i="13"/>
  <c r="M303" i="13"/>
  <c r="M302" i="13"/>
  <c r="M301" i="13"/>
  <c r="M300" i="13"/>
  <c r="M299" i="13"/>
  <c r="M298" i="13"/>
  <c r="M297" i="13"/>
  <c r="M296" i="13"/>
  <c r="M295" i="13"/>
  <c r="M294" i="13"/>
  <c r="M293" i="13"/>
  <c r="M292" i="13"/>
  <c r="M291" i="13"/>
  <c r="M290" i="13"/>
  <c r="M289" i="13"/>
  <c r="M288" i="13"/>
  <c r="M287" i="13"/>
  <c r="M286" i="13"/>
  <c r="M285" i="13"/>
  <c r="M284" i="13"/>
  <c r="M283" i="13"/>
  <c r="M282" i="13"/>
  <c r="M281" i="13"/>
  <c r="M280" i="13"/>
  <c r="M279" i="13"/>
  <c r="M278" i="13"/>
  <c r="M277" i="13"/>
  <c r="M276" i="13"/>
  <c r="M275" i="13"/>
  <c r="M274" i="13"/>
  <c r="M273" i="13"/>
  <c r="M272" i="13"/>
  <c r="M271" i="13"/>
  <c r="M270" i="13"/>
  <c r="M269" i="13"/>
  <c r="M268" i="13"/>
  <c r="M267" i="13"/>
  <c r="M266" i="13"/>
  <c r="M265" i="13"/>
  <c r="M264" i="13"/>
  <c r="M263" i="13"/>
  <c r="M262" i="13"/>
  <c r="M261" i="13"/>
  <c r="M260" i="13"/>
  <c r="M259" i="13"/>
  <c r="M258" i="13"/>
  <c r="M257" i="13"/>
  <c r="M256" i="13"/>
  <c r="M255" i="13"/>
  <c r="M254" i="13"/>
  <c r="M253" i="13"/>
  <c r="M252" i="13"/>
  <c r="M251" i="13"/>
  <c r="M250" i="13"/>
  <c r="M249" i="13"/>
  <c r="M248" i="13"/>
  <c r="M247" i="13"/>
  <c r="M246" i="13"/>
  <c r="M245" i="13"/>
  <c r="M244" i="13"/>
  <c r="M243" i="13"/>
  <c r="M242" i="13"/>
  <c r="M241" i="13"/>
  <c r="M240" i="13"/>
  <c r="M239" i="13"/>
  <c r="M238" i="13"/>
  <c r="M237" i="13"/>
  <c r="M236" i="13"/>
  <c r="M235" i="13"/>
  <c r="M234" i="13"/>
  <c r="M233" i="13"/>
  <c r="M232" i="13"/>
  <c r="M231" i="13"/>
  <c r="M230" i="13"/>
  <c r="M229" i="13"/>
  <c r="M228" i="13"/>
  <c r="M227" i="13"/>
  <c r="M226" i="13"/>
  <c r="M225" i="13"/>
  <c r="M224" i="13"/>
  <c r="M223" i="13"/>
  <c r="M222" i="13"/>
  <c r="M221" i="13"/>
  <c r="M220" i="13"/>
  <c r="M219" i="13"/>
  <c r="M218" i="13"/>
  <c r="M217" i="13"/>
  <c r="M216" i="13"/>
  <c r="M215" i="13"/>
  <c r="M214" i="13"/>
  <c r="M213" i="13"/>
  <c r="M212" i="13"/>
  <c r="M211" i="13"/>
  <c r="M210" i="13"/>
  <c r="M209" i="13"/>
  <c r="M208" i="13"/>
  <c r="M207" i="13"/>
  <c r="M206" i="13"/>
  <c r="M205" i="13"/>
  <c r="M204" i="13"/>
  <c r="M203" i="13"/>
  <c r="M202" i="13"/>
  <c r="M201" i="13"/>
  <c r="M200" i="13"/>
  <c r="M199" i="13"/>
  <c r="M198" i="13"/>
  <c r="M197" i="13"/>
  <c r="M196" i="13"/>
  <c r="M195" i="13"/>
  <c r="M194" i="13"/>
  <c r="M193" i="13"/>
  <c r="M192" i="13"/>
  <c r="M191" i="13"/>
  <c r="M190" i="13"/>
  <c r="M189" i="13"/>
  <c r="M188" i="13"/>
  <c r="M187" i="13"/>
  <c r="M186" i="13"/>
  <c r="M185" i="13"/>
  <c r="M184" i="13"/>
  <c r="M183" i="13"/>
  <c r="M182" i="13"/>
  <c r="M181" i="13"/>
  <c r="M180" i="13"/>
  <c r="M179" i="13"/>
  <c r="M178" i="13"/>
  <c r="M177" i="13"/>
  <c r="M176" i="13"/>
  <c r="M175" i="13"/>
  <c r="M174" i="13"/>
  <c r="M173" i="13"/>
  <c r="M172" i="13"/>
  <c r="M171" i="13"/>
  <c r="M170" i="13"/>
  <c r="M169" i="13"/>
  <c r="M168" i="13"/>
  <c r="M167" i="13"/>
  <c r="M166" i="13"/>
  <c r="M165" i="13"/>
  <c r="M164" i="13"/>
  <c r="M163" i="13"/>
  <c r="M162" i="13"/>
  <c r="M161" i="13"/>
  <c r="M160" i="13"/>
  <c r="M159" i="13"/>
  <c r="M158" i="13"/>
  <c r="M157" i="13"/>
  <c r="M156" i="13"/>
  <c r="M155" i="13"/>
  <c r="M154" i="13"/>
  <c r="M153" i="13"/>
  <c r="M152" i="13"/>
  <c r="M151" i="13"/>
  <c r="M150" i="13"/>
  <c r="M149" i="13"/>
  <c r="M148" i="13"/>
  <c r="M147" i="13"/>
  <c r="M146" i="13"/>
  <c r="M145" i="13"/>
  <c r="M144" i="13"/>
  <c r="M143" i="13"/>
  <c r="M142" i="13"/>
  <c r="M141" i="13"/>
  <c r="M140" i="13"/>
  <c r="M139" i="13"/>
  <c r="M138" i="13"/>
  <c r="M137" i="13"/>
  <c r="M136" i="13"/>
  <c r="M135" i="13"/>
  <c r="M134" i="13"/>
  <c r="M133" i="13"/>
  <c r="M132" i="13"/>
  <c r="M131" i="13"/>
  <c r="M130" i="13"/>
  <c r="M129" i="13"/>
  <c r="M128" i="13"/>
  <c r="M127" i="13"/>
  <c r="M126" i="13"/>
  <c r="M125" i="13"/>
  <c r="M124" i="13"/>
  <c r="M123" i="13"/>
  <c r="M122" i="13"/>
  <c r="M121" i="13"/>
  <c r="M120" i="13"/>
  <c r="M119" i="13"/>
  <c r="M118" i="13"/>
  <c r="M117" i="13"/>
  <c r="M116" i="13"/>
  <c r="M115" i="13"/>
  <c r="M114" i="13"/>
  <c r="M113" i="13"/>
  <c r="M112" i="13"/>
  <c r="M111" i="13"/>
  <c r="M110" i="13"/>
  <c r="M109" i="13"/>
  <c r="M108" i="13"/>
  <c r="M107" i="13"/>
  <c r="M106" i="13"/>
  <c r="M105" i="13"/>
  <c r="M104" i="13"/>
  <c r="M103" i="13"/>
  <c r="M102" i="13"/>
  <c r="M101" i="13"/>
  <c r="M100" i="13"/>
  <c r="M99" i="13"/>
  <c r="M98" i="13"/>
  <c r="M97" i="13"/>
  <c r="M96" i="13"/>
  <c r="M95" i="13"/>
  <c r="M94" i="13"/>
  <c r="M93" i="13"/>
  <c r="M92" i="13"/>
  <c r="M91" i="13"/>
  <c r="M90" i="13"/>
  <c r="M89" i="13"/>
  <c r="M88" i="13"/>
  <c r="M87" i="13"/>
  <c r="M86" i="13"/>
  <c r="M85" i="13"/>
  <c r="M84" i="13"/>
  <c r="M83" i="13"/>
  <c r="M82" i="13"/>
  <c r="M81" i="13"/>
  <c r="M80" i="13"/>
  <c r="M79" i="13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E8" i="13" s="1"/>
  <c r="E10" i="13" s="1"/>
  <c r="A3" i="13"/>
  <c r="F8" i="13" l="1"/>
  <c r="N8" i="13"/>
  <c r="H24" i="13"/>
  <c r="I24" i="13" s="1"/>
  <c r="G15" i="13"/>
  <c r="H15" i="13" s="1"/>
  <c r="I15" i="13" s="1"/>
  <c r="G19" i="13" l="1"/>
  <c r="H19" i="13" s="1"/>
  <c r="I19" i="13" s="1"/>
  <c r="D10" i="2" l="1"/>
  <c r="C1" i="21" s="1"/>
  <c r="I8" i="2" l="1"/>
  <c r="G4" i="13" s="1"/>
  <c r="F5" i="13"/>
  <c r="G464" i="13"/>
  <c r="H464" i="13" s="1"/>
  <c r="I464" i="13" s="1"/>
  <c r="G463" i="13"/>
  <c r="H463" i="13" s="1"/>
  <c r="I463" i="13" s="1"/>
  <c r="J463" i="13" s="1"/>
  <c r="G401" i="13"/>
  <c r="H401" i="13" s="1"/>
  <c r="I401" i="13" s="1"/>
  <c r="G400" i="13"/>
  <c r="H400" i="13" s="1"/>
  <c r="I400" i="13" s="1"/>
  <c r="J400" i="13" s="1"/>
  <c r="G1707" i="13"/>
  <c r="H1707" i="13" s="1"/>
  <c r="I1707" i="13" s="1"/>
  <c r="J1707" i="13" s="1"/>
  <c r="G1708" i="13"/>
  <c r="H1708" i="13" s="1"/>
  <c r="I1708" i="13" s="1"/>
  <c r="J1708" i="13" s="1"/>
  <c r="G375" i="13"/>
  <c r="H375" i="13" s="1"/>
  <c r="I375" i="13" s="1"/>
  <c r="G376" i="13"/>
  <c r="H376" i="13" s="1"/>
  <c r="I376" i="13" s="1"/>
  <c r="J376" i="13" s="1"/>
  <c r="G377" i="13"/>
  <c r="H377" i="13" s="1"/>
  <c r="I377" i="13" s="1"/>
  <c r="J377" i="13" s="1"/>
  <c r="G1709" i="13"/>
  <c r="H1709" i="13" s="1"/>
  <c r="I1709" i="13" s="1"/>
  <c r="J1709" i="13" s="1"/>
  <c r="G1287" i="13"/>
  <c r="H1287" i="13" s="1"/>
  <c r="I1287" i="13" s="1"/>
  <c r="J1287" i="13" s="1"/>
  <c r="G1286" i="13"/>
  <c r="H1286" i="13" s="1"/>
  <c r="I1286" i="13" s="1"/>
  <c r="J1286" i="13" s="1"/>
  <c r="G1285" i="13"/>
  <c r="H1285" i="13" s="1"/>
  <c r="I1285" i="13" s="1"/>
  <c r="J1285" i="13" s="1"/>
  <c r="G1284" i="13"/>
  <c r="H1284" i="13" s="1"/>
  <c r="I1284" i="13" s="1"/>
  <c r="J1284" i="13" s="1"/>
  <c r="G1283" i="13"/>
  <c r="H1283" i="13" s="1"/>
  <c r="I1283" i="13" s="1"/>
  <c r="J1283" i="13" s="1"/>
  <c r="G1282" i="13"/>
  <c r="H1282" i="13" s="1"/>
  <c r="I1282" i="13" s="1"/>
  <c r="J1282" i="13" s="1"/>
  <c r="G1281" i="13"/>
  <c r="H1281" i="13" s="1"/>
  <c r="I1281" i="13" s="1"/>
  <c r="J1281" i="13" s="1"/>
  <c r="G1280" i="13"/>
  <c r="H1280" i="13" s="1"/>
  <c r="I1280" i="13" s="1"/>
  <c r="J1280" i="13" s="1"/>
  <c r="G1279" i="13"/>
  <c r="H1279" i="13" s="1"/>
  <c r="I1279" i="13" s="1"/>
  <c r="J1279" i="13" s="1"/>
  <c r="G1278" i="13"/>
  <c r="H1278" i="13" s="1"/>
  <c r="I1278" i="13" s="1"/>
  <c r="J1278" i="13" s="1"/>
  <c r="G1277" i="13"/>
  <c r="H1277" i="13" s="1"/>
  <c r="I1277" i="13" s="1"/>
  <c r="J1277" i="13" s="1"/>
  <c r="G1276" i="13"/>
  <c r="H1276" i="13" s="1"/>
  <c r="I1276" i="13" s="1"/>
  <c r="J1276" i="13" s="1"/>
  <c r="G1275" i="13"/>
  <c r="H1275" i="13" s="1"/>
  <c r="I1275" i="13" s="1"/>
  <c r="J1275" i="13" s="1"/>
  <c r="G1274" i="13"/>
  <c r="H1274" i="13" s="1"/>
  <c r="I1274" i="13" s="1"/>
  <c r="J1274" i="13" s="1"/>
  <c r="G1273" i="13"/>
  <c r="H1273" i="13" s="1"/>
  <c r="I1273" i="13" s="1"/>
  <c r="J1273" i="13" s="1"/>
  <c r="G1272" i="13"/>
  <c r="H1272" i="13" s="1"/>
  <c r="I1272" i="13" s="1"/>
  <c r="J1272" i="13" s="1"/>
  <c r="G1271" i="13"/>
  <c r="H1271" i="13" s="1"/>
  <c r="I1271" i="13" s="1"/>
  <c r="J1271" i="13" s="1"/>
  <c r="G1270" i="13"/>
  <c r="H1270" i="13" s="1"/>
  <c r="I1270" i="13" s="1"/>
  <c r="J1270" i="13" s="1"/>
  <c r="G1269" i="13"/>
  <c r="H1269" i="13" s="1"/>
  <c r="I1269" i="13" s="1"/>
  <c r="J1269" i="13" s="1"/>
  <c r="G1268" i="13"/>
  <c r="H1268" i="13" s="1"/>
  <c r="I1268" i="13" s="1"/>
  <c r="J1268" i="13" s="1"/>
  <c r="G1267" i="13"/>
  <c r="H1267" i="13" s="1"/>
  <c r="I1267" i="13" s="1"/>
  <c r="J1267" i="13" s="1"/>
  <c r="G1266" i="13"/>
  <c r="H1266" i="13" s="1"/>
  <c r="I1266" i="13" s="1"/>
  <c r="J1266" i="13" s="1"/>
  <c r="G1265" i="13"/>
  <c r="H1265" i="13" s="1"/>
  <c r="I1265" i="13" s="1"/>
  <c r="J1265" i="13" s="1"/>
  <c r="G1264" i="13"/>
  <c r="H1264" i="13" s="1"/>
  <c r="I1264" i="13" s="1"/>
  <c r="J1264" i="13" s="1"/>
  <c r="G1263" i="13"/>
  <c r="H1263" i="13" s="1"/>
  <c r="I1263" i="13" s="1"/>
  <c r="J1263" i="13" s="1"/>
  <c r="G1262" i="13"/>
  <c r="H1262" i="13" s="1"/>
  <c r="I1262" i="13" s="1"/>
  <c r="J1262" i="13" s="1"/>
  <c r="G1261" i="13"/>
  <c r="H1261" i="13" s="1"/>
  <c r="I1261" i="13" s="1"/>
  <c r="J1261" i="13" s="1"/>
  <c r="G1260" i="13"/>
  <c r="H1260" i="13" s="1"/>
  <c r="I1260" i="13" s="1"/>
  <c r="J1260" i="13" s="1"/>
  <c r="G1259" i="13"/>
  <c r="H1259" i="13" s="1"/>
  <c r="I1259" i="13" s="1"/>
  <c r="J1259" i="13" s="1"/>
  <c r="G1258" i="13"/>
  <c r="H1258" i="13" s="1"/>
  <c r="I1258" i="13" s="1"/>
  <c r="J1258" i="13" s="1"/>
  <c r="G1257" i="13"/>
  <c r="H1257" i="13" s="1"/>
  <c r="I1257" i="13" s="1"/>
  <c r="J1257" i="13" s="1"/>
  <c r="G1256" i="13"/>
  <c r="H1256" i="13" s="1"/>
  <c r="I1256" i="13" s="1"/>
  <c r="J1256" i="13" s="1"/>
  <c r="G1255" i="13"/>
  <c r="H1255" i="13" s="1"/>
  <c r="I1255" i="13" s="1"/>
  <c r="J1255" i="13" s="1"/>
  <c r="G1254" i="13"/>
  <c r="H1254" i="13" s="1"/>
  <c r="I1254" i="13" s="1"/>
  <c r="J1254" i="13" s="1"/>
  <c r="G1253" i="13"/>
  <c r="H1253" i="13" s="1"/>
  <c r="I1253" i="13" s="1"/>
  <c r="J1253" i="13" s="1"/>
  <c r="G1252" i="13"/>
  <c r="H1252" i="13" s="1"/>
  <c r="I1252" i="13" s="1"/>
  <c r="J1252" i="13" s="1"/>
  <c r="G1251" i="13"/>
  <c r="H1251" i="13" s="1"/>
  <c r="I1251" i="13" s="1"/>
  <c r="J1251" i="13" s="1"/>
  <c r="G1250" i="13"/>
  <c r="H1250" i="13" s="1"/>
  <c r="I1250" i="13" s="1"/>
  <c r="J1250" i="13" s="1"/>
  <c r="G1249" i="13"/>
  <c r="H1249" i="13" s="1"/>
  <c r="I1249" i="13" s="1"/>
  <c r="J1249" i="13" s="1"/>
  <c r="G1248" i="13"/>
  <c r="H1248" i="13" s="1"/>
  <c r="I1248" i="13" s="1"/>
  <c r="J1248" i="13" s="1"/>
  <c r="G1247" i="13"/>
  <c r="H1247" i="13" s="1"/>
  <c r="I1247" i="13" s="1"/>
  <c r="J1247" i="13" s="1"/>
  <c r="G1246" i="13"/>
  <c r="H1246" i="13" s="1"/>
  <c r="I1246" i="13" s="1"/>
  <c r="J1246" i="13" s="1"/>
  <c r="G1245" i="13"/>
  <c r="H1245" i="13" s="1"/>
  <c r="I1245" i="13" s="1"/>
  <c r="J1245" i="13" s="1"/>
  <c r="G1244" i="13"/>
  <c r="H1244" i="13" s="1"/>
  <c r="I1244" i="13" s="1"/>
  <c r="J1244" i="13" s="1"/>
  <c r="G1243" i="13"/>
  <c r="H1243" i="13" s="1"/>
  <c r="I1243" i="13" s="1"/>
  <c r="J1243" i="13" s="1"/>
  <c r="G1242" i="13"/>
  <c r="H1242" i="13" s="1"/>
  <c r="I1242" i="13" s="1"/>
  <c r="J1242" i="13" s="1"/>
  <c r="G1241" i="13"/>
  <c r="H1241" i="13" s="1"/>
  <c r="I1241" i="13" s="1"/>
  <c r="J1241" i="13" s="1"/>
  <c r="G1240" i="13"/>
  <c r="H1240" i="13" s="1"/>
  <c r="I1240" i="13" s="1"/>
  <c r="J1240" i="13" s="1"/>
  <c r="G1239" i="13"/>
  <c r="H1239" i="13" s="1"/>
  <c r="I1239" i="13" s="1"/>
  <c r="J1239" i="13" s="1"/>
  <c r="G1238" i="13"/>
  <c r="H1238" i="13" s="1"/>
  <c r="I1238" i="13" s="1"/>
  <c r="J1238" i="13" s="1"/>
  <c r="G1237" i="13"/>
  <c r="H1237" i="13" s="1"/>
  <c r="I1237" i="13" s="1"/>
  <c r="J1237" i="13" s="1"/>
  <c r="G1236" i="13"/>
  <c r="H1236" i="13" s="1"/>
  <c r="I1236" i="13" s="1"/>
  <c r="J1236" i="13" s="1"/>
  <c r="G1235" i="13"/>
  <c r="H1235" i="13" s="1"/>
  <c r="I1235" i="13" s="1"/>
  <c r="J1235" i="13" s="1"/>
  <c r="G1234" i="13"/>
  <c r="H1234" i="13" s="1"/>
  <c r="I1234" i="13" s="1"/>
  <c r="J1234" i="13" s="1"/>
  <c r="G1233" i="13"/>
  <c r="H1233" i="13" s="1"/>
  <c r="I1233" i="13" s="1"/>
  <c r="J1233" i="13" s="1"/>
  <c r="G1232" i="13"/>
  <c r="H1232" i="13" s="1"/>
  <c r="I1232" i="13" s="1"/>
  <c r="J1232" i="13" s="1"/>
  <c r="G1231" i="13"/>
  <c r="H1231" i="13" s="1"/>
  <c r="I1231" i="13" s="1"/>
  <c r="J1231" i="13" s="1"/>
  <c r="G1230" i="13"/>
  <c r="H1230" i="13" s="1"/>
  <c r="I1230" i="13" s="1"/>
  <c r="J1230" i="13" s="1"/>
  <c r="G1229" i="13"/>
  <c r="H1229" i="13" s="1"/>
  <c r="I1229" i="13" s="1"/>
  <c r="J1229" i="13" s="1"/>
  <c r="G1228" i="13"/>
  <c r="H1228" i="13" s="1"/>
  <c r="I1228" i="13" s="1"/>
  <c r="J1228" i="13" s="1"/>
  <c r="G1227" i="13"/>
  <c r="H1227" i="13" s="1"/>
  <c r="I1227" i="13" s="1"/>
  <c r="J1227" i="13" s="1"/>
  <c r="G1226" i="13"/>
  <c r="H1226" i="13" s="1"/>
  <c r="I1226" i="13" s="1"/>
  <c r="J1226" i="13" s="1"/>
  <c r="G1225" i="13"/>
  <c r="H1225" i="13" s="1"/>
  <c r="I1225" i="13" s="1"/>
  <c r="J1225" i="13" s="1"/>
  <c r="G1224" i="13"/>
  <c r="H1224" i="13" s="1"/>
  <c r="I1224" i="13" s="1"/>
  <c r="J1224" i="13" s="1"/>
  <c r="G1223" i="13"/>
  <c r="H1223" i="13" s="1"/>
  <c r="I1223" i="13" s="1"/>
  <c r="J1223" i="13" s="1"/>
  <c r="G1222" i="13"/>
  <c r="H1222" i="13" s="1"/>
  <c r="I1222" i="13" s="1"/>
  <c r="J1222" i="13" s="1"/>
  <c r="G1221" i="13"/>
  <c r="H1221" i="13" s="1"/>
  <c r="I1221" i="13" s="1"/>
  <c r="J1221" i="13" s="1"/>
  <c r="G1220" i="13"/>
  <c r="H1220" i="13" s="1"/>
  <c r="I1220" i="13" s="1"/>
  <c r="J1220" i="13" s="1"/>
  <c r="G1219" i="13"/>
  <c r="H1219" i="13" s="1"/>
  <c r="I1219" i="13" s="1"/>
  <c r="J1219" i="13" s="1"/>
  <c r="G1218" i="13"/>
  <c r="H1218" i="13" s="1"/>
  <c r="I1218" i="13" s="1"/>
  <c r="J1218" i="13" s="1"/>
  <c r="G1217" i="13"/>
  <c r="H1217" i="13" s="1"/>
  <c r="I1217" i="13" s="1"/>
  <c r="J1217" i="13" s="1"/>
  <c r="G1216" i="13"/>
  <c r="H1216" i="13" s="1"/>
  <c r="I1216" i="13" s="1"/>
  <c r="J1216" i="13" s="1"/>
  <c r="G1215" i="13"/>
  <c r="H1215" i="13" s="1"/>
  <c r="I1215" i="13" s="1"/>
  <c r="J1215" i="13" s="1"/>
  <c r="G1214" i="13"/>
  <c r="H1214" i="13" s="1"/>
  <c r="I1214" i="13" s="1"/>
  <c r="J1214" i="13" s="1"/>
  <c r="G1213" i="13"/>
  <c r="H1213" i="13" s="1"/>
  <c r="I1213" i="13" s="1"/>
  <c r="J1213" i="13" s="1"/>
  <c r="G1212" i="13"/>
  <c r="H1212" i="13" s="1"/>
  <c r="I1212" i="13" s="1"/>
  <c r="J1212" i="13" s="1"/>
  <c r="G1211" i="13"/>
  <c r="H1211" i="13" s="1"/>
  <c r="I1211" i="13" s="1"/>
  <c r="J1211" i="13" s="1"/>
  <c r="G1210" i="13"/>
  <c r="H1210" i="13" s="1"/>
  <c r="I1210" i="13" s="1"/>
  <c r="J1210" i="13" s="1"/>
  <c r="G1209" i="13"/>
  <c r="H1209" i="13" s="1"/>
  <c r="I1209" i="13" s="1"/>
  <c r="J1209" i="13" s="1"/>
  <c r="G1208" i="13"/>
  <c r="H1208" i="13" s="1"/>
  <c r="I1208" i="13" s="1"/>
  <c r="J1208" i="13" s="1"/>
  <c r="G1207" i="13"/>
  <c r="H1207" i="13" s="1"/>
  <c r="I1207" i="13" s="1"/>
  <c r="J1207" i="13" s="1"/>
  <c r="G1206" i="13"/>
  <c r="H1206" i="13" s="1"/>
  <c r="I1206" i="13" s="1"/>
  <c r="J1206" i="13" s="1"/>
  <c r="G1205" i="13"/>
  <c r="H1205" i="13" s="1"/>
  <c r="I1205" i="13" s="1"/>
  <c r="J1205" i="13" s="1"/>
  <c r="G1204" i="13"/>
  <c r="H1204" i="13" s="1"/>
  <c r="I1204" i="13" s="1"/>
  <c r="J1204" i="13" s="1"/>
  <c r="G1203" i="13"/>
  <c r="H1203" i="13" s="1"/>
  <c r="I1203" i="13" s="1"/>
  <c r="J1203" i="13" s="1"/>
  <c r="G1202" i="13"/>
  <c r="H1202" i="13" s="1"/>
  <c r="I1202" i="13" s="1"/>
  <c r="J1202" i="13" s="1"/>
  <c r="G1201" i="13"/>
  <c r="H1201" i="13" s="1"/>
  <c r="I1201" i="13" s="1"/>
  <c r="J1201" i="13" s="1"/>
  <c r="G1200" i="13"/>
  <c r="H1200" i="13" s="1"/>
  <c r="I1200" i="13" s="1"/>
  <c r="J1200" i="13" s="1"/>
  <c r="G1199" i="13"/>
  <c r="H1199" i="13" s="1"/>
  <c r="I1199" i="13" s="1"/>
  <c r="J1199" i="13" s="1"/>
  <c r="G1198" i="13"/>
  <c r="H1198" i="13" s="1"/>
  <c r="I1198" i="13" s="1"/>
  <c r="J1198" i="13" s="1"/>
  <c r="G1197" i="13"/>
  <c r="H1197" i="13" s="1"/>
  <c r="I1197" i="13" s="1"/>
  <c r="J1197" i="13" s="1"/>
  <c r="G1196" i="13"/>
  <c r="H1196" i="13" s="1"/>
  <c r="I1196" i="13" s="1"/>
  <c r="J1196" i="13" s="1"/>
  <c r="G1195" i="13"/>
  <c r="H1195" i="13" s="1"/>
  <c r="I1195" i="13" s="1"/>
  <c r="J1195" i="13" s="1"/>
  <c r="G1194" i="13"/>
  <c r="H1194" i="13" s="1"/>
  <c r="I1194" i="13" s="1"/>
  <c r="J1194" i="13" s="1"/>
  <c r="G1193" i="13"/>
  <c r="H1193" i="13" s="1"/>
  <c r="I1193" i="13" s="1"/>
  <c r="J1193" i="13" s="1"/>
  <c r="G1192" i="13"/>
  <c r="H1192" i="13" s="1"/>
  <c r="I1192" i="13" s="1"/>
  <c r="J1192" i="13" s="1"/>
  <c r="G1191" i="13"/>
  <c r="H1191" i="13" s="1"/>
  <c r="I1191" i="13" s="1"/>
  <c r="J1191" i="13" s="1"/>
  <c r="G1190" i="13"/>
  <c r="H1190" i="13" s="1"/>
  <c r="I1190" i="13" s="1"/>
  <c r="J1190" i="13" s="1"/>
  <c r="G1189" i="13"/>
  <c r="H1189" i="13" s="1"/>
  <c r="I1189" i="13" s="1"/>
  <c r="J1189" i="13" s="1"/>
  <c r="G1188" i="13"/>
  <c r="H1188" i="13" s="1"/>
  <c r="I1188" i="13" s="1"/>
  <c r="J1188" i="13" s="1"/>
  <c r="G1187" i="13"/>
  <c r="H1187" i="13" s="1"/>
  <c r="I1187" i="13" s="1"/>
  <c r="J1187" i="13" s="1"/>
  <c r="G1186" i="13"/>
  <c r="H1186" i="13" s="1"/>
  <c r="I1186" i="13" s="1"/>
  <c r="J1186" i="13" s="1"/>
  <c r="G1185" i="13"/>
  <c r="H1185" i="13" s="1"/>
  <c r="I1185" i="13" s="1"/>
  <c r="J1185" i="13" s="1"/>
  <c r="G1184" i="13"/>
  <c r="H1184" i="13" s="1"/>
  <c r="I1184" i="13" s="1"/>
  <c r="J1184" i="13" s="1"/>
  <c r="G1183" i="13"/>
  <c r="H1183" i="13" s="1"/>
  <c r="I1183" i="13" s="1"/>
  <c r="J1183" i="13" s="1"/>
  <c r="G1182" i="13"/>
  <c r="H1182" i="13" s="1"/>
  <c r="I1182" i="13" s="1"/>
  <c r="J1182" i="13" s="1"/>
  <c r="G1181" i="13"/>
  <c r="H1181" i="13" s="1"/>
  <c r="I1181" i="13" s="1"/>
  <c r="J1181" i="13" s="1"/>
  <c r="G1180" i="13"/>
  <c r="H1180" i="13" s="1"/>
  <c r="I1180" i="13" s="1"/>
  <c r="J1180" i="13" s="1"/>
  <c r="G1179" i="13"/>
  <c r="H1179" i="13" s="1"/>
  <c r="I1179" i="13" s="1"/>
  <c r="J1179" i="13" s="1"/>
  <c r="G1178" i="13"/>
  <c r="H1178" i="13" s="1"/>
  <c r="I1178" i="13" s="1"/>
  <c r="J1178" i="13" s="1"/>
  <c r="G1177" i="13"/>
  <c r="H1177" i="13" s="1"/>
  <c r="I1177" i="13" s="1"/>
  <c r="J1177" i="13" s="1"/>
  <c r="G1176" i="13"/>
  <c r="H1176" i="13" s="1"/>
  <c r="I1176" i="13" s="1"/>
  <c r="J1176" i="13" s="1"/>
  <c r="G1175" i="13"/>
  <c r="H1175" i="13" s="1"/>
  <c r="I1175" i="13" s="1"/>
  <c r="J1175" i="13" s="1"/>
  <c r="G1174" i="13"/>
  <c r="H1174" i="13" s="1"/>
  <c r="I1174" i="13" s="1"/>
  <c r="J1174" i="13" s="1"/>
  <c r="G1173" i="13"/>
  <c r="H1173" i="13" s="1"/>
  <c r="I1173" i="13" s="1"/>
  <c r="J1173" i="13" s="1"/>
  <c r="G1172" i="13"/>
  <c r="H1172" i="13" s="1"/>
  <c r="I1172" i="13" s="1"/>
  <c r="J1172" i="13" s="1"/>
  <c r="G1171" i="13"/>
  <c r="H1171" i="13" s="1"/>
  <c r="I1171" i="13" s="1"/>
  <c r="J1171" i="13" s="1"/>
  <c r="G1170" i="13"/>
  <c r="H1170" i="13" s="1"/>
  <c r="I1170" i="13" s="1"/>
  <c r="J1170" i="13" s="1"/>
  <c r="G1169" i="13"/>
  <c r="H1169" i="13" s="1"/>
  <c r="I1169" i="13" s="1"/>
  <c r="J1169" i="13" s="1"/>
  <c r="G1168" i="13"/>
  <c r="H1168" i="13" s="1"/>
  <c r="I1168" i="13" s="1"/>
  <c r="J1168" i="13" s="1"/>
  <c r="G1167" i="13"/>
  <c r="H1167" i="13" s="1"/>
  <c r="I1167" i="13" s="1"/>
  <c r="J1167" i="13" s="1"/>
  <c r="G1166" i="13"/>
  <c r="H1166" i="13" s="1"/>
  <c r="I1166" i="13" s="1"/>
  <c r="J1166" i="13" s="1"/>
  <c r="G1165" i="13"/>
  <c r="H1165" i="13" s="1"/>
  <c r="I1165" i="13" s="1"/>
  <c r="J1165" i="13" s="1"/>
  <c r="G1164" i="13"/>
  <c r="H1164" i="13" s="1"/>
  <c r="I1164" i="13" s="1"/>
  <c r="J1164" i="13" s="1"/>
  <c r="G1163" i="13"/>
  <c r="H1163" i="13" s="1"/>
  <c r="I1163" i="13" s="1"/>
  <c r="J1163" i="13" s="1"/>
  <c r="G1162" i="13"/>
  <c r="H1162" i="13" s="1"/>
  <c r="I1162" i="13" s="1"/>
  <c r="J1162" i="13" s="1"/>
  <c r="G1161" i="13"/>
  <c r="H1161" i="13" s="1"/>
  <c r="I1161" i="13" s="1"/>
  <c r="J1161" i="13" s="1"/>
  <c r="G1160" i="13"/>
  <c r="H1160" i="13" s="1"/>
  <c r="I1160" i="13" s="1"/>
  <c r="J1160" i="13" s="1"/>
  <c r="G1159" i="13"/>
  <c r="H1159" i="13" s="1"/>
  <c r="I1159" i="13" s="1"/>
  <c r="J1159" i="13" s="1"/>
  <c r="G1158" i="13"/>
  <c r="H1158" i="13" s="1"/>
  <c r="I1158" i="13" s="1"/>
  <c r="J1158" i="13" s="1"/>
  <c r="G1157" i="13"/>
  <c r="H1157" i="13" s="1"/>
  <c r="I1157" i="13" s="1"/>
  <c r="J1157" i="13" s="1"/>
  <c r="G1156" i="13"/>
  <c r="H1156" i="13" s="1"/>
  <c r="I1156" i="13" s="1"/>
  <c r="J1156" i="13" s="1"/>
  <c r="G1155" i="13"/>
  <c r="H1155" i="13" s="1"/>
  <c r="I1155" i="13" s="1"/>
  <c r="J1155" i="13" s="1"/>
  <c r="G1154" i="13"/>
  <c r="H1154" i="13" s="1"/>
  <c r="I1154" i="13" s="1"/>
  <c r="J1154" i="13" s="1"/>
  <c r="G1153" i="13"/>
  <c r="H1153" i="13" s="1"/>
  <c r="I1153" i="13" s="1"/>
  <c r="J1153" i="13" s="1"/>
  <c r="G1152" i="13"/>
  <c r="H1152" i="13" s="1"/>
  <c r="I1152" i="13" s="1"/>
  <c r="J1152" i="13" s="1"/>
  <c r="G1151" i="13"/>
  <c r="H1151" i="13" s="1"/>
  <c r="I1151" i="13" s="1"/>
  <c r="J1151" i="13" s="1"/>
  <c r="G1150" i="13"/>
  <c r="H1150" i="13" s="1"/>
  <c r="I1150" i="13" s="1"/>
  <c r="J1150" i="13" s="1"/>
  <c r="G1149" i="13"/>
  <c r="H1149" i="13" s="1"/>
  <c r="I1149" i="13" s="1"/>
  <c r="J1149" i="13" s="1"/>
  <c r="G1148" i="13"/>
  <c r="H1148" i="13" s="1"/>
  <c r="I1148" i="13" s="1"/>
  <c r="J1148" i="13" s="1"/>
  <c r="G1147" i="13"/>
  <c r="H1147" i="13" s="1"/>
  <c r="I1147" i="13" s="1"/>
  <c r="J1147" i="13" s="1"/>
  <c r="G1146" i="13"/>
  <c r="H1146" i="13" s="1"/>
  <c r="I1146" i="13" s="1"/>
  <c r="J1146" i="13" s="1"/>
  <c r="G1145" i="13"/>
  <c r="H1145" i="13" s="1"/>
  <c r="I1145" i="13" s="1"/>
  <c r="J1145" i="13" s="1"/>
  <c r="G1144" i="13"/>
  <c r="H1144" i="13" s="1"/>
  <c r="I1144" i="13" s="1"/>
  <c r="J1144" i="13" s="1"/>
  <c r="G1143" i="13"/>
  <c r="H1143" i="13" s="1"/>
  <c r="I1143" i="13" s="1"/>
  <c r="J1143" i="13" s="1"/>
  <c r="G1142" i="13"/>
  <c r="H1142" i="13" s="1"/>
  <c r="I1142" i="13" s="1"/>
  <c r="J1142" i="13" s="1"/>
  <c r="G1141" i="13"/>
  <c r="H1141" i="13" s="1"/>
  <c r="I1141" i="13" s="1"/>
  <c r="J1141" i="13" s="1"/>
  <c r="G1140" i="13"/>
  <c r="H1140" i="13" s="1"/>
  <c r="I1140" i="13" s="1"/>
  <c r="J1140" i="13" s="1"/>
  <c r="G1139" i="13"/>
  <c r="H1139" i="13" s="1"/>
  <c r="I1139" i="13" s="1"/>
  <c r="J1139" i="13" s="1"/>
  <c r="G1138" i="13"/>
  <c r="H1138" i="13" s="1"/>
  <c r="I1138" i="13" s="1"/>
  <c r="J1138" i="13" s="1"/>
  <c r="G1137" i="13"/>
  <c r="H1137" i="13" s="1"/>
  <c r="I1137" i="13" s="1"/>
  <c r="J1137" i="13" s="1"/>
  <c r="G1136" i="13"/>
  <c r="H1136" i="13" s="1"/>
  <c r="I1136" i="13" s="1"/>
  <c r="J1136" i="13" s="1"/>
  <c r="G1135" i="13"/>
  <c r="H1135" i="13" s="1"/>
  <c r="I1135" i="13" s="1"/>
  <c r="J1135" i="13" s="1"/>
  <c r="G1134" i="13"/>
  <c r="H1134" i="13" s="1"/>
  <c r="I1134" i="13" s="1"/>
  <c r="J1134" i="13" s="1"/>
  <c r="G1133" i="13"/>
  <c r="H1133" i="13" s="1"/>
  <c r="I1133" i="13" s="1"/>
  <c r="J1133" i="13" s="1"/>
  <c r="G1132" i="13"/>
  <c r="H1132" i="13" s="1"/>
  <c r="I1132" i="13" s="1"/>
  <c r="J1132" i="13" s="1"/>
  <c r="G1131" i="13"/>
  <c r="H1131" i="13" s="1"/>
  <c r="I1131" i="13" s="1"/>
  <c r="J1131" i="13" s="1"/>
  <c r="G1130" i="13"/>
  <c r="H1130" i="13" s="1"/>
  <c r="I1130" i="13" s="1"/>
  <c r="J1130" i="13" s="1"/>
  <c r="G1129" i="13"/>
  <c r="H1129" i="13" s="1"/>
  <c r="I1129" i="13" s="1"/>
  <c r="J1129" i="13" s="1"/>
  <c r="G1128" i="13"/>
  <c r="H1128" i="13" s="1"/>
  <c r="I1128" i="13" s="1"/>
  <c r="J1128" i="13" s="1"/>
  <c r="G1127" i="13"/>
  <c r="H1127" i="13" s="1"/>
  <c r="I1127" i="13" s="1"/>
  <c r="J1127" i="13" s="1"/>
  <c r="G1126" i="13"/>
  <c r="H1126" i="13" s="1"/>
  <c r="I1126" i="13" s="1"/>
  <c r="J1126" i="13" s="1"/>
  <c r="G1125" i="13"/>
  <c r="H1125" i="13" s="1"/>
  <c r="I1125" i="13" s="1"/>
  <c r="J1125" i="13" s="1"/>
  <c r="G1124" i="13"/>
  <c r="H1124" i="13" s="1"/>
  <c r="I1124" i="13" s="1"/>
  <c r="J1124" i="13" s="1"/>
  <c r="G1123" i="13"/>
  <c r="H1123" i="13" s="1"/>
  <c r="I1123" i="13" s="1"/>
  <c r="J1123" i="13" s="1"/>
  <c r="G1122" i="13"/>
  <c r="H1122" i="13" s="1"/>
  <c r="I1122" i="13" s="1"/>
  <c r="J1122" i="13" s="1"/>
  <c r="G1121" i="13"/>
  <c r="H1121" i="13" s="1"/>
  <c r="I1121" i="13" s="1"/>
  <c r="J1121" i="13" s="1"/>
  <c r="G1120" i="13"/>
  <c r="H1120" i="13" s="1"/>
  <c r="I1120" i="13" s="1"/>
  <c r="J1120" i="13" s="1"/>
  <c r="G1119" i="13"/>
  <c r="H1119" i="13" s="1"/>
  <c r="I1119" i="13" s="1"/>
  <c r="J1119" i="13" s="1"/>
  <c r="G1118" i="13"/>
  <c r="H1118" i="13" s="1"/>
  <c r="I1118" i="13" s="1"/>
  <c r="J1118" i="13" s="1"/>
  <c r="G1117" i="13"/>
  <c r="H1117" i="13" s="1"/>
  <c r="I1117" i="13" s="1"/>
  <c r="J1117" i="13" s="1"/>
  <c r="G1116" i="13"/>
  <c r="H1116" i="13" s="1"/>
  <c r="I1116" i="13" s="1"/>
  <c r="J1116" i="13" s="1"/>
  <c r="G1115" i="13"/>
  <c r="H1115" i="13" s="1"/>
  <c r="I1115" i="13" s="1"/>
  <c r="J1115" i="13" s="1"/>
  <c r="G1114" i="13"/>
  <c r="H1114" i="13" s="1"/>
  <c r="I1114" i="13" s="1"/>
  <c r="J1114" i="13" s="1"/>
  <c r="G1113" i="13"/>
  <c r="H1113" i="13" s="1"/>
  <c r="I1113" i="13" s="1"/>
  <c r="J1113" i="13" s="1"/>
  <c r="G1112" i="13"/>
  <c r="H1112" i="13" s="1"/>
  <c r="I1112" i="13" s="1"/>
  <c r="J1112" i="13" s="1"/>
  <c r="G1111" i="13"/>
  <c r="H1111" i="13" s="1"/>
  <c r="I1111" i="13" s="1"/>
  <c r="J1111" i="13" s="1"/>
  <c r="G1110" i="13"/>
  <c r="H1110" i="13" s="1"/>
  <c r="I1110" i="13" s="1"/>
  <c r="J1110" i="13" s="1"/>
  <c r="G1109" i="13"/>
  <c r="H1109" i="13" s="1"/>
  <c r="I1109" i="13" s="1"/>
  <c r="J1109" i="13" s="1"/>
  <c r="G1108" i="13"/>
  <c r="H1108" i="13" s="1"/>
  <c r="I1108" i="13" s="1"/>
  <c r="J1108" i="13" s="1"/>
  <c r="G1107" i="13"/>
  <c r="H1107" i="13" s="1"/>
  <c r="I1107" i="13" s="1"/>
  <c r="J1107" i="13" s="1"/>
  <c r="G1106" i="13"/>
  <c r="H1106" i="13" s="1"/>
  <c r="I1106" i="13" s="1"/>
  <c r="J1106" i="13" s="1"/>
  <c r="G1105" i="13"/>
  <c r="H1105" i="13" s="1"/>
  <c r="I1105" i="13" s="1"/>
  <c r="J1105" i="13" s="1"/>
  <c r="G1104" i="13"/>
  <c r="H1104" i="13" s="1"/>
  <c r="I1104" i="13" s="1"/>
  <c r="J1104" i="13" s="1"/>
  <c r="G1103" i="13"/>
  <c r="H1103" i="13" s="1"/>
  <c r="I1103" i="13" s="1"/>
  <c r="J1103" i="13" s="1"/>
  <c r="G1102" i="13"/>
  <c r="H1102" i="13" s="1"/>
  <c r="I1102" i="13" s="1"/>
  <c r="J1102" i="13" s="1"/>
  <c r="G1101" i="13"/>
  <c r="H1101" i="13" s="1"/>
  <c r="I1101" i="13" s="1"/>
  <c r="J1101" i="13" s="1"/>
  <c r="G1100" i="13"/>
  <c r="H1100" i="13" s="1"/>
  <c r="I1100" i="13" s="1"/>
  <c r="J1100" i="13" s="1"/>
  <c r="G1099" i="13"/>
  <c r="H1099" i="13" s="1"/>
  <c r="I1099" i="13" s="1"/>
  <c r="J1099" i="13" s="1"/>
  <c r="G1098" i="13"/>
  <c r="H1098" i="13" s="1"/>
  <c r="I1098" i="13" s="1"/>
  <c r="J1098" i="13" s="1"/>
  <c r="G1097" i="13"/>
  <c r="H1097" i="13" s="1"/>
  <c r="I1097" i="13" s="1"/>
  <c r="J1097" i="13" s="1"/>
  <c r="G1096" i="13"/>
  <c r="H1096" i="13" s="1"/>
  <c r="I1096" i="13" s="1"/>
  <c r="J1096" i="13" s="1"/>
  <c r="G1095" i="13"/>
  <c r="H1095" i="13" s="1"/>
  <c r="I1095" i="13" s="1"/>
  <c r="J1095" i="13" s="1"/>
  <c r="G1094" i="13"/>
  <c r="H1094" i="13" s="1"/>
  <c r="I1094" i="13" s="1"/>
  <c r="J1094" i="13" s="1"/>
  <c r="G1093" i="13"/>
  <c r="H1093" i="13" s="1"/>
  <c r="I1093" i="13" s="1"/>
  <c r="J1093" i="13" s="1"/>
  <c r="G1092" i="13"/>
  <c r="H1092" i="13" s="1"/>
  <c r="I1092" i="13" s="1"/>
  <c r="J1092" i="13" s="1"/>
  <c r="G1091" i="13"/>
  <c r="H1091" i="13" s="1"/>
  <c r="I1091" i="13" s="1"/>
  <c r="J1091" i="13" s="1"/>
  <c r="G1090" i="13"/>
  <c r="H1090" i="13" s="1"/>
  <c r="I1090" i="13" s="1"/>
  <c r="J1090" i="13" s="1"/>
  <c r="G1089" i="13"/>
  <c r="H1089" i="13" s="1"/>
  <c r="I1089" i="13" s="1"/>
  <c r="J1089" i="13" s="1"/>
  <c r="G1088" i="13"/>
  <c r="H1088" i="13" s="1"/>
  <c r="I1088" i="13" s="1"/>
  <c r="J1088" i="13" s="1"/>
  <c r="G1087" i="13"/>
  <c r="H1087" i="13" s="1"/>
  <c r="I1087" i="13" s="1"/>
  <c r="J1087" i="13" s="1"/>
  <c r="G1086" i="13"/>
  <c r="H1086" i="13" s="1"/>
  <c r="I1086" i="13" s="1"/>
  <c r="J1086" i="13" s="1"/>
  <c r="G1085" i="13"/>
  <c r="H1085" i="13" s="1"/>
  <c r="I1085" i="13" s="1"/>
  <c r="J1085" i="13" s="1"/>
  <c r="G1084" i="13"/>
  <c r="H1084" i="13" s="1"/>
  <c r="I1084" i="13" s="1"/>
  <c r="J1084" i="13" s="1"/>
  <c r="G1083" i="13"/>
  <c r="H1083" i="13" s="1"/>
  <c r="I1083" i="13" s="1"/>
  <c r="J1083" i="13" s="1"/>
  <c r="G1082" i="13"/>
  <c r="H1082" i="13" s="1"/>
  <c r="I1082" i="13" s="1"/>
  <c r="J1082" i="13" s="1"/>
  <c r="G1081" i="13"/>
  <c r="H1081" i="13" s="1"/>
  <c r="I1081" i="13" s="1"/>
  <c r="J1081" i="13" s="1"/>
  <c r="G1080" i="13"/>
  <c r="H1080" i="13" s="1"/>
  <c r="I1080" i="13" s="1"/>
  <c r="J1080" i="13" s="1"/>
  <c r="G1079" i="13"/>
  <c r="H1079" i="13" s="1"/>
  <c r="I1079" i="13" s="1"/>
  <c r="J1079" i="13" s="1"/>
  <c r="G1078" i="13"/>
  <c r="H1078" i="13" s="1"/>
  <c r="I1078" i="13" s="1"/>
  <c r="J1078" i="13" s="1"/>
  <c r="G1077" i="13"/>
  <c r="H1077" i="13" s="1"/>
  <c r="I1077" i="13" s="1"/>
  <c r="J1077" i="13" s="1"/>
  <c r="G1076" i="13"/>
  <c r="H1076" i="13" s="1"/>
  <c r="I1076" i="13" s="1"/>
  <c r="J1076" i="13" s="1"/>
  <c r="G1075" i="13"/>
  <c r="H1075" i="13" s="1"/>
  <c r="I1075" i="13" s="1"/>
  <c r="J1075" i="13" s="1"/>
  <c r="G1074" i="13"/>
  <c r="H1074" i="13" s="1"/>
  <c r="I1074" i="13" s="1"/>
  <c r="J1074" i="13" s="1"/>
  <c r="G1073" i="13"/>
  <c r="H1073" i="13" s="1"/>
  <c r="I1073" i="13" s="1"/>
  <c r="J1073" i="13" s="1"/>
  <c r="G1072" i="13"/>
  <c r="H1072" i="13" s="1"/>
  <c r="I1072" i="13" s="1"/>
  <c r="J1072" i="13" s="1"/>
  <c r="G1071" i="13"/>
  <c r="H1071" i="13" s="1"/>
  <c r="I1071" i="13" s="1"/>
  <c r="J1071" i="13" s="1"/>
  <c r="G1070" i="13"/>
  <c r="H1070" i="13" s="1"/>
  <c r="I1070" i="13" s="1"/>
  <c r="J1070" i="13" s="1"/>
  <c r="G1069" i="13"/>
  <c r="H1069" i="13" s="1"/>
  <c r="I1069" i="13" s="1"/>
  <c r="J1069" i="13" s="1"/>
  <c r="G1068" i="13"/>
  <c r="H1068" i="13" s="1"/>
  <c r="I1068" i="13" s="1"/>
  <c r="J1068" i="13" s="1"/>
  <c r="G1067" i="13"/>
  <c r="H1067" i="13" s="1"/>
  <c r="I1067" i="13" s="1"/>
  <c r="J1067" i="13" s="1"/>
  <c r="G1066" i="13"/>
  <c r="H1066" i="13" s="1"/>
  <c r="I1066" i="13" s="1"/>
  <c r="J1066" i="13" s="1"/>
  <c r="G1065" i="13"/>
  <c r="H1065" i="13" s="1"/>
  <c r="I1065" i="13" s="1"/>
  <c r="J1065" i="13" s="1"/>
  <c r="G1064" i="13"/>
  <c r="H1064" i="13" s="1"/>
  <c r="I1064" i="13" s="1"/>
  <c r="J1064" i="13" s="1"/>
  <c r="G1063" i="13"/>
  <c r="H1063" i="13" s="1"/>
  <c r="I1063" i="13" s="1"/>
  <c r="J1063" i="13" s="1"/>
  <c r="G1062" i="13"/>
  <c r="H1062" i="13" s="1"/>
  <c r="I1062" i="13" s="1"/>
  <c r="J1062" i="13" s="1"/>
  <c r="G1061" i="13"/>
  <c r="H1061" i="13" s="1"/>
  <c r="I1061" i="13" s="1"/>
  <c r="J1061" i="13" s="1"/>
  <c r="G1060" i="13"/>
  <c r="H1060" i="13" s="1"/>
  <c r="I1060" i="13" s="1"/>
  <c r="J1060" i="13" s="1"/>
  <c r="G1059" i="13"/>
  <c r="H1059" i="13" s="1"/>
  <c r="I1059" i="13" s="1"/>
  <c r="J1059" i="13" s="1"/>
  <c r="G1058" i="13"/>
  <c r="H1058" i="13" s="1"/>
  <c r="I1058" i="13" s="1"/>
  <c r="J1058" i="13" s="1"/>
  <c r="G1057" i="13"/>
  <c r="H1057" i="13" s="1"/>
  <c r="I1057" i="13" s="1"/>
  <c r="J1057" i="13" s="1"/>
  <c r="G1056" i="13"/>
  <c r="H1056" i="13" s="1"/>
  <c r="I1056" i="13" s="1"/>
  <c r="J1056" i="13" s="1"/>
  <c r="G1055" i="13"/>
  <c r="H1055" i="13" s="1"/>
  <c r="I1055" i="13" s="1"/>
  <c r="J1055" i="13" s="1"/>
  <c r="G1054" i="13"/>
  <c r="H1054" i="13" s="1"/>
  <c r="I1054" i="13" s="1"/>
  <c r="J1054" i="13" s="1"/>
  <c r="G1053" i="13"/>
  <c r="H1053" i="13" s="1"/>
  <c r="I1053" i="13" s="1"/>
  <c r="J1053" i="13" s="1"/>
  <c r="G1052" i="13"/>
  <c r="H1052" i="13" s="1"/>
  <c r="I1052" i="13" s="1"/>
  <c r="J1052" i="13" s="1"/>
  <c r="G1051" i="13"/>
  <c r="H1051" i="13" s="1"/>
  <c r="I1051" i="13" s="1"/>
  <c r="J1051" i="13" s="1"/>
  <c r="G1050" i="13"/>
  <c r="H1050" i="13" s="1"/>
  <c r="I1050" i="13" s="1"/>
  <c r="J1050" i="13" s="1"/>
  <c r="G1049" i="13"/>
  <c r="H1049" i="13" s="1"/>
  <c r="I1049" i="13" s="1"/>
  <c r="J1049" i="13" s="1"/>
  <c r="G1048" i="13"/>
  <c r="H1048" i="13" s="1"/>
  <c r="I1048" i="13" s="1"/>
  <c r="J1048" i="13" s="1"/>
  <c r="G1047" i="13"/>
  <c r="H1047" i="13" s="1"/>
  <c r="I1047" i="13" s="1"/>
  <c r="J1047" i="13" s="1"/>
  <c r="G1046" i="13"/>
  <c r="H1046" i="13" s="1"/>
  <c r="I1046" i="13" s="1"/>
  <c r="J1046" i="13" s="1"/>
  <c r="G1045" i="13"/>
  <c r="H1045" i="13" s="1"/>
  <c r="I1045" i="13" s="1"/>
  <c r="J1045" i="13" s="1"/>
  <c r="G1044" i="13"/>
  <c r="H1044" i="13" s="1"/>
  <c r="I1044" i="13" s="1"/>
  <c r="J1044" i="13" s="1"/>
  <c r="G1043" i="13"/>
  <c r="H1043" i="13" s="1"/>
  <c r="I1043" i="13" s="1"/>
  <c r="J1043" i="13" s="1"/>
  <c r="G1042" i="13"/>
  <c r="H1042" i="13" s="1"/>
  <c r="I1042" i="13" s="1"/>
  <c r="J1042" i="13" s="1"/>
  <c r="G1041" i="13"/>
  <c r="H1041" i="13" s="1"/>
  <c r="I1041" i="13" s="1"/>
  <c r="J1041" i="13" s="1"/>
  <c r="G1040" i="13"/>
  <c r="H1040" i="13" s="1"/>
  <c r="I1040" i="13" s="1"/>
  <c r="J1040" i="13" s="1"/>
  <c r="G1039" i="13"/>
  <c r="H1039" i="13" s="1"/>
  <c r="I1039" i="13" s="1"/>
  <c r="J1039" i="13" s="1"/>
  <c r="G1038" i="13"/>
  <c r="H1038" i="13" s="1"/>
  <c r="I1038" i="13" s="1"/>
  <c r="J1038" i="13" s="1"/>
  <c r="G1037" i="13"/>
  <c r="H1037" i="13" s="1"/>
  <c r="I1037" i="13" s="1"/>
  <c r="J1037" i="13" s="1"/>
  <c r="G1036" i="13"/>
  <c r="H1036" i="13" s="1"/>
  <c r="I1036" i="13" s="1"/>
  <c r="J1036" i="13" s="1"/>
  <c r="G1035" i="13"/>
  <c r="H1035" i="13" s="1"/>
  <c r="I1035" i="13" s="1"/>
  <c r="J1035" i="13" s="1"/>
  <c r="G1034" i="13"/>
  <c r="H1034" i="13" s="1"/>
  <c r="I1034" i="13" s="1"/>
  <c r="J1034" i="13" s="1"/>
  <c r="G1033" i="13"/>
  <c r="H1033" i="13" s="1"/>
  <c r="I1033" i="13" s="1"/>
  <c r="J1033" i="13" s="1"/>
  <c r="G1032" i="13"/>
  <c r="H1032" i="13" s="1"/>
  <c r="I1032" i="13" s="1"/>
  <c r="J1032" i="13" s="1"/>
  <c r="G1031" i="13"/>
  <c r="H1031" i="13" s="1"/>
  <c r="I1031" i="13" s="1"/>
  <c r="J1031" i="13" s="1"/>
  <c r="G1030" i="13"/>
  <c r="H1030" i="13" s="1"/>
  <c r="I1030" i="13" s="1"/>
  <c r="J1030" i="13" s="1"/>
  <c r="G1029" i="13"/>
  <c r="H1029" i="13" s="1"/>
  <c r="I1029" i="13" s="1"/>
  <c r="J1029" i="13" s="1"/>
  <c r="G1028" i="13"/>
  <c r="H1028" i="13" s="1"/>
  <c r="I1028" i="13" s="1"/>
  <c r="J1028" i="13" s="1"/>
  <c r="G1027" i="13"/>
  <c r="H1027" i="13" s="1"/>
  <c r="I1027" i="13" s="1"/>
  <c r="J1027" i="13" s="1"/>
  <c r="G1026" i="13"/>
  <c r="H1026" i="13" s="1"/>
  <c r="I1026" i="13" s="1"/>
  <c r="J1026" i="13" s="1"/>
  <c r="G1025" i="13"/>
  <c r="H1025" i="13" s="1"/>
  <c r="I1025" i="13" s="1"/>
  <c r="J1025" i="13" s="1"/>
  <c r="G1024" i="13"/>
  <c r="H1024" i="13" s="1"/>
  <c r="I1024" i="13" s="1"/>
  <c r="J1024" i="13" s="1"/>
  <c r="G1023" i="13"/>
  <c r="H1023" i="13" s="1"/>
  <c r="I1023" i="13" s="1"/>
  <c r="J1023" i="13" s="1"/>
  <c r="G1022" i="13"/>
  <c r="H1022" i="13" s="1"/>
  <c r="I1022" i="13" s="1"/>
  <c r="J1022" i="13" s="1"/>
  <c r="G1021" i="13"/>
  <c r="H1021" i="13" s="1"/>
  <c r="I1021" i="13" s="1"/>
  <c r="J1021" i="13" s="1"/>
  <c r="G1020" i="13"/>
  <c r="H1020" i="13" s="1"/>
  <c r="I1020" i="13" s="1"/>
  <c r="J1020" i="13" s="1"/>
  <c r="G1019" i="13"/>
  <c r="H1019" i="13" s="1"/>
  <c r="I1019" i="13" s="1"/>
  <c r="J1019" i="13" s="1"/>
  <c r="G1018" i="13"/>
  <c r="H1018" i="13" s="1"/>
  <c r="I1018" i="13" s="1"/>
  <c r="J1018" i="13" s="1"/>
  <c r="G1017" i="13"/>
  <c r="H1017" i="13" s="1"/>
  <c r="I1017" i="13" s="1"/>
  <c r="J1017" i="13" s="1"/>
  <c r="G1016" i="13"/>
  <c r="H1016" i="13" s="1"/>
  <c r="I1016" i="13" s="1"/>
  <c r="J1016" i="13" s="1"/>
  <c r="G1015" i="13"/>
  <c r="H1015" i="13" s="1"/>
  <c r="I1015" i="13" s="1"/>
  <c r="J1015" i="13" s="1"/>
  <c r="G1014" i="13"/>
  <c r="H1014" i="13" s="1"/>
  <c r="I1014" i="13" s="1"/>
  <c r="J1014" i="13" s="1"/>
  <c r="G1013" i="13"/>
  <c r="H1013" i="13" s="1"/>
  <c r="I1013" i="13" s="1"/>
  <c r="J1013" i="13" s="1"/>
  <c r="G1012" i="13"/>
  <c r="H1012" i="13" s="1"/>
  <c r="I1012" i="13" s="1"/>
  <c r="J1012" i="13" s="1"/>
  <c r="G1011" i="13"/>
  <c r="H1011" i="13" s="1"/>
  <c r="I1011" i="13" s="1"/>
  <c r="J1011" i="13" s="1"/>
  <c r="G1010" i="13"/>
  <c r="H1010" i="13" s="1"/>
  <c r="I1010" i="13" s="1"/>
  <c r="J1010" i="13" s="1"/>
  <c r="G1009" i="13"/>
  <c r="H1009" i="13" s="1"/>
  <c r="I1009" i="13" s="1"/>
  <c r="J1009" i="13" s="1"/>
  <c r="G1008" i="13"/>
  <c r="H1008" i="13" s="1"/>
  <c r="I1008" i="13" s="1"/>
  <c r="J1008" i="13" s="1"/>
  <c r="G1007" i="13"/>
  <c r="H1007" i="13" s="1"/>
  <c r="I1007" i="13" s="1"/>
  <c r="J1007" i="13" s="1"/>
  <c r="G1006" i="13"/>
  <c r="H1006" i="13" s="1"/>
  <c r="I1006" i="13" s="1"/>
  <c r="J1006" i="13" s="1"/>
  <c r="G1005" i="13"/>
  <c r="H1005" i="13" s="1"/>
  <c r="I1005" i="13" s="1"/>
  <c r="J1005" i="13" s="1"/>
  <c r="G1004" i="13"/>
  <c r="H1004" i="13" s="1"/>
  <c r="I1004" i="13" s="1"/>
  <c r="J1004" i="13" s="1"/>
  <c r="G1003" i="13"/>
  <c r="H1003" i="13" s="1"/>
  <c r="I1003" i="13" s="1"/>
  <c r="J1003" i="13" s="1"/>
  <c r="G1002" i="13"/>
  <c r="H1002" i="13" s="1"/>
  <c r="I1002" i="13" s="1"/>
  <c r="J1002" i="13" s="1"/>
  <c r="G1001" i="13"/>
  <c r="H1001" i="13" s="1"/>
  <c r="I1001" i="13" s="1"/>
  <c r="J1001" i="13" s="1"/>
  <c r="G1000" i="13"/>
  <c r="H1000" i="13" s="1"/>
  <c r="I1000" i="13" s="1"/>
  <c r="J1000" i="13" s="1"/>
  <c r="G999" i="13"/>
  <c r="H999" i="13" s="1"/>
  <c r="I999" i="13" s="1"/>
  <c r="J999" i="13" s="1"/>
  <c r="G998" i="13"/>
  <c r="H998" i="13" s="1"/>
  <c r="I998" i="13" s="1"/>
  <c r="J998" i="13" s="1"/>
  <c r="G997" i="13"/>
  <c r="H997" i="13" s="1"/>
  <c r="I997" i="13" s="1"/>
  <c r="J997" i="13" s="1"/>
  <c r="G996" i="13"/>
  <c r="H996" i="13" s="1"/>
  <c r="I996" i="13" s="1"/>
  <c r="J996" i="13" s="1"/>
  <c r="G995" i="13"/>
  <c r="H995" i="13" s="1"/>
  <c r="I995" i="13" s="1"/>
  <c r="J995" i="13" s="1"/>
  <c r="G994" i="13"/>
  <c r="H994" i="13" s="1"/>
  <c r="I994" i="13" s="1"/>
  <c r="J994" i="13" s="1"/>
  <c r="G993" i="13"/>
  <c r="H993" i="13" s="1"/>
  <c r="I993" i="13" s="1"/>
  <c r="J993" i="13" s="1"/>
  <c r="G992" i="13"/>
  <c r="H992" i="13" s="1"/>
  <c r="I992" i="13" s="1"/>
  <c r="J992" i="13" s="1"/>
  <c r="G991" i="13"/>
  <c r="H991" i="13" s="1"/>
  <c r="I991" i="13" s="1"/>
  <c r="J991" i="13" s="1"/>
  <c r="G990" i="13"/>
  <c r="H990" i="13" s="1"/>
  <c r="I990" i="13" s="1"/>
  <c r="J990" i="13" s="1"/>
  <c r="G989" i="13"/>
  <c r="H989" i="13" s="1"/>
  <c r="I989" i="13" s="1"/>
  <c r="J989" i="13" s="1"/>
  <c r="G988" i="13"/>
  <c r="H988" i="13" s="1"/>
  <c r="I988" i="13" s="1"/>
  <c r="J988" i="13" s="1"/>
  <c r="G987" i="13"/>
  <c r="H987" i="13" s="1"/>
  <c r="I987" i="13" s="1"/>
  <c r="J987" i="13" s="1"/>
  <c r="G986" i="13"/>
  <c r="H986" i="13" s="1"/>
  <c r="I986" i="13" s="1"/>
  <c r="J986" i="13" s="1"/>
  <c r="G985" i="13"/>
  <c r="H985" i="13" s="1"/>
  <c r="I985" i="13" s="1"/>
  <c r="J985" i="13" s="1"/>
  <c r="G984" i="13"/>
  <c r="H984" i="13" s="1"/>
  <c r="I984" i="13" s="1"/>
  <c r="J984" i="13" s="1"/>
  <c r="G983" i="13"/>
  <c r="H983" i="13" s="1"/>
  <c r="I983" i="13" s="1"/>
  <c r="J983" i="13" s="1"/>
  <c r="G982" i="13"/>
  <c r="H982" i="13" s="1"/>
  <c r="I982" i="13" s="1"/>
  <c r="J982" i="13" s="1"/>
  <c r="G981" i="13"/>
  <c r="H981" i="13" s="1"/>
  <c r="I981" i="13" s="1"/>
  <c r="J981" i="13" s="1"/>
  <c r="G980" i="13"/>
  <c r="H980" i="13" s="1"/>
  <c r="I980" i="13" s="1"/>
  <c r="J980" i="13" s="1"/>
  <c r="G979" i="13"/>
  <c r="H979" i="13" s="1"/>
  <c r="I979" i="13" s="1"/>
  <c r="J979" i="13" s="1"/>
  <c r="G978" i="13"/>
  <c r="H978" i="13" s="1"/>
  <c r="I978" i="13" s="1"/>
  <c r="J978" i="13" s="1"/>
  <c r="G977" i="13"/>
  <c r="H977" i="13" s="1"/>
  <c r="I977" i="13" s="1"/>
  <c r="J977" i="13" s="1"/>
  <c r="G976" i="13"/>
  <c r="H976" i="13" s="1"/>
  <c r="I976" i="13" s="1"/>
  <c r="J976" i="13" s="1"/>
  <c r="G975" i="13"/>
  <c r="H975" i="13" s="1"/>
  <c r="I975" i="13" s="1"/>
  <c r="J975" i="13" s="1"/>
  <c r="G974" i="13"/>
  <c r="H974" i="13" s="1"/>
  <c r="I974" i="13" s="1"/>
  <c r="J974" i="13" s="1"/>
  <c r="G973" i="13"/>
  <c r="H973" i="13" s="1"/>
  <c r="I973" i="13" s="1"/>
  <c r="J973" i="13" s="1"/>
  <c r="G972" i="13"/>
  <c r="H972" i="13" s="1"/>
  <c r="I972" i="13" s="1"/>
  <c r="J972" i="13" s="1"/>
  <c r="G971" i="13"/>
  <c r="H971" i="13" s="1"/>
  <c r="I971" i="13" s="1"/>
  <c r="J971" i="13" s="1"/>
  <c r="G970" i="13"/>
  <c r="H970" i="13" s="1"/>
  <c r="I970" i="13" s="1"/>
  <c r="J970" i="13" s="1"/>
  <c r="G969" i="13"/>
  <c r="H969" i="13" s="1"/>
  <c r="I969" i="13" s="1"/>
  <c r="J969" i="13" s="1"/>
  <c r="G968" i="13"/>
  <c r="H968" i="13" s="1"/>
  <c r="I968" i="13" s="1"/>
  <c r="J968" i="13" s="1"/>
  <c r="G967" i="13"/>
  <c r="H967" i="13" s="1"/>
  <c r="I967" i="13" s="1"/>
  <c r="J967" i="13" s="1"/>
  <c r="G966" i="13"/>
  <c r="H966" i="13" s="1"/>
  <c r="I966" i="13" s="1"/>
  <c r="J966" i="13" s="1"/>
  <c r="G965" i="13"/>
  <c r="H965" i="13" s="1"/>
  <c r="I965" i="13" s="1"/>
  <c r="J965" i="13" s="1"/>
  <c r="G964" i="13"/>
  <c r="H964" i="13" s="1"/>
  <c r="I964" i="13" s="1"/>
  <c r="J964" i="13" s="1"/>
  <c r="G963" i="13"/>
  <c r="H963" i="13" s="1"/>
  <c r="I963" i="13" s="1"/>
  <c r="J963" i="13" s="1"/>
  <c r="G962" i="13"/>
  <c r="H962" i="13" s="1"/>
  <c r="I962" i="13" s="1"/>
  <c r="J962" i="13" s="1"/>
  <c r="G961" i="13"/>
  <c r="H961" i="13" s="1"/>
  <c r="I961" i="13" s="1"/>
  <c r="J961" i="13" s="1"/>
  <c r="G960" i="13"/>
  <c r="H960" i="13" s="1"/>
  <c r="I960" i="13" s="1"/>
  <c r="J960" i="13" s="1"/>
  <c r="G959" i="13"/>
  <c r="H959" i="13" s="1"/>
  <c r="I959" i="13" s="1"/>
  <c r="J959" i="13" s="1"/>
  <c r="G958" i="13"/>
  <c r="H958" i="13" s="1"/>
  <c r="I958" i="13" s="1"/>
  <c r="J958" i="13" s="1"/>
  <c r="G957" i="13"/>
  <c r="H957" i="13" s="1"/>
  <c r="I957" i="13" s="1"/>
  <c r="J957" i="13" s="1"/>
  <c r="G956" i="13"/>
  <c r="H956" i="13" s="1"/>
  <c r="I956" i="13" s="1"/>
  <c r="J956" i="13" s="1"/>
  <c r="G955" i="13"/>
  <c r="H955" i="13" s="1"/>
  <c r="I955" i="13" s="1"/>
  <c r="J955" i="13" s="1"/>
  <c r="G954" i="13"/>
  <c r="H954" i="13" s="1"/>
  <c r="I954" i="13" s="1"/>
  <c r="J954" i="13" s="1"/>
  <c r="G953" i="13"/>
  <c r="H953" i="13" s="1"/>
  <c r="I953" i="13" s="1"/>
  <c r="J953" i="13" s="1"/>
  <c r="G952" i="13"/>
  <c r="H952" i="13" s="1"/>
  <c r="I952" i="13" s="1"/>
  <c r="J952" i="13" s="1"/>
  <c r="G951" i="13"/>
  <c r="H951" i="13" s="1"/>
  <c r="I951" i="13" s="1"/>
  <c r="J951" i="13" s="1"/>
  <c r="G950" i="13"/>
  <c r="H950" i="13" s="1"/>
  <c r="I950" i="13" s="1"/>
  <c r="J950" i="13" s="1"/>
  <c r="G949" i="13"/>
  <c r="H949" i="13" s="1"/>
  <c r="I949" i="13" s="1"/>
  <c r="J949" i="13" s="1"/>
  <c r="G948" i="13"/>
  <c r="H948" i="13" s="1"/>
  <c r="I948" i="13" s="1"/>
  <c r="J948" i="13" s="1"/>
  <c r="G947" i="13"/>
  <c r="H947" i="13" s="1"/>
  <c r="I947" i="13" s="1"/>
  <c r="J947" i="13" s="1"/>
  <c r="G946" i="13"/>
  <c r="H946" i="13" s="1"/>
  <c r="I946" i="13" s="1"/>
  <c r="J946" i="13" s="1"/>
  <c r="G945" i="13"/>
  <c r="H945" i="13" s="1"/>
  <c r="I945" i="13" s="1"/>
  <c r="J945" i="13" s="1"/>
  <c r="G944" i="13"/>
  <c r="H944" i="13" s="1"/>
  <c r="I944" i="13" s="1"/>
  <c r="J944" i="13" s="1"/>
  <c r="G943" i="13"/>
  <c r="H943" i="13" s="1"/>
  <c r="I943" i="13" s="1"/>
  <c r="J943" i="13" s="1"/>
  <c r="G942" i="13"/>
  <c r="H942" i="13" s="1"/>
  <c r="I942" i="13" s="1"/>
  <c r="J942" i="13" s="1"/>
  <c r="G941" i="13"/>
  <c r="H941" i="13" s="1"/>
  <c r="I941" i="13" s="1"/>
  <c r="J941" i="13" s="1"/>
  <c r="G940" i="13"/>
  <c r="H940" i="13" s="1"/>
  <c r="I940" i="13" s="1"/>
  <c r="J940" i="13" s="1"/>
  <c r="G939" i="13"/>
  <c r="H939" i="13" s="1"/>
  <c r="I939" i="13" s="1"/>
  <c r="J939" i="13" s="1"/>
  <c r="G938" i="13"/>
  <c r="H938" i="13" s="1"/>
  <c r="I938" i="13" s="1"/>
  <c r="J938" i="13" s="1"/>
  <c r="G937" i="13"/>
  <c r="H937" i="13" s="1"/>
  <c r="I937" i="13" s="1"/>
  <c r="J937" i="13" s="1"/>
  <c r="G936" i="13"/>
  <c r="H936" i="13" s="1"/>
  <c r="I936" i="13" s="1"/>
  <c r="J936" i="13" s="1"/>
  <c r="G935" i="13"/>
  <c r="H935" i="13" s="1"/>
  <c r="I935" i="13" s="1"/>
  <c r="J935" i="13" s="1"/>
  <c r="G934" i="13"/>
  <c r="H934" i="13" s="1"/>
  <c r="I934" i="13" s="1"/>
  <c r="J934" i="13" s="1"/>
  <c r="G933" i="13"/>
  <c r="H933" i="13" s="1"/>
  <c r="I933" i="13" s="1"/>
  <c r="J933" i="13" s="1"/>
  <c r="G932" i="13"/>
  <c r="H932" i="13" s="1"/>
  <c r="I932" i="13" s="1"/>
  <c r="J932" i="13" s="1"/>
  <c r="G931" i="13"/>
  <c r="H931" i="13" s="1"/>
  <c r="I931" i="13" s="1"/>
  <c r="J931" i="13" s="1"/>
  <c r="G930" i="13"/>
  <c r="H930" i="13" s="1"/>
  <c r="I930" i="13" s="1"/>
  <c r="J930" i="13" s="1"/>
  <c r="G929" i="13"/>
  <c r="H929" i="13" s="1"/>
  <c r="I929" i="13" s="1"/>
  <c r="J929" i="13" s="1"/>
  <c r="G928" i="13"/>
  <c r="H928" i="13" s="1"/>
  <c r="I928" i="13" s="1"/>
  <c r="J928" i="13" s="1"/>
  <c r="G927" i="13"/>
  <c r="H927" i="13" s="1"/>
  <c r="I927" i="13" s="1"/>
  <c r="J927" i="13" s="1"/>
  <c r="G926" i="13"/>
  <c r="H926" i="13" s="1"/>
  <c r="I926" i="13" s="1"/>
  <c r="J926" i="13" s="1"/>
  <c r="G925" i="13"/>
  <c r="H925" i="13" s="1"/>
  <c r="I925" i="13" s="1"/>
  <c r="J925" i="13" s="1"/>
  <c r="G924" i="13"/>
  <c r="H924" i="13" s="1"/>
  <c r="I924" i="13" s="1"/>
  <c r="J924" i="13" s="1"/>
  <c r="G923" i="13"/>
  <c r="H923" i="13" s="1"/>
  <c r="I923" i="13" s="1"/>
  <c r="J923" i="13" s="1"/>
  <c r="G922" i="13"/>
  <c r="H922" i="13" s="1"/>
  <c r="I922" i="13" s="1"/>
  <c r="J922" i="13" s="1"/>
  <c r="G921" i="13"/>
  <c r="H921" i="13" s="1"/>
  <c r="I921" i="13" s="1"/>
  <c r="J921" i="13" s="1"/>
  <c r="G920" i="13"/>
  <c r="H920" i="13" s="1"/>
  <c r="I920" i="13" s="1"/>
  <c r="J920" i="13" s="1"/>
  <c r="G919" i="13"/>
  <c r="H919" i="13" s="1"/>
  <c r="I919" i="13" s="1"/>
  <c r="J919" i="13" s="1"/>
  <c r="G918" i="13"/>
  <c r="H918" i="13" s="1"/>
  <c r="I918" i="13" s="1"/>
  <c r="J918" i="13" s="1"/>
  <c r="G917" i="13"/>
  <c r="H917" i="13" s="1"/>
  <c r="I917" i="13" s="1"/>
  <c r="J917" i="13" s="1"/>
  <c r="G916" i="13"/>
  <c r="H916" i="13" s="1"/>
  <c r="I916" i="13" s="1"/>
  <c r="J916" i="13" s="1"/>
  <c r="G915" i="13"/>
  <c r="H915" i="13" s="1"/>
  <c r="I915" i="13" s="1"/>
  <c r="J915" i="13" s="1"/>
  <c r="G914" i="13"/>
  <c r="H914" i="13" s="1"/>
  <c r="I914" i="13" s="1"/>
  <c r="J914" i="13" s="1"/>
  <c r="G913" i="13"/>
  <c r="H913" i="13" s="1"/>
  <c r="I913" i="13" s="1"/>
  <c r="J913" i="13" s="1"/>
  <c r="G912" i="13"/>
  <c r="H912" i="13" s="1"/>
  <c r="I912" i="13" s="1"/>
  <c r="J912" i="13" s="1"/>
  <c r="G911" i="13"/>
  <c r="H911" i="13" s="1"/>
  <c r="I911" i="13" s="1"/>
  <c r="J911" i="13" s="1"/>
  <c r="G910" i="13"/>
  <c r="H910" i="13" s="1"/>
  <c r="I910" i="13" s="1"/>
  <c r="J910" i="13" s="1"/>
  <c r="G909" i="13"/>
  <c r="H909" i="13" s="1"/>
  <c r="I909" i="13" s="1"/>
  <c r="J909" i="13" s="1"/>
  <c r="G908" i="13"/>
  <c r="H908" i="13" s="1"/>
  <c r="I908" i="13" s="1"/>
  <c r="J908" i="13" s="1"/>
  <c r="G907" i="13"/>
  <c r="H907" i="13" s="1"/>
  <c r="I907" i="13" s="1"/>
  <c r="J907" i="13" s="1"/>
  <c r="G906" i="13"/>
  <c r="H906" i="13" s="1"/>
  <c r="I906" i="13" s="1"/>
  <c r="J906" i="13" s="1"/>
  <c r="G905" i="13"/>
  <c r="H905" i="13" s="1"/>
  <c r="I905" i="13" s="1"/>
  <c r="J905" i="13" s="1"/>
  <c r="G904" i="13"/>
  <c r="H904" i="13" s="1"/>
  <c r="I904" i="13" s="1"/>
  <c r="J904" i="13" s="1"/>
  <c r="G903" i="13"/>
  <c r="H903" i="13" s="1"/>
  <c r="I903" i="13" s="1"/>
  <c r="J903" i="13" s="1"/>
  <c r="G902" i="13"/>
  <c r="H902" i="13" s="1"/>
  <c r="I902" i="13" s="1"/>
  <c r="J902" i="13" s="1"/>
  <c r="G901" i="13"/>
  <c r="H901" i="13" s="1"/>
  <c r="I901" i="13" s="1"/>
  <c r="J901" i="13" s="1"/>
  <c r="G900" i="13"/>
  <c r="H900" i="13" s="1"/>
  <c r="I900" i="13" s="1"/>
  <c r="J900" i="13" s="1"/>
  <c r="G899" i="13"/>
  <c r="H899" i="13" s="1"/>
  <c r="I899" i="13" s="1"/>
  <c r="J899" i="13" s="1"/>
  <c r="G898" i="13"/>
  <c r="H898" i="13" s="1"/>
  <c r="I898" i="13" s="1"/>
  <c r="J898" i="13" s="1"/>
  <c r="G897" i="13"/>
  <c r="H897" i="13" s="1"/>
  <c r="I897" i="13" s="1"/>
  <c r="J897" i="13" s="1"/>
  <c r="G896" i="13"/>
  <c r="H896" i="13" s="1"/>
  <c r="I896" i="13" s="1"/>
  <c r="J896" i="13" s="1"/>
  <c r="G895" i="13"/>
  <c r="H895" i="13" s="1"/>
  <c r="I895" i="13" s="1"/>
  <c r="J895" i="13" s="1"/>
  <c r="G894" i="13"/>
  <c r="H894" i="13" s="1"/>
  <c r="I894" i="13" s="1"/>
  <c r="J894" i="13" s="1"/>
  <c r="G893" i="13"/>
  <c r="H893" i="13" s="1"/>
  <c r="I893" i="13" s="1"/>
  <c r="J893" i="13" s="1"/>
  <c r="G892" i="13"/>
  <c r="H892" i="13" s="1"/>
  <c r="I892" i="13" s="1"/>
  <c r="J892" i="13" s="1"/>
  <c r="G891" i="13"/>
  <c r="H891" i="13" s="1"/>
  <c r="I891" i="13" s="1"/>
  <c r="J891" i="13" s="1"/>
  <c r="G890" i="13"/>
  <c r="H890" i="13" s="1"/>
  <c r="I890" i="13" s="1"/>
  <c r="J890" i="13" s="1"/>
  <c r="G889" i="13"/>
  <c r="H889" i="13" s="1"/>
  <c r="I889" i="13" s="1"/>
  <c r="J889" i="13" s="1"/>
  <c r="G888" i="13"/>
  <c r="H888" i="13" s="1"/>
  <c r="I888" i="13" s="1"/>
  <c r="J888" i="13" s="1"/>
  <c r="G887" i="13"/>
  <c r="H887" i="13" s="1"/>
  <c r="I887" i="13" s="1"/>
  <c r="J887" i="13" s="1"/>
  <c r="G886" i="13"/>
  <c r="H886" i="13" s="1"/>
  <c r="I886" i="13" s="1"/>
  <c r="J886" i="13" s="1"/>
  <c r="G885" i="13"/>
  <c r="H885" i="13" s="1"/>
  <c r="I885" i="13" s="1"/>
  <c r="J885" i="13" s="1"/>
  <c r="G884" i="13"/>
  <c r="H884" i="13" s="1"/>
  <c r="I884" i="13" s="1"/>
  <c r="J884" i="13" s="1"/>
  <c r="G883" i="13"/>
  <c r="H883" i="13" s="1"/>
  <c r="I883" i="13" s="1"/>
  <c r="J883" i="13" s="1"/>
  <c r="G882" i="13"/>
  <c r="H882" i="13" s="1"/>
  <c r="I882" i="13" s="1"/>
  <c r="J882" i="13" s="1"/>
  <c r="G881" i="13"/>
  <c r="H881" i="13" s="1"/>
  <c r="I881" i="13" s="1"/>
  <c r="J881" i="13" s="1"/>
  <c r="G880" i="13"/>
  <c r="H880" i="13" s="1"/>
  <c r="I880" i="13" s="1"/>
  <c r="J880" i="13" s="1"/>
  <c r="G879" i="13"/>
  <c r="H879" i="13" s="1"/>
  <c r="I879" i="13" s="1"/>
  <c r="J879" i="13" s="1"/>
  <c r="G878" i="13"/>
  <c r="H878" i="13" s="1"/>
  <c r="I878" i="13" s="1"/>
  <c r="J878" i="13" s="1"/>
  <c r="G877" i="13"/>
  <c r="H877" i="13" s="1"/>
  <c r="I877" i="13" s="1"/>
  <c r="J877" i="13" s="1"/>
  <c r="G876" i="13"/>
  <c r="H876" i="13" s="1"/>
  <c r="I876" i="13" s="1"/>
  <c r="J876" i="13" s="1"/>
  <c r="G875" i="13"/>
  <c r="H875" i="13" s="1"/>
  <c r="I875" i="13" s="1"/>
  <c r="J875" i="13" s="1"/>
  <c r="G874" i="13"/>
  <c r="H874" i="13" s="1"/>
  <c r="I874" i="13" s="1"/>
  <c r="J874" i="13" s="1"/>
  <c r="G873" i="13"/>
  <c r="H873" i="13" s="1"/>
  <c r="I873" i="13" s="1"/>
  <c r="J873" i="13" s="1"/>
  <c r="G872" i="13"/>
  <c r="H872" i="13" s="1"/>
  <c r="I872" i="13" s="1"/>
  <c r="J872" i="13" s="1"/>
  <c r="G871" i="13"/>
  <c r="H871" i="13" s="1"/>
  <c r="I871" i="13" s="1"/>
  <c r="J871" i="13" s="1"/>
  <c r="G870" i="13"/>
  <c r="H870" i="13" s="1"/>
  <c r="I870" i="13" s="1"/>
  <c r="J870" i="13" s="1"/>
  <c r="G869" i="13"/>
  <c r="H869" i="13" s="1"/>
  <c r="I869" i="13" s="1"/>
  <c r="J869" i="13" s="1"/>
  <c r="G868" i="13"/>
  <c r="H868" i="13" s="1"/>
  <c r="I868" i="13" s="1"/>
  <c r="J868" i="13" s="1"/>
  <c r="G867" i="13"/>
  <c r="H867" i="13" s="1"/>
  <c r="I867" i="13" s="1"/>
  <c r="J867" i="13" s="1"/>
  <c r="G866" i="13"/>
  <c r="H866" i="13" s="1"/>
  <c r="I866" i="13" s="1"/>
  <c r="J866" i="13" s="1"/>
  <c r="G865" i="13"/>
  <c r="H865" i="13" s="1"/>
  <c r="I865" i="13" s="1"/>
  <c r="J865" i="13" s="1"/>
  <c r="G864" i="13"/>
  <c r="H864" i="13" s="1"/>
  <c r="I864" i="13" s="1"/>
  <c r="J864" i="13" s="1"/>
  <c r="G863" i="13"/>
  <c r="H863" i="13" s="1"/>
  <c r="I863" i="13" s="1"/>
  <c r="J863" i="13" s="1"/>
  <c r="G862" i="13"/>
  <c r="H862" i="13" s="1"/>
  <c r="I862" i="13" s="1"/>
  <c r="J862" i="13" s="1"/>
  <c r="G861" i="13"/>
  <c r="H861" i="13" s="1"/>
  <c r="I861" i="13" s="1"/>
  <c r="J861" i="13" s="1"/>
  <c r="G860" i="13"/>
  <c r="H860" i="13" s="1"/>
  <c r="I860" i="13" s="1"/>
  <c r="J860" i="13" s="1"/>
  <c r="G859" i="13"/>
  <c r="H859" i="13" s="1"/>
  <c r="I859" i="13" s="1"/>
  <c r="J859" i="13" s="1"/>
  <c r="G858" i="13"/>
  <c r="H858" i="13" s="1"/>
  <c r="I858" i="13" s="1"/>
  <c r="J858" i="13" s="1"/>
  <c r="G857" i="13"/>
  <c r="H857" i="13" s="1"/>
  <c r="I857" i="13" s="1"/>
  <c r="J857" i="13" s="1"/>
  <c r="G856" i="13"/>
  <c r="H856" i="13" s="1"/>
  <c r="I856" i="13" s="1"/>
  <c r="J856" i="13" s="1"/>
  <c r="G855" i="13"/>
  <c r="H855" i="13" s="1"/>
  <c r="I855" i="13" s="1"/>
  <c r="J855" i="13" s="1"/>
  <c r="G854" i="13"/>
  <c r="H854" i="13" s="1"/>
  <c r="I854" i="13" s="1"/>
  <c r="J854" i="13" s="1"/>
  <c r="G853" i="13"/>
  <c r="H853" i="13" s="1"/>
  <c r="I853" i="13" s="1"/>
  <c r="J853" i="13" s="1"/>
  <c r="G852" i="13"/>
  <c r="H852" i="13" s="1"/>
  <c r="I852" i="13" s="1"/>
  <c r="J852" i="13" s="1"/>
  <c r="G851" i="13"/>
  <c r="H851" i="13" s="1"/>
  <c r="I851" i="13" s="1"/>
  <c r="J851" i="13" s="1"/>
  <c r="G850" i="13"/>
  <c r="H850" i="13" s="1"/>
  <c r="I850" i="13" s="1"/>
  <c r="J850" i="13" s="1"/>
  <c r="G849" i="13"/>
  <c r="H849" i="13" s="1"/>
  <c r="I849" i="13" s="1"/>
  <c r="J849" i="13" s="1"/>
  <c r="G848" i="13"/>
  <c r="H848" i="13" s="1"/>
  <c r="I848" i="13" s="1"/>
  <c r="J848" i="13" s="1"/>
  <c r="G847" i="13"/>
  <c r="H847" i="13" s="1"/>
  <c r="I847" i="13" s="1"/>
  <c r="J847" i="13" s="1"/>
  <c r="G846" i="13"/>
  <c r="H846" i="13" s="1"/>
  <c r="I846" i="13" s="1"/>
  <c r="J846" i="13" s="1"/>
  <c r="G845" i="13"/>
  <c r="H845" i="13" s="1"/>
  <c r="I845" i="13" s="1"/>
  <c r="J845" i="13" s="1"/>
  <c r="G844" i="13"/>
  <c r="H844" i="13" s="1"/>
  <c r="I844" i="13" s="1"/>
  <c r="J844" i="13" s="1"/>
  <c r="G843" i="13"/>
  <c r="H843" i="13" s="1"/>
  <c r="I843" i="13" s="1"/>
  <c r="J843" i="13" s="1"/>
  <c r="G842" i="13"/>
  <c r="H842" i="13" s="1"/>
  <c r="I842" i="13" s="1"/>
  <c r="J842" i="13" s="1"/>
  <c r="G841" i="13"/>
  <c r="H841" i="13" s="1"/>
  <c r="I841" i="13" s="1"/>
  <c r="J841" i="13" s="1"/>
  <c r="G840" i="13"/>
  <c r="H840" i="13" s="1"/>
  <c r="I840" i="13" s="1"/>
  <c r="J840" i="13" s="1"/>
  <c r="G839" i="13"/>
  <c r="H839" i="13" s="1"/>
  <c r="I839" i="13" s="1"/>
  <c r="J839" i="13" s="1"/>
  <c r="G838" i="13"/>
  <c r="H838" i="13" s="1"/>
  <c r="I838" i="13" s="1"/>
  <c r="J838" i="13" s="1"/>
  <c r="G837" i="13"/>
  <c r="H837" i="13" s="1"/>
  <c r="I837" i="13" s="1"/>
  <c r="J837" i="13" s="1"/>
  <c r="G836" i="13"/>
  <c r="H836" i="13" s="1"/>
  <c r="I836" i="13" s="1"/>
  <c r="J836" i="13" s="1"/>
  <c r="G835" i="13"/>
  <c r="H835" i="13" s="1"/>
  <c r="I835" i="13" s="1"/>
  <c r="J835" i="13" s="1"/>
  <c r="G834" i="13"/>
  <c r="H834" i="13" s="1"/>
  <c r="I834" i="13" s="1"/>
  <c r="J834" i="13" s="1"/>
  <c r="G833" i="13"/>
  <c r="H833" i="13" s="1"/>
  <c r="I833" i="13" s="1"/>
  <c r="J833" i="13" s="1"/>
  <c r="G832" i="13"/>
  <c r="H832" i="13" s="1"/>
  <c r="I832" i="13" s="1"/>
  <c r="J832" i="13" s="1"/>
  <c r="G831" i="13"/>
  <c r="H831" i="13" s="1"/>
  <c r="I831" i="13" s="1"/>
  <c r="J831" i="13" s="1"/>
  <c r="G830" i="13"/>
  <c r="H830" i="13" s="1"/>
  <c r="I830" i="13" s="1"/>
  <c r="J830" i="13" s="1"/>
  <c r="G829" i="13"/>
  <c r="H829" i="13" s="1"/>
  <c r="I829" i="13" s="1"/>
  <c r="J829" i="13" s="1"/>
  <c r="G828" i="13"/>
  <c r="H828" i="13" s="1"/>
  <c r="I828" i="13" s="1"/>
  <c r="J828" i="13" s="1"/>
  <c r="G827" i="13"/>
  <c r="H827" i="13" s="1"/>
  <c r="I827" i="13" s="1"/>
  <c r="J827" i="13" s="1"/>
  <c r="G826" i="13"/>
  <c r="H826" i="13" s="1"/>
  <c r="I826" i="13" s="1"/>
  <c r="J826" i="13" s="1"/>
  <c r="G825" i="13"/>
  <c r="H825" i="13" s="1"/>
  <c r="I825" i="13" s="1"/>
  <c r="J825" i="13" s="1"/>
  <c r="G824" i="13"/>
  <c r="H824" i="13" s="1"/>
  <c r="I824" i="13" s="1"/>
  <c r="J824" i="13" s="1"/>
  <c r="G823" i="13"/>
  <c r="H823" i="13" s="1"/>
  <c r="I823" i="13" s="1"/>
  <c r="J823" i="13" s="1"/>
  <c r="G822" i="13"/>
  <c r="H822" i="13" s="1"/>
  <c r="I822" i="13" s="1"/>
  <c r="J822" i="13" s="1"/>
  <c r="G821" i="13"/>
  <c r="H821" i="13" s="1"/>
  <c r="I821" i="13" s="1"/>
  <c r="J821" i="13" s="1"/>
  <c r="G820" i="13"/>
  <c r="H820" i="13" s="1"/>
  <c r="I820" i="13" s="1"/>
  <c r="J820" i="13" s="1"/>
  <c r="G819" i="13"/>
  <c r="H819" i="13" s="1"/>
  <c r="I819" i="13" s="1"/>
  <c r="J819" i="13" s="1"/>
  <c r="G818" i="13"/>
  <c r="H818" i="13" s="1"/>
  <c r="I818" i="13" s="1"/>
  <c r="J818" i="13" s="1"/>
  <c r="G817" i="13"/>
  <c r="H817" i="13" s="1"/>
  <c r="I817" i="13" s="1"/>
  <c r="J817" i="13" s="1"/>
  <c r="G816" i="13"/>
  <c r="H816" i="13" s="1"/>
  <c r="I816" i="13" s="1"/>
  <c r="J816" i="13" s="1"/>
  <c r="G815" i="13"/>
  <c r="H815" i="13" s="1"/>
  <c r="I815" i="13" s="1"/>
  <c r="J815" i="13" s="1"/>
  <c r="G814" i="13"/>
  <c r="H814" i="13" s="1"/>
  <c r="I814" i="13" s="1"/>
  <c r="J814" i="13" s="1"/>
  <c r="G813" i="13"/>
  <c r="H813" i="13" s="1"/>
  <c r="I813" i="13" s="1"/>
  <c r="J813" i="13" s="1"/>
  <c r="G812" i="13"/>
  <c r="H812" i="13" s="1"/>
  <c r="I812" i="13" s="1"/>
  <c r="J812" i="13" s="1"/>
  <c r="G811" i="13"/>
  <c r="H811" i="13" s="1"/>
  <c r="I811" i="13" s="1"/>
  <c r="J811" i="13" s="1"/>
  <c r="G810" i="13"/>
  <c r="H810" i="13" s="1"/>
  <c r="I810" i="13" s="1"/>
  <c r="J810" i="13" s="1"/>
  <c r="G809" i="13"/>
  <c r="H809" i="13" s="1"/>
  <c r="I809" i="13" s="1"/>
  <c r="J809" i="13" s="1"/>
  <c r="G808" i="13"/>
  <c r="H808" i="13" s="1"/>
  <c r="I808" i="13" s="1"/>
  <c r="J808" i="13" s="1"/>
  <c r="G807" i="13"/>
  <c r="H807" i="13" s="1"/>
  <c r="I807" i="13" s="1"/>
  <c r="J807" i="13" s="1"/>
  <c r="G806" i="13"/>
  <c r="H806" i="13" s="1"/>
  <c r="I806" i="13" s="1"/>
  <c r="J806" i="13" s="1"/>
  <c r="G805" i="13"/>
  <c r="H805" i="13" s="1"/>
  <c r="I805" i="13" s="1"/>
  <c r="J805" i="13" s="1"/>
  <c r="G804" i="13"/>
  <c r="H804" i="13" s="1"/>
  <c r="I804" i="13" s="1"/>
  <c r="J804" i="13" s="1"/>
  <c r="G803" i="13"/>
  <c r="H803" i="13" s="1"/>
  <c r="I803" i="13" s="1"/>
  <c r="J803" i="13" s="1"/>
  <c r="G802" i="13"/>
  <c r="H802" i="13" s="1"/>
  <c r="I802" i="13" s="1"/>
  <c r="J802" i="13" s="1"/>
  <c r="G801" i="13"/>
  <c r="H801" i="13" s="1"/>
  <c r="I801" i="13" s="1"/>
  <c r="J801" i="13" s="1"/>
  <c r="G800" i="13"/>
  <c r="H800" i="13" s="1"/>
  <c r="I800" i="13" s="1"/>
  <c r="J800" i="13" s="1"/>
  <c r="G799" i="13"/>
  <c r="H799" i="13" s="1"/>
  <c r="I799" i="13" s="1"/>
  <c r="J799" i="13" s="1"/>
  <c r="G798" i="13"/>
  <c r="H798" i="13" s="1"/>
  <c r="I798" i="13" s="1"/>
  <c r="J798" i="13" s="1"/>
  <c r="G797" i="13"/>
  <c r="H797" i="13" s="1"/>
  <c r="I797" i="13" s="1"/>
  <c r="J797" i="13" s="1"/>
  <c r="G796" i="13"/>
  <c r="H796" i="13" s="1"/>
  <c r="I796" i="13" s="1"/>
  <c r="J796" i="13" s="1"/>
  <c r="G795" i="13"/>
  <c r="H795" i="13" s="1"/>
  <c r="I795" i="13" s="1"/>
  <c r="J795" i="13" s="1"/>
  <c r="G794" i="13"/>
  <c r="H794" i="13" s="1"/>
  <c r="I794" i="13" s="1"/>
  <c r="J794" i="13" s="1"/>
  <c r="G793" i="13"/>
  <c r="H793" i="13" s="1"/>
  <c r="I793" i="13" s="1"/>
  <c r="J793" i="13" s="1"/>
  <c r="G792" i="13"/>
  <c r="H792" i="13" s="1"/>
  <c r="I792" i="13" s="1"/>
  <c r="J792" i="13" s="1"/>
  <c r="G791" i="13"/>
  <c r="H791" i="13" s="1"/>
  <c r="I791" i="13" s="1"/>
  <c r="J791" i="13" s="1"/>
  <c r="G790" i="13"/>
  <c r="H790" i="13" s="1"/>
  <c r="I790" i="13" s="1"/>
  <c r="J790" i="13" s="1"/>
  <c r="G789" i="13"/>
  <c r="H789" i="13" s="1"/>
  <c r="I789" i="13" s="1"/>
  <c r="J789" i="13" s="1"/>
  <c r="G788" i="13"/>
  <c r="H788" i="13" s="1"/>
  <c r="I788" i="13" s="1"/>
  <c r="J788" i="13" s="1"/>
  <c r="G787" i="13"/>
  <c r="H787" i="13" s="1"/>
  <c r="I787" i="13" s="1"/>
  <c r="J787" i="13" s="1"/>
  <c r="G786" i="13"/>
  <c r="H786" i="13" s="1"/>
  <c r="I786" i="13" s="1"/>
  <c r="J786" i="13" s="1"/>
  <c r="G785" i="13"/>
  <c r="H785" i="13" s="1"/>
  <c r="I785" i="13" s="1"/>
  <c r="J785" i="13" s="1"/>
  <c r="G784" i="13"/>
  <c r="H784" i="13" s="1"/>
  <c r="I784" i="13" s="1"/>
  <c r="J784" i="13" s="1"/>
  <c r="G783" i="13"/>
  <c r="H783" i="13" s="1"/>
  <c r="I783" i="13" s="1"/>
  <c r="J783" i="13" s="1"/>
  <c r="G782" i="13"/>
  <c r="H782" i="13" s="1"/>
  <c r="I782" i="13" s="1"/>
  <c r="J782" i="13" s="1"/>
  <c r="G781" i="13"/>
  <c r="H781" i="13" s="1"/>
  <c r="I781" i="13" s="1"/>
  <c r="J781" i="13" s="1"/>
  <c r="G780" i="13"/>
  <c r="H780" i="13" s="1"/>
  <c r="I780" i="13" s="1"/>
  <c r="J780" i="13" s="1"/>
  <c r="G779" i="13"/>
  <c r="H779" i="13" s="1"/>
  <c r="I779" i="13" s="1"/>
  <c r="J779" i="13" s="1"/>
  <c r="G778" i="13"/>
  <c r="H778" i="13" s="1"/>
  <c r="I778" i="13" s="1"/>
  <c r="J778" i="13" s="1"/>
  <c r="G777" i="13"/>
  <c r="H777" i="13" s="1"/>
  <c r="I777" i="13" s="1"/>
  <c r="J777" i="13" s="1"/>
  <c r="G776" i="13"/>
  <c r="H776" i="13" s="1"/>
  <c r="I776" i="13" s="1"/>
  <c r="J776" i="13" s="1"/>
  <c r="G775" i="13"/>
  <c r="H775" i="13" s="1"/>
  <c r="I775" i="13" s="1"/>
  <c r="J775" i="13" s="1"/>
  <c r="G774" i="13"/>
  <c r="H774" i="13" s="1"/>
  <c r="I774" i="13" s="1"/>
  <c r="J774" i="13" s="1"/>
  <c r="G773" i="13"/>
  <c r="H773" i="13" s="1"/>
  <c r="I773" i="13" s="1"/>
  <c r="J773" i="13" s="1"/>
  <c r="G772" i="13"/>
  <c r="H772" i="13" s="1"/>
  <c r="I772" i="13" s="1"/>
  <c r="J772" i="13" s="1"/>
  <c r="G771" i="13"/>
  <c r="H771" i="13" s="1"/>
  <c r="I771" i="13" s="1"/>
  <c r="J771" i="13" s="1"/>
  <c r="G770" i="13"/>
  <c r="H770" i="13" s="1"/>
  <c r="I770" i="13" s="1"/>
  <c r="J770" i="13" s="1"/>
  <c r="G769" i="13"/>
  <c r="H769" i="13" s="1"/>
  <c r="I769" i="13" s="1"/>
  <c r="J769" i="13" s="1"/>
  <c r="G768" i="13"/>
  <c r="H768" i="13" s="1"/>
  <c r="I768" i="13" s="1"/>
  <c r="J768" i="13" s="1"/>
  <c r="G767" i="13"/>
  <c r="H767" i="13" s="1"/>
  <c r="I767" i="13" s="1"/>
  <c r="J767" i="13" s="1"/>
  <c r="G766" i="13"/>
  <c r="H766" i="13" s="1"/>
  <c r="I766" i="13" s="1"/>
  <c r="J766" i="13" s="1"/>
  <c r="G765" i="13"/>
  <c r="H765" i="13" s="1"/>
  <c r="I765" i="13" s="1"/>
  <c r="J765" i="13" s="1"/>
  <c r="G764" i="13"/>
  <c r="H764" i="13" s="1"/>
  <c r="I764" i="13" s="1"/>
  <c r="J764" i="13" s="1"/>
  <c r="G763" i="13"/>
  <c r="H763" i="13" s="1"/>
  <c r="I763" i="13" s="1"/>
  <c r="J763" i="13" s="1"/>
  <c r="G762" i="13"/>
  <c r="H762" i="13" s="1"/>
  <c r="I762" i="13" s="1"/>
  <c r="J762" i="13" s="1"/>
  <c r="G761" i="13"/>
  <c r="H761" i="13" s="1"/>
  <c r="I761" i="13" s="1"/>
  <c r="J761" i="13" s="1"/>
  <c r="G760" i="13"/>
  <c r="H760" i="13" s="1"/>
  <c r="I760" i="13" s="1"/>
  <c r="J760" i="13" s="1"/>
  <c r="G759" i="13"/>
  <c r="H759" i="13" s="1"/>
  <c r="I759" i="13" s="1"/>
  <c r="J759" i="13" s="1"/>
  <c r="G758" i="13"/>
  <c r="H758" i="13" s="1"/>
  <c r="I758" i="13" s="1"/>
  <c r="J758" i="13" s="1"/>
  <c r="G757" i="13"/>
  <c r="H757" i="13" s="1"/>
  <c r="I757" i="13" s="1"/>
  <c r="J757" i="13" s="1"/>
  <c r="G756" i="13"/>
  <c r="H756" i="13" s="1"/>
  <c r="I756" i="13" s="1"/>
  <c r="J756" i="13" s="1"/>
  <c r="G755" i="13"/>
  <c r="H755" i="13" s="1"/>
  <c r="I755" i="13" s="1"/>
  <c r="J755" i="13" s="1"/>
  <c r="G754" i="13"/>
  <c r="H754" i="13" s="1"/>
  <c r="I754" i="13" s="1"/>
  <c r="J754" i="13" s="1"/>
  <c r="G753" i="13"/>
  <c r="H753" i="13" s="1"/>
  <c r="I753" i="13" s="1"/>
  <c r="J753" i="13" s="1"/>
  <c r="G752" i="13"/>
  <c r="H752" i="13" s="1"/>
  <c r="I752" i="13" s="1"/>
  <c r="J752" i="13" s="1"/>
  <c r="G751" i="13"/>
  <c r="H751" i="13" s="1"/>
  <c r="I751" i="13" s="1"/>
  <c r="J751" i="13" s="1"/>
  <c r="G750" i="13"/>
  <c r="H750" i="13" s="1"/>
  <c r="I750" i="13" s="1"/>
  <c r="J750" i="13" s="1"/>
  <c r="G749" i="13"/>
  <c r="H749" i="13" s="1"/>
  <c r="I749" i="13" s="1"/>
  <c r="J749" i="13" s="1"/>
  <c r="G748" i="13"/>
  <c r="H748" i="13" s="1"/>
  <c r="I748" i="13" s="1"/>
  <c r="J748" i="13" s="1"/>
  <c r="G747" i="13"/>
  <c r="H747" i="13" s="1"/>
  <c r="I747" i="13" s="1"/>
  <c r="J747" i="13" s="1"/>
  <c r="G746" i="13"/>
  <c r="H746" i="13" s="1"/>
  <c r="I746" i="13" s="1"/>
  <c r="J746" i="13" s="1"/>
  <c r="G745" i="13"/>
  <c r="H745" i="13" s="1"/>
  <c r="I745" i="13" s="1"/>
  <c r="J745" i="13" s="1"/>
  <c r="G744" i="13"/>
  <c r="H744" i="13" s="1"/>
  <c r="I744" i="13" s="1"/>
  <c r="J744" i="13" s="1"/>
  <c r="G743" i="13"/>
  <c r="H743" i="13" s="1"/>
  <c r="I743" i="13" s="1"/>
  <c r="J743" i="13" s="1"/>
  <c r="G742" i="13"/>
  <c r="H742" i="13" s="1"/>
  <c r="I742" i="13" s="1"/>
  <c r="J742" i="13" s="1"/>
  <c r="G741" i="13"/>
  <c r="H741" i="13" s="1"/>
  <c r="I741" i="13" s="1"/>
  <c r="J741" i="13" s="1"/>
  <c r="G740" i="13"/>
  <c r="H740" i="13" s="1"/>
  <c r="I740" i="13" s="1"/>
  <c r="J740" i="13" s="1"/>
  <c r="G739" i="13"/>
  <c r="H739" i="13" s="1"/>
  <c r="I739" i="13" s="1"/>
  <c r="J739" i="13" s="1"/>
  <c r="G738" i="13"/>
  <c r="H738" i="13" s="1"/>
  <c r="I738" i="13" s="1"/>
  <c r="J738" i="13" s="1"/>
  <c r="G737" i="13"/>
  <c r="H737" i="13" s="1"/>
  <c r="I737" i="13" s="1"/>
  <c r="J737" i="13" s="1"/>
  <c r="G736" i="13"/>
  <c r="H736" i="13" s="1"/>
  <c r="I736" i="13" s="1"/>
  <c r="J736" i="13" s="1"/>
  <c r="G735" i="13"/>
  <c r="H735" i="13" s="1"/>
  <c r="I735" i="13" s="1"/>
  <c r="J735" i="13" s="1"/>
  <c r="G734" i="13"/>
  <c r="H734" i="13" s="1"/>
  <c r="I734" i="13" s="1"/>
  <c r="J734" i="13" s="1"/>
  <c r="G733" i="13"/>
  <c r="H733" i="13" s="1"/>
  <c r="I733" i="13" s="1"/>
  <c r="J733" i="13" s="1"/>
  <c r="G732" i="13"/>
  <c r="H732" i="13" s="1"/>
  <c r="I732" i="13" s="1"/>
  <c r="J732" i="13" s="1"/>
  <c r="G731" i="13"/>
  <c r="H731" i="13" s="1"/>
  <c r="I731" i="13" s="1"/>
  <c r="J731" i="13" s="1"/>
  <c r="G730" i="13"/>
  <c r="H730" i="13" s="1"/>
  <c r="I730" i="13" s="1"/>
  <c r="J730" i="13" s="1"/>
  <c r="G729" i="13"/>
  <c r="H729" i="13" s="1"/>
  <c r="I729" i="13" s="1"/>
  <c r="J729" i="13" s="1"/>
  <c r="G728" i="13"/>
  <c r="H728" i="13" s="1"/>
  <c r="I728" i="13" s="1"/>
  <c r="J728" i="13" s="1"/>
  <c r="G727" i="13"/>
  <c r="H727" i="13" s="1"/>
  <c r="I727" i="13" s="1"/>
  <c r="J727" i="13" s="1"/>
  <c r="G726" i="13"/>
  <c r="H726" i="13" s="1"/>
  <c r="I726" i="13" s="1"/>
  <c r="J726" i="13" s="1"/>
  <c r="G725" i="13"/>
  <c r="H725" i="13" s="1"/>
  <c r="I725" i="13" s="1"/>
  <c r="J725" i="13" s="1"/>
  <c r="G724" i="13"/>
  <c r="H724" i="13" s="1"/>
  <c r="I724" i="13" s="1"/>
  <c r="J724" i="13" s="1"/>
  <c r="G723" i="13"/>
  <c r="H723" i="13" s="1"/>
  <c r="I723" i="13" s="1"/>
  <c r="J723" i="13" s="1"/>
  <c r="G722" i="13"/>
  <c r="H722" i="13" s="1"/>
  <c r="I722" i="13" s="1"/>
  <c r="J722" i="13" s="1"/>
  <c r="G721" i="13"/>
  <c r="H721" i="13" s="1"/>
  <c r="I721" i="13" s="1"/>
  <c r="J721" i="13" s="1"/>
  <c r="G720" i="13"/>
  <c r="H720" i="13" s="1"/>
  <c r="I720" i="13" s="1"/>
  <c r="J720" i="13" s="1"/>
  <c r="G719" i="13"/>
  <c r="H719" i="13" s="1"/>
  <c r="I719" i="13" s="1"/>
  <c r="J719" i="13" s="1"/>
  <c r="G718" i="13"/>
  <c r="H718" i="13" s="1"/>
  <c r="I718" i="13" s="1"/>
  <c r="J718" i="13" s="1"/>
  <c r="G717" i="13"/>
  <c r="H717" i="13" s="1"/>
  <c r="I717" i="13" s="1"/>
  <c r="J717" i="13" s="1"/>
  <c r="G716" i="13"/>
  <c r="H716" i="13" s="1"/>
  <c r="I716" i="13" s="1"/>
  <c r="J716" i="13" s="1"/>
  <c r="G715" i="13"/>
  <c r="H715" i="13" s="1"/>
  <c r="I715" i="13" s="1"/>
  <c r="J715" i="13" s="1"/>
  <c r="G714" i="13"/>
  <c r="H714" i="13" s="1"/>
  <c r="I714" i="13" s="1"/>
  <c r="J714" i="13" s="1"/>
  <c r="G713" i="13"/>
  <c r="H713" i="13" s="1"/>
  <c r="I713" i="13" s="1"/>
  <c r="J713" i="13" s="1"/>
  <c r="G712" i="13"/>
  <c r="H712" i="13" s="1"/>
  <c r="I712" i="13" s="1"/>
  <c r="J712" i="13" s="1"/>
  <c r="G711" i="13"/>
  <c r="H711" i="13" s="1"/>
  <c r="I711" i="13" s="1"/>
  <c r="J711" i="13" s="1"/>
  <c r="G710" i="13"/>
  <c r="H710" i="13" s="1"/>
  <c r="I710" i="13" s="1"/>
  <c r="J710" i="13" s="1"/>
  <c r="G709" i="13"/>
  <c r="H709" i="13" s="1"/>
  <c r="I709" i="13" s="1"/>
  <c r="J709" i="13" s="1"/>
  <c r="G708" i="13"/>
  <c r="H708" i="13" s="1"/>
  <c r="I708" i="13" s="1"/>
  <c r="J708" i="13" s="1"/>
  <c r="G707" i="13"/>
  <c r="H707" i="13" s="1"/>
  <c r="I707" i="13" s="1"/>
  <c r="J707" i="13" s="1"/>
  <c r="G706" i="13"/>
  <c r="H706" i="13" s="1"/>
  <c r="I706" i="13" s="1"/>
  <c r="J706" i="13" s="1"/>
  <c r="G705" i="13"/>
  <c r="H705" i="13" s="1"/>
  <c r="I705" i="13" s="1"/>
  <c r="J705" i="13" s="1"/>
  <c r="G704" i="13"/>
  <c r="H704" i="13" s="1"/>
  <c r="I704" i="13" s="1"/>
  <c r="J704" i="13" s="1"/>
  <c r="G703" i="13"/>
  <c r="H703" i="13" s="1"/>
  <c r="I703" i="13" s="1"/>
  <c r="J703" i="13" s="1"/>
  <c r="G702" i="13"/>
  <c r="H702" i="13" s="1"/>
  <c r="I702" i="13" s="1"/>
  <c r="J702" i="13" s="1"/>
  <c r="G701" i="13"/>
  <c r="H701" i="13" s="1"/>
  <c r="I701" i="13" s="1"/>
  <c r="J701" i="13" s="1"/>
  <c r="G700" i="13"/>
  <c r="H700" i="13" s="1"/>
  <c r="I700" i="13" s="1"/>
  <c r="J700" i="13" s="1"/>
  <c r="G699" i="13"/>
  <c r="H699" i="13" s="1"/>
  <c r="I699" i="13" s="1"/>
  <c r="J699" i="13" s="1"/>
  <c r="G698" i="13"/>
  <c r="H698" i="13" s="1"/>
  <c r="I698" i="13" s="1"/>
  <c r="J698" i="13" s="1"/>
  <c r="G697" i="13"/>
  <c r="H697" i="13" s="1"/>
  <c r="I697" i="13" s="1"/>
  <c r="J697" i="13" s="1"/>
  <c r="G696" i="13"/>
  <c r="H696" i="13" s="1"/>
  <c r="I696" i="13" s="1"/>
  <c r="J696" i="13" s="1"/>
  <c r="G695" i="13"/>
  <c r="H695" i="13" s="1"/>
  <c r="I695" i="13" s="1"/>
  <c r="J695" i="13" s="1"/>
  <c r="G694" i="13"/>
  <c r="H694" i="13" s="1"/>
  <c r="I694" i="13" s="1"/>
  <c r="J694" i="13" s="1"/>
  <c r="G693" i="13"/>
  <c r="H693" i="13" s="1"/>
  <c r="I693" i="13" s="1"/>
  <c r="J693" i="13" s="1"/>
  <c r="G692" i="13"/>
  <c r="H692" i="13" s="1"/>
  <c r="I692" i="13" s="1"/>
  <c r="J692" i="13" s="1"/>
  <c r="G691" i="13"/>
  <c r="H691" i="13" s="1"/>
  <c r="I691" i="13" s="1"/>
  <c r="J691" i="13" s="1"/>
  <c r="G690" i="13"/>
  <c r="H690" i="13" s="1"/>
  <c r="I690" i="13" s="1"/>
  <c r="J690" i="13" s="1"/>
  <c r="G689" i="13"/>
  <c r="H689" i="13" s="1"/>
  <c r="I689" i="13" s="1"/>
  <c r="J689" i="13" s="1"/>
  <c r="G688" i="13"/>
  <c r="H688" i="13" s="1"/>
  <c r="I688" i="13" s="1"/>
  <c r="J688" i="13" s="1"/>
  <c r="G687" i="13"/>
  <c r="H687" i="13" s="1"/>
  <c r="I687" i="13" s="1"/>
  <c r="J687" i="13" s="1"/>
  <c r="G686" i="13"/>
  <c r="H686" i="13" s="1"/>
  <c r="I686" i="13" s="1"/>
  <c r="J686" i="13" s="1"/>
  <c r="G685" i="13"/>
  <c r="H685" i="13" s="1"/>
  <c r="I685" i="13" s="1"/>
  <c r="J685" i="13" s="1"/>
  <c r="G684" i="13"/>
  <c r="H684" i="13" s="1"/>
  <c r="I684" i="13" s="1"/>
  <c r="J684" i="13" s="1"/>
  <c r="G683" i="13"/>
  <c r="H683" i="13" s="1"/>
  <c r="I683" i="13" s="1"/>
  <c r="J683" i="13" s="1"/>
  <c r="G682" i="13"/>
  <c r="H682" i="13" s="1"/>
  <c r="I682" i="13" s="1"/>
  <c r="J682" i="13" s="1"/>
  <c r="G681" i="13"/>
  <c r="H681" i="13" s="1"/>
  <c r="I681" i="13" s="1"/>
  <c r="J681" i="13" s="1"/>
  <c r="G680" i="13"/>
  <c r="H680" i="13" s="1"/>
  <c r="I680" i="13" s="1"/>
  <c r="J680" i="13" s="1"/>
  <c r="G679" i="13"/>
  <c r="H679" i="13" s="1"/>
  <c r="I679" i="13" s="1"/>
  <c r="J679" i="13" s="1"/>
  <c r="G678" i="13"/>
  <c r="H678" i="13" s="1"/>
  <c r="I678" i="13" s="1"/>
  <c r="J678" i="13" s="1"/>
  <c r="G677" i="13"/>
  <c r="H677" i="13" s="1"/>
  <c r="I677" i="13" s="1"/>
  <c r="J677" i="13" s="1"/>
  <c r="G676" i="13"/>
  <c r="H676" i="13" s="1"/>
  <c r="I676" i="13" s="1"/>
  <c r="J676" i="13" s="1"/>
  <c r="G675" i="13"/>
  <c r="H675" i="13" s="1"/>
  <c r="I675" i="13" s="1"/>
  <c r="J675" i="13" s="1"/>
  <c r="G674" i="13"/>
  <c r="H674" i="13" s="1"/>
  <c r="I674" i="13" s="1"/>
  <c r="J674" i="13" s="1"/>
  <c r="G673" i="13"/>
  <c r="H673" i="13" s="1"/>
  <c r="I673" i="13" s="1"/>
  <c r="J673" i="13" s="1"/>
  <c r="G672" i="13"/>
  <c r="H672" i="13" s="1"/>
  <c r="I672" i="13" s="1"/>
  <c r="J672" i="13" s="1"/>
  <c r="G671" i="13"/>
  <c r="H671" i="13" s="1"/>
  <c r="I671" i="13" s="1"/>
  <c r="J671" i="13" s="1"/>
  <c r="G670" i="13"/>
  <c r="H670" i="13" s="1"/>
  <c r="I670" i="13" s="1"/>
  <c r="J670" i="13" s="1"/>
  <c r="G669" i="13"/>
  <c r="H669" i="13" s="1"/>
  <c r="I669" i="13" s="1"/>
  <c r="J669" i="13" s="1"/>
  <c r="G668" i="13"/>
  <c r="H668" i="13" s="1"/>
  <c r="I668" i="13" s="1"/>
  <c r="J668" i="13" s="1"/>
  <c r="G667" i="13"/>
  <c r="H667" i="13" s="1"/>
  <c r="I667" i="13" s="1"/>
  <c r="J667" i="13" s="1"/>
  <c r="G666" i="13"/>
  <c r="H666" i="13" s="1"/>
  <c r="I666" i="13" s="1"/>
  <c r="J666" i="13" s="1"/>
  <c r="G665" i="13"/>
  <c r="H665" i="13" s="1"/>
  <c r="I665" i="13" s="1"/>
  <c r="J665" i="13" s="1"/>
  <c r="G664" i="13"/>
  <c r="H664" i="13" s="1"/>
  <c r="I664" i="13" s="1"/>
  <c r="J664" i="13" s="1"/>
  <c r="G663" i="13"/>
  <c r="H663" i="13" s="1"/>
  <c r="I663" i="13" s="1"/>
  <c r="J663" i="13" s="1"/>
  <c r="G662" i="13"/>
  <c r="H662" i="13" s="1"/>
  <c r="I662" i="13" s="1"/>
  <c r="J662" i="13" s="1"/>
  <c r="G661" i="13"/>
  <c r="H661" i="13" s="1"/>
  <c r="I661" i="13" s="1"/>
  <c r="J661" i="13" s="1"/>
  <c r="G660" i="13"/>
  <c r="H660" i="13" s="1"/>
  <c r="I660" i="13" s="1"/>
  <c r="J660" i="13" s="1"/>
  <c r="G659" i="13"/>
  <c r="H659" i="13" s="1"/>
  <c r="I659" i="13" s="1"/>
  <c r="J659" i="13" s="1"/>
  <c r="G658" i="13"/>
  <c r="H658" i="13" s="1"/>
  <c r="I658" i="13" s="1"/>
  <c r="J658" i="13" s="1"/>
  <c r="G657" i="13"/>
  <c r="H657" i="13" s="1"/>
  <c r="I657" i="13" s="1"/>
  <c r="J657" i="13" s="1"/>
  <c r="G656" i="13"/>
  <c r="H656" i="13" s="1"/>
  <c r="I656" i="13" s="1"/>
  <c r="J656" i="13" s="1"/>
  <c r="G655" i="13"/>
  <c r="H655" i="13" s="1"/>
  <c r="I655" i="13" s="1"/>
  <c r="J655" i="13" s="1"/>
  <c r="G654" i="13"/>
  <c r="H654" i="13" s="1"/>
  <c r="I654" i="13" s="1"/>
  <c r="J654" i="13" s="1"/>
  <c r="G653" i="13"/>
  <c r="H653" i="13" s="1"/>
  <c r="I653" i="13" s="1"/>
  <c r="J653" i="13" s="1"/>
  <c r="G652" i="13"/>
  <c r="H652" i="13" s="1"/>
  <c r="I652" i="13" s="1"/>
  <c r="J652" i="13" s="1"/>
  <c r="G651" i="13"/>
  <c r="H651" i="13" s="1"/>
  <c r="I651" i="13" s="1"/>
  <c r="J651" i="13" s="1"/>
  <c r="G650" i="13"/>
  <c r="H650" i="13" s="1"/>
  <c r="I650" i="13" s="1"/>
  <c r="J650" i="13" s="1"/>
  <c r="G649" i="13"/>
  <c r="H649" i="13" s="1"/>
  <c r="I649" i="13" s="1"/>
  <c r="J649" i="13" s="1"/>
  <c r="G648" i="13"/>
  <c r="H648" i="13" s="1"/>
  <c r="I648" i="13" s="1"/>
  <c r="J648" i="13" s="1"/>
  <c r="G647" i="13"/>
  <c r="H647" i="13" s="1"/>
  <c r="I647" i="13" s="1"/>
  <c r="J647" i="13" s="1"/>
  <c r="G646" i="13"/>
  <c r="H646" i="13" s="1"/>
  <c r="I646" i="13" s="1"/>
  <c r="J646" i="13" s="1"/>
  <c r="G645" i="13"/>
  <c r="H645" i="13" s="1"/>
  <c r="I645" i="13" s="1"/>
  <c r="J645" i="13" s="1"/>
  <c r="G644" i="13"/>
  <c r="H644" i="13" s="1"/>
  <c r="I644" i="13" s="1"/>
  <c r="J644" i="13" s="1"/>
  <c r="G643" i="13"/>
  <c r="H643" i="13" s="1"/>
  <c r="I643" i="13" s="1"/>
  <c r="J643" i="13" s="1"/>
  <c r="G642" i="13"/>
  <c r="H642" i="13" s="1"/>
  <c r="I642" i="13" s="1"/>
  <c r="J642" i="13" s="1"/>
  <c r="G641" i="13"/>
  <c r="H641" i="13" s="1"/>
  <c r="I641" i="13" s="1"/>
  <c r="J641" i="13" s="1"/>
  <c r="G640" i="13"/>
  <c r="H640" i="13" s="1"/>
  <c r="I640" i="13" s="1"/>
  <c r="J640" i="13" s="1"/>
  <c r="G639" i="13"/>
  <c r="H639" i="13" s="1"/>
  <c r="I639" i="13" s="1"/>
  <c r="J639" i="13" s="1"/>
  <c r="G638" i="13"/>
  <c r="H638" i="13" s="1"/>
  <c r="I638" i="13" s="1"/>
  <c r="J638" i="13" s="1"/>
  <c r="G637" i="13"/>
  <c r="H637" i="13" s="1"/>
  <c r="I637" i="13" s="1"/>
  <c r="J637" i="13" s="1"/>
  <c r="G636" i="13"/>
  <c r="H636" i="13" s="1"/>
  <c r="I636" i="13" s="1"/>
  <c r="J636" i="13" s="1"/>
  <c r="G635" i="13"/>
  <c r="H635" i="13" s="1"/>
  <c r="I635" i="13" s="1"/>
  <c r="J635" i="13" s="1"/>
  <c r="G634" i="13"/>
  <c r="H634" i="13" s="1"/>
  <c r="I634" i="13" s="1"/>
  <c r="J634" i="13" s="1"/>
  <c r="G633" i="13"/>
  <c r="H633" i="13" s="1"/>
  <c r="I633" i="13" s="1"/>
  <c r="J633" i="13" s="1"/>
  <c r="G632" i="13"/>
  <c r="H632" i="13" s="1"/>
  <c r="I632" i="13" s="1"/>
  <c r="J632" i="13" s="1"/>
  <c r="G631" i="13"/>
  <c r="H631" i="13" s="1"/>
  <c r="I631" i="13" s="1"/>
  <c r="J631" i="13" s="1"/>
  <c r="G630" i="13"/>
  <c r="H630" i="13" s="1"/>
  <c r="I630" i="13" s="1"/>
  <c r="J630" i="13" s="1"/>
  <c r="G629" i="13"/>
  <c r="H629" i="13" s="1"/>
  <c r="I629" i="13" s="1"/>
  <c r="J629" i="13" s="1"/>
  <c r="G628" i="13"/>
  <c r="H628" i="13" s="1"/>
  <c r="I628" i="13" s="1"/>
  <c r="J628" i="13" s="1"/>
  <c r="G627" i="13"/>
  <c r="H627" i="13" s="1"/>
  <c r="I627" i="13" s="1"/>
  <c r="J627" i="13" s="1"/>
  <c r="G626" i="13"/>
  <c r="H626" i="13" s="1"/>
  <c r="I626" i="13" s="1"/>
  <c r="J626" i="13" s="1"/>
  <c r="G625" i="13"/>
  <c r="H625" i="13" s="1"/>
  <c r="I625" i="13" s="1"/>
  <c r="J625" i="13" s="1"/>
  <c r="G624" i="13"/>
  <c r="H624" i="13" s="1"/>
  <c r="I624" i="13" s="1"/>
  <c r="J624" i="13" s="1"/>
  <c r="G623" i="13"/>
  <c r="H623" i="13" s="1"/>
  <c r="I623" i="13" s="1"/>
  <c r="J623" i="13" s="1"/>
  <c r="G622" i="13"/>
  <c r="H622" i="13" s="1"/>
  <c r="I622" i="13" s="1"/>
  <c r="J622" i="13" s="1"/>
  <c r="G621" i="13"/>
  <c r="H621" i="13" s="1"/>
  <c r="I621" i="13" s="1"/>
  <c r="J621" i="13" s="1"/>
  <c r="G620" i="13"/>
  <c r="H620" i="13" s="1"/>
  <c r="I620" i="13" s="1"/>
  <c r="J620" i="13" s="1"/>
  <c r="G619" i="13"/>
  <c r="H619" i="13" s="1"/>
  <c r="I619" i="13" s="1"/>
  <c r="J619" i="13" s="1"/>
  <c r="G618" i="13"/>
  <c r="H618" i="13" s="1"/>
  <c r="I618" i="13" s="1"/>
  <c r="J618" i="13" s="1"/>
  <c r="G617" i="13"/>
  <c r="H617" i="13" s="1"/>
  <c r="I617" i="13" s="1"/>
  <c r="J617" i="13" s="1"/>
  <c r="G616" i="13"/>
  <c r="H616" i="13" s="1"/>
  <c r="I616" i="13" s="1"/>
  <c r="J616" i="13" s="1"/>
  <c r="G615" i="13"/>
  <c r="H615" i="13" s="1"/>
  <c r="I615" i="13" s="1"/>
  <c r="J615" i="13" s="1"/>
  <c r="G614" i="13"/>
  <c r="H614" i="13" s="1"/>
  <c r="I614" i="13" s="1"/>
  <c r="J614" i="13" s="1"/>
  <c r="G613" i="13"/>
  <c r="H613" i="13" s="1"/>
  <c r="I613" i="13" s="1"/>
  <c r="J613" i="13" s="1"/>
  <c r="G612" i="13"/>
  <c r="H612" i="13" s="1"/>
  <c r="I612" i="13" s="1"/>
  <c r="J612" i="13" s="1"/>
  <c r="G611" i="13"/>
  <c r="H611" i="13" s="1"/>
  <c r="I611" i="13" s="1"/>
  <c r="J611" i="13" s="1"/>
  <c r="G610" i="13"/>
  <c r="H610" i="13" s="1"/>
  <c r="I610" i="13" s="1"/>
  <c r="J610" i="13" s="1"/>
  <c r="G609" i="13"/>
  <c r="H609" i="13" s="1"/>
  <c r="I609" i="13" s="1"/>
  <c r="J609" i="13" s="1"/>
  <c r="G608" i="13"/>
  <c r="H608" i="13" s="1"/>
  <c r="I608" i="13" s="1"/>
  <c r="J608" i="13" s="1"/>
  <c r="G607" i="13"/>
  <c r="H607" i="13" s="1"/>
  <c r="I607" i="13" s="1"/>
  <c r="J607" i="13" s="1"/>
  <c r="G606" i="13"/>
  <c r="H606" i="13" s="1"/>
  <c r="I606" i="13" s="1"/>
  <c r="J606" i="13" s="1"/>
  <c r="G605" i="13"/>
  <c r="H605" i="13" s="1"/>
  <c r="I605" i="13" s="1"/>
  <c r="J605" i="13" s="1"/>
  <c r="G604" i="13"/>
  <c r="H604" i="13" s="1"/>
  <c r="I604" i="13" s="1"/>
  <c r="J604" i="13" s="1"/>
  <c r="G603" i="13"/>
  <c r="H603" i="13" s="1"/>
  <c r="I603" i="13" s="1"/>
  <c r="J603" i="13" s="1"/>
  <c r="G602" i="13"/>
  <c r="H602" i="13" s="1"/>
  <c r="I602" i="13" s="1"/>
  <c r="J602" i="13" s="1"/>
  <c r="G601" i="13"/>
  <c r="H601" i="13" s="1"/>
  <c r="I601" i="13" s="1"/>
  <c r="J601" i="13" s="1"/>
  <c r="G600" i="13"/>
  <c r="H600" i="13" s="1"/>
  <c r="I600" i="13" s="1"/>
  <c r="J600" i="13" s="1"/>
  <c r="G599" i="13"/>
  <c r="H599" i="13" s="1"/>
  <c r="I599" i="13" s="1"/>
  <c r="J599" i="13" s="1"/>
  <c r="G598" i="13"/>
  <c r="H598" i="13" s="1"/>
  <c r="I598" i="13" s="1"/>
  <c r="J598" i="13" s="1"/>
  <c r="G597" i="13"/>
  <c r="H597" i="13" s="1"/>
  <c r="I597" i="13" s="1"/>
  <c r="J597" i="13" s="1"/>
  <c r="G596" i="13"/>
  <c r="H596" i="13" s="1"/>
  <c r="I596" i="13" s="1"/>
  <c r="J596" i="13" s="1"/>
  <c r="G595" i="13"/>
  <c r="H595" i="13" s="1"/>
  <c r="I595" i="13" s="1"/>
  <c r="J595" i="13" s="1"/>
  <c r="G594" i="13"/>
  <c r="H594" i="13" s="1"/>
  <c r="I594" i="13" s="1"/>
  <c r="J594" i="13" s="1"/>
  <c r="G593" i="13"/>
  <c r="H593" i="13" s="1"/>
  <c r="I593" i="13" s="1"/>
  <c r="J593" i="13" s="1"/>
  <c r="G592" i="13"/>
  <c r="H592" i="13" s="1"/>
  <c r="I592" i="13" s="1"/>
  <c r="J592" i="13" s="1"/>
  <c r="G591" i="13"/>
  <c r="H591" i="13" s="1"/>
  <c r="I591" i="13" s="1"/>
  <c r="J591" i="13" s="1"/>
  <c r="G590" i="13"/>
  <c r="H590" i="13" s="1"/>
  <c r="I590" i="13" s="1"/>
  <c r="J590" i="13" s="1"/>
  <c r="G589" i="13"/>
  <c r="H589" i="13" s="1"/>
  <c r="I589" i="13" s="1"/>
  <c r="J589" i="13" s="1"/>
  <c r="G588" i="13"/>
  <c r="H588" i="13" s="1"/>
  <c r="I588" i="13" s="1"/>
  <c r="J588" i="13" s="1"/>
  <c r="G587" i="13"/>
  <c r="H587" i="13" s="1"/>
  <c r="I587" i="13" s="1"/>
  <c r="J587" i="13" s="1"/>
  <c r="G586" i="13"/>
  <c r="H586" i="13" s="1"/>
  <c r="I586" i="13" s="1"/>
  <c r="J586" i="13" s="1"/>
  <c r="G585" i="13"/>
  <c r="H585" i="13" s="1"/>
  <c r="I585" i="13" s="1"/>
  <c r="J585" i="13" s="1"/>
  <c r="G584" i="13"/>
  <c r="H584" i="13" s="1"/>
  <c r="I584" i="13" s="1"/>
  <c r="J584" i="13" s="1"/>
  <c r="G583" i="13"/>
  <c r="H583" i="13" s="1"/>
  <c r="I583" i="13" s="1"/>
  <c r="J583" i="13" s="1"/>
  <c r="G582" i="13"/>
  <c r="H582" i="13" s="1"/>
  <c r="I582" i="13" s="1"/>
  <c r="J582" i="13" s="1"/>
  <c r="G581" i="13"/>
  <c r="H581" i="13" s="1"/>
  <c r="I581" i="13" s="1"/>
  <c r="J581" i="13" s="1"/>
  <c r="G580" i="13"/>
  <c r="H580" i="13" s="1"/>
  <c r="I580" i="13" s="1"/>
  <c r="J580" i="13" s="1"/>
  <c r="G579" i="13"/>
  <c r="H579" i="13" s="1"/>
  <c r="I579" i="13" s="1"/>
  <c r="J579" i="13" s="1"/>
  <c r="G578" i="13"/>
  <c r="H578" i="13" s="1"/>
  <c r="I578" i="13" s="1"/>
  <c r="J578" i="13" s="1"/>
  <c r="G577" i="13"/>
  <c r="H577" i="13" s="1"/>
  <c r="I577" i="13" s="1"/>
  <c r="J577" i="13" s="1"/>
  <c r="G576" i="13"/>
  <c r="H576" i="13" s="1"/>
  <c r="I576" i="13" s="1"/>
  <c r="J576" i="13" s="1"/>
  <c r="G575" i="13"/>
  <c r="H575" i="13" s="1"/>
  <c r="I575" i="13" s="1"/>
  <c r="J575" i="13" s="1"/>
  <c r="G574" i="13"/>
  <c r="H574" i="13" s="1"/>
  <c r="I574" i="13" s="1"/>
  <c r="J574" i="13" s="1"/>
  <c r="G573" i="13"/>
  <c r="H573" i="13" s="1"/>
  <c r="I573" i="13" s="1"/>
  <c r="J573" i="13" s="1"/>
  <c r="G572" i="13"/>
  <c r="H572" i="13" s="1"/>
  <c r="I572" i="13" s="1"/>
  <c r="J572" i="13" s="1"/>
  <c r="G571" i="13"/>
  <c r="H571" i="13" s="1"/>
  <c r="I571" i="13" s="1"/>
  <c r="J571" i="13" s="1"/>
  <c r="G570" i="13"/>
  <c r="H570" i="13" s="1"/>
  <c r="I570" i="13" s="1"/>
  <c r="J570" i="13" s="1"/>
  <c r="G569" i="13"/>
  <c r="H569" i="13" s="1"/>
  <c r="I569" i="13" s="1"/>
  <c r="J569" i="13" s="1"/>
  <c r="G568" i="13"/>
  <c r="H568" i="13" s="1"/>
  <c r="I568" i="13" s="1"/>
  <c r="J568" i="13" s="1"/>
  <c r="G567" i="13"/>
  <c r="H567" i="13" s="1"/>
  <c r="I567" i="13" s="1"/>
  <c r="J567" i="13" s="1"/>
  <c r="G566" i="13"/>
  <c r="H566" i="13" s="1"/>
  <c r="I566" i="13" s="1"/>
  <c r="J566" i="13" s="1"/>
  <c r="G565" i="13"/>
  <c r="H565" i="13" s="1"/>
  <c r="I565" i="13" s="1"/>
  <c r="J565" i="13" s="1"/>
  <c r="G564" i="13"/>
  <c r="H564" i="13" s="1"/>
  <c r="I564" i="13" s="1"/>
  <c r="J564" i="13" s="1"/>
  <c r="G563" i="13"/>
  <c r="H563" i="13" s="1"/>
  <c r="I563" i="13" s="1"/>
  <c r="J563" i="13" s="1"/>
  <c r="G562" i="13"/>
  <c r="H562" i="13" s="1"/>
  <c r="I562" i="13" s="1"/>
  <c r="J562" i="13" s="1"/>
  <c r="G561" i="13"/>
  <c r="H561" i="13" s="1"/>
  <c r="I561" i="13" s="1"/>
  <c r="J561" i="13" s="1"/>
  <c r="G560" i="13"/>
  <c r="H560" i="13" s="1"/>
  <c r="I560" i="13" s="1"/>
  <c r="J560" i="13" s="1"/>
  <c r="G559" i="13"/>
  <c r="H559" i="13" s="1"/>
  <c r="I559" i="13" s="1"/>
  <c r="J559" i="13" s="1"/>
  <c r="G558" i="13"/>
  <c r="H558" i="13" s="1"/>
  <c r="I558" i="13" s="1"/>
  <c r="J558" i="13" s="1"/>
  <c r="G557" i="13"/>
  <c r="H557" i="13" s="1"/>
  <c r="I557" i="13" s="1"/>
  <c r="J557" i="13" s="1"/>
  <c r="G556" i="13"/>
  <c r="H556" i="13" s="1"/>
  <c r="I556" i="13" s="1"/>
  <c r="J556" i="13" s="1"/>
  <c r="G555" i="13"/>
  <c r="H555" i="13" s="1"/>
  <c r="I555" i="13" s="1"/>
  <c r="J555" i="13" s="1"/>
  <c r="G554" i="13"/>
  <c r="H554" i="13" s="1"/>
  <c r="I554" i="13" s="1"/>
  <c r="J554" i="13" s="1"/>
  <c r="G553" i="13"/>
  <c r="H553" i="13" s="1"/>
  <c r="I553" i="13" s="1"/>
  <c r="J553" i="13" s="1"/>
  <c r="G552" i="13"/>
  <c r="H552" i="13" s="1"/>
  <c r="I552" i="13" s="1"/>
  <c r="J552" i="13" s="1"/>
  <c r="G551" i="13"/>
  <c r="H551" i="13" s="1"/>
  <c r="I551" i="13" s="1"/>
  <c r="J551" i="13" s="1"/>
  <c r="G550" i="13"/>
  <c r="H550" i="13" s="1"/>
  <c r="I550" i="13" s="1"/>
  <c r="J550" i="13" s="1"/>
  <c r="G549" i="13"/>
  <c r="H549" i="13" s="1"/>
  <c r="I549" i="13" s="1"/>
  <c r="J549" i="13" s="1"/>
  <c r="G548" i="13"/>
  <c r="H548" i="13" s="1"/>
  <c r="I548" i="13" s="1"/>
  <c r="J548" i="13" s="1"/>
  <c r="G547" i="13"/>
  <c r="H547" i="13" s="1"/>
  <c r="I547" i="13" s="1"/>
  <c r="J547" i="13" s="1"/>
  <c r="G546" i="13"/>
  <c r="H546" i="13" s="1"/>
  <c r="I546" i="13" s="1"/>
  <c r="J546" i="13" s="1"/>
  <c r="G545" i="13"/>
  <c r="H545" i="13" s="1"/>
  <c r="I545" i="13" s="1"/>
  <c r="J545" i="13" s="1"/>
  <c r="G544" i="13"/>
  <c r="H544" i="13" s="1"/>
  <c r="I544" i="13" s="1"/>
  <c r="J544" i="13" s="1"/>
  <c r="G543" i="13"/>
  <c r="H543" i="13" s="1"/>
  <c r="I543" i="13" s="1"/>
  <c r="J543" i="13" s="1"/>
  <c r="G542" i="13"/>
  <c r="H542" i="13" s="1"/>
  <c r="I542" i="13" s="1"/>
  <c r="J542" i="13" s="1"/>
  <c r="G541" i="13"/>
  <c r="H541" i="13" s="1"/>
  <c r="I541" i="13" s="1"/>
  <c r="J541" i="13" s="1"/>
  <c r="G540" i="13"/>
  <c r="H540" i="13" s="1"/>
  <c r="I540" i="13" s="1"/>
  <c r="J540" i="13" s="1"/>
  <c r="G539" i="13"/>
  <c r="H539" i="13" s="1"/>
  <c r="I539" i="13" s="1"/>
  <c r="J539" i="13" s="1"/>
  <c r="G538" i="13"/>
  <c r="H538" i="13" s="1"/>
  <c r="I538" i="13" s="1"/>
  <c r="J538" i="13" s="1"/>
  <c r="G537" i="13"/>
  <c r="H537" i="13" s="1"/>
  <c r="I537" i="13" s="1"/>
  <c r="J537" i="13" s="1"/>
  <c r="G536" i="13"/>
  <c r="H536" i="13" s="1"/>
  <c r="I536" i="13" s="1"/>
  <c r="J536" i="13" s="1"/>
  <c r="G535" i="13"/>
  <c r="H535" i="13" s="1"/>
  <c r="I535" i="13" s="1"/>
  <c r="J535" i="13" s="1"/>
  <c r="G534" i="13"/>
  <c r="H534" i="13" s="1"/>
  <c r="I534" i="13" s="1"/>
  <c r="J534" i="13" s="1"/>
  <c r="G533" i="13"/>
  <c r="H533" i="13" s="1"/>
  <c r="I533" i="13" s="1"/>
  <c r="J533" i="13" s="1"/>
  <c r="G532" i="13"/>
  <c r="H532" i="13" s="1"/>
  <c r="I532" i="13" s="1"/>
  <c r="J532" i="13" s="1"/>
  <c r="G531" i="13"/>
  <c r="H531" i="13" s="1"/>
  <c r="I531" i="13" s="1"/>
  <c r="J531" i="13" s="1"/>
  <c r="G530" i="13"/>
  <c r="H530" i="13" s="1"/>
  <c r="I530" i="13" s="1"/>
  <c r="J530" i="13" s="1"/>
  <c r="G529" i="13"/>
  <c r="H529" i="13" s="1"/>
  <c r="I529" i="13" s="1"/>
  <c r="J529" i="13" s="1"/>
  <c r="G528" i="13"/>
  <c r="H528" i="13" s="1"/>
  <c r="I528" i="13" s="1"/>
  <c r="J528" i="13" s="1"/>
  <c r="G527" i="13"/>
  <c r="H527" i="13" s="1"/>
  <c r="I527" i="13" s="1"/>
  <c r="J527" i="13" s="1"/>
  <c r="G526" i="13"/>
  <c r="H526" i="13" s="1"/>
  <c r="I526" i="13" s="1"/>
  <c r="J526" i="13" s="1"/>
  <c r="G525" i="13"/>
  <c r="H525" i="13" s="1"/>
  <c r="I525" i="13" s="1"/>
  <c r="J525" i="13" s="1"/>
  <c r="G524" i="13"/>
  <c r="H524" i="13" s="1"/>
  <c r="I524" i="13" s="1"/>
  <c r="J524" i="13" s="1"/>
  <c r="G523" i="13"/>
  <c r="H523" i="13" s="1"/>
  <c r="I523" i="13" s="1"/>
  <c r="J523" i="13" s="1"/>
  <c r="G522" i="13"/>
  <c r="H522" i="13" s="1"/>
  <c r="I522" i="13" s="1"/>
  <c r="J522" i="13" s="1"/>
  <c r="G521" i="13"/>
  <c r="H521" i="13" s="1"/>
  <c r="I521" i="13" s="1"/>
  <c r="J521" i="13" s="1"/>
  <c r="G520" i="13"/>
  <c r="H520" i="13" s="1"/>
  <c r="I520" i="13" s="1"/>
  <c r="J520" i="13" s="1"/>
  <c r="G519" i="13"/>
  <c r="H519" i="13" s="1"/>
  <c r="I519" i="13" s="1"/>
  <c r="J519" i="13" s="1"/>
  <c r="G518" i="13"/>
  <c r="H518" i="13" s="1"/>
  <c r="I518" i="13" s="1"/>
  <c r="J518" i="13" s="1"/>
  <c r="G517" i="13"/>
  <c r="H517" i="13" s="1"/>
  <c r="I517" i="13" s="1"/>
  <c r="J517" i="13" s="1"/>
  <c r="G516" i="13"/>
  <c r="H516" i="13" s="1"/>
  <c r="I516" i="13" s="1"/>
  <c r="J516" i="13" s="1"/>
  <c r="G515" i="13"/>
  <c r="H515" i="13" s="1"/>
  <c r="I515" i="13" s="1"/>
  <c r="J515" i="13" s="1"/>
  <c r="G514" i="13"/>
  <c r="H514" i="13" s="1"/>
  <c r="I514" i="13" s="1"/>
  <c r="J514" i="13" s="1"/>
  <c r="G513" i="13"/>
  <c r="H513" i="13" s="1"/>
  <c r="I513" i="13" s="1"/>
  <c r="J513" i="13" s="1"/>
  <c r="G512" i="13"/>
  <c r="H512" i="13" s="1"/>
  <c r="I512" i="13" s="1"/>
  <c r="J512" i="13" s="1"/>
  <c r="G511" i="13"/>
  <c r="H511" i="13" s="1"/>
  <c r="I511" i="13" s="1"/>
  <c r="J511" i="13" s="1"/>
  <c r="G510" i="13"/>
  <c r="H510" i="13" s="1"/>
  <c r="I510" i="13" s="1"/>
  <c r="J510" i="13" s="1"/>
  <c r="G509" i="13"/>
  <c r="H509" i="13" s="1"/>
  <c r="I509" i="13" s="1"/>
  <c r="J509" i="13" s="1"/>
  <c r="G508" i="13"/>
  <c r="H508" i="13" s="1"/>
  <c r="I508" i="13" s="1"/>
  <c r="J508" i="13" s="1"/>
  <c r="G507" i="13"/>
  <c r="H507" i="13" s="1"/>
  <c r="I507" i="13" s="1"/>
  <c r="J507" i="13" s="1"/>
  <c r="G506" i="13"/>
  <c r="H506" i="13" s="1"/>
  <c r="I506" i="13" s="1"/>
  <c r="J506" i="13" s="1"/>
  <c r="G505" i="13"/>
  <c r="H505" i="13" s="1"/>
  <c r="I505" i="13" s="1"/>
  <c r="J505" i="13" s="1"/>
  <c r="G504" i="13"/>
  <c r="H504" i="13" s="1"/>
  <c r="I504" i="13" s="1"/>
  <c r="J504" i="13" s="1"/>
  <c r="G503" i="13"/>
  <c r="H503" i="13" s="1"/>
  <c r="I503" i="13" s="1"/>
  <c r="J503" i="13" s="1"/>
  <c r="G502" i="13"/>
  <c r="H502" i="13" s="1"/>
  <c r="I502" i="13" s="1"/>
  <c r="J502" i="13" s="1"/>
  <c r="G501" i="13"/>
  <c r="H501" i="13" s="1"/>
  <c r="I501" i="13" s="1"/>
  <c r="J501" i="13" s="1"/>
  <c r="G500" i="13"/>
  <c r="H500" i="13" s="1"/>
  <c r="I500" i="13" s="1"/>
  <c r="J500" i="13" s="1"/>
  <c r="G499" i="13"/>
  <c r="H499" i="13" s="1"/>
  <c r="I499" i="13" s="1"/>
  <c r="J499" i="13" s="1"/>
  <c r="G498" i="13"/>
  <c r="H498" i="13" s="1"/>
  <c r="I498" i="13" s="1"/>
  <c r="J498" i="13" s="1"/>
  <c r="G497" i="13"/>
  <c r="H497" i="13" s="1"/>
  <c r="I497" i="13" s="1"/>
  <c r="J497" i="13" s="1"/>
  <c r="G496" i="13"/>
  <c r="H496" i="13" s="1"/>
  <c r="I496" i="13" s="1"/>
  <c r="J496" i="13" s="1"/>
  <c r="G495" i="13"/>
  <c r="H495" i="13" s="1"/>
  <c r="I495" i="13" s="1"/>
  <c r="J495" i="13" s="1"/>
  <c r="G494" i="13"/>
  <c r="H494" i="13" s="1"/>
  <c r="I494" i="13" s="1"/>
  <c r="J494" i="13" s="1"/>
  <c r="G493" i="13"/>
  <c r="H493" i="13" s="1"/>
  <c r="I493" i="13" s="1"/>
  <c r="J493" i="13" s="1"/>
  <c r="G492" i="13"/>
  <c r="H492" i="13" s="1"/>
  <c r="I492" i="13" s="1"/>
  <c r="J492" i="13" s="1"/>
  <c r="G491" i="13"/>
  <c r="H491" i="13" s="1"/>
  <c r="I491" i="13" s="1"/>
  <c r="J491" i="13" s="1"/>
  <c r="G490" i="13"/>
  <c r="H490" i="13" s="1"/>
  <c r="I490" i="13" s="1"/>
  <c r="J490" i="13" s="1"/>
  <c r="G489" i="13"/>
  <c r="H489" i="13" s="1"/>
  <c r="I489" i="13" s="1"/>
  <c r="J489" i="13" s="1"/>
  <c r="G488" i="13"/>
  <c r="H488" i="13" s="1"/>
  <c r="I488" i="13" s="1"/>
  <c r="J488" i="13" s="1"/>
  <c r="G487" i="13"/>
  <c r="H487" i="13" s="1"/>
  <c r="I487" i="13" s="1"/>
  <c r="J487" i="13" s="1"/>
  <c r="G486" i="13"/>
  <c r="H486" i="13" s="1"/>
  <c r="I486" i="13" s="1"/>
  <c r="J486" i="13" s="1"/>
  <c r="G485" i="13"/>
  <c r="H485" i="13" s="1"/>
  <c r="I485" i="13" s="1"/>
  <c r="J485" i="13" s="1"/>
  <c r="G484" i="13"/>
  <c r="H484" i="13" s="1"/>
  <c r="I484" i="13" s="1"/>
  <c r="J484" i="13" s="1"/>
  <c r="G483" i="13"/>
  <c r="H483" i="13" s="1"/>
  <c r="I483" i="13" s="1"/>
  <c r="J483" i="13" s="1"/>
  <c r="G482" i="13"/>
  <c r="H482" i="13" s="1"/>
  <c r="I482" i="13" s="1"/>
  <c r="J482" i="13" s="1"/>
  <c r="G481" i="13"/>
  <c r="H481" i="13" s="1"/>
  <c r="I481" i="13" s="1"/>
  <c r="J481" i="13" s="1"/>
  <c r="G480" i="13"/>
  <c r="H480" i="13" s="1"/>
  <c r="I480" i="13" s="1"/>
  <c r="J480" i="13" s="1"/>
  <c r="G479" i="13"/>
  <c r="H479" i="13" s="1"/>
  <c r="I479" i="13" s="1"/>
  <c r="J479" i="13" s="1"/>
  <c r="G478" i="13"/>
  <c r="H478" i="13" s="1"/>
  <c r="I478" i="13" s="1"/>
  <c r="J478" i="13" s="1"/>
  <c r="G477" i="13"/>
  <c r="H477" i="13" s="1"/>
  <c r="I477" i="13" s="1"/>
  <c r="J477" i="13" s="1"/>
  <c r="G476" i="13"/>
  <c r="H476" i="13" s="1"/>
  <c r="I476" i="13" s="1"/>
  <c r="G475" i="13"/>
  <c r="H475" i="13" s="1"/>
  <c r="I475" i="13" s="1"/>
  <c r="J475" i="13" s="1"/>
  <c r="G474" i="13"/>
  <c r="H474" i="13" s="1"/>
  <c r="I474" i="13" s="1"/>
  <c r="J474" i="13" s="1"/>
  <c r="G473" i="13"/>
  <c r="H473" i="13" s="1"/>
  <c r="I473" i="13" s="1"/>
  <c r="J473" i="13" s="1"/>
  <c r="G472" i="13"/>
  <c r="H472" i="13" s="1"/>
  <c r="I472" i="13" s="1"/>
  <c r="J472" i="13" s="1"/>
  <c r="G471" i="13"/>
  <c r="H471" i="13" s="1"/>
  <c r="I471" i="13" s="1"/>
  <c r="J471" i="13" s="1"/>
  <c r="G470" i="13"/>
  <c r="H470" i="13" s="1"/>
  <c r="I470" i="13" s="1"/>
  <c r="J470" i="13" s="1"/>
  <c r="G469" i="13"/>
  <c r="H469" i="13" s="1"/>
  <c r="I469" i="13" s="1"/>
  <c r="J469" i="13" s="1"/>
  <c r="G468" i="13"/>
  <c r="H468" i="13" s="1"/>
  <c r="I468" i="13" s="1"/>
  <c r="J468" i="13" s="1"/>
  <c r="G467" i="13"/>
  <c r="H467" i="13" s="1"/>
  <c r="I467" i="13" s="1"/>
  <c r="J467" i="13" s="1"/>
  <c r="G466" i="13"/>
  <c r="H466" i="13" s="1"/>
  <c r="I466" i="13" s="1"/>
  <c r="J466" i="13" s="1"/>
  <c r="G465" i="13"/>
  <c r="H465" i="13" s="1"/>
  <c r="I465" i="13" s="1"/>
  <c r="J465" i="13" s="1"/>
  <c r="G462" i="13"/>
  <c r="H462" i="13" s="1"/>
  <c r="I462" i="13" s="1"/>
  <c r="J462" i="13" s="1"/>
  <c r="G461" i="13"/>
  <c r="H461" i="13" s="1"/>
  <c r="I461" i="13" s="1"/>
  <c r="J461" i="13" s="1"/>
  <c r="G460" i="13"/>
  <c r="H460" i="13" s="1"/>
  <c r="I460" i="13" s="1"/>
  <c r="J460" i="13" s="1"/>
  <c r="G459" i="13"/>
  <c r="H459" i="13" s="1"/>
  <c r="I459" i="13" s="1"/>
  <c r="J459" i="13" s="1"/>
  <c r="G458" i="13"/>
  <c r="H458" i="13" s="1"/>
  <c r="I458" i="13" s="1"/>
  <c r="J458" i="13" s="1"/>
  <c r="G457" i="13"/>
  <c r="H457" i="13" s="1"/>
  <c r="I457" i="13" s="1"/>
  <c r="J457" i="13" s="1"/>
  <c r="G456" i="13"/>
  <c r="H456" i="13" s="1"/>
  <c r="I456" i="13" s="1"/>
  <c r="J456" i="13" s="1"/>
  <c r="G455" i="13"/>
  <c r="H455" i="13" s="1"/>
  <c r="I455" i="13" s="1"/>
  <c r="J455" i="13" s="1"/>
  <c r="G454" i="13"/>
  <c r="H454" i="13" s="1"/>
  <c r="I454" i="13" s="1"/>
  <c r="J454" i="13" s="1"/>
  <c r="G453" i="13"/>
  <c r="H453" i="13" s="1"/>
  <c r="I453" i="13" s="1"/>
  <c r="J453" i="13" s="1"/>
  <c r="G452" i="13"/>
  <c r="H452" i="13" s="1"/>
  <c r="I452" i="13" s="1"/>
  <c r="J452" i="13" s="1"/>
  <c r="G451" i="13"/>
  <c r="H451" i="13" s="1"/>
  <c r="I451" i="13" s="1"/>
  <c r="J451" i="13" s="1"/>
  <c r="G450" i="13"/>
  <c r="H450" i="13" s="1"/>
  <c r="I450" i="13" s="1"/>
  <c r="J450" i="13" s="1"/>
  <c r="G449" i="13"/>
  <c r="H449" i="13" s="1"/>
  <c r="I449" i="13" s="1"/>
  <c r="J449" i="13" s="1"/>
  <c r="G448" i="13"/>
  <c r="H448" i="13" s="1"/>
  <c r="I448" i="13" s="1"/>
  <c r="J448" i="13" s="1"/>
  <c r="G447" i="13"/>
  <c r="H447" i="13" s="1"/>
  <c r="I447" i="13" s="1"/>
  <c r="J447" i="13" s="1"/>
  <c r="G446" i="13"/>
  <c r="H446" i="13" s="1"/>
  <c r="I446" i="13" s="1"/>
  <c r="J446" i="13" s="1"/>
  <c r="G445" i="13"/>
  <c r="H445" i="13" s="1"/>
  <c r="I445" i="13" s="1"/>
  <c r="J445" i="13" s="1"/>
  <c r="G444" i="13"/>
  <c r="H444" i="13" s="1"/>
  <c r="I444" i="13" s="1"/>
  <c r="J444" i="13" s="1"/>
  <c r="G443" i="13"/>
  <c r="H443" i="13" s="1"/>
  <c r="I443" i="13" s="1"/>
  <c r="J443" i="13" s="1"/>
  <c r="G442" i="13"/>
  <c r="H442" i="13" s="1"/>
  <c r="I442" i="13" s="1"/>
  <c r="J442" i="13" s="1"/>
  <c r="G441" i="13"/>
  <c r="H441" i="13" s="1"/>
  <c r="I441" i="13" s="1"/>
  <c r="J441" i="13" s="1"/>
  <c r="G440" i="13"/>
  <c r="H440" i="13" s="1"/>
  <c r="I440" i="13" s="1"/>
  <c r="J440" i="13" s="1"/>
  <c r="G439" i="13"/>
  <c r="H439" i="13" s="1"/>
  <c r="I439" i="13" s="1"/>
  <c r="J439" i="13" s="1"/>
  <c r="G438" i="13"/>
  <c r="H438" i="13" s="1"/>
  <c r="I438" i="13" s="1"/>
  <c r="J438" i="13" s="1"/>
  <c r="G437" i="13"/>
  <c r="H437" i="13" s="1"/>
  <c r="I437" i="13" s="1"/>
  <c r="J437" i="13" s="1"/>
  <c r="G436" i="13"/>
  <c r="H436" i="13" s="1"/>
  <c r="I436" i="13" s="1"/>
  <c r="J436" i="13" s="1"/>
  <c r="G435" i="13"/>
  <c r="H435" i="13" s="1"/>
  <c r="I435" i="13" s="1"/>
  <c r="J435" i="13" s="1"/>
  <c r="G434" i="13"/>
  <c r="H434" i="13" s="1"/>
  <c r="I434" i="13" s="1"/>
  <c r="J434" i="13" s="1"/>
  <c r="G433" i="13"/>
  <c r="H433" i="13" s="1"/>
  <c r="I433" i="13" s="1"/>
  <c r="J433" i="13" s="1"/>
  <c r="G432" i="13"/>
  <c r="H432" i="13" s="1"/>
  <c r="I432" i="13" s="1"/>
  <c r="J432" i="13" s="1"/>
  <c r="G431" i="13"/>
  <c r="H431" i="13" s="1"/>
  <c r="I431" i="13" s="1"/>
  <c r="J431" i="13" s="1"/>
  <c r="G430" i="13"/>
  <c r="H430" i="13" s="1"/>
  <c r="I430" i="13" s="1"/>
  <c r="J430" i="13" s="1"/>
  <c r="G429" i="13"/>
  <c r="H429" i="13" s="1"/>
  <c r="I429" i="13" s="1"/>
  <c r="J429" i="13" s="1"/>
  <c r="G428" i="13"/>
  <c r="H428" i="13" s="1"/>
  <c r="I428" i="13" s="1"/>
  <c r="J428" i="13" s="1"/>
  <c r="G427" i="13"/>
  <c r="H427" i="13" s="1"/>
  <c r="I427" i="13" s="1"/>
  <c r="J427" i="13" s="1"/>
  <c r="G426" i="13"/>
  <c r="H426" i="13" s="1"/>
  <c r="I426" i="13" s="1"/>
  <c r="J426" i="13" s="1"/>
  <c r="G425" i="13"/>
  <c r="H425" i="13" s="1"/>
  <c r="I425" i="13" s="1"/>
  <c r="J425" i="13" s="1"/>
  <c r="G424" i="13"/>
  <c r="H424" i="13" s="1"/>
  <c r="I424" i="13" s="1"/>
  <c r="J424" i="13" s="1"/>
  <c r="G423" i="13"/>
  <c r="H423" i="13" s="1"/>
  <c r="I423" i="13" s="1"/>
  <c r="J423" i="13" s="1"/>
  <c r="G422" i="13"/>
  <c r="H422" i="13" s="1"/>
  <c r="I422" i="13" s="1"/>
  <c r="J422" i="13" s="1"/>
  <c r="G421" i="13"/>
  <c r="H421" i="13" s="1"/>
  <c r="I421" i="13" s="1"/>
  <c r="J421" i="13" s="1"/>
  <c r="G420" i="13"/>
  <c r="H420" i="13" s="1"/>
  <c r="I420" i="13" s="1"/>
  <c r="J420" i="13" s="1"/>
  <c r="G419" i="13"/>
  <c r="H419" i="13" s="1"/>
  <c r="I419" i="13" s="1"/>
  <c r="J419" i="13" s="1"/>
  <c r="G418" i="13"/>
  <c r="H418" i="13" s="1"/>
  <c r="I418" i="13" s="1"/>
  <c r="J418" i="13" s="1"/>
  <c r="G417" i="13"/>
  <c r="H417" i="13" s="1"/>
  <c r="I417" i="13" s="1"/>
  <c r="J417" i="13" s="1"/>
  <c r="G416" i="13"/>
  <c r="H416" i="13" s="1"/>
  <c r="I416" i="13" s="1"/>
  <c r="J416" i="13" s="1"/>
  <c r="G415" i="13"/>
  <c r="H415" i="13" s="1"/>
  <c r="I415" i="13" s="1"/>
  <c r="J415" i="13" s="1"/>
  <c r="G414" i="13"/>
  <c r="H414" i="13" s="1"/>
  <c r="I414" i="13" s="1"/>
  <c r="J414" i="13" s="1"/>
  <c r="G413" i="13"/>
  <c r="H413" i="13" s="1"/>
  <c r="I413" i="13" s="1"/>
  <c r="G412" i="13"/>
  <c r="H412" i="13" s="1"/>
  <c r="I412" i="13" s="1"/>
  <c r="J412" i="13" s="1"/>
  <c r="G411" i="13"/>
  <c r="H411" i="13" s="1"/>
  <c r="I411" i="13" s="1"/>
  <c r="J411" i="13" s="1"/>
  <c r="G410" i="13"/>
  <c r="H410" i="13" s="1"/>
  <c r="I410" i="13" s="1"/>
  <c r="J410" i="13" s="1"/>
  <c r="G409" i="13"/>
  <c r="H409" i="13" s="1"/>
  <c r="I409" i="13" s="1"/>
  <c r="J409" i="13" s="1"/>
  <c r="G408" i="13"/>
  <c r="H408" i="13" s="1"/>
  <c r="I408" i="13" s="1"/>
  <c r="J408" i="13" s="1"/>
  <c r="G407" i="13"/>
  <c r="H407" i="13" s="1"/>
  <c r="I407" i="13" s="1"/>
  <c r="J407" i="13" s="1"/>
  <c r="G406" i="13"/>
  <c r="H406" i="13" s="1"/>
  <c r="I406" i="13" s="1"/>
  <c r="J406" i="13" s="1"/>
  <c r="G405" i="13"/>
  <c r="H405" i="13" s="1"/>
  <c r="I405" i="13" s="1"/>
  <c r="J405" i="13" s="1"/>
  <c r="G404" i="13"/>
  <c r="H404" i="13" s="1"/>
  <c r="I404" i="13" s="1"/>
  <c r="J404" i="13" s="1"/>
  <c r="G403" i="13"/>
  <c r="H403" i="13" s="1"/>
  <c r="I403" i="13" s="1"/>
  <c r="J403" i="13" s="1"/>
  <c r="G402" i="13"/>
  <c r="H402" i="13" s="1"/>
  <c r="I402" i="13" s="1"/>
  <c r="J402" i="13" s="1"/>
  <c r="G399" i="13"/>
  <c r="H399" i="13" s="1"/>
  <c r="I399" i="13" s="1"/>
  <c r="J399" i="13" s="1"/>
  <c r="G398" i="13"/>
  <c r="H398" i="13" s="1"/>
  <c r="I398" i="13" s="1"/>
  <c r="J398" i="13" s="1"/>
  <c r="G397" i="13"/>
  <c r="H397" i="13" s="1"/>
  <c r="I397" i="13" s="1"/>
  <c r="J397" i="13" s="1"/>
  <c r="G396" i="13"/>
  <c r="H396" i="13" s="1"/>
  <c r="I396" i="13" s="1"/>
  <c r="J396" i="13" s="1"/>
  <c r="G395" i="13"/>
  <c r="H395" i="13" s="1"/>
  <c r="I395" i="13" s="1"/>
  <c r="J395" i="13" s="1"/>
  <c r="G394" i="13"/>
  <c r="H394" i="13" s="1"/>
  <c r="I394" i="13" s="1"/>
  <c r="J394" i="13" s="1"/>
  <c r="G393" i="13"/>
  <c r="H393" i="13" s="1"/>
  <c r="I393" i="13" s="1"/>
  <c r="J393" i="13" s="1"/>
  <c r="G392" i="13"/>
  <c r="H392" i="13" s="1"/>
  <c r="I392" i="13" s="1"/>
  <c r="J392" i="13" s="1"/>
  <c r="G391" i="13"/>
  <c r="H391" i="13" s="1"/>
  <c r="I391" i="13" s="1"/>
  <c r="J391" i="13" s="1"/>
  <c r="G390" i="13"/>
  <c r="H390" i="13" s="1"/>
  <c r="I390" i="13" s="1"/>
  <c r="J390" i="13" s="1"/>
  <c r="G389" i="13"/>
  <c r="H389" i="13" s="1"/>
  <c r="I389" i="13" s="1"/>
  <c r="J389" i="13" s="1"/>
  <c r="G388" i="13"/>
  <c r="H388" i="13" s="1"/>
  <c r="I388" i="13" s="1"/>
  <c r="J388" i="13" s="1"/>
  <c r="G387" i="13"/>
  <c r="H387" i="13" s="1"/>
  <c r="I387" i="13" s="1"/>
  <c r="J387" i="13" s="1"/>
  <c r="G386" i="13"/>
  <c r="H386" i="13" s="1"/>
  <c r="I386" i="13" s="1"/>
  <c r="J386" i="13" s="1"/>
  <c r="G385" i="13"/>
  <c r="H385" i="13" s="1"/>
  <c r="I385" i="13" s="1"/>
  <c r="J385" i="13" s="1"/>
  <c r="G384" i="13"/>
  <c r="H384" i="13" s="1"/>
  <c r="I384" i="13" s="1"/>
  <c r="J384" i="13" s="1"/>
  <c r="G383" i="13"/>
  <c r="H383" i="13" s="1"/>
  <c r="I383" i="13" s="1"/>
  <c r="J383" i="13" s="1"/>
  <c r="G382" i="13"/>
  <c r="H382" i="13" s="1"/>
  <c r="I382" i="13" s="1"/>
  <c r="J382" i="13" s="1"/>
  <c r="G381" i="13"/>
  <c r="H381" i="13" s="1"/>
  <c r="I381" i="13" s="1"/>
  <c r="J381" i="13" s="1"/>
  <c r="G380" i="13"/>
  <c r="H380" i="13" s="1"/>
  <c r="I380" i="13" s="1"/>
  <c r="J380" i="13" s="1"/>
  <c r="G379" i="13"/>
  <c r="H379" i="13" s="1"/>
  <c r="I379" i="13" s="1"/>
  <c r="J379" i="13" s="1"/>
  <c r="G378" i="13"/>
  <c r="H378" i="13" s="1"/>
  <c r="I378" i="13" s="1"/>
  <c r="J378" i="13" s="1"/>
  <c r="G374" i="13"/>
  <c r="H374" i="13" s="1"/>
  <c r="I374" i="13" s="1"/>
  <c r="J374" i="13" s="1"/>
  <c r="G373" i="13"/>
  <c r="H373" i="13" s="1"/>
  <c r="I373" i="13" s="1"/>
  <c r="J373" i="13" s="1"/>
  <c r="G372" i="13"/>
  <c r="H372" i="13" s="1"/>
  <c r="I372" i="13" s="1"/>
  <c r="J372" i="13" s="1"/>
  <c r="G371" i="13"/>
  <c r="H371" i="13" s="1"/>
  <c r="I371" i="13" s="1"/>
  <c r="J371" i="13" s="1"/>
  <c r="G370" i="13"/>
  <c r="H370" i="13" s="1"/>
  <c r="I370" i="13" s="1"/>
  <c r="J370" i="13" s="1"/>
  <c r="G369" i="13"/>
  <c r="H369" i="13" s="1"/>
  <c r="I369" i="13" s="1"/>
  <c r="J369" i="13" s="1"/>
  <c r="G368" i="13"/>
  <c r="H368" i="13" s="1"/>
  <c r="I368" i="13" s="1"/>
  <c r="J368" i="13" s="1"/>
  <c r="G367" i="13"/>
  <c r="H367" i="13" s="1"/>
  <c r="I367" i="13" s="1"/>
  <c r="J367" i="13" s="1"/>
  <c r="G366" i="13"/>
  <c r="H366" i="13" s="1"/>
  <c r="I366" i="13" s="1"/>
  <c r="J366" i="13" s="1"/>
  <c r="G365" i="13"/>
  <c r="H365" i="13" s="1"/>
  <c r="I365" i="13" s="1"/>
  <c r="J365" i="13" s="1"/>
  <c r="G364" i="13"/>
  <c r="H364" i="13" s="1"/>
  <c r="I364" i="13" s="1"/>
  <c r="J364" i="13" s="1"/>
  <c r="G363" i="13"/>
  <c r="H363" i="13" s="1"/>
  <c r="I363" i="13" s="1"/>
  <c r="J363" i="13" s="1"/>
  <c r="G362" i="13"/>
  <c r="H362" i="13" s="1"/>
  <c r="I362" i="13" s="1"/>
  <c r="J362" i="13" s="1"/>
  <c r="G361" i="13"/>
  <c r="H361" i="13" s="1"/>
  <c r="I361" i="13" s="1"/>
  <c r="J361" i="13" s="1"/>
  <c r="G360" i="13"/>
  <c r="H360" i="13" s="1"/>
  <c r="I360" i="13" s="1"/>
  <c r="J360" i="13" s="1"/>
  <c r="G359" i="13"/>
  <c r="H359" i="13" s="1"/>
  <c r="I359" i="13" s="1"/>
  <c r="J359" i="13" s="1"/>
  <c r="G358" i="13"/>
  <c r="H358" i="13" s="1"/>
  <c r="I358" i="13" s="1"/>
  <c r="J358" i="13" s="1"/>
  <c r="G357" i="13"/>
  <c r="H357" i="13" s="1"/>
  <c r="I357" i="13" s="1"/>
  <c r="J357" i="13" s="1"/>
  <c r="G356" i="13"/>
  <c r="H356" i="13" s="1"/>
  <c r="I356" i="13" s="1"/>
  <c r="J356" i="13" s="1"/>
  <c r="G355" i="13"/>
  <c r="H355" i="13" s="1"/>
  <c r="I355" i="13" s="1"/>
  <c r="J355" i="13" s="1"/>
  <c r="G354" i="13"/>
  <c r="H354" i="13" s="1"/>
  <c r="I354" i="13" s="1"/>
  <c r="J354" i="13" s="1"/>
  <c r="G353" i="13"/>
  <c r="H353" i="13" s="1"/>
  <c r="I353" i="13" s="1"/>
  <c r="J353" i="13" s="1"/>
  <c r="G352" i="13"/>
  <c r="H352" i="13" s="1"/>
  <c r="I352" i="13" s="1"/>
  <c r="J352" i="13" s="1"/>
  <c r="G351" i="13"/>
  <c r="H351" i="13" s="1"/>
  <c r="I351" i="13" s="1"/>
  <c r="J351" i="13" s="1"/>
  <c r="G350" i="13"/>
  <c r="H350" i="13" s="1"/>
  <c r="I350" i="13" s="1"/>
  <c r="J350" i="13" s="1"/>
  <c r="G349" i="13"/>
  <c r="H349" i="13" s="1"/>
  <c r="I349" i="13" s="1"/>
  <c r="J349" i="13" s="1"/>
  <c r="G348" i="13"/>
  <c r="H348" i="13" s="1"/>
  <c r="I348" i="13" s="1"/>
  <c r="J348" i="13" s="1"/>
  <c r="G347" i="13"/>
  <c r="H347" i="13" s="1"/>
  <c r="I347" i="13" s="1"/>
  <c r="J347" i="13" s="1"/>
  <c r="G346" i="13"/>
  <c r="H346" i="13" s="1"/>
  <c r="I346" i="13" s="1"/>
  <c r="J346" i="13" s="1"/>
  <c r="G345" i="13"/>
  <c r="H345" i="13" s="1"/>
  <c r="I345" i="13" s="1"/>
  <c r="J345" i="13" s="1"/>
  <c r="G344" i="13"/>
  <c r="H344" i="13" s="1"/>
  <c r="I344" i="13" s="1"/>
  <c r="J344" i="13" s="1"/>
  <c r="G343" i="13"/>
  <c r="H343" i="13" s="1"/>
  <c r="I343" i="13" s="1"/>
  <c r="J343" i="13" s="1"/>
  <c r="G342" i="13"/>
  <c r="H342" i="13" s="1"/>
  <c r="I342" i="13" s="1"/>
  <c r="J342" i="13" s="1"/>
  <c r="G341" i="13"/>
  <c r="H341" i="13" s="1"/>
  <c r="I341" i="13" s="1"/>
  <c r="J341" i="13" s="1"/>
  <c r="G340" i="13"/>
  <c r="H340" i="13" s="1"/>
  <c r="I340" i="13" s="1"/>
  <c r="J340" i="13" s="1"/>
  <c r="G339" i="13"/>
  <c r="H339" i="13" s="1"/>
  <c r="I339" i="13" s="1"/>
  <c r="J339" i="13" s="1"/>
  <c r="G338" i="13"/>
  <c r="H338" i="13" s="1"/>
  <c r="I338" i="13" s="1"/>
  <c r="J338" i="13" s="1"/>
  <c r="G337" i="13"/>
  <c r="H337" i="13" s="1"/>
  <c r="I337" i="13" s="1"/>
  <c r="J337" i="13" s="1"/>
  <c r="G336" i="13"/>
  <c r="H336" i="13" s="1"/>
  <c r="I336" i="13" s="1"/>
  <c r="J336" i="13" s="1"/>
  <c r="G335" i="13"/>
  <c r="H335" i="13" s="1"/>
  <c r="I335" i="13" s="1"/>
  <c r="J335" i="13" s="1"/>
  <c r="G334" i="13"/>
  <c r="H334" i="13" s="1"/>
  <c r="I334" i="13" s="1"/>
  <c r="J334" i="13" s="1"/>
  <c r="G333" i="13"/>
  <c r="H333" i="13" s="1"/>
  <c r="I333" i="13" s="1"/>
  <c r="J333" i="13" s="1"/>
  <c r="G332" i="13"/>
  <c r="H332" i="13" s="1"/>
  <c r="I332" i="13" s="1"/>
  <c r="J332" i="13" s="1"/>
  <c r="G331" i="13"/>
  <c r="H331" i="13" s="1"/>
  <c r="I331" i="13" s="1"/>
  <c r="J331" i="13" s="1"/>
  <c r="G330" i="13"/>
  <c r="H330" i="13" s="1"/>
  <c r="I330" i="13" s="1"/>
  <c r="J330" i="13" s="1"/>
  <c r="G329" i="13"/>
  <c r="H329" i="13" s="1"/>
  <c r="I329" i="13" s="1"/>
  <c r="J329" i="13" s="1"/>
  <c r="G328" i="13"/>
  <c r="H328" i="13" s="1"/>
  <c r="I328" i="13" s="1"/>
  <c r="J328" i="13" s="1"/>
  <c r="G327" i="13"/>
  <c r="H327" i="13" s="1"/>
  <c r="I327" i="13" s="1"/>
  <c r="J327" i="13" s="1"/>
  <c r="G326" i="13"/>
  <c r="H326" i="13" s="1"/>
  <c r="I326" i="13" s="1"/>
  <c r="J326" i="13" s="1"/>
  <c r="G325" i="13"/>
  <c r="H325" i="13" s="1"/>
  <c r="I325" i="13" s="1"/>
  <c r="J325" i="13" s="1"/>
  <c r="G324" i="13"/>
  <c r="H324" i="13" s="1"/>
  <c r="I324" i="13" s="1"/>
  <c r="J324" i="13" s="1"/>
  <c r="G323" i="13"/>
  <c r="H323" i="13" s="1"/>
  <c r="I323" i="13" s="1"/>
  <c r="J323" i="13" s="1"/>
  <c r="G322" i="13"/>
  <c r="H322" i="13" s="1"/>
  <c r="I322" i="13" s="1"/>
  <c r="J322" i="13" s="1"/>
  <c r="G321" i="13"/>
  <c r="H321" i="13" s="1"/>
  <c r="I321" i="13" s="1"/>
  <c r="J321" i="13" s="1"/>
  <c r="G320" i="13"/>
  <c r="H320" i="13" s="1"/>
  <c r="I320" i="13" s="1"/>
  <c r="J320" i="13" s="1"/>
  <c r="G319" i="13"/>
  <c r="H319" i="13" s="1"/>
  <c r="I319" i="13" s="1"/>
  <c r="J319" i="13" s="1"/>
  <c r="G318" i="13"/>
  <c r="H318" i="13" s="1"/>
  <c r="I318" i="13" s="1"/>
  <c r="J318" i="13" s="1"/>
  <c r="G317" i="13"/>
  <c r="H317" i="13" s="1"/>
  <c r="I317" i="13" s="1"/>
  <c r="J317" i="13" s="1"/>
  <c r="G316" i="13"/>
  <c r="H316" i="13" s="1"/>
  <c r="I316" i="13" s="1"/>
  <c r="J316" i="13" s="1"/>
  <c r="G315" i="13"/>
  <c r="H315" i="13" s="1"/>
  <c r="I315" i="13" s="1"/>
  <c r="J315" i="13" s="1"/>
  <c r="G314" i="13"/>
  <c r="H314" i="13" s="1"/>
  <c r="I314" i="13" s="1"/>
  <c r="J314" i="13" s="1"/>
  <c r="G313" i="13"/>
  <c r="H313" i="13" s="1"/>
  <c r="I313" i="13" s="1"/>
  <c r="J313" i="13" s="1"/>
  <c r="G312" i="13"/>
  <c r="H312" i="13" s="1"/>
  <c r="I312" i="13" s="1"/>
  <c r="J312" i="13" s="1"/>
  <c r="G311" i="13"/>
  <c r="H311" i="13" s="1"/>
  <c r="I311" i="13" s="1"/>
  <c r="J311" i="13" s="1"/>
  <c r="G310" i="13"/>
  <c r="H310" i="13" s="1"/>
  <c r="I310" i="13" s="1"/>
  <c r="J310" i="13" s="1"/>
  <c r="G309" i="13"/>
  <c r="H309" i="13" s="1"/>
  <c r="I309" i="13" s="1"/>
  <c r="J309" i="13" s="1"/>
  <c r="G308" i="13"/>
  <c r="H308" i="13" s="1"/>
  <c r="I308" i="13" s="1"/>
  <c r="J308" i="13" s="1"/>
  <c r="G307" i="13"/>
  <c r="H307" i="13" s="1"/>
  <c r="I307" i="13" s="1"/>
  <c r="J307" i="13" s="1"/>
  <c r="G306" i="13"/>
  <c r="H306" i="13" s="1"/>
  <c r="I306" i="13" s="1"/>
  <c r="J306" i="13" s="1"/>
  <c r="G305" i="13"/>
  <c r="H305" i="13" s="1"/>
  <c r="I305" i="13" s="1"/>
  <c r="J305" i="13" s="1"/>
  <c r="G304" i="13"/>
  <c r="H304" i="13" s="1"/>
  <c r="I304" i="13" s="1"/>
  <c r="J304" i="13" s="1"/>
  <c r="G303" i="13"/>
  <c r="H303" i="13" s="1"/>
  <c r="I303" i="13" s="1"/>
  <c r="J303" i="13" s="1"/>
  <c r="G302" i="13"/>
  <c r="H302" i="13" s="1"/>
  <c r="I302" i="13" s="1"/>
  <c r="J302" i="13" s="1"/>
  <c r="G301" i="13"/>
  <c r="H301" i="13" s="1"/>
  <c r="I301" i="13" s="1"/>
  <c r="J301" i="13" s="1"/>
  <c r="G300" i="13"/>
  <c r="H300" i="13" s="1"/>
  <c r="I300" i="13" s="1"/>
  <c r="J300" i="13" s="1"/>
  <c r="G299" i="13"/>
  <c r="H299" i="13" s="1"/>
  <c r="I299" i="13" s="1"/>
  <c r="J299" i="13" s="1"/>
  <c r="G298" i="13"/>
  <c r="H298" i="13" s="1"/>
  <c r="I298" i="13" s="1"/>
  <c r="J298" i="13" s="1"/>
  <c r="G297" i="13"/>
  <c r="H297" i="13" s="1"/>
  <c r="I297" i="13" s="1"/>
  <c r="J297" i="13" s="1"/>
  <c r="G296" i="13"/>
  <c r="H296" i="13" s="1"/>
  <c r="I296" i="13" s="1"/>
  <c r="J296" i="13" s="1"/>
  <c r="G295" i="13"/>
  <c r="H295" i="13" s="1"/>
  <c r="I295" i="13" s="1"/>
  <c r="J295" i="13" s="1"/>
  <c r="G294" i="13"/>
  <c r="H294" i="13" s="1"/>
  <c r="I294" i="13" s="1"/>
  <c r="J294" i="13" s="1"/>
  <c r="G293" i="13"/>
  <c r="H293" i="13" s="1"/>
  <c r="I293" i="13" s="1"/>
  <c r="J293" i="13" s="1"/>
  <c r="G292" i="13"/>
  <c r="H292" i="13" s="1"/>
  <c r="I292" i="13" s="1"/>
  <c r="J292" i="13" s="1"/>
  <c r="G291" i="13"/>
  <c r="H291" i="13" s="1"/>
  <c r="I291" i="13" s="1"/>
  <c r="J291" i="13" s="1"/>
  <c r="G290" i="13"/>
  <c r="H290" i="13" s="1"/>
  <c r="I290" i="13" s="1"/>
  <c r="J290" i="13" s="1"/>
  <c r="G289" i="13"/>
  <c r="H289" i="13" s="1"/>
  <c r="I289" i="13" s="1"/>
  <c r="J289" i="13" s="1"/>
  <c r="G288" i="13"/>
  <c r="H288" i="13" s="1"/>
  <c r="I288" i="13" s="1"/>
  <c r="J288" i="13" s="1"/>
  <c r="G287" i="13"/>
  <c r="H287" i="13" s="1"/>
  <c r="I287" i="13" s="1"/>
  <c r="J287" i="13" s="1"/>
  <c r="G286" i="13"/>
  <c r="H286" i="13" s="1"/>
  <c r="I286" i="13" s="1"/>
  <c r="J286" i="13" s="1"/>
  <c r="G285" i="13"/>
  <c r="H285" i="13" s="1"/>
  <c r="I285" i="13" s="1"/>
  <c r="J285" i="13" s="1"/>
  <c r="G284" i="13"/>
  <c r="H284" i="13" s="1"/>
  <c r="I284" i="13" s="1"/>
  <c r="J284" i="13" s="1"/>
  <c r="G283" i="13"/>
  <c r="H283" i="13" s="1"/>
  <c r="I283" i="13" s="1"/>
  <c r="J283" i="13" s="1"/>
  <c r="G282" i="13"/>
  <c r="H282" i="13" s="1"/>
  <c r="I282" i="13" s="1"/>
  <c r="J282" i="13" s="1"/>
  <c r="G281" i="13"/>
  <c r="H281" i="13" s="1"/>
  <c r="I281" i="13" s="1"/>
  <c r="J281" i="13" s="1"/>
  <c r="G280" i="13"/>
  <c r="H280" i="13" s="1"/>
  <c r="I280" i="13" s="1"/>
  <c r="J280" i="13" s="1"/>
  <c r="G279" i="13"/>
  <c r="H279" i="13" s="1"/>
  <c r="I279" i="13" s="1"/>
  <c r="J279" i="13" s="1"/>
  <c r="G278" i="13"/>
  <c r="H278" i="13" s="1"/>
  <c r="I278" i="13" s="1"/>
  <c r="J278" i="13" s="1"/>
  <c r="G277" i="13"/>
  <c r="H277" i="13" s="1"/>
  <c r="I277" i="13" s="1"/>
  <c r="J277" i="13" s="1"/>
  <c r="G276" i="13"/>
  <c r="H276" i="13" s="1"/>
  <c r="I276" i="13" s="1"/>
  <c r="J276" i="13" s="1"/>
  <c r="G275" i="13"/>
  <c r="H275" i="13" s="1"/>
  <c r="I275" i="13" s="1"/>
  <c r="J275" i="13" s="1"/>
  <c r="G274" i="13"/>
  <c r="H274" i="13" s="1"/>
  <c r="I274" i="13" s="1"/>
  <c r="J274" i="13" s="1"/>
  <c r="G273" i="13"/>
  <c r="H273" i="13" s="1"/>
  <c r="I273" i="13" s="1"/>
  <c r="J273" i="13" s="1"/>
  <c r="G272" i="13"/>
  <c r="H272" i="13" s="1"/>
  <c r="I272" i="13" s="1"/>
  <c r="J272" i="13" s="1"/>
  <c r="G271" i="13"/>
  <c r="H271" i="13" s="1"/>
  <c r="I271" i="13" s="1"/>
  <c r="J271" i="13" s="1"/>
  <c r="G270" i="13"/>
  <c r="H270" i="13" s="1"/>
  <c r="I270" i="13" s="1"/>
  <c r="J270" i="13" s="1"/>
  <c r="G269" i="13"/>
  <c r="H269" i="13" s="1"/>
  <c r="I269" i="13" s="1"/>
  <c r="J269" i="13" s="1"/>
  <c r="G268" i="13"/>
  <c r="H268" i="13" s="1"/>
  <c r="I268" i="13" s="1"/>
  <c r="J268" i="13" s="1"/>
  <c r="G267" i="13"/>
  <c r="H267" i="13" s="1"/>
  <c r="I267" i="13" s="1"/>
  <c r="J267" i="13" s="1"/>
  <c r="G266" i="13"/>
  <c r="H266" i="13" s="1"/>
  <c r="I266" i="13" s="1"/>
  <c r="J266" i="13" s="1"/>
  <c r="G265" i="13"/>
  <c r="H265" i="13" s="1"/>
  <c r="I265" i="13" s="1"/>
  <c r="J265" i="13" s="1"/>
  <c r="G264" i="13"/>
  <c r="H264" i="13" s="1"/>
  <c r="I264" i="13" s="1"/>
  <c r="J264" i="13" s="1"/>
  <c r="G263" i="13"/>
  <c r="H263" i="13" s="1"/>
  <c r="I263" i="13" s="1"/>
  <c r="J263" i="13" s="1"/>
  <c r="G262" i="13"/>
  <c r="H262" i="13" s="1"/>
  <c r="I262" i="13" s="1"/>
  <c r="J262" i="13" s="1"/>
  <c r="G261" i="13"/>
  <c r="H261" i="13" s="1"/>
  <c r="I261" i="13" s="1"/>
  <c r="J261" i="13" s="1"/>
  <c r="G260" i="13"/>
  <c r="H260" i="13" s="1"/>
  <c r="I260" i="13" s="1"/>
  <c r="J260" i="13" s="1"/>
  <c r="G259" i="13"/>
  <c r="H259" i="13" s="1"/>
  <c r="I259" i="13" s="1"/>
  <c r="J259" i="13" s="1"/>
  <c r="G258" i="13"/>
  <c r="H258" i="13" s="1"/>
  <c r="I258" i="13" s="1"/>
  <c r="J258" i="13" s="1"/>
  <c r="G257" i="13"/>
  <c r="H257" i="13" s="1"/>
  <c r="I257" i="13" s="1"/>
  <c r="J257" i="13" s="1"/>
  <c r="G256" i="13"/>
  <c r="H256" i="13" s="1"/>
  <c r="I256" i="13" s="1"/>
  <c r="J256" i="13" s="1"/>
  <c r="G255" i="13"/>
  <c r="H255" i="13" s="1"/>
  <c r="I255" i="13" s="1"/>
  <c r="J255" i="13" s="1"/>
  <c r="G254" i="13"/>
  <c r="H254" i="13" s="1"/>
  <c r="I254" i="13" s="1"/>
  <c r="J254" i="13" s="1"/>
  <c r="G253" i="13"/>
  <c r="H253" i="13" s="1"/>
  <c r="I253" i="13" s="1"/>
  <c r="J253" i="13" s="1"/>
  <c r="G252" i="13"/>
  <c r="H252" i="13" s="1"/>
  <c r="I252" i="13" s="1"/>
  <c r="J252" i="13" s="1"/>
  <c r="G251" i="13"/>
  <c r="H251" i="13" s="1"/>
  <c r="I251" i="13" s="1"/>
  <c r="J251" i="13" s="1"/>
  <c r="G250" i="13"/>
  <c r="H250" i="13" s="1"/>
  <c r="I250" i="13" s="1"/>
  <c r="J250" i="13" s="1"/>
  <c r="G249" i="13"/>
  <c r="H249" i="13" s="1"/>
  <c r="I249" i="13" s="1"/>
  <c r="J249" i="13" s="1"/>
  <c r="G248" i="13"/>
  <c r="H248" i="13" s="1"/>
  <c r="I248" i="13" s="1"/>
  <c r="J248" i="13" s="1"/>
  <c r="G247" i="13"/>
  <c r="H247" i="13" s="1"/>
  <c r="I247" i="13" s="1"/>
  <c r="J247" i="13" s="1"/>
  <c r="G246" i="13"/>
  <c r="H246" i="13" s="1"/>
  <c r="I246" i="13" s="1"/>
  <c r="J246" i="13" s="1"/>
  <c r="G245" i="13"/>
  <c r="H245" i="13" s="1"/>
  <c r="I245" i="13" s="1"/>
  <c r="J245" i="13" s="1"/>
  <c r="G244" i="13"/>
  <c r="H244" i="13" s="1"/>
  <c r="I244" i="13" s="1"/>
  <c r="J244" i="13" s="1"/>
  <c r="G243" i="13"/>
  <c r="H243" i="13" s="1"/>
  <c r="I243" i="13" s="1"/>
  <c r="J243" i="13" s="1"/>
  <c r="G242" i="13"/>
  <c r="H242" i="13" s="1"/>
  <c r="I242" i="13" s="1"/>
  <c r="J242" i="13" s="1"/>
  <c r="G241" i="13"/>
  <c r="H241" i="13" s="1"/>
  <c r="I241" i="13" s="1"/>
  <c r="J241" i="13" s="1"/>
  <c r="G240" i="13"/>
  <c r="H240" i="13" s="1"/>
  <c r="I240" i="13" s="1"/>
  <c r="J240" i="13" s="1"/>
  <c r="G239" i="13"/>
  <c r="H239" i="13" s="1"/>
  <c r="I239" i="13" s="1"/>
  <c r="J239" i="13" s="1"/>
  <c r="G238" i="13"/>
  <c r="H238" i="13" s="1"/>
  <c r="I238" i="13" s="1"/>
  <c r="J238" i="13" s="1"/>
  <c r="G237" i="13"/>
  <c r="H237" i="13" s="1"/>
  <c r="I237" i="13" s="1"/>
  <c r="J237" i="13" s="1"/>
  <c r="G236" i="13"/>
  <c r="H236" i="13" s="1"/>
  <c r="I236" i="13" s="1"/>
  <c r="J236" i="13" s="1"/>
  <c r="G235" i="13"/>
  <c r="H235" i="13" s="1"/>
  <c r="I235" i="13" s="1"/>
  <c r="J235" i="13" s="1"/>
  <c r="G234" i="13"/>
  <c r="H234" i="13" s="1"/>
  <c r="I234" i="13" s="1"/>
  <c r="J234" i="13" s="1"/>
  <c r="G233" i="13"/>
  <c r="H233" i="13" s="1"/>
  <c r="I233" i="13" s="1"/>
  <c r="J233" i="13" s="1"/>
  <c r="G232" i="13"/>
  <c r="H232" i="13" s="1"/>
  <c r="I232" i="13" s="1"/>
  <c r="J232" i="13" s="1"/>
  <c r="G231" i="13"/>
  <c r="H231" i="13" s="1"/>
  <c r="I231" i="13" s="1"/>
  <c r="J231" i="13" s="1"/>
  <c r="G230" i="13"/>
  <c r="H230" i="13" s="1"/>
  <c r="I230" i="13" s="1"/>
  <c r="J230" i="13" s="1"/>
  <c r="G229" i="13"/>
  <c r="H229" i="13" s="1"/>
  <c r="I229" i="13" s="1"/>
  <c r="J229" i="13" s="1"/>
  <c r="G228" i="13"/>
  <c r="H228" i="13" s="1"/>
  <c r="I228" i="13" s="1"/>
  <c r="J228" i="13" s="1"/>
  <c r="G227" i="13"/>
  <c r="H227" i="13" s="1"/>
  <c r="I227" i="13" s="1"/>
  <c r="J227" i="13" s="1"/>
  <c r="G226" i="13"/>
  <c r="H226" i="13" s="1"/>
  <c r="I226" i="13" s="1"/>
  <c r="J226" i="13" s="1"/>
  <c r="G225" i="13"/>
  <c r="H225" i="13" s="1"/>
  <c r="I225" i="13" s="1"/>
  <c r="J225" i="13" s="1"/>
  <c r="G224" i="13"/>
  <c r="H224" i="13" s="1"/>
  <c r="I224" i="13" s="1"/>
  <c r="J224" i="13" s="1"/>
  <c r="G223" i="13"/>
  <c r="H223" i="13" s="1"/>
  <c r="I223" i="13" s="1"/>
  <c r="J223" i="13" s="1"/>
  <c r="G222" i="13"/>
  <c r="H222" i="13" s="1"/>
  <c r="I222" i="13" s="1"/>
  <c r="J222" i="13" s="1"/>
  <c r="G221" i="13"/>
  <c r="H221" i="13" s="1"/>
  <c r="I221" i="13" s="1"/>
  <c r="J221" i="13" s="1"/>
  <c r="G220" i="13"/>
  <c r="H220" i="13" s="1"/>
  <c r="I220" i="13" s="1"/>
  <c r="J220" i="13" s="1"/>
  <c r="G219" i="13"/>
  <c r="H219" i="13" s="1"/>
  <c r="I219" i="13" s="1"/>
  <c r="J219" i="13" s="1"/>
  <c r="G218" i="13"/>
  <c r="H218" i="13" s="1"/>
  <c r="I218" i="13" s="1"/>
  <c r="J218" i="13" s="1"/>
  <c r="G217" i="13"/>
  <c r="H217" i="13" s="1"/>
  <c r="I217" i="13" s="1"/>
  <c r="J217" i="13" s="1"/>
  <c r="G216" i="13"/>
  <c r="H216" i="13" s="1"/>
  <c r="I216" i="13" s="1"/>
  <c r="J216" i="13" s="1"/>
  <c r="G215" i="13"/>
  <c r="H215" i="13" s="1"/>
  <c r="I215" i="13" s="1"/>
  <c r="J215" i="13" s="1"/>
  <c r="G214" i="13"/>
  <c r="H214" i="13" s="1"/>
  <c r="I214" i="13" s="1"/>
  <c r="J214" i="13" s="1"/>
  <c r="G213" i="13"/>
  <c r="H213" i="13" s="1"/>
  <c r="I213" i="13" s="1"/>
  <c r="J213" i="13" s="1"/>
  <c r="G212" i="13"/>
  <c r="H212" i="13" s="1"/>
  <c r="I212" i="13" s="1"/>
  <c r="J212" i="13" s="1"/>
  <c r="G211" i="13"/>
  <c r="H211" i="13" s="1"/>
  <c r="I211" i="13" s="1"/>
  <c r="J211" i="13" s="1"/>
  <c r="G210" i="13"/>
  <c r="H210" i="13" s="1"/>
  <c r="I210" i="13" s="1"/>
  <c r="J210" i="13" s="1"/>
  <c r="G209" i="13"/>
  <c r="H209" i="13" s="1"/>
  <c r="I209" i="13" s="1"/>
  <c r="J209" i="13" s="1"/>
  <c r="G208" i="13"/>
  <c r="H208" i="13" s="1"/>
  <c r="I208" i="13" s="1"/>
  <c r="J208" i="13" s="1"/>
  <c r="G207" i="13"/>
  <c r="H207" i="13" s="1"/>
  <c r="I207" i="13" s="1"/>
  <c r="J207" i="13" s="1"/>
  <c r="G206" i="13"/>
  <c r="H206" i="13" s="1"/>
  <c r="I206" i="13" s="1"/>
  <c r="J206" i="13" s="1"/>
  <c r="G205" i="13"/>
  <c r="H205" i="13" s="1"/>
  <c r="I205" i="13" s="1"/>
  <c r="J205" i="13" s="1"/>
  <c r="G204" i="13"/>
  <c r="H204" i="13" s="1"/>
  <c r="I204" i="13" s="1"/>
  <c r="J204" i="13" s="1"/>
  <c r="G203" i="13"/>
  <c r="H203" i="13" s="1"/>
  <c r="I203" i="13" s="1"/>
  <c r="J203" i="13" s="1"/>
  <c r="G202" i="13"/>
  <c r="H202" i="13" s="1"/>
  <c r="I202" i="13" s="1"/>
  <c r="J202" i="13" s="1"/>
  <c r="G201" i="13"/>
  <c r="H201" i="13" s="1"/>
  <c r="I201" i="13" s="1"/>
  <c r="J201" i="13" s="1"/>
  <c r="G200" i="13"/>
  <c r="H200" i="13" s="1"/>
  <c r="I200" i="13" s="1"/>
  <c r="J200" i="13" s="1"/>
  <c r="G199" i="13"/>
  <c r="H199" i="13" s="1"/>
  <c r="I199" i="13" s="1"/>
  <c r="J199" i="13" s="1"/>
  <c r="G198" i="13"/>
  <c r="H198" i="13" s="1"/>
  <c r="I198" i="13" s="1"/>
  <c r="J198" i="13" s="1"/>
  <c r="G197" i="13"/>
  <c r="H197" i="13" s="1"/>
  <c r="I197" i="13" s="1"/>
  <c r="J197" i="13" s="1"/>
  <c r="G196" i="13"/>
  <c r="H196" i="13" s="1"/>
  <c r="I196" i="13" s="1"/>
  <c r="J196" i="13" s="1"/>
  <c r="G195" i="13"/>
  <c r="H195" i="13" s="1"/>
  <c r="I195" i="13" s="1"/>
  <c r="J195" i="13" s="1"/>
  <c r="G194" i="13"/>
  <c r="H194" i="13" s="1"/>
  <c r="I194" i="13" s="1"/>
  <c r="J194" i="13" s="1"/>
  <c r="G193" i="13"/>
  <c r="H193" i="13" s="1"/>
  <c r="I193" i="13" s="1"/>
  <c r="J193" i="13" s="1"/>
  <c r="G192" i="13"/>
  <c r="H192" i="13" s="1"/>
  <c r="I192" i="13" s="1"/>
  <c r="J192" i="13" s="1"/>
  <c r="G191" i="13"/>
  <c r="H191" i="13" s="1"/>
  <c r="I191" i="13" s="1"/>
  <c r="J191" i="13" s="1"/>
  <c r="G190" i="13"/>
  <c r="H190" i="13" s="1"/>
  <c r="I190" i="13" s="1"/>
  <c r="J190" i="13" s="1"/>
  <c r="G189" i="13"/>
  <c r="H189" i="13" s="1"/>
  <c r="I189" i="13" s="1"/>
  <c r="J189" i="13" s="1"/>
  <c r="G188" i="13"/>
  <c r="H188" i="13" s="1"/>
  <c r="I188" i="13" s="1"/>
  <c r="J188" i="13" s="1"/>
  <c r="G187" i="13"/>
  <c r="H187" i="13" s="1"/>
  <c r="I187" i="13" s="1"/>
  <c r="J187" i="13" s="1"/>
  <c r="G186" i="13"/>
  <c r="H186" i="13" s="1"/>
  <c r="I186" i="13" s="1"/>
  <c r="J186" i="13" s="1"/>
  <c r="G185" i="13"/>
  <c r="H185" i="13" s="1"/>
  <c r="I185" i="13" s="1"/>
  <c r="J185" i="13" s="1"/>
  <c r="G184" i="13"/>
  <c r="H184" i="13" s="1"/>
  <c r="I184" i="13" s="1"/>
  <c r="J184" i="13" s="1"/>
  <c r="G183" i="13"/>
  <c r="H183" i="13" s="1"/>
  <c r="I183" i="13" s="1"/>
  <c r="J183" i="13" s="1"/>
  <c r="G182" i="13"/>
  <c r="H182" i="13" s="1"/>
  <c r="I182" i="13" s="1"/>
  <c r="J182" i="13" s="1"/>
  <c r="G181" i="13"/>
  <c r="H181" i="13" s="1"/>
  <c r="I181" i="13" s="1"/>
  <c r="J181" i="13" s="1"/>
  <c r="G180" i="13"/>
  <c r="H180" i="13" s="1"/>
  <c r="I180" i="13" s="1"/>
  <c r="J180" i="13" s="1"/>
  <c r="G179" i="13"/>
  <c r="H179" i="13" s="1"/>
  <c r="I179" i="13" s="1"/>
  <c r="J179" i="13" s="1"/>
  <c r="G178" i="13"/>
  <c r="H178" i="13" s="1"/>
  <c r="I178" i="13" s="1"/>
  <c r="J178" i="13" s="1"/>
  <c r="G177" i="13"/>
  <c r="H177" i="13" s="1"/>
  <c r="I177" i="13" s="1"/>
  <c r="J177" i="13" s="1"/>
  <c r="G176" i="13"/>
  <c r="H176" i="13" s="1"/>
  <c r="I176" i="13" s="1"/>
  <c r="J176" i="13" s="1"/>
  <c r="G175" i="13"/>
  <c r="H175" i="13" s="1"/>
  <c r="I175" i="13" s="1"/>
  <c r="J175" i="13" s="1"/>
  <c r="G174" i="13"/>
  <c r="H174" i="13" s="1"/>
  <c r="I174" i="13" s="1"/>
  <c r="J174" i="13" s="1"/>
  <c r="G173" i="13"/>
  <c r="H173" i="13" s="1"/>
  <c r="I173" i="13" s="1"/>
  <c r="J173" i="13" s="1"/>
  <c r="G172" i="13"/>
  <c r="H172" i="13" s="1"/>
  <c r="I172" i="13" s="1"/>
  <c r="J172" i="13" s="1"/>
  <c r="G171" i="13"/>
  <c r="H171" i="13" s="1"/>
  <c r="I171" i="13" s="1"/>
  <c r="J171" i="13" s="1"/>
  <c r="G170" i="13"/>
  <c r="H170" i="13" s="1"/>
  <c r="I170" i="13" s="1"/>
  <c r="J170" i="13" s="1"/>
  <c r="G169" i="13"/>
  <c r="H169" i="13" s="1"/>
  <c r="I169" i="13" s="1"/>
  <c r="J169" i="13" s="1"/>
  <c r="G168" i="13"/>
  <c r="H168" i="13" s="1"/>
  <c r="I168" i="13" s="1"/>
  <c r="J168" i="13" s="1"/>
  <c r="G167" i="13"/>
  <c r="H167" i="13" s="1"/>
  <c r="I167" i="13" s="1"/>
  <c r="J167" i="13" s="1"/>
  <c r="G166" i="13"/>
  <c r="H166" i="13" s="1"/>
  <c r="I166" i="13" s="1"/>
  <c r="J166" i="13" s="1"/>
  <c r="G165" i="13"/>
  <c r="H165" i="13" s="1"/>
  <c r="I165" i="13" s="1"/>
  <c r="J165" i="13" s="1"/>
  <c r="G164" i="13"/>
  <c r="H164" i="13" s="1"/>
  <c r="I164" i="13" s="1"/>
  <c r="J164" i="13" s="1"/>
  <c r="G163" i="13"/>
  <c r="H163" i="13" s="1"/>
  <c r="I163" i="13" s="1"/>
  <c r="J163" i="13" s="1"/>
  <c r="G162" i="13"/>
  <c r="H162" i="13" s="1"/>
  <c r="I162" i="13" s="1"/>
  <c r="J162" i="13" s="1"/>
  <c r="G161" i="13"/>
  <c r="H161" i="13" s="1"/>
  <c r="I161" i="13" s="1"/>
  <c r="J161" i="13" s="1"/>
  <c r="G160" i="13"/>
  <c r="H160" i="13" s="1"/>
  <c r="I160" i="13" s="1"/>
  <c r="J160" i="13" s="1"/>
  <c r="G159" i="13"/>
  <c r="H159" i="13" s="1"/>
  <c r="I159" i="13" s="1"/>
  <c r="J159" i="13" s="1"/>
  <c r="G158" i="13"/>
  <c r="H158" i="13" s="1"/>
  <c r="I158" i="13" s="1"/>
  <c r="J158" i="13" s="1"/>
  <c r="G157" i="13"/>
  <c r="H157" i="13" s="1"/>
  <c r="I157" i="13" s="1"/>
  <c r="J157" i="13" s="1"/>
  <c r="G156" i="13"/>
  <c r="H156" i="13" s="1"/>
  <c r="I156" i="13" s="1"/>
  <c r="J156" i="13" s="1"/>
  <c r="G155" i="13"/>
  <c r="H155" i="13" s="1"/>
  <c r="I155" i="13" s="1"/>
  <c r="G154" i="13"/>
  <c r="H154" i="13" s="1"/>
  <c r="I154" i="13" s="1"/>
  <c r="J154" i="13" s="1"/>
  <c r="G153" i="13"/>
  <c r="H153" i="13" s="1"/>
  <c r="I153" i="13" s="1"/>
  <c r="J153" i="13" s="1"/>
  <c r="G152" i="13"/>
  <c r="H152" i="13" s="1"/>
  <c r="I152" i="13" s="1"/>
  <c r="J152" i="13" s="1"/>
  <c r="G151" i="13"/>
  <c r="H151" i="13" s="1"/>
  <c r="I151" i="13" s="1"/>
  <c r="J151" i="13" s="1"/>
  <c r="G150" i="13"/>
  <c r="H150" i="13" s="1"/>
  <c r="I150" i="13" s="1"/>
  <c r="J150" i="13" s="1"/>
  <c r="G149" i="13"/>
  <c r="H149" i="13" s="1"/>
  <c r="I149" i="13" s="1"/>
  <c r="J149" i="13" s="1"/>
  <c r="G148" i="13"/>
  <c r="H148" i="13" s="1"/>
  <c r="I148" i="13" s="1"/>
  <c r="J148" i="13" s="1"/>
  <c r="G147" i="13"/>
  <c r="H147" i="13" s="1"/>
  <c r="I147" i="13" s="1"/>
  <c r="J147" i="13" s="1"/>
  <c r="G146" i="13"/>
  <c r="H146" i="13" s="1"/>
  <c r="I146" i="13" s="1"/>
  <c r="J146" i="13" s="1"/>
  <c r="G145" i="13"/>
  <c r="H145" i="13" s="1"/>
  <c r="I145" i="13" s="1"/>
  <c r="J145" i="13" s="1"/>
  <c r="G144" i="13"/>
  <c r="H144" i="13" s="1"/>
  <c r="I144" i="13" s="1"/>
  <c r="J144" i="13" s="1"/>
  <c r="G143" i="13"/>
  <c r="H143" i="13" s="1"/>
  <c r="I143" i="13" s="1"/>
  <c r="J143" i="13" s="1"/>
  <c r="G142" i="13"/>
  <c r="H142" i="13" s="1"/>
  <c r="I142" i="13" s="1"/>
  <c r="J142" i="13" s="1"/>
  <c r="G141" i="13"/>
  <c r="H141" i="13" s="1"/>
  <c r="I141" i="13" s="1"/>
  <c r="J141" i="13" s="1"/>
  <c r="G140" i="13"/>
  <c r="H140" i="13" s="1"/>
  <c r="I140" i="13" s="1"/>
  <c r="J140" i="13" s="1"/>
  <c r="G139" i="13"/>
  <c r="H139" i="13" s="1"/>
  <c r="I139" i="13" s="1"/>
  <c r="J139" i="13" s="1"/>
  <c r="G138" i="13"/>
  <c r="H138" i="13" s="1"/>
  <c r="I138" i="13" s="1"/>
  <c r="J138" i="13" s="1"/>
  <c r="G137" i="13"/>
  <c r="H137" i="13" s="1"/>
  <c r="I137" i="13" s="1"/>
  <c r="J137" i="13" s="1"/>
  <c r="G136" i="13"/>
  <c r="H136" i="13" s="1"/>
  <c r="I136" i="13" s="1"/>
  <c r="J136" i="13" s="1"/>
  <c r="G135" i="13"/>
  <c r="H135" i="13" s="1"/>
  <c r="I135" i="13" s="1"/>
  <c r="J135" i="13" s="1"/>
  <c r="G134" i="13"/>
  <c r="H134" i="13" s="1"/>
  <c r="I134" i="13" s="1"/>
  <c r="J134" i="13" s="1"/>
  <c r="G133" i="13"/>
  <c r="H133" i="13" s="1"/>
  <c r="I133" i="13" s="1"/>
  <c r="J133" i="13" s="1"/>
  <c r="G132" i="13"/>
  <c r="H132" i="13" s="1"/>
  <c r="I132" i="13" s="1"/>
  <c r="G131" i="13"/>
  <c r="H131" i="13" s="1"/>
  <c r="I131" i="13" s="1"/>
  <c r="J131" i="13" s="1"/>
  <c r="G130" i="13"/>
  <c r="H130" i="13" s="1"/>
  <c r="I130" i="13" s="1"/>
  <c r="J130" i="13" s="1"/>
  <c r="G129" i="13"/>
  <c r="H129" i="13" s="1"/>
  <c r="I129" i="13" s="1"/>
  <c r="J129" i="13" s="1"/>
  <c r="G128" i="13"/>
  <c r="H128" i="13" s="1"/>
  <c r="I128" i="13" s="1"/>
  <c r="J128" i="13" s="1"/>
  <c r="G127" i="13"/>
  <c r="H127" i="13" s="1"/>
  <c r="I127" i="13" s="1"/>
  <c r="J127" i="13" s="1"/>
  <c r="G126" i="13"/>
  <c r="H126" i="13" s="1"/>
  <c r="I126" i="13" s="1"/>
  <c r="J126" i="13" s="1"/>
  <c r="G125" i="13"/>
  <c r="H125" i="13" s="1"/>
  <c r="I125" i="13" s="1"/>
  <c r="J125" i="13" s="1"/>
  <c r="G124" i="13"/>
  <c r="H124" i="13" s="1"/>
  <c r="I124" i="13" s="1"/>
  <c r="J124" i="13" s="1"/>
  <c r="G123" i="13"/>
  <c r="H123" i="13" s="1"/>
  <c r="I123" i="13" s="1"/>
  <c r="J123" i="13" s="1"/>
  <c r="G122" i="13"/>
  <c r="H122" i="13" s="1"/>
  <c r="I122" i="13" s="1"/>
  <c r="J122" i="13" s="1"/>
  <c r="G121" i="13"/>
  <c r="H121" i="13" s="1"/>
  <c r="I121" i="13" s="1"/>
  <c r="J121" i="13" s="1"/>
  <c r="G120" i="13"/>
  <c r="H120" i="13" s="1"/>
  <c r="I120" i="13" s="1"/>
  <c r="J120" i="13" s="1"/>
  <c r="G119" i="13"/>
  <c r="H119" i="13" s="1"/>
  <c r="I119" i="13" s="1"/>
  <c r="J119" i="13" s="1"/>
  <c r="G118" i="13"/>
  <c r="H118" i="13" s="1"/>
  <c r="I118" i="13" s="1"/>
  <c r="J118" i="13" s="1"/>
  <c r="G117" i="13"/>
  <c r="H117" i="13" s="1"/>
  <c r="I117" i="13" s="1"/>
  <c r="J117" i="13" s="1"/>
  <c r="G116" i="13"/>
  <c r="H116" i="13" s="1"/>
  <c r="I116" i="13" s="1"/>
  <c r="J116" i="13" s="1"/>
  <c r="G115" i="13"/>
  <c r="H115" i="13" s="1"/>
  <c r="I115" i="13" s="1"/>
  <c r="J115" i="13" s="1"/>
  <c r="G114" i="13"/>
  <c r="H114" i="13" s="1"/>
  <c r="I114" i="13" s="1"/>
  <c r="J114" i="13" s="1"/>
  <c r="G113" i="13"/>
  <c r="H113" i="13" s="1"/>
  <c r="I113" i="13" s="1"/>
  <c r="J113" i="13" s="1"/>
  <c r="G112" i="13"/>
  <c r="H112" i="13" s="1"/>
  <c r="I112" i="13" s="1"/>
  <c r="J112" i="13" s="1"/>
  <c r="G111" i="13"/>
  <c r="H111" i="13" s="1"/>
  <c r="I111" i="13" s="1"/>
  <c r="J111" i="13" s="1"/>
  <c r="G110" i="13"/>
  <c r="H110" i="13" s="1"/>
  <c r="I110" i="13" s="1"/>
  <c r="J110" i="13" s="1"/>
  <c r="G109" i="13"/>
  <c r="H109" i="13" s="1"/>
  <c r="I109" i="13" s="1"/>
  <c r="J109" i="13" s="1"/>
  <c r="G108" i="13"/>
  <c r="H108" i="13" s="1"/>
  <c r="I108" i="13" s="1"/>
  <c r="J108" i="13" s="1"/>
  <c r="G107" i="13"/>
  <c r="H107" i="13" s="1"/>
  <c r="I107" i="13" s="1"/>
  <c r="J107" i="13" s="1"/>
  <c r="G106" i="13"/>
  <c r="H106" i="13" s="1"/>
  <c r="I106" i="13" s="1"/>
  <c r="J106" i="13" s="1"/>
  <c r="G105" i="13"/>
  <c r="H105" i="13" s="1"/>
  <c r="I105" i="13" s="1"/>
  <c r="J105" i="13" s="1"/>
  <c r="G104" i="13"/>
  <c r="H104" i="13" s="1"/>
  <c r="I104" i="13" s="1"/>
  <c r="J104" i="13" s="1"/>
  <c r="G103" i="13"/>
  <c r="H103" i="13" s="1"/>
  <c r="I103" i="13" s="1"/>
  <c r="J103" i="13" s="1"/>
  <c r="G102" i="13"/>
  <c r="H102" i="13" s="1"/>
  <c r="I102" i="13" s="1"/>
  <c r="J102" i="13" s="1"/>
  <c r="G101" i="13"/>
  <c r="H101" i="13" s="1"/>
  <c r="I101" i="13" s="1"/>
  <c r="J101" i="13" s="1"/>
  <c r="G100" i="13"/>
  <c r="H100" i="13" s="1"/>
  <c r="I100" i="13" s="1"/>
  <c r="J100" i="13" s="1"/>
  <c r="G99" i="13"/>
  <c r="H99" i="13" s="1"/>
  <c r="I99" i="13" s="1"/>
  <c r="J99" i="13" s="1"/>
  <c r="G98" i="13"/>
  <c r="H98" i="13" s="1"/>
  <c r="I98" i="13" s="1"/>
  <c r="J98" i="13" s="1"/>
  <c r="G97" i="13"/>
  <c r="H97" i="13" s="1"/>
  <c r="I97" i="13" s="1"/>
  <c r="J97" i="13" s="1"/>
  <c r="G96" i="13"/>
  <c r="H96" i="13" s="1"/>
  <c r="I96" i="13" s="1"/>
  <c r="J96" i="13" s="1"/>
  <c r="G95" i="13"/>
  <c r="H95" i="13" s="1"/>
  <c r="I95" i="13" s="1"/>
  <c r="J95" i="13" s="1"/>
  <c r="G94" i="13"/>
  <c r="H94" i="13" s="1"/>
  <c r="I94" i="13" s="1"/>
  <c r="J94" i="13" s="1"/>
  <c r="G93" i="13"/>
  <c r="H93" i="13" s="1"/>
  <c r="I93" i="13" s="1"/>
  <c r="J93" i="13" s="1"/>
  <c r="G92" i="13"/>
  <c r="H92" i="13" s="1"/>
  <c r="I92" i="13" s="1"/>
  <c r="J92" i="13" s="1"/>
  <c r="G91" i="13"/>
  <c r="H91" i="13" s="1"/>
  <c r="I91" i="13" s="1"/>
  <c r="J91" i="13" s="1"/>
  <c r="G90" i="13"/>
  <c r="H90" i="13" s="1"/>
  <c r="I90" i="13" s="1"/>
  <c r="J90" i="13" s="1"/>
  <c r="G89" i="13"/>
  <c r="H89" i="13" s="1"/>
  <c r="I89" i="13" s="1"/>
  <c r="J89" i="13" s="1"/>
  <c r="G88" i="13"/>
  <c r="H88" i="13" s="1"/>
  <c r="I88" i="13" s="1"/>
  <c r="J88" i="13" s="1"/>
  <c r="G87" i="13"/>
  <c r="H87" i="13" s="1"/>
  <c r="I87" i="13" s="1"/>
  <c r="J87" i="13" s="1"/>
  <c r="G86" i="13"/>
  <c r="H86" i="13" s="1"/>
  <c r="I86" i="13" s="1"/>
  <c r="J86" i="13" s="1"/>
  <c r="G85" i="13"/>
  <c r="H85" i="13" s="1"/>
  <c r="I85" i="13" s="1"/>
  <c r="J85" i="13" s="1"/>
  <c r="G84" i="13"/>
  <c r="H84" i="13" s="1"/>
  <c r="I84" i="13" s="1"/>
  <c r="J84" i="13" s="1"/>
  <c r="G83" i="13"/>
  <c r="H83" i="13" s="1"/>
  <c r="I83" i="13" s="1"/>
  <c r="J83" i="13" s="1"/>
  <c r="G82" i="13"/>
  <c r="H82" i="13" s="1"/>
  <c r="I82" i="13" s="1"/>
  <c r="J82" i="13" s="1"/>
  <c r="G81" i="13"/>
  <c r="H81" i="13" s="1"/>
  <c r="I81" i="13" s="1"/>
  <c r="J81" i="13" s="1"/>
  <c r="G80" i="13"/>
  <c r="H80" i="13" s="1"/>
  <c r="I80" i="13" s="1"/>
  <c r="J80" i="13" s="1"/>
  <c r="G79" i="13"/>
  <c r="H79" i="13" s="1"/>
  <c r="I79" i="13" s="1"/>
  <c r="J79" i="13" s="1"/>
  <c r="G32" i="13"/>
  <c r="H32" i="13" s="1"/>
  <c r="I32" i="13" s="1"/>
  <c r="J32" i="13" s="1"/>
  <c r="C16" i="2"/>
  <c r="M9" i="11"/>
  <c r="O9" i="11"/>
  <c r="I11" i="11"/>
  <c r="J11" i="11"/>
  <c r="K11" i="11"/>
  <c r="I12" i="11"/>
  <c r="J12" i="11"/>
  <c r="K12" i="11"/>
  <c r="L17" i="11"/>
  <c r="N21" i="11" s="1"/>
  <c r="M17" i="11"/>
  <c r="O21" i="11"/>
  <c r="E29" i="11"/>
  <c r="H36" i="11"/>
  <c r="E42" i="11"/>
  <c r="N51" i="11"/>
  <c r="O51" i="11"/>
  <c r="K53" i="11"/>
  <c r="L55" i="11"/>
  <c r="N57" i="11"/>
  <c r="D69" i="11"/>
  <c r="I69" i="11"/>
  <c r="N69" i="11"/>
  <c r="N71" i="11"/>
  <c r="D74" i="11"/>
  <c r="E74" i="11" s="1"/>
  <c r="I74" i="11"/>
  <c r="J74" i="11" s="1"/>
  <c r="N74" i="11"/>
  <c r="O74" i="11" s="1"/>
  <c r="B75" i="11"/>
  <c r="G75" i="11"/>
  <c r="I75" i="11"/>
  <c r="J75" i="11" s="1"/>
  <c r="L75" i="11"/>
  <c r="J103" i="11"/>
  <c r="D105" i="11"/>
  <c r="J105" i="11" s="1"/>
  <c r="E105" i="11"/>
  <c r="I117" i="11"/>
  <c r="I118" i="11"/>
  <c r="I120" i="11"/>
  <c r="D122" i="11"/>
  <c r="G125" i="11"/>
  <c r="H125" i="11" s="1"/>
  <c r="H126" i="11" s="1"/>
  <c r="G126" i="11"/>
  <c r="C127" i="11"/>
  <c r="D127" i="11"/>
  <c r="C132" i="11"/>
  <c r="M137" i="11" s="1"/>
  <c r="F135" i="11"/>
  <c r="C154" i="11"/>
  <c r="C155" i="11"/>
  <c r="J155" i="11"/>
  <c r="C156" i="11"/>
  <c r="J156" i="11"/>
  <c r="N156" i="11"/>
  <c r="N157" i="11"/>
  <c r="N158" i="11"/>
  <c r="N159" i="11"/>
  <c r="N160" i="11"/>
  <c r="N161" i="11"/>
  <c r="N162" i="11"/>
  <c r="N163" i="11"/>
  <c r="N164" i="11"/>
  <c r="C157" i="11"/>
  <c r="J157" i="11"/>
  <c r="C158" i="11"/>
  <c r="J158" i="11"/>
  <c r="C159" i="11"/>
  <c r="J159" i="11"/>
  <c r="C160" i="11"/>
  <c r="J160" i="11"/>
  <c r="C161" i="11"/>
  <c r="J161" i="11"/>
  <c r="C162" i="11"/>
  <c r="J162" i="11"/>
  <c r="C163" i="11"/>
  <c r="J163" i="11"/>
  <c r="C164" i="11"/>
  <c r="J164" i="11"/>
  <c r="J187" i="11"/>
  <c r="J189" i="11"/>
  <c r="E194" i="11"/>
  <c r="I5" i="2"/>
  <c r="G2" i="13" s="1"/>
  <c r="AE5" i="2"/>
  <c r="I6" i="2"/>
  <c r="G3" i="13" s="1"/>
  <c r="AA12" i="2"/>
  <c r="AM16" i="2"/>
  <c r="B17" i="2"/>
  <c r="B7" i="10" s="1"/>
  <c r="B18" i="2"/>
  <c r="B8" i="10" s="1"/>
  <c r="B19" i="2"/>
  <c r="B9" i="10" s="1"/>
  <c r="B20" i="2"/>
  <c r="B10" i="10" s="1"/>
  <c r="B21" i="2"/>
  <c r="AM21" i="2" s="1"/>
  <c r="B22" i="2"/>
  <c r="C22" i="2" s="1"/>
  <c r="B23" i="2"/>
  <c r="C23" i="2" s="1"/>
  <c r="B24" i="2"/>
  <c r="C24" i="2" s="1"/>
  <c r="B25" i="2"/>
  <c r="B15" i="10" s="1"/>
  <c r="B26" i="2"/>
  <c r="C26" i="2" s="1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L136" i="2"/>
  <c r="AL137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L190" i="2"/>
  <c r="AL191" i="2"/>
  <c r="AL192" i="2"/>
  <c r="AL193" i="2"/>
  <c r="AL194" i="2"/>
  <c r="AL195" i="2"/>
  <c r="AL196" i="2"/>
  <c r="AL197" i="2"/>
  <c r="AL198" i="2"/>
  <c r="AL199" i="2"/>
  <c r="AL200" i="2"/>
  <c r="AL201" i="2"/>
  <c r="AL202" i="2"/>
  <c r="AL203" i="2"/>
  <c r="AL204" i="2"/>
  <c r="AL205" i="2"/>
  <c r="AL206" i="2"/>
  <c r="AL207" i="2"/>
  <c r="AL208" i="2"/>
  <c r="AL209" i="2"/>
  <c r="AL210" i="2"/>
  <c r="S228" i="2"/>
  <c r="T228" i="2"/>
  <c r="R229" i="2"/>
  <c r="S229" i="2"/>
  <c r="T229" i="2"/>
  <c r="U229" i="2"/>
  <c r="V229" i="2"/>
  <c r="W229" i="2"/>
  <c r="X229" i="2"/>
  <c r="Y229" i="2"/>
  <c r="R230" i="2"/>
  <c r="S230" i="2"/>
  <c r="T230" i="2"/>
  <c r="U230" i="2"/>
  <c r="V230" i="2"/>
  <c r="W230" i="2"/>
  <c r="X230" i="2"/>
  <c r="Y230" i="2"/>
  <c r="R231" i="2"/>
  <c r="S231" i="2"/>
  <c r="T231" i="2"/>
  <c r="U231" i="2"/>
  <c r="V231" i="2"/>
  <c r="W231" i="2"/>
  <c r="X231" i="2"/>
  <c r="Y231" i="2"/>
  <c r="R232" i="2"/>
  <c r="S232" i="2"/>
  <c r="T232" i="2"/>
  <c r="U232" i="2"/>
  <c r="V232" i="2"/>
  <c r="W232" i="2"/>
  <c r="X232" i="2"/>
  <c r="Y232" i="2"/>
  <c r="R233" i="2"/>
  <c r="S233" i="2"/>
  <c r="T233" i="2"/>
  <c r="U233" i="2"/>
  <c r="V233" i="2"/>
  <c r="W233" i="2"/>
  <c r="X233" i="2"/>
  <c r="Y233" i="2"/>
  <c r="R234" i="2"/>
  <c r="S234" i="2"/>
  <c r="T234" i="2"/>
  <c r="U234" i="2"/>
  <c r="V234" i="2"/>
  <c r="W234" i="2"/>
  <c r="X234" i="2"/>
  <c r="Y234" i="2"/>
  <c r="R235" i="2"/>
  <c r="S235" i="2"/>
  <c r="T235" i="2"/>
  <c r="U235" i="2"/>
  <c r="V235" i="2"/>
  <c r="W235" i="2"/>
  <c r="X235" i="2"/>
  <c r="Y235" i="2"/>
  <c r="R236" i="2"/>
  <c r="S236" i="2"/>
  <c r="T236" i="2"/>
  <c r="U236" i="2"/>
  <c r="V236" i="2"/>
  <c r="W236" i="2"/>
  <c r="X236" i="2"/>
  <c r="Y236" i="2"/>
  <c r="R237" i="2"/>
  <c r="S237" i="2"/>
  <c r="T237" i="2"/>
  <c r="U237" i="2"/>
  <c r="V237" i="2"/>
  <c r="W237" i="2"/>
  <c r="X237" i="2"/>
  <c r="Y237" i="2"/>
  <c r="R238" i="2"/>
  <c r="S238" i="2"/>
  <c r="T238" i="2"/>
  <c r="U238" i="2"/>
  <c r="V238" i="2"/>
  <c r="W238" i="2"/>
  <c r="X238" i="2"/>
  <c r="Y238" i="2"/>
  <c r="R239" i="2"/>
  <c r="S239" i="2"/>
  <c r="T239" i="2"/>
  <c r="U239" i="2"/>
  <c r="V239" i="2"/>
  <c r="W239" i="2"/>
  <c r="X239" i="2"/>
  <c r="Y239" i="2"/>
  <c r="R240" i="2"/>
  <c r="S240" i="2"/>
  <c r="T240" i="2"/>
  <c r="U240" i="2"/>
  <c r="V240" i="2"/>
  <c r="W240" i="2"/>
  <c r="X240" i="2"/>
  <c r="Y240" i="2"/>
  <c r="R241" i="2"/>
  <c r="S241" i="2"/>
  <c r="T241" i="2"/>
  <c r="U241" i="2"/>
  <c r="V241" i="2"/>
  <c r="W241" i="2"/>
  <c r="X241" i="2"/>
  <c r="Y241" i="2"/>
  <c r="R242" i="2"/>
  <c r="S242" i="2"/>
  <c r="T242" i="2"/>
  <c r="U242" i="2"/>
  <c r="V242" i="2"/>
  <c r="W242" i="2"/>
  <c r="X242" i="2"/>
  <c r="Y242" i="2"/>
  <c r="R243" i="2"/>
  <c r="S243" i="2"/>
  <c r="T243" i="2"/>
  <c r="U243" i="2"/>
  <c r="V243" i="2"/>
  <c r="W243" i="2"/>
  <c r="X243" i="2"/>
  <c r="Y243" i="2"/>
  <c r="R244" i="2"/>
  <c r="S244" i="2"/>
  <c r="T244" i="2"/>
  <c r="U244" i="2"/>
  <c r="V244" i="2"/>
  <c r="W244" i="2"/>
  <c r="X244" i="2"/>
  <c r="Y244" i="2"/>
  <c r="R245" i="2"/>
  <c r="S245" i="2"/>
  <c r="T245" i="2"/>
  <c r="U245" i="2"/>
  <c r="V245" i="2"/>
  <c r="W245" i="2"/>
  <c r="X245" i="2"/>
  <c r="Y245" i="2"/>
  <c r="R246" i="2"/>
  <c r="S246" i="2"/>
  <c r="T246" i="2"/>
  <c r="U246" i="2"/>
  <c r="V246" i="2"/>
  <c r="W246" i="2"/>
  <c r="X246" i="2"/>
  <c r="Y246" i="2"/>
  <c r="R247" i="2"/>
  <c r="S247" i="2"/>
  <c r="T247" i="2"/>
  <c r="U247" i="2"/>
  <c r="V247" i="2"/>
  <c r="W247" i="2"/>
  <c r="X247" i="2"/>
  <c r="Y247" i="2"/>
  <c r="R248" i="2"/>
  <c r="S248" i="2"/>
  <c r="T248" i="2"/>
  <c r="U248" i="2"/>
  <c r="V248" i="2"/>
  <c r="W248" i="2"/>
  <c r="X248" i="2"/>
  <c r="Y248" i="2"/>
  <c r="R249" i="2"/>
  <c r="S249" i="2"/>
  <c r="T249" i="2"/>
  <c r="U249" i="2"/>
  <c r="V249" i="2"/>
  <c r="W249" i="2"/>
  <c r="X249" i="2"/>
  <c r="Y249" i="2"/>
  <c r="R250" i="2"/>
  <c r="S250" i="2"/>
  <c r="T250" i="2"/>
  <c r="U250" i="2"/>
  <c r="V250" i="2"/>
  <c r="W250" i="2"/>
  <c r="X250" i="2"/>
  <c r="Y250" i="2"/>
  <c r="R251" i="2"/>
  <c r="S251" i="2"/>
  <c r="T251" i="2"/>
  <c r="U251" i="2"/>
  <c r="V251" i="2"/>
  <c r="W251" i="2"/>
  <c r="X251" i="2"/>
  <c r="Y251" i="2"/>
  <c r="R252" i="2"/>
  <c r="S252" i="2"/>
  <c r="T252" i="2"/>
  <c r="U252" i="2"/>
  <c r="V252" i="2"/>
  <c r="W252" i="2"/>
  <c r="X252" i="2"/>
  <c r="Y252" i="2"/>
  <c r="R253" i="2"/>
  <c r="S253" i="2"/>
  <c r="T253" i="2"/>
  <c r="U253" i="2"/>
  <c r="V253" i="2"/>
  <c r="W253" i="2"/>
  <c r="X253" i="2"/>
  <c r="Y253" i="2"/>
  <c r="F2" i="13"/>
  <c r="F3" i="13"/>
  <c r="F4" i="13"/>
  <c r="G8" i="13"/>
  <c r="G9" i="13"/>
  <c r="G11" i="13"/>
  <c r="G13" i="13"/>
  <c r="G14" i="13"/>
  <c r="G16" i="13"/>
  <c r="G17" i="13"/>
  <c r="G18" i="13"/>
  <c r="G20" i="13"/>
  <c r="G21" i="13"/>
  <c r="G22" i="13"/>
  <c r="G23" i="13"/>
  <c r="G25" i="13"/>
  <c r="G26" i="13"/>
  <c r="G27" i="13"/>
  <c r="G28" i="13"/>
  <c r="G29" i="13"/>
  <c r="G30" i="13"/>
  <c r="G31" i="13"/>
  <c r="G33" i="13"/>
  <c r="G34" i="13"/>
  <c r="G35" i="13"/>
  <c r="G36" i="13"/>
  <c r="G37" i="13"/>
  <c r="G38" i="13"/>
  <c r="G39" i="13"/>
  <c r="G40" i="13"/>
  <c r="G41" i="13"/>
  <c r="G42" i="13"/>
  <c r="H42" i="13" s="1"/>
  <c r="I42" i="13" s="1"/>
  <c r="G43" i="13"/>
  <c r="G44" i="13"/>
  <c r="G45" i="13"/>
  <c r="G46" i="13"/>
  <c r="G47" i="13"/>
  <c r="G48" i="13"/>
  <c r="G49" i="13"/>
  <c r="G50" i="13"/>
  <c r="G51" i="13"/>
  <c r="G52" i="13"/>
  <c r="G53" i="13"/>
  <c r="G55" i="13"/>
  <c r="G56" i="13"/>
  <c r="G57" i="13"/>
  <c r="G58" i="13"/>
  <c r="G59" i="13"/>
  <c r="G60" i="13"/>
  <c r="G61" i="13"/>
  <c r="G62" i="13"/>
  <c r="G63" i="13"/>
  <c r="H63" i="13" s="1"/>
  <c r="I63" i="13" s="1"/>
  <c r="G64" i="13"/>
  <c r="H64" i="13" s="1"/>
  <c r="I64" i="13" s="1"/>
  <c r="G65" i="13"/>
  <c r="H65" i="13" s="1"/>
  <c r="I65" i="13" s="1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1288" i="13"/>
  <c r="H1288" i="13" s="1"/>
  <c r="I1288" i="13" s="1"/>
  <c r="J1288" i="13" s="1"/>
  <c r="G1289" i="13"/>
  <c r="H1289" i="13" s="1"/>
  <c r="I1289" i="13" s="1"/>
  <c r="J1289" i="13" s="1"/>
  <c r="G1290" i="13"/>
  <c r="H1290" i="13" s="1"/>
  <c r="I1290" i="13" s="1"/>
  <c r="J1290" i="13" s="1"/>
  <c r="G1291" i="13"/>
  <c r="H1291" i="13" s="1"/>
  <c r="I1291" i="13" s="1"/>
  <c r="J1291" i="13" s="1"/>
  <c r="G1292" i="13"/>
  <c r="H1292" i="13" s="1"/>
  <c r="I1292" i="13" s="1"/>
  <c r="J1292" i="13" s="1"/>
  <c r="G1293" i="13"/>
  <c r="H1293" i="13" s="1"/>
  <c r="I1293" i="13" s="1"/>
  <c r="J1293" i="13" s="1"/>
  <c r="G1294" i="13"/>
  <c r="H1294" i="13" s="1"/>
  <c r="I1294" i="13" s="1"/>
  <c r="J1294" i="13" s="1"/>
  <c r="G1295" i="13"/>
  <c r="H1295" i="13" s="1"/>
  <c r="I1295" i="13" s="1"/>
  <c r="J1295" i="13" s="1"/>
  <c r="G1296" i="13"/>
  <c r="H1296" i="13" s="1"/>
  <c r="I1296" i="13" s="1"/>
  <c r="J1296" i="13" s="1"/>
  <c r="G1297" i="13"/>
  <c r="H1297" i="13" s="1"/>
  <c r="I1297" i="13" s="1"/>
  <c r="J1297" i="13" s="1"/>
  <c r="G1298" i="13"/>
  <c r="H1298" i="13" s="1"/>
  <c r="I1298" i="13" s="1"/>
  <c r="J1298" i="13" s="1"/>
  <c r="G1299" i="13"/>
  <c r="H1299" i="13" s="1"/>
  <c r="I1299" i="13" s="1"/>
  <c r="J1299" i="13" s="1"/>
  <c r="G1300" i="13"/>
  <c r="H1300" i="13" s="1"/>
  <c r="I1300" i="13" s="1"/>
  <c r="J1300" i="13" s="1"/>
  <c r="G1301" i="13"/>
  <c r="H1301" i="13" s="1"/>
  <c r="I1301" i="13" s="1"/>
  <c r="J1301" i="13" s="1"/>
  <c r="G1302" i="13"/>
  <c r="H1302" i="13" s="1"/>
  <c r="I1302" i="13" s="1"/>
  <c r="J1302" i="13" s="1"/>
  <c r="G1303" i="13"/>
  <c r="H1303" i="13" s="1"/>
  <c r="I1303" i="13" s="1"/>
  <c r="J1303" i="13" s="1"/>
  <c r="G1304" i="13"/>
  <c r="H1304" i="13" s="1"/>
  <c r="I1304" i="13" s="1"/>
  <c r="J1304" i="13" s="1"/>
  <c r="G1305" i="13"/>
  <c r="H1305" i="13" s="1"/>
  <c r="I1305" i="13" s="1"/>
  <c r="J1305" i="13" s="1"/>
  <c r="G1306" i="13"/>
  <c r="H1306" i="13" s="1"/>
  <c r="I1306" i="13" s="1"/>
  <c r="J1306" i="13" s="1"/>
  <c r="G1307" i="13"/>
  <c r="H1307" i="13" s="1"/>
  <c r="I1307" i="13" s="1"/>
  <c r="J1307" i="13" s="1"/>
  <c r="G1308" i="13"/>
  <c r="H1308" i="13" s="1"/>
  <c r="I1308" i="13" s="1"/>
  <c r="J1308" i="13" s="1"/>
  <c r="G1309" i="13"/>
  <c r="H1309" i="13" s="1"/>
  <c r="I1309" i="13" s="1"/>
  <c r="J1309" i="13" s="1"/>
  <c r="G1310" i="13"/>
  <c r="H1310" i="13" s="1"/>
  <c r="I1310" i="13" s="1"/>
  <c r="J1310" i="13" s="1"/>
  <c r="G1311" i="13"/>
  <c r="H1311" i="13" s="1"/>
  <c r="I1311" i="13" s="1"/>
  <c r="J1311" i="13" s="1"/>
  <c r="G1312" i="13"/>
  <c r="H1312" i="13" s="1"/>
  <c r="I1312" i="13" s="1"/>
  <c r="J1312" i="13" s="1"/>
  <c r="G1313" i="13"/>
  <c r="H1313" i="13" s="1"/>
  <c r="I1313" i="13" s="1"/>
  <c r="J1313" i="13" s="1"/>
  <c r="G1314" i="13"/>
  <c r="H1314" i="13" s="1"/>
  <c r="I1314" i="13" s="1"/>
  <c r="J1314" i="13" s="1"/>
  <c r="G1315" i="13"/>
  <c r="H1315" i="13" s="1"/>
  <c r="I1315" i="13" s="1"/>
  <c r="J1315" i="13" s="1"/>
  <c r="G1316" i="13"/>
  <c r="H1316" i="13" s="1"/>
  <c r="I1316" i="13" s="1"/>
  <c r="J1316" i="13" s="1"/>
  <c r="G1317" i="13"/>
  <c r="H1317" i="13" s="1"/>
  <c r="I1317" i="13" s="1"/>
  <c r="J1317" i="13" s="1"/>
  <c r="G1318" i="13"/>
  <c r="H1318" i="13" s="1"/>
  <c r="I1318" i="13" s="1"/>
  <c r="J1318" i="13" s="1"/>
  <c r="G1319" i="13"/>
  <c r="H1319" i="13" s="1"/>
  <c r="I1319" i="13" s="1"/>
  <c r="J1319" i="13" s="1"/>
  <c r="G1320" i="13"/>
  <c r="H1320" i="13" s="1"/>
  <c r="I1320" i="13" s="1"/>
  <c r="J1320" i="13" s="1"/>
  <c r="G1321" i="13"/>
  <c r="H1321" i="13" s="1"/>
  <c r="I1321" i="13" s="1"/>
  <c r="J1321" i="13" s="1"/>
  <c r="G1322" i="13"/>
  <c r="H1322" i="13" s="1"/>
  <c r="I1322" i="13" s="1"/>
  <c r="J1322" i="13" s="1"/>
  <c r="G1323" i="13"/>
  <c r="H1323" i="13" s="1"/>
  <c r="I1323" i="13" s="1"/>
  <c r="J1323" i="13" s="1"/>
  <c r="G1324" i="13"/>
  <c r="H1324" i="13" s="1"/>
  <c r="I1324" i="13" s="1"/>
  <c r="J1324" i="13" s="1"/>
  <c r="G1325" i="13"/>
  <c r="H1325" i="13" s="1"/>
  <c r="I1325" i="13" s="1"/>
  <c r="J1325" i="13" s="1"/>
  <c r="G1326" i="13"/>
  <c r="H1326" i="13" s="1"/>
  <c r="I1326" i="13" s="1"/>
  <c r="J1326" i="13" s="1"/>
  <c r="G1327" i="13"/>
  <c r="H1327" i="13" s="1"/>
  <c r="I1327" i="13" s="1"/>
  <c r="J1327" i="13" s="1"/>
  <c r="G1328" i="13"/>
  <c r="H1328" i="13" s="1"/>
  <c r="I1328" i="13" s="1"/>
  <c r="J1328" i="13" s="1"/>
  <c r="G1329" i="13"/>
  <c r="H1329" i="13" s="1"/>
  <c r="I1329" i="13" s="1"/>
  <c r="J1329" i="13" s="1"/>
  <c r="G1330" i="13"/>
  <c r="H1330" i="13" s="1"/>
  <c r="I1330" i="13" s="1"/>
  <c r="J1330" i="13" s="1"/>
  <c r="G1331" i="13"/>
  <c r="H1331" i="13" s="1"/>
  <c r="I1331" i="13" s="1"/>
  <c r="J1331" i="13" s="1"/>
  <c r="G1332" i="13"/>
  <c r="H1332" i="13" s="1"/>
  <c r="I1332" i="13" s="1"/>
  <c r="J1332" i="13" s="1"/>
  <c r="G1333" i="13"/>
  <c r="H1333" i="13" s="1"/>
  <c r="I1333" i="13" s="1"/>
  <c r="J1333" i="13" s="1"/>
  <c r="G1334" i="13"/>
  <c r="H1334" i="13" s="1"/>
  <c r="I1334" i="13" s="1"/>
  <c r="J1334" i="13" s="1"/>
  <c r="G1335" i="13"/>
  <c r="H1335" i="13" s="1"/>
  <c r="I1335" i="13" s="1"/>
  <c r="J1335" i="13" s="1"/>
  <c r="G1336" i="13"/>
  <c r="H1336" i="13" s="1"/>
  <c r="I1336" i="13" s="1"/>
  <c r="J1336" i="13" s="1"/>
  <c r="G1337" i="13"/>
  <c r="H1337" i="13" s="1"/>
  <c r="I1337" i="13" s="1"/>
  <c r="J1337" i="13" s="1"/>
  <c r="G1338" i="13"/>
  <c r="H1338" i="13" s="1"/>
  <c r="I1338" i="13" s="1"/>
  <c r="J1338" i="13" s="1"/>
  <c r="G1339" i="13"/>
  <c r="H1339" i="13" s="1"/>
  <c r="I1339" i="13" s="1"/>
  <c r="J1339" i="13" s="1"/>
  <c r="G1340" i="13"/>
  <c r="H1340" i="13" s="1"/>
  <c r="I1340" i="13" s="1"/>
  <c r="J1340" i="13" s="1"/>
  <c r="G1341" i="13"/>
  <c r="H1341" i="13" s="1"/>
  <c r="I1341" i="13" s="1"/>
  <c r="J1341" i="13" s="1"/>
  <c r="G1342" i="13"/>
  <c r="H1342" i="13" s="1"/>
  <c r="I1342" i="13" s="1"/>
  <c r="J1342" i="13" s="1"/>
  <c r="G1343" i="13"/>
  <c r="H1343" i="13" s="1"/>
  <c r="I1343" i="13" s="1"/>
  <c r="J1343" i="13" s="1"/>
  <c r="G1344" i="13"/>
  <c r="H1344" i="13" s="1"/>
  <c r="I1344" i="13" s="1"/>
  <c r="J1344" i="13" s="1"/>
  <c r="G1345" i="13"/>
  <c r="H1345" i="13" s="1"/>
  <c r="I1345" i="13" s="1"/>
  <c r="J1345" i="13" s="1"/>
  <c r="G1346" i="13"/>
  <c r="H1346" i="13" s="1"/>
  <c r="I1346" i="13" s="1"/>
  <c r="J1346" i="13" s="1"/>
  <c r="G1347" i="13"/>
  <c r="H1347" i="13" s="1"/>
  <c r="I1347" i="13" s="1"/>
  <c r="J1347" i="13" s="1"/>
  <c r="G1348" i="13"/>
  <c r="H1348" i="13" s="1"/>
  <c r="I1348" i="13" s="1"/>
  <c r="J1348" i="13" s="1"/>
  <c r="G1349" i="13"/>
  <c r="H1349" i="13" s="1"/>
  <c r="I1349" i="13" s="1"/>
  <c r="J1349" i="13" s="1"/>
  <c r="G1350" i="13"/>
  <c r="H1350" i="13" s="1"/>
  <c r="I1350" i="13" s="1"/>
  <c r="J1350" i="13" s="1"/>
  <c r="G1351" i="13"/>
  <c r="H1351" i="13" s="1"/>
  <c r="I1351" i="13" s="1"/>
  <c r="J1351" i="13" s="1"/>
  <c r="G1352" i="13"/>
  <c r="H1352" i="13" s="1"/>
  <c r="I1352" i="13" s="1"/>
  <c r="J1352" i="13" s="1"/>
  <c r="G1353" i="13"/>
  <c r="H1353" i="13" s="1"/>
  <c r="I1353" i="13" s="1"/>
  <c r="J1353" i="13" s="1"/>
  <c r="G1354" i="13"/>
  <c r="H1354" i="13" s="1"/>
  <c r="I1354" i="13" s="1"/>
  <c r="J1354" i="13" s="1"/>
  <c r="G1355" i="13"/>
  <c r="H1355" i="13" s="1"/>
  <c r="I1355" i="13" s="1"/>
  <c r="J1355" i="13" s="1"/>
  <c r="G1356" i="13"/>
  <c r="H1356" i="13" s="1"/>
  <c r="I1356" i="13" s="1"/>
  <c r="J1356" i="13" s="1"/>
  <c r="G1357" i="13"/>
  <c r="H1357" i="13" s="1"/>
  <c r="I1357" i="13" s="1"/>
  <c r="J1357" i="13" s="1"/>
  <c r="G1358" i="13"/>
  <c r="H1358" i="13" s="1"/>
  <c r="I1358" i="13" s="1"/>
  <c r="J1358" i="13" s="1"/>
  <c r="G1359" i="13"/>
  <c r="H1359" i="13" s="1"/>
  <c r="I1359" i="13" s="1"/>
  <c r="J1359" i="13" s="1"/>
  <c r="G1360" i="13"/>
  <c r="H1360" i="13" s="1"/>
  <c r="I1360" i="13" s="1"/>
  <c r="J1360" i="13" s="1"/>
  <c r="G1361" i="13"/>
  <c r="H1361" i="13" s="1"/>
  <c r="I1361" i="13" s="1"/>
  <c r="J1361" i="13" s="1"/>
  <c r="G1362" i="13"/>
  <c r="H1362" i="13" s="1"/>
  <c r="I1362" i="13" s="1"/>
  <c r="J1362" i="13" s="1"/>
  <c r="G1363" i="13"/>
  <c r="H1363" i="13" s="1"/>
  <c r="I1363" i="13" s="1"/>
  <c r="J1363" i="13" s="1"/>
  <c r="G1364" i="13"/>
  <c r="H1364" i="13" s="1"/>
  <c r="I1364" i="13" s="1"/>
  <c r="J1364" i="13" s="1"/>
  <c r="G1365" i="13"/>
  <c r="H1365" i="13" s="1"/>
  <c r="I1365" i="13" s="1"/>
  <c r="J1365" i="13" s="1"/>
  <c r="G1366" i="13"/>
  <c r="H1366" i="13" s="1"/>
  <c r="I1366" i="13" s="1"/>
  <c r="J1366" i="13" s="1"/>
  <c r="G1367" i="13"/>
  <c r="H1367" i="13" s="1"/>
  <c r="I1367" i="13" s="1"/>
  <c r="J1367" i="13" s="1"/>
  <c r="G1368" i="13"/>
  <c r="H1368" i="13" s="1"/>
  <c r="I1368" i="13" s="1"/>
  <c r="J1368" i="13" s="1"/>
  <c r="G1369" i="13"/>
  <c r="H1369" i="13" s="1"/>
  <c r="I1369" i="13" s="1"/>
  <c r="J1369" i="13" s="1"/>
  <c r="G1370" i="13"/>
  <c r="H1370" i="13" s="1"/>
  <c r="I1370" i="13" s="1"/>
  <c r="J1370" i="13" s="1"/>
  <c r="G1371" i="13"/>
  <c r="H1371" i="13" s="1"/>
  <c r="I1371" i="13" s="1"/>
  <c r="J1371" i="13" s="1"/>
  <c r="G1372" i="13"/>
  <c r="H1372" i="13" s="1"/>
  <c r="I1372" i="13" s="1"/>
  <c r="J1372" i="13" s="1"/>
  <c r="G1373" i="13"/>
  <c r="H1373" i="13" s="1"/>
  <c r="I1373" i="13" s="1"/>
  <c r="J1373" i="13" s="1"/>
  <c r="G1374" i="13"/>
  <c r="H1374" i="13" s="1"/>
  <c r="I1374" i="13" s="1"/>
  <c r="J1374" i="13" s="1"/>
  <c r="G1375" i="13"/>
  <c r="H1375" i="13" s="1"/>
  <c r="I1375" i="13" s="1"/>
  <c r="J1375" i="13" s="1"/>
  <c r="G1376" i="13"/>
  <c r="H1376" i="13" s="1"/>
  <c r="I1376" i="13" s="1"/>
  <c r="J1376" i="13" s="1"/>
  <c r="G1377" i="13"/>
  <c r="H1377" i="13" s="1"/>
  <c r="I1377" i="13" s="1"/>
  <c r="J1377" i="13" s="1"/>
  <c r="G1378" i="13"/>
  <c r="H1378" i="13" s="1"/>
  <c r="I1378" i="13" s="1"/>
  <c r="J1378" i="13" s="1"/>
  <c r="G1379" i="13"/>
  <c r="H1379" i="13" s="1"/>
  <c r="I1379" i="13" s="1"/>
  <c r="J1379" i="13" s="1"/>
  <c r="G1380" i="13"/>
  <c r="H1380" i="13" s="1"/>
  <c r="I1380" i="13" s="1"/>
  <c r="J1380" i="13" s="1"/>
  <c r="G1381" i="13"/>
  <c r="H1381" i="13" s="1"/>
  <c r="I1381" i="13" s="1"/>
  <c r="J1381" i="13" s="1"/>
  <c r="G1382" i="13"/>
  <c r="H1382" i="13" s="1"/>
  <c r="I1382" i="13" s="1"/>
  <c r="J1382" i="13" s="1"/>
  <c r="G1383" i="13"/>
  <c r="H1383" i="13" s="1"/>
  <c r="I1383" i="13" s="1"/>
  <c r="J1383" i="13" s="1"/>
  <c r="G1384" i="13"/>
  <c r="H1384" i="13" s="1"/>
  <c r="I1384" i="13" s="1"/>
  <c r="J1384" i="13" s="1"/>
  <c r="G1385" i="13"/>
  <c r="H1385" i="13" s="1"/>
  <c r="I1385" i="13" s="1"/>
  <c r="J1385" i="13" s="1"/>
  <c r="G1386" i="13"/>
  <c r="H1386" i="13" s="1"/>
  <c r="I1386" i="13" s="1"/>
  <c r="J1386" i="13" s="1"/>
  <c r="G1387" i="13"/>
  <c r="H1387" i="13" s="1"/>
  <c r="I1387" i="13" s="1"/>
  <c r="J1387" i="13" s="1"/>
  <c r="G1388" i="13"/>
  <c r="H1388" i="13" s="1"/>
  <c r="I1388" i="13" s="1"/>
  <c r="J1388" i="13" s="1"/>
  <c r="G1389" i="13"/>
  <c r="H1389" i="13" s="1"/>
  <c r="I1389" i="13" s="1"/>
  <c r="J1389" i="13" s="1"/>
  <c r="G1390" i="13"/>
  <c r="H1390" i="13" s="1"/>
  <c r="I1390" i="13" s="1"/>
  <c r="J1390" i="13" s="1"/>
  <c r="G1391" i="13"/>
  <c r="H1391" i="13" s="1"/>
  <c r="I1391" i="13" s="1"/>
  <c r="J1391" i="13" s="1"/>
  <c r="G1392" i="13"/>
  <c r="H1392" i="13" s="1"/>
  <c r="I1392" i="13" s="1"/>
  <c r="J1392" i="13" s="1"/>
  <c r="G1393" i="13"/>
  <c r="H1393" i="13" s="1"/>
  <c r="I1393" i="13" s="1"/>
  <c r="J1393" i="13" s="1"/>
  <c r="G1394" i="13"/>
  <c r="H1394" i="13" s="1"/>
  <c r="I1394" i="13" s="1"/>
  <c r="J1394" i="13" s="1"/>
  <c r="G1395" i="13"/>
  <c r="H1395" i="13" s="1"/>
  <c r="I1395" i="13" s="1"/>
  <c r="J1395" i="13" s="1"/>
  <c r="G1396" i="13"/>
  <c r="H1396" i="13" s="1"/>
  <c r="I1396" i="13" s="1"/>
  <c r="J1396" i="13" s="1"/>
  <c r="G1397" i="13"/>
  <c r="H1397" i="13" s="1"/>
  <c r="I1397" i="13" s="1"/>
  <c r="J1397" i="13" s="1"/>
  <c r="G1398" i="13"/>
  <c r="H1398" i="13" s="1"/>
  <c r="I1398" i="13" s="1"/>
  <c r="J1398" i="13" s="1"/>
  <c r="G1399" i="13"/>
  <c r="H1399" i="13" s="1"/>
  <c r="I1399" i="13" s="1"/>
  <c r="J1399" i="13" s="1"/>
  <c r="G1400" i="13"/>
  <c r="H1400" i="13" s="1"/>
  <c r="I1400" i="13" s="1"/>
  <c r="J1400" i="13" s="1"/>
  <c r="G1401" i="13"/>
  <c r="H1401" i="13" s="1"/>
  <c r="I1401" i="13" s="1"/>
  <c r="J1401" i="13" s="1"/>
  <c r="G1402" i="13"/>
  <c r="H1402" i="13" s="1"/>
  <c r="I1402" i="13" s="1"/>
  <c r="J1402" i="13" s="1"/>
  <c r="G1403" i="13"/>
  <c r="H1403" i="13" s="1"/>
  <c r="I1403" i="13" s="1"/>
  <c r="J1403" i="13" s="1"/>
  <c r="G1404" i="13"/>
  <c r="H1404" i="13" s="1"/>
  <c r="I1404" i="13" s="1"/>
  <c r="J1404" i="13" s="1"/>
  <c r="G1405" i="13"/>
  <c r="H1405" i="13" s="1"/>
  <c r="I1405" i="13" s="1"/>
  <c r="J1405" i="13" s="1"/>
  <c r="G1406" i="13"/>
  <c r="H1406" i="13" s="1"/>
  <c r="I1406" i="13" s="1"/>
  <c r="J1406" i="13" s="1"/>
  <c r="G1407" i="13"/>
  <c r="H1407" i="13" s="1"/>
  <c r="I1407" i="13" s="1"/>
  <c r="J1407" i="13" s="1"/>
  <c r="G1408" i="13"/>
  <c r="H1408" i="13" s="1"/>
  <c r="I1408" i="13" s="1"/>
  <c r="J1408" i="13" s="1"/>
  <c r="G1409" i="13"/>
  <c r="H1409" i="13" s="1"/>
  <c r="I1409" i="13" s="1"/>
  <c r="J1409" i="13" s="1"/>
  <c r="G1410" i="13"/>
  <c r="H1410" i="13" s="1"/>
  <c r="I1410" i="13" s="1"/>
  <c r="J1410" i="13" s="1"/>
  <c r="G1411" i="13"/>
  <c r="H1411" i="13" s="1"/>
  <c r="I1411" i="13" s="1"/>
  <c r="J1411" i="13" s="1"/>
  <c r="G1412" i="13"/>
  <c r="H1412" i="13" s="1"/>
  <c r="I1412" i="13" s="1"/>
  <c r="J1412" i="13" s="1"/>
  <c r="G1413" i="13"/>
  <c r="H1413" i="13" s="1"/>
  <c r="I1413" i="13" s="1"/>
  <c r="J1413" i="13" s="1"/>
  <c r="G1414" i="13"/>
  <c r="H1414" i="13" s="1"/>
  <c r="I1414" i="13" s="1"/>
  <c r="J1414" i="13" s="1"/>
  <c r="G1415" i="13"/>
  <c r="H1415" i="13" s="1"/>
  <c r="I1415" i="13" s="1"/>
  <c r="J1415" i="13" s="1"/>
  <c r="G1416" i="13"/>
  <c r="H1416" i="13" s="1"/>
  <c r="I1416" i="13" s="1"/>
  <c r="J1416" i="13" s="1"/>
  <c r="G1417" i="13"/>
  <c r="H1417" i="13" s="1"/>
  <c r="I1417" i="13" s="1"/>
  <c r="J1417" i="13" s="1"/>
  <c r="G1418" i="13"/>
  <c r="H1418" i="13" s="1"/>
  <c r="I1418" i="13" s="1"/>
  <c r="J1418" i="13" s="1"/>
  <c r="G1419" i="13"/>
  <c r="H1419" i="13" s="1"/>
  <c r="I1419" i="13" s="1"/>
  <c r="J1419" i="13" s="1"/>
  <c r="G1420" i="13"/>
  <c r="H1420" i="13" s="1"/>
  <c r="I1420" i="13" s="1"/>
  <c r="J1420" i="13" s="1"/>
  <c r="G1421" i="13"/>
  <c r="H1421" i="13" s="1"/>
  <c r="I1421" i="13" s="1"/>
  <c r="J1421" i="13" s="1"/>
  <c r="G1422" i="13"/>
  <c r="H1422" i="13" s="1"/>
  <c r="I1422" i="13" s="1"/>
  <c r="J1422" i="13" s="1"/>
  <c r="G1423" i="13"/>
  <c r="H1423" i="13" s="1"/>
  <c r="I1423" i="13" s="1"/>
  <c r="J1423" i="13" s="1"/>
  <c r="G1424" i="13"/>
  <c r="H1424" i="13" s="1"/>
  <c r="I1424" i="13" s="1"/>
  <c r="J1424" i="13" s="1"/>
  <c r="G1425" i="13"/>
  <c r="H1425" i="13" s="1"/>
  <c r="I1425" i="13" s="1"/>
  <c r="J1425" i="13" s="1"/>
  <c r="G1426" i="13"/>
  <c r="H1426" i="13" s="1"/>
  <c r="I1426" i="13" s="1"/>
  <c r="J1426" i="13" s="1"/>
  <c r="G1427" i="13"/>
  <c r="H1427" i="13" s="1"/>
  <c r="I1427" i="13" s="1"/>
  <c r="J1427" i="13" s="1"/>
  <c r="G1428" i="13"/>
  <c r="H1428" i="13" s="1"/>
  <c r="I1428" i="13" s="1"/>
  <c r="J1428" i="13" s="1"/>
  <c r="G1429" i="13"/>
  <c r="H1429" i="13" s="1"/>
  <c r="I1429" i="13" s="1"/>
  <c r="J1429" i="13" s="1"/>
  <c r="G1430" i="13"/>
  <c r="H1430" i="13" s="1"/>
  <c r="I1430" i="13" s="1"/>
  <c r="J1430" i="13" s="1"/>
  <c r="G1431" i="13"/>
  <c r="H1431" i="13" s="1"/>
  <c r="I1431" i="13" s="1"/>
  <c r="J1431" i="13" s="1"/>
  <c r="G1432" i="13"/>
  <c r="H1432" i="13" s="1"/>
  <c r="I1432" i="13" s="1"/>
  <c r="J1432" i="13" s="1"/>
  <c r="G1433" i="13"/>
  <c r="H1433" i="13" s="1"/>
  <c r="I1433" i="13" s="1"/>
  <c r="J1433" i="13" s="1"/>
  <c r="G1434" i="13"/>
  <c r="H1434" i="13" s="1"/>
  <c r="I1434" i="13" s="1"/>
  <c r="J1434" i="13" s="1"/>
  <c r="G1435" i="13"/>
  <c r="H1435" i="13" s="1"/>
  <c r="I1435" i="13" s="1"/>
  <c r="J1435" i="13" s="1"/>
  <c r="G1436" i="13"/>
  <c r="H1436" i="13" s="1"/>
  <c r="I1436" i="13" s="1"/>
  <c r="J1436" i="13" s="1"/>
  <c r="G1437" i="13"/>
  <c r="H1437" i="13" s="1"/>
  <c r="I1437" i="13" s="1"/>
  <c r="J1437" i="13" s="1"/>
  <c r="G1438" i="13"/>
  <c r="H1438" i="13" s="1"/>
  <c r="I1438" i="13" s="1"/>
  <c r="J1438" i="13" s="1"/>
  <c r="G1439" i="13"/>
  <c r="H1439" i="13" s="1"/>
  <c r="I1439" i="13" s="1"/>
  <c r="J1439" i="13" s="1"/>
  <c r="G1440" i="13"/>
  <c r="H1440" i="13" s="1"/>
  <c r="I1440" i="13" s="1"/>
  <c r="J1440" i="13" s="1"/>
  <c r="G1441" i="13"/>
  <c r="H1441" i="13" s="1"/>
  <c r="I1441" i="13" s="1"/>
  <c r="J1441" i="13" s="1"/>
  <c r="G1442" i="13"/>
  <c r="H1442" i="13" s="1"/>
  <c r="I1442" i="13" s="1"/>
  <c r="J1442" i="13" s="1"/>
  <c r="G1443" i="13"/>
  <c r="H1443" i="13" s="1"/>
  <c r="I1443" i="13" s="1"/>
  <c r="J1443" i="13" s="1"/>
  <c r="G1444" i="13"/>
  <c r="H1444" i="13" s="1"/>
  <c r="I1444" i="13" s="1"/>
  <c r="J1444" i="13" s="1"/>
  <c r="G1445" i="13"/>
  <c r="H1445" i="13" s="1"/>
  <c r="I1445" i="13" s="1"/>
  <c r="J1445" i="13" s="1"/>
  <c r="G1446" i="13"/>
  <c r="H1446" i="13" s="1"/>
  <c r="I1446" i="13" s="1"/>
  <c r="J1446" i="13" s="1"/>
  <c r="G1447" i="13"/>
  <c r="H1447" i="13" s="1"/>
  <c r="I1447" i="13" s="1"/>
  <c r="J1447" i="13" s="1"/>
  <c r="G1448" i="13"/>
  <c r="H1448" i="13" s="1"/>
  <c r="I1448" i="13" s="1"/>
  <c r="J1448" i="13" s="1"/>
  <c r="G1449" i="13"/>
  <c r="H1449" i="13" s="1"/>
  <c r="I1449" i="13" s="1"/>
  <c r="J1449" i="13" s="1"/>
  <c r="G1450" i="13"/>
  <c r="H1450" i="13" s="1"/>
  <c r="I1450" i="13" s="1"/>
  <c r="J1450" i="13" s="1"/>
  <c r="G1451" i="13"/>
  <c r="H1451" i="13" s="1"/>
  <c r="I1451" i="13" s="1"/>
  <c r="J1451" i="13" s="1"/>
  <c r="G1452" i="13"/>
  <c r="H1452" i="13" s="1"/>
  <c r="I1452" i="13" s="1"/>
  <c r="J1452" i="13" s="1"/>
  <c r="G1453" i="13"/>
  <c r="H1453" i="13" s="1"/>
  <c r="I1453" i="13" s="1"/>
  <c r="J1453" i="13" s="1"/>
  <c r="G1454" i="13"/>
  <c r="H1454" i="13" s="1"/>
  <c r="I1454" i="13" s="1"/>
  <c r="J1454" i="13" s="1"/>
  <c r="G1455" i="13"/>
  <c r="H1455" i="13" s="1"/>
  <c r="I1455" i="13" s="1"/>
  <c r="J1455" i="13" s="1"/>
  <c r="G1456" i="13"/>
  <c r="H1456" i="13" s="1"/>
  <c r="I1456" i="13" s="1"/>
  <c r="J1456" i="13" s="1"/>
  <c r="G1457" i="13"/>
  <c r="H1457" i="13" s="1"/>
  <c r="I1457" i="13" s="1"/>
  <c r="J1457" i="13" s="1"/>
  <c r="G1458" i="13"/>
  <c r="H1458" i="13" s="1"/>
  <c r="I1458" i="13" s="1"/>
  <c r="J1458" i="13" s="1"/>
  <c r="G1459" i="13"/>
  <c r="H1459" i="13" s="1"/>
  <c r="I1459" i="13" s="1"/>
  <c r="J1459" i="13" s="1"/>
  <c r="G1460" i="13"/>
  <c r="H1460" i="13" s="1"/>
  <c r="I1460" i="13" s="1"/>
  <c r="J1460" i="13" s="1"/>
  <c r="G1461" i="13"/>
  <c r="H1461" i="13" s="1"/>
  <c r="I1461" i="13" s="1"/>
  <c r="J1461" i="13" s="1"/>
  <c r="G1462" i="13"/>
  <c r="H1462" i="13" s="1"/>
  <c r="I1462" i="13" s="1"/>
  <c r="J1462" i="13" s="1"/>
  <c r="G1463" i="13"/>
  <c r="H1463" i="13" s="1"/>
  <c r="I1463" i="13" s="1"/>
  <c r="J1463" i="13" s="1"/>
  <c r="G1464" i="13"/>
  <c r="H1464" i="13" s="1"/>
  <c r="I1464" i="13" s="1"/>
  <c r="J1464" i="13" s="1"/>
  <c r="G1465" i="13"/>
  <c r="H1465" i="13" s="1"/>
  <c r="I1465" i="13" s="1"/>
  <c r="J1465" i="13" s="1"/>
  <c r="G1466" i="13"/>
  <c r="H1466" i="13" s="1"/>
  <c r="I1466" i="13" s="1"/>
  <c r="J1466" i="13" s="1"/>
  <c r="G1467" i="13"/>
  <c r="H1467" i="13" s="1"/>
  <c r="I1467" i="13" s="1"/>
  <c r="J1467" i="13" s="1"/>
  <c r="G1468" i="13"/>
  <c r="H1468" i="13" s="1"/>
  <c r="I1468" i="13" s="1"/>
  <c r="J1468" i="13" s="1"/>
  <c r="G1469" i="13"/>
  <c r="H1469" i="13" s="1"/>
  <c r="I1469" i="13" s="1"/>
  <c r="J1469" i="13" s="1"/>
  <c r="G1470" i="13"/>
  <c r="H1470" i="13" s="1"/>
  <c r="I1470" i="13" s="1"/>
  <c r="J1470" i="13" s="1"/>
  <c r="G1471" i="13"/>
  <c r="H1471" i="13" s="1"/>
  <c r="I1471" i="13" s="1"/>
  <c r="J1471" i="13" s="1"/>
  <c r="G1472" i="13"/>
  <c r="H1472" i="13" s="1"/>
  <c r="I1472" i="13" s="1"/>
  <c r="J1472" i="13" s="1"/>
  <c r="G1473" i="13"/>
  <c r="H1473" i="13" s="1"/>
  <c r="I1473" i="13" s="1"/>
  <c r="J1473" i="13" s="1"/>
  <c r="G1474" i="13"/>
  <c r="H1474" i="13" s="1"/>
  <c r="I1474" i="13" s="1"/>
  <c r="J1474" i="13" s="1"/>
  <c r="G1475" i="13"/>
  <c r="H1475" i="13" s="1"/>
  <c r="I1475" i="13" s="1"/>
  <c r="J1475" i="13" s="1"/>
  <c r="G1476" i="13"/>
  <c r="H1476" i="13" s="1"/>
  <c r="I1476" i="13" s="1"/>
  <c r="J1476" i="13" s="1"/>
  <c r="G1477" i="13"/>
  <c r="H1477" i="13" s="1"/>
  <c r="I1477" i="13" s="1"/>
  <c r="J1477" i="13" s="1"/>
  <c r="G1478" i="13"/>
  <c r="H1478" i="13" s="1"/>
  <c r="I1478" i="13" s="1"/>
  <c r="J1478" i="13" s="1"/>
  <c r="G1479" i="13"/>
  <c r="H1479" i="13" s="1"/>
  <c r="I1479" i="13" s="1"/>
  <c r="J1479" i="13" s="1"/>
  <c r="G1480" i="13"/>
  <c r="H1480" i="13" s="1"/>
  <c r="I1480" i="13" s="1"/>
  <c r="J1480" i="13" s="1"/>
  <c r="G1481" i="13"/>
  <c r="H1481" i="13" s="1"/>
  <c r="I1481" i="13" s="1"/>
  <c r="J1481" i="13" s="1"/>
  <c r="G1482" i="13"/>
  <c r="H1482" i="13" s="1"/>
  <c r="I1482" i="13" s="1"/>
  <c r="J1482" i="13" s="1"/>
  <c r="G1483" i="13"/>
  <c r="H1483" i="13" s="1"/>
  <c r="I1483" i="13" s="1"/>
  <c r="J1483" i="13" s="1"/>
  <c r="G1484" i="13"/>
  <c r="H1484" i="13" s="1"/>
  <c r="I1484" i="13" s="1"/>
  <c r="J1484" i="13" s="1"/>
  <c r="G1485" i="13"/>
  <c r="H1485" i="13" s="1"/>
  <c r="I1485" i="13" s="1"/>
  <c r="J1485" i="13" s="1"/>
  <c r="G1486" i="13"/>
  <c r="H1486" i="13" s="1"/>
  <c r="I1486" i="13" s="1"/>
  <c r="J1486" i="13" s="1"/>
  <c r="G1487" i="13"/>
  <c r="H1487" i="13" s="1"/>
  <c r="I1487" i="13" s="1"/>
  <c r="J1487" i="13" s="1"/>
  <c r="G1488" i="13"/>
  <c r="H1488" i="13" s="1"/>
  <c r="I1488" i="13" s="1"/>
  <c r="J1488" i="13" s="1"/>
  <c r="G1489" i="13"/>
  <c r="H1489" i="13" s="1"/>
  <c r="I1489" i="13" s="1"/>
  <c r="J1489" i="13" s="1"/>
  <c r="G1490" i="13"/>
  <c r="H1490" i="13" s="1"/>
  <c r="I1490" i="13" s="1"/>
  <c r="J1490" i="13" s="1"/>
  <c r="G1491" i="13"/>
  <c r="H1491" i="13" s="1"/>
  <c r="I1491" i="13" s="1"/>
  <c r="J1491" i="13" s="1"/>
  <c r="G1492" i="13"/>
  <c r="H1492" i="13" s="1"/>
  <c r="I1492" i="13" s="1"/>
  <c r="J1492" i="13" s="1"/>
  <c r="G1493" i="13"/>
  <c r="H1493" i="13" s="1"/>
  <c r="I1493" i="13" s="1"/>
  <c r="J1493" i="13" s="1"/>
  <c r="G1494" i="13"/>
  <c r="H1494" i="13" s="1"/>
  <c r="I1494" i="13" s="1"/>
  <c r="J1494" i="13" s="1"/>
  <c r="G1495" i="13"/>
  <c r="H1495" i="13" s="1"/>
  <c r="I1495" i="13" s="1"/>
  <c r="J1495" i="13" s="1"/>
  <c r="G1496" i="13"/>
  <c r="H1496" i="13" s="1"/>
  <c r="I1496" i="13" s="1"/>
  <c r="J1496" i="13" s="1"/>
  <c r="G1497" i="13"/>
  <c r="H1497" i="13" s="1"/>
  <c r="I1497" i="13" s="1"/>
  <c r="J1497" i="13" s="1"/>
  <c r="G1498" i="13"/>
  <c r="H1498" i="13" s="1"/>
  <c r="I1498" i="13" s="1"/>
  <c r="J1498" i="13" s="1"/>
  <c r="G1499" i="13"/>
  <c r="H1499" i="13" s="1"/>
  <c r="I1499" i="13" s="1"/>
  <c r="J1499" i="13" s="1"/>
  <c r="G1500" i="13"/>
  <c r="H1500" i="13" s="1"/>
  <c r="I1500" i="13" s="1"/>
  <c r="J1500" i="13" s="1"/>
  <c r="G1501" i="13"/>
  <c r="H1501" i="13" s="1"/>
  <c r="I1501" i="13" s="1"/>
  <c r="J1501" i="13" s="1"/>
  <c r="G1502" i="13"/>
  <c r="H1502" i="13" s="1"/>
  <c r="I1502" i="13" s="1"/>
  <c r="J1502" i="13" s="1"/>
  <c r="G1503" i="13"/>
  <c r="H1503" i="13" s="1"/>
  <c r="I1503" i="13" s="1"/>
  <c r="J1503" i="13" s="1"/>
  <c r="G1504" i="13"/>
  <c r="H1504" i="13" s="1"/>
  <c r="I1504" i="13" s="1"/>
  <c r="J1504" i="13" s="1"/>
  <c r="G1505" i="13"/>
  <c r="H1505" i="13" s="1"/>
  <c r="I1505" i="13" s="1"/>
  <c r="J1505" i="13" s="1"/>
  <c r="G1506" i="13"/>
  <c r="H1506" i="13" s="1"/>
  <c r="I1506" i="13" s="1"/>
  <c r="J1506" i="13" s="1"/>
  <c r="G1507" i="13"/>
  <c r="H1507" i="13" s="1"/>
  <c r="I1507" i="13" s="1"/>
  <c r="J1507" i="13" s="1"/>
  <c r="G1508" i="13"/>
  <c r="H1508" i="13" s="1"/>
  <c r="I1508" i="13" s="1"/>
  <c r="J1508" i="13" s="1"/>
  <c r="G1509" i="13"/>
  <c r="H1509" i="13" s="1"/>
  <c r="I1509" i="13" s="1"/>
  <c r="J1509" i="13" s="1"/>
  <c r="G1510" i="13"/>
  <c r="H1510" i="13" s="1"/>
  <c r="I1510" i="13" s="1"/>
  <c r="J1510" i="13" s="1"/>
  <c r="G1511" i="13"/>
  <c r="H1511" i="13" s="1"/>
  <c r="I1511" i="13" s="1"/>
  <c r="J1511" i="13" s="1"/>
  <c r="G1512" i="13"/>
  <c r="H1512" i="13" s="1"/>
  <c r="I1512" i="13" s="1"/>
  <c r="J1512" i="13" s="1"/>
  <c r="G1513" i="13"/>
  <c r="H1513" i="13" s="1"/>
  <c r="I1513" i="13" s="1"/>
  <c r="J1513" i="13" s="1"/>
  <c r="G1514" i="13"/>
  <c r="H1514" i="13" s="1"/>
  <c r="I1514" i="13" s="1"/>
  <c r="J1514" i="13" s="1"/>
  <c r="G1515" i="13"/>
  <c r="H1515" i="13" s="1"/>
  <c r="I1515" i="13" s="1"/>
  <c r="J1515" i="13" s="1"/>
  <c r="G1516" i="13"/>
  <c r="H1516" i="13" s="1"/>
  <c r="I1516" i="13" s="1"/>
  <c r="J1516" i="13" s="1"/>
  <c r="G1517" i="13"/>
  <c r="H1517" i="13" s="1"/>
  <c r="I1517" i="13" s="1"/>
  <c r="J1517" i="13" s="1"/>
  <c r="G1518" i="13"/>
  <c r="H1518" i="13" s="1"/>
  <c r="I1518" i="13" s="1"/>
  <c r="J1518" i="13" s="1"/>
  <c r="G1519" i="13"/>
  <c r="H1519" i="13" s="1"/>
  <c r="I1519" i="13" s="1"/>
  <c r="J1519" i="13" s="1"/>
  <c r="G1520" i="13"/>
  <c r="H1520" i="13" s="1"/>
  <c r="I1520" i="13" s="1"/>
  <c r="J1520" i="13" s="1"/>
  <c r="G1521" i="13"/>
  <c r="H1521" i="13" s="1"/>
  <c r="I1521" i="13" s="1"/>
  <c r="J1521" i="13" s="1"/>
  <c r="G1522" i="13"/>
  <c r="H1522" i="13" s="1"/>
  <c r="I1522" i="13" s="1"/>
  <c r="J1522" i="13" s="1"/>
  <c r="G1523" i="13"/>
  <c r="H1523" i="13" s="1"/>
  <c r="I1523" i="13" s="1"/>
  <c r="J1523" i="13" s="1"/>
  <c r="G1524" i="13"/>
  <c r="H1524" i="13" s="1"/>
  <c r="I1524" i="13" s="1"/>
  <c r="J1524" i="13" s="1"/>
  <c r="G1525" i="13"/>
  <c r="H1525" i="13" s="1"/>
  <c r="I1525" i="13" s="1"/>
  <c r="J1525" i="13" s="1"/>
  <c r="G1526" i="13"/>
  <c r="H1526" i="13" s="1"/>
  <c r="I1526" i="13" s="1"/>
  <c r="J1526" i="13" s="1"/>
  <c r="G1527" i="13"/>
  <c r="H1527" i="13" s="1"/>
  <c r="I1527" i="13" s="1"/>
  <c r="J1527" i="13" s="1"/>
  <c r="G1528" i="13"/>
  <c r="H1528" i="13" s="1"/>
  <c r="I1528" i="13" s="1"/>
  <c r="J1528" i="13" s="1"/>
  <c r="G1529" i="13"/>
  <c r="H1529" i="13" s="1"/>
  <c r="I1529" i="13" s="1"/>
  <c r="J1529" i="13" s="1"/>
  <c r="G1530" i="13"/>
  <c r="H1530" i="13" s="1"/>
  <c r="I1530" i="13" s="1"/>
  <c r="J1530" i="13" s="1"/>
  <c r="G1531" i="13"/>
  <c r="H1531" i="13" s="1"/>
  <c r="I1531" i="13" s="1"/>
  <c r="J1531" i="13" s="1"/>
  <c r="G1532" i="13"/>
  <c r="H1532" i="13" s="1"/>
  <c r="I1532" i="13" s="1"/>
  <c r="J1532" i="13" s="1"/>
  <c r="G1533" i="13"/>
  <c r="H1533" i="13" s="1"/>
  <c r="I1533" i="13" s="1"/>
  <c r="J1533" i="13" s="1"/>
  <c r="G1534" i="13"/>
  <c r="H1534" i="13" s="1"/>
  <c r="I1534" i="13" s="1"/>
  <c r="J1534" i="13" s="1"/>
  <c r="G1535" i="13"/>
  <c r="H1535" i="13" s="1"/>
  <c r="I1535" i="13" s="1"/>
  <c r="J1535" i="13" s="1"/>
  <c r="G1536" i="13"/>
  <c r="H1536" i="13" s="1"/>
  <c r="I1536" i="13" s="1"/>
  <c r="J1536" i="13" s="1"/>
  <c r="G1537" i="13"/>
  <c r="H1537" i="13" s="1"/>
  <c r="I1537" i="13" s="1"/>
  <c r="J1537" i="13" s="1"/>
  <c r="G1538" i="13"/>
  <c r="H1538" i="13" s="1"/>
  <c r="I1538" i="13" s="1"/>
  <c r="J1538" i="13" s="1"/>
  <c r="G1539" i="13"/>
  <c r="H1539" i="13" s="1"/>
  <c r="I1539" i="13" s="1"/>
  <c r="J1539" i="13" s="1"/>
  <c r="G1540" i="13"/>
  <c r="H1540" i="13" s="1"/>
  <c r="I1540" i="13" s="1"/>
  <c r="J1540" i="13" s="1"/>
  <c r="G1541" i="13"/>
  <c r="H1541" i="13" s="1"/>
  <c r="I1541" i="13" s="1"/>
  <c r="J1541" i="13" s="1"/>
  <c r="G1542" i="13"/>
  <c r="H1542" i="13" s="1"/>
  <c r="I1542" i="13" s="1"/>
  <c r="J1542" i="13" s="1"/>
  <c r="G1543" i="13"/>
  <c r="H1543" i="13" s="1"/>
  <c r="I1543" i="13" s="1"/>
  <c r="J1543" i="13" s="1"/>
  <c r="G1544" i="13"/>
  <c r="H1544" i="13" s="1"/>
  <c r="I1544" i="13" s="1"/>
  <c r="J1544" i="13" s="1"/>
  <c r="G1545" i="13"/>
  <c r="H1545" i="13" s="1"/>
  <c r="I1545" i="13" s="1"/>
  <c r="J1545" i="13" s="1"/>
  <c r="G1546" i="13"/>
  <c r="H1546" i="13" s="1"/>
  <c r="I1546" i="13" s="1"/>
  <c r="J1546" i="13" s="1"/>
  <c r="G1547" i="13"/>
  <c r="H1547" i="13" s="1"/>
  <c r="I1547" i="13" s="1"/>
  <c r="J1547" i="13" s="1"/>
  <c r="G1548" i="13"/>
  <c r="H1548" i="13" s="1"/>
  <c r="I1548" i="13" s="1"/>
  <c r="J1548" i="13" s="1"/>
  <c r="G1549" i="13"/>
  <c r="H1549" i="13" s="1"/>
  <c r="I1549" i="13" s="1"/>
  <c r="J1549" i="13" s="1"/>
  <c r="G1550" i="13"/>
  <c r="H1550" i="13" s="1"/>
  <c r="I1550" i="13" s="1"/>
  <c r="J1550" i="13" s="1"/>
  <c r="G1551" i="13"/>
  <c r="H1551" i="13" s="1"/>
  <c r="I1551" i="13" s="1"/>
  <c r="J1551" i="13" s="1"/>
  <c r="G1552" i="13"/>
  <c r="H1552" i="13" s="1"/>
  <c r="I1552" i="13" s="1"/>
  <c r="J1552" i="13" s="1"/>
  <c r="G1553" i="13"/>
  <c r="H1553" i="13" s="1"/>
  <c r="I1553" i="13" s="1"/>
  <c r="J1553" i="13" s="1"/>
  <c r="G1554" i="13"/>
  <c r="H1554" i="13" s="1"/>
  <c r="I1554" i="13" s="1"/>
  <c r="J1554" i="13" s="1"/>
  <c r="G1555" i="13"/>
  <c r="H1555" i="13" s="1"/>
  <c r="I1555" i="13" s="1"/>
  <c r="J1555" i="13" s="1"/>
  <c r="G1556" i="13"/>
  <c r="H1556" i="13" s="1"/>
  <c r="I1556" i="13" s="1"/>
  <c r="J1556" i="13" s="1"/>
  <c r="G1557" i="13"/>
  <c r="H1557" i="13" s="1"/>
  <c r="I1557" i="13" s="1"/>
  <c r="J1557" i="13" s="1"/>
  <c r="G1558" i="13"/>
  <c r="H1558" i="13" s="1"/>
  <c r="I1558" i="13" s="1"/>
  <c r="J1558" i="13" s="1"/>
  <c r="G1559" i="13"/>
  <c r="H1559" i="13" s="1"/>
  <c r="I1559" i="13" s="1"/>
  <c r="J1559" i="13" s="1"/>
  <c r="G1560" i="13"/>
  <c r="H1560" i="13" s="1"/>
  <c r="I1560" i="13" s="1"/>
  <c r="J1560" i="13" s="1"/>
  <c r="G1561" i="13"/>
  <c r="H1561" i="13" s="1"/>
  <c r="I1561" i="13" s="1"/>
  <c r="J1561" i="13" s="1"/>
  <c r="G1562" i="13"/>
  <c r="H1562" i="13" s="1"/>
  <c r="I1562" i="13" s="1"/>
  <c r="J1562" i="13" s="1"/>
  <c r="G1563" i="13"/>
  <c r="H1563" i="13" s="1"/>
  <c r="I1563" i="13" s="1"/>
  <c r="J1563" i="13" s="1"/>
  <c r="G1564" i="13"/>
  <c r="H1564" i="13" s="1"/>
  <c r="I1564" i="13" s="1"/>
  <c r="J1564" i="13" s="1"/>
  <c r="G1565" i="13"/>
  <c r="H1565" i="13" s="1"/>
  <c r="I1565" i="13" s="1"/>
  <c r="J1565" i="13" s="1"/>
  <c r="G1566" i="13"/>
  <c r="H1566" i="13" s="1"/>
  <c r="I1566" i="13" s="1"/>
  <c r="J1566" i="13" s="1"/>
  <c r="G1567" i="13"/>
  <c r="H1567" i="13" s="1"/>
  <c r="I1567" i="13" s="1"/>
  <c r="J1567" i="13" s="1"/>
  <c r="G1568" i="13"/>
  <c r="H1568" i="13" s="1"/>
  <c r="I1568" i="13" s="1"/>
  <c r="J1568" i="13" s="1"/>
  <c r="G1569" i="13"/>
  <c r="H1569" i="13" s="1"/>
  <c r="I1569" i="13" s="1"/>
  <c r="J1569" i="13" s="1"/>
  <c r="G1570" i="13"/>
  <c r="H1570" i="13" s="1"/>
  <c r="I1570" i="13" s="1"/>
  <c r="J1570" i="13" s="1"/>
  <c r="G1571" i="13"/>
  <c r="H1571" i="13" s="1"/>
  <c r="I1571" i="13" s="1"/>
  <c r="J1571" i="13" s="1"/>
  <c r="G1572" i="13"/>
  <c r="H1572" i="13" s="1"/>
  <c r="I1572" i="13" s="1"/>
  <c r="J1572" i="13" s="1"/>
  <c r="G1573" i="13"/>
  <c r="H1573" i="13" s="1"/>
  <c r="I1573" i="13" s="1"/>
  <c r="J1573" i="13" s="1"/>
  <c r="G1574" i="13"/>
  <c r="H1574" i="13" s="1"/>
  <c r="I1574" i="13" s="1"/>
  <c r="J1574" i="13" s="1"/>
  <c r="G1575" i="13"/>
  <c r="H1575" i="13" s="1"/>
  <c r="I1575" i="13" s="1"/>
  <c r="J1575" i="13" s="1"/>
  <c r="G1576" i="13"/>
  <c r="H1576" i="13" s="1"/>
  <c r="I1576" i="13" s="1"/>
  <c r="J1576" i="13" s="1"/>
  <c r="G1577" i="13"/>
  <c r="H1577" i="13" s="1"/>
  <c r="I1577" i="13" s="1"/>
  <c r="J1577" i="13" s="1"/>
  <c r="G1578" i="13"/>
  <c r="H1578" i="13" s="1"/>
  <c r="I1578" i="13" s="1"/>
  <c r="J1578" i="13" s="1"/>
  <c r="G1579" i="13"/>
  <c r="H1579" i="13" s="1"/>
  <c r="I1579" i="13" s="1"/>
  <c r="J1579" i="13" s="1"/>
  <c r="G1580" i="13"/>
  <c r="H1580" i="13" s="1"/>
  <c r="I1580" i="13" s="1"/>
  <c r="J1580" i="13" s="1"/>
  <c r="G1581" i="13"/>
  <c r="H1581" i="13" s="1"/>
  <c r="I1581" i="13" s="1"/>
  <c r="J1581" i="13" s="1"/>
  <c r="G1582" i="13"/>
  <c r="H1582" i="13" s="1"/>
  <c r="I1582" i="13" s="1"/>
  <c r="J1582" i="13" s="1"/>
  <c r="G1583" i="13"/>
  <c r="H1583" i="13" s="1"/>
  <c r="I1583" i="13" s="1"/>
  <c r="J1583" i="13" s="1"/>
  <c r="G1584" i="13"/>
  <c r="H1584" i="13" s="1"/>
  <c r="I1584" i="13" s="1"/>
  <c r="J1584" i="13" s="1"/>
  <c r="G1585" i="13"/>
  <c r="H1585" i="13" s="1"/>
  <c r="I1585" i="13" s="1"/>
  <c r="J1585" i="13" s="1"/>
  <c r="G1586" i="13"/>
  <c r="H1586" i="13" s="1"/>
  <c r="I1586" i="13" s="1"/>
  <c r="J1586" i="13" s="1"/>
  <c r="G1587" i="13"/>
  <c r="H1587" i="13" s="1"/>
  <c r="I1587" i="13" s="1"/>
  <c r="J1587" i="13" s="1"/>
  <c r="G1588" i="13"/>
  <c r="H1588" i="13" s="1"/>
  <c r="I1588" i="13" s="1"/>
  <c r="J1588" i="13" s="1"/>
  <c r="G1589" i="13"/>
  <c r="H1589" i="13" s="1"/>
  <c r="I1589" i="13" s="1"/>
  <c r="J1589" i="13" s="1"/>
  <c r="G1590" i="13"/>
  <c r="H1590" i="13" s="1"/>
  <c r="I1590" i="13" s="1"/>
  <c r="J1590" i="13" s="1"/>
  <c r="G1591" i="13"/>
  <c r="H1591" i="13" s="1"/>
  <c r="I1591" i="13" s="1"/>
  <c r="J1591" i="13" s="1"/>
  <c r="G1592" i="13"/>
  <c r="H1592" i="13" s="1"/>
  <c r="I1592" i="13" s="1"/>
  <c r="J1592" i="13" s="1"/>
  <c r="G1593" i="13"/>
  <c r="H1593" i="13" s="1"/>
  <c r="I1593" i="13" s="1"/>
  <c r="J1593" i="13" s="1"/>
  <c r="G1594" i="13"/>
  <c r="H1594" i="13" s="1"/>
  <c r="I1594" i="13" s="1"/>
  <c r="J1594" i="13" s="1"/>
  <c r="G1595" i="13"/>
  <c r="H1595" i="13" s="1"/>
  <c r="I1595" i="13" s="1"/>
  <c r="J1595" i="13" s="1"/>
  <c r="G1596" i="13"/>
  <c r="H1596" i="13" s="1"/>
  <c r="I1596" i="13" s="1"/>
  <c r="J1596" i="13" s="1"/>
  <c r="G1597" i="13"/>
  <c r="H1597" i="13" s="1"/>
  <c r="I1597" i="13" s="1"/>
  <c r="J1597" i="13" s="1"/>
  <c r="G1598" i="13"/>
  <c r="H1598" i="13" s="1"/>
  <c r="I1598" i="13" s="1"/>
  <c r="J1598" i="13" s="1"/>
  <c r="G1599" i="13"/>
  <c r="H1599" i="13" s="1"/>
  <c r="I1599" i="13" s="1"/>
  <c r="J1599" i="13" s="1"/>
  <c r="G1600" i="13"/>
  <c r="H1600" i="13" s="1"/>
  <c r="I1600" i="13" s="1"/>
  <c r="J1600" i="13" s="1"/>
  <c r="G1601" i="13"/>
  <c r="H1601" i="13" s="1"/>
  <c r="I1601" i="13" s="1"/>
  <c r="J1601" i="13" s="1"/>
  <c r="G1602" i="13"/>
  <c r="H1602" i="13" s="1"/>
  <c r="I1602" i="13" s="1"/>
  <c r="J1602" i="13" s="1"/>
  <c r="G1603" i="13"/>
  <c r="H1603" i="13" s="1"/>
  <c r="I1603" i="13" s="1"/>
  <c r="J1603" i="13" s="1"/>
  <c r="G1604" i="13"/>
  <c r="H1604" i="13" s="1"/>
  <c r="I1604" i="13" s="1"/>
  <c r="J1604" i="13" s="1"/>
  <c r="G1605" i="13"/>
  <c r="H1605" i="13" s="1"/>
  <c r="I1605" i="13" s="1"/>
  <c r="J1605" i="13" s="1"/>
  <c r="G1606" i="13"/>
  <c r="H1606" i="13" s="1"/>
  <c r="I1606" i="13" s="1"/>
  <c r="J1606" i="13" s="1"/>
  <c r="G1607" i="13"/>
  <c r="H1607" i="13" s="1"/>
  <c r="I1607" i="13" s="1"/>
  <c r="J1607" i="13" s="1"/>
  <c r="G1608" i="13"/>
  <c r="H1608" i="13" s="1"/>
  <c r="I1608" i="13" s="1"/>
  <c r="J1608" i="13" s="1"/>
  <c r="G1609" i="13"/>
  <c r="H1609" i="13" s="1"/>
  <c r="I1609" i="13" s="1"/>
  <c r="J1609" i="13" s="1"/>
  <c r="G1610" i="13"/>
  <c r="H1610" i="13" s="1"/>
  <c r="I1610" i="13" s="1"/>
  <c r="J1610" i="13" s="1"/>
  <c r="G1611" i="13"/>
  <c r="H1611" i="13" s="1"/>
  <c r="I1611" i="13" s="1"/>
  <c r="J1611" i="13" s="1"/>
  <c r="G1612" i="13"/>
  <c r="H1612" i="13" s="1"/>
  <c r="I1612" i="13" s="1"/>
  <c r="J1612" i="13" s="1"/>
  <c r="G1613" i="13"/>
  <c r="H1613" i="13" s="1"/>
  <c r="I1613" i="13" s="1"/>
  <c r="J1613" i="13" s="1"/>
  <c r="G1614" i="13"/>
  <c r="H1614" i="13" s="1"/>
  <c r="I1614" i="13" s="1"/>
  <c r="J1614" i="13" s="1"/>
  <c r="G1615" i="13"/>
  <c r="H1615" i="13" s="1"/>
  <c r="I1615" i="13" s="1"/>
  <c r="J1615" i="13" s="1"/>
  <c r="G1616" i="13"/>
  <c r="H1616" i="13" s="1"/>
  <c r="I1616" i="13" s="1"/>
  <c r="J1616" i="13" s="1"/>
  <c r="G1617" i="13"/>
  <c r="H1617" i="13" s="1"/>
  <c r="I1617" i="13" s="1"/>
  <c r="J1617" i="13" s="1"/>
  <c r="G1618" i="13"/>
  <c r="H1618" i="13" s="1"/>
  <c r="I1618" i="13" s="1"/>
  <c r="J1618" i="13" s="1"/>
  <c r="G1619" i="13"/>
  <c r="H1619" i="13" s="1"/>
  <c r="I1619" i="13" s="1"/>
  <c r="J1619" i="13" s="1"/>
  <c r="G1620" i="13"/>
  <c r="H1620" i="13" s="1"/>
  <c r="I1620" i="13" s="1"/>
  <c r="J1620" i="13" s="1"/>
  <c r="G1621" i="13"/>
  <c r="H1621" i="13" s="1"/>
  <c r="I1621" i="13" s="1"/>
  <c r="J1621" i="13" s="1"/>
  <c r="G1622" i="13"/>
  <c r="H1622" i="13" s="1"/>
  <c r="I1622" i="13" s="1"/>
  <c r="J1622" i="13" s="1"/>
  <c r="G1623" i="13"/>
  <c r="H1623" i="13" s="1"/>
  <c r="I1623" i="13" s="1"/>
  <c r="J1623" i="13" s="1"/>
  <c r="G1624" i="13"/>
  <c r="H1624" i="13" s="1"/>
  <c r="I1624" i="13" s="1"/>
  <c r="J1624" i="13" s="1"/>
  <c r="G1625" i="13"/>
  <c r="H1625" i="13" s="1"/>
  <c r="I1625" i="13" s="1"/>
  <c r="J1625" i="13" s="1"/>
  <c r="G1626" i="13"/>
  <c r="H1626" i="13" s="1"/>
  <c r="I1626" i="13" s="1"/>
  <c r="J1626" i="13" s="1"/>
  <c r="G1627" i="13"/>
  <c r="H1627" i="13" s="1"/>
  <c r="I1627" i="13" s="1"/>
  <c r="J1627" i="13" s="1"/>
  <c r="G1628" i="13"/>
  <c r="H1628" i="13" s="1"/>
  <c r="I1628" i="13" s="1"/>
  <c r="J1628" i="13" s="1"/>
  <c r="G1629" i="13"/>
  <c r="H1629" i="13" s="1"/>
  <c r="I1629" i="13" s="1"/>
  <c r="J1629" i="13" s="1"/>
  <c r="G1630" i="13"/>
  <c r="H1630" i="13" s="1"/>
  <c r="I1630" i="13" s="1"/>
  <c r="J1630" i="13" s="1"/>
  <c r="G1631" i="13"/>
  <c r="H1631" i="13" s="1"/>
  <c r="I1631" i="13" s="1"/>
  <c r="J1631" i="13" s="1"/>
  <c r="G1632" i="13"/>
  <c r="H1632" i="13" s="1"/>
  <c r="I1632" i="13" s="1"/>
  <c r="J1632" i="13" s="1"/>
  <c r="G1633" i="13"/>
  <c r="H1633" i="13" s="1"/>
  <c r="I1633" i="13" s="1"/>
  <c r="J1633" i="13" s="1"/>
  <c r="G1634" i="13"/>
  <c r="H1634" i="13" s="1"/>
  <c r="I1634" i="13" s="1"/>
  <c r="J1634" i="13" s="1"/>
  <c r="G1635" i="13"/>
  <c r="H1635" i="13" s="1"/>
  <c r="I1635" i="13" s="1"/>
  <c r="J1635" i="13" s="1"/>
  <c r="G1636" i="13"/>
  <c r="H1636" i="13" s="1"/>
  <c r="I1636" i="13" s="1"/>
  <c r="J1636" i="13" s="1"/>
  <c r="G1637" i="13"/>
  <c r="H1637" i="13" s="1"/>
  <c r="I1637" i="13" s="1"/>
  <c r="J1637" i="13" s="1"/>
  <c r="G1638" i="13"/>
  <c r="H1638" i="13" s="1"/>
  <c r="I1638" i="13" s="1"/>
  <c r="J1638" i="13" s="1"/>
  <c r="G1639" i="13"/>
  <c r="H1639" i="13" s="1"/>
  <c r="I1639" i="13" s="1"/>
  <c r="J1639" i="13" s="1"/>
  <c r="G1640" i="13"/>
  <c r="H1640" i="13" s="1"/>
  <c r="I1640" i="13" s="1"/>
  <c r="J1640" i="13" s="1"/>
  <c r="G1641" i="13"/>
  <c r="H1641" i="13" s="1"/>
  <c r="I1641" i="13" s="1"/>
  <c r="J1641" i="13" s="1"/>
  <c r="G1642" i="13"/>
  <c r="H1642" i="13" s="1"/>
  <c r="I1642" i="13" s="1"/>
  <c r="J1642" i="13" s="1"/>
  <c r="G1643" i="13"/>
  <c r="H1643" i="13" s="1"/>
  <c r="I1643" i="13" s="1"/>
  <c r="J1643" i="13" s="1"/>
  <c r="G1644" i="13"/>
  <c r="H1644" i="13" s="1"/>
  <c r="I1644" i="13" s="1"/>
  <c r="J1644" i="13" s="1"/>
  <c r="G1645" i="13"/>
  <c r="H1645" i="13" s="1"/>
  <c r="I1645" i="13" s="1"/>
  <c r="J1645" i="13" s="1"/>
  <c r="G1646" i="13"/>
  <c r="H1646" i="13" s="1"/>
  <c r="I1646" i="13" s="1"/>
  <c r="J1646" i="13" s="1"/>
  <c r="G1647" i="13"/>
  <c r="H1647" i="13" s="1"/>
  <c r="I1647" i="13" s="1"/>
  <c r="J1647" i="13" s="1"/>
  <c r="G1648" i="13"/>
  <c r="H1648" i="13" s="1"/>
  <c r="I1648" i="13" s="1"/>
  <c r="J1648" i="13" s="1"/>
  <c r="G1649" i="13"/>
  <c r="H1649" i="13" s="1"/>
  <c r="I1649" i="13" s="1"/>
  <c r="J1649" i="13" s="1"/>
  <c r="G1650" i="13"/>
  <c r="H1650" i="13" s="1"/>
  <c r="I1650" i="13" s="1"/>
  <c r="J1650" i="13" s="1"/>
  <c r="G1651" i="13"/>
  <c r="H1651" i="13" s="1"/>
  <c r="I1651" i="13" s="1"/>
  <c r="J1651" i="13" s="1"/>
  <c r="G1652" i="13"/>
  <c r="H1652" i="13" s="1"/>
  <c r="I1652" i="13" s="1"/>
  <c r="J1652" i="13" s="1"/>
  <c r="G1653" i="13"/>
  <c r="H1653" i="13" s="1"/>
  <c r="I1653" i="13" s="1"/>
  <c r="J1653" i="13" s="1"/>
  <c r="G1654" i="13"/>
  <c r="H1654" i="13" s="1"/>
  <c r="I1654" i="13" s="1"/>
  <c r="J1654" i="13" s="1"/>
  <c r="G1655" i="13"/>
  <c r="H1655" i="13" s="1"/>
  <c r="I1655" i="13" s="1"/>
  <c r="J1655" i="13" s="1"/>
  <c r="G1656" i="13"/>
  <c r="H1656" i="13" s="1"/>
  <c r="I1656" i="13" s="1"/>
  <c r="J1656" i="13" s="1"/>
  <c r="G1657" i="13"/>
  <c r="H1657" i="13" s="1"/>
  <c r="I1657" i="13" s="1"/>
  <c r="J1657" i="13" s="1"/>
  <c r="G1658" i="13"/>
  <c r="H1658" i="13" s="1"/>
  <c r="I1658" i="13" s="1"/>
  <c r="J1658" i="13" s="1"/>
  <c r="G1659" i="13"/>
  <c r="H1659" i="13" s="1"/>
  <c r="I1659" i="13" s="1"/>
  <c r="J1659" i="13" s="1"/>
  <c r="G1660" i="13"/>
  <c r="H1660" i="13" s="1"/>
  <c r="I1660" i="13" s="1"/>
  <c r="J1660" i="13" s="1"/>
  <c r="G1661" i="13"/>
  <c r="H1661" i="13" s="1"/>
  <c r="I1661" i="13" s="1"/>
  <c r="J1661" i="13" s="1"/>
  <c r="G1662" i="13"/>
  <c r="H1662" i="13" s="1"/>
  <c r="I1662" i="13" s="1"/>
  <c r="J1662" i="13" s="1"/>
  <c r="G1663" i="13"/>
  <c r="H1663" i="13" s="1"/>
  <c r="I1663" i="13" s="1"/>
  <c r="J1663" i="13" s="1"/>
  <c r="G1664" i="13"/>
  <c r="H1664" i="13" s="1"/>
  <c r="I1664" i="13" s="1"/>
  <c r="J1664" i="13" s="1"/>
  <c r="G1665" i="13"/>
  <c r="H1665" i="13" s="1"/>
  <c r="I1665" i="13" s="1"/>
  <c r="J1665" i="13" s="1"/>
  <c r="G1666" i="13"/>
  <c r="H1666" i="13" s="1"/>
  <c r="I1666" i="13" s="1"/>
  <c r="J1666" i="13" s="1"/>
  <c r="G1667" i="13"/>
  <c r="H1667" i="13" s="1"/>
  <c r="I1667" i="13" s="1"/>
  <c r="J1667" i="13" s="1"/>
  <c r="G1668" i="13"/>
  <c r="H1668" i="13" s="1"/>
  <c r="I1668" i="13" s="1"/>
  <c r="J1668" i="13" s="1"/>
  <c r="G1669" i="13"/>
  <c r="H1669" i="13" s="1"/>
  <c r="I1669" i="13" s="1"/>
  <c r="J1669" i="13" s="1"/>
  <c r="G1670" i="13"/>
  <c r="H1670" i="13" s="1"/>
  <c r="I1670" i="13" s="1"/>
  <c r="J1670" i="13" s="1"/>
  <c r="G1671" i="13"/>
  <c r="H1671" i="13" s="1"/>
  <c r="I1671" i="13" s="1"/>
  <c r="J1671" i="13" s="1"/>
  <c r="G1672" i="13"/>
  <c r="H1672" i="13" s="1"/>
  <c r="I1672" i="13" s="1"/>
  <c r="J1672" i="13" s="1"/>
  <c r="G1673" i="13"/>
  <c r="H1673" i="13" s="1"/>
  <c r="I1673" i="13" s="1"/>
  <c r="J1673" i="13" s="1"/>
  <c r="G1674" i="13"/>
  <c r="H1674" i="13" s="1"/>
  <c r="I1674" i="13" s="1"/>
  <c r="J1674" i="13" s="1"/>
  <c r="G1675" i="13"/>
  <c r="H1675" i="13" s="1"/>
  <c r="I1675" i="13" s="1"/>
  <c r="J1675" i="13" s="1"/>
  <c r="G1676" i="13"/>
  <c r="H1676" i="13" s="1"/>
  <c r="I1676" i="13" s="1"/>
  <c r="J1676" i="13" s="1"/>
  <c r="G1677" i="13"/>
  <c r="H1677" i="13" s="1"/>
  <c r="I1677" i="13" s="1"/>
  <c r="J1677" i="13" s="1"/>
  <c r="G1678" i="13"/>
  <c r="H1678" i="13" s="1"/>
  <c r="I1678" i="13" s="1"/>
  <c r="J1678" i="13" s="1"/>
  <c r="G1679" i="13"/>
  <c r="H1679" i="13" s="1"/>
  <c r="I1679" i="13" s="1"/>
  <c r="J1679" i="13" s="1"/>
  <c r="G1680" i="13"/>
  <c r="H1680" i="13" s="1"/>
  <c r="I1680" i="13" s="1"/>
  <c r="J1680" i="13" s="1"/>
  <c r="G1681" i="13"/>
  <c r="H1681" i="13" s="1"/>
  <c r="I1681" i="13" s="1"/>
  <c r="J1681" i="13" s="1"/>
  <c r="G1682" i="13"/>
  <c r="H1682" i="13" s="1"/>
  <c r="I1682" i="13" s="1"/>
  <c r="J1682" i="13" s="1"/>
  <c r="G1683" i="13"/>
  <c r="H1683" i="13" s="1"/>
  <c r="I1683" i="13" s="1"/>
  <c r="J1683" i="13" s="1"/>
  <c r="G1684" i="13"/>
  <c r="H1684" i="13" s="1"/>
  <c r="I1684" i="13" s="1"/>
  <c r="J1684" i="13" s="1"/>
  <c r="G1685" i="13"/>
  <c r="H1685" i="13" s="1"/>
  <c r="I1685" i="13" s="1"/>
  <c r="J1685" i="13" s="1"/>
  <c r="G1686" i="13"/>
  <c r="H1686" i="13" s="1"/>
  <c r="I1686" i="13" s="1"/>
  <c r="J1686" i="13" s="1"/>
  <c r="G1687" i="13"/>
  <c r="H1687" i="13" s="1"/>
  <c r="I1687" i="13" s="1"/>
  <c r="J1687" i="13" s="1"/>
  <c r="G1688" i="13"/>
  <c r="H1688" i="13" s="1"/>
  <c r="I1688" i="13" s="1"/>
  <c r="J1688" i="13" s="1"/>
  <c r="G1689" i="13"/>
  <c r="H1689" i="13" s="1"/>
  <c r="I1689" i="13" s="1"/>
  <c r="J1689" i="13" s="1"/>
  <c r="G1690" i="13"/>
  <c r="H1690" i="13" s="1"/>
  <c r="I1690" i="13" s="1"/>
  <c r="J1690" i="13" s="1"/>
  <c r="G1691" i="13"/>
  <c r="H1691" i="13" s="1"/>
  <c r="I1691" i="13" s="1"/>
  <c r="J1691" i="13" s="1"/>
  <c r="G1692" i="13"/>
  <c r="H1692" i="13" s="1"/>
  <c r="I1692" i="13" s="1"/>
  <c r="J1692" i="13" s="1"/>
  <c r="G1693" i="13"/>
  <c r="H1693" i="13" s="1"/>
  <c r="I1693" i="13" s="1"/>
  <c r="J1693" i="13" s="1"/>
  <c r="G1694" i="13"/>
  <c r="H1694" i="13" s="1"/>
  <c r="I1694" i="13" s="1"/>
  <c r="J1694" i="13" s="1"/>
  <c r="G1695" i="13"/>
  <c r="H1695" i="13" s="1"/>
  <c r="I1695" i="13" s="1"/>
  <c r="J1695" i="13" s="1"/>
  <c r="G1696" i="13"/>
  <c r="H1696" i="13" s="1"/>
  <c r="I1696" i="13" s="1"/>
  <c r="J1696" i="13" s="1"/>
  <c r="G1697" i="13"/>
  <c r="H1697" i="13" s="1"/>
  <c r="I1697" i="13" s="1"/>
  <c r="J1697" i="13" s="1"/>
  <c r="G1698" i="13"/>
  <c r="H1698" i="13" s="1"/>
  <c r="I1698" i="13" s="1"/>
  <c r="J1698" i="13" s="1"/>
  <c r="G1699" i="13"/>
  <c r="H1699" i="13" s="1"/>
  <c r="I1699" i="13" s="1"/>
  <c r="J1699" i="13" s="1"/>
  <c r="G1700" i="13"/>
  <c r="H1700" i="13" s="1"/>
  <c r="I1700" i="13" s="1"/>
  <c r="J1700" i="13" s="1"/>
  <c r="G1701" i="13"/>
  <c r="H1701" i="13" s="1"/>
  <c r="I1701" i="13" s="1"/>
  <c r="J1701" i="13" s="1"/>
  <c r="G1702" i="13"/>
  <c r="H1702" i="13" s="1"/>
  <c r="I1702" i="13" s="1"/>
  <c r="J1702" i="13" s="1"/>
  <c r="G1703" i="13"/>
  <c r="H1703" i="13" s="1"/>
  <c r="I1703" i="13" s="1"/>
  <c r="J1703" i="13" s="1"/>
  <c r="G1704" i="13"/>
  <c r="H1704" i="13" s="1"/>
  <c r="I1704" i="13" s="1"/>
  <c r="J1704" i="13" s="1"/>
  <c r="G1705" i="13"/>
  <c r="H1705" i="13" s="1"/>
  <c r="I1705" i="13" s="1"/>
  <c r="J1705" i="13" s="1"/>
  <c r="G1706" i="13"/>
  <c r="H1706" i="13" s="1"/>
  <c r="I1706" i="13" s="1"/>
  <c r="J1706" i="13" s="1"/>
  <c r="G1710" i="13"/>
  <c r="H1710" i="13" s="1"/>
  <c r="I1710" i="13" s="1"/>
  <c r="J1710" i="13" s="1"/>
  <c r="G1711" i="13"/>
  <c r="H1711" i="13" s="1"/>
  <c r="I1711" i="13" s="1"/>
  <c r="J1711" i="13" s="1"/>
  <c r="G1712" i="13"/>
  <c r="H1712" i="13" s="1"/>
  <c r="I1712" i="13" s="1"/>
  <c r="J1712" i="13" s="1"/>
  <c r="G1713" i="13"/>
  <c r="H1713" i="13" s="1"/>
  <c r="I1713" i="13" s="1"/>
  <c r="J1713" i="13" s="1"/>
  <c r="G1714" i="13"/>
  <c r="H1714" i="13" s="1"/>
  <c r="I1714" i="13" s="1"/>
  <c r="J1714" i="13" s="1"/>
  <c r="G1715" i="13"/>
  <c r="H1715" i="13" s="1"/>
  <c r="I1715" i="13" s="1"/>
  <c r="J1715" i="13" s="1"/>
  <c r="G1716" i="13"/>
  <c r="H1716" i="13" s="1"/>
  <c r="I1716" i="13" s="1"/>
  <c r="J1716" i="13" s="1"/>
  <c r="G1717" i="13"/>
  <c r="H1717" i="13" s="1"/>
  <c r="I1717" i="13" s="1"/>
  <c r="J1717" i="13" s="1"/>
  <c r="G1718" i="13"/>
  <c r="H1718" i="13" s="1"/>
  <c r="I1718" i="13" s="1"/>
  <c r="J1718" i="13" s="1"/>
  <c r="G1719" i="13"/>
  <c r="H1719" i="13" s="1"/>
  <c r="I1719" i="13" s="1"/>
  <c r="J1719" i="13" s="1"/>
  <c r="G1720" i="13"/>
  <c r="H1720" i="13" s="1"/>
  <c r="I1720" i="13" s="1"/>
  <c r="J1720" i="13" s="1"/>
  <c r="G1721" i="13"/>
  <c r="H1721" i="13" s="1"/>
  <c r="I1721" i="13" s="1"/>
  <c r="J1721" i="13" s="1"/>
  <c r="G1722" i="13"/>
  <c r="H1722" i="13" s="1"/>
  <c r="I1722" i="13" s="1"/>
  <c r="J1722" i="13" s="1"/>
  <c r="G1723" i="13"/>
  <c r="H1723" i="13" s="1"/>
  <c r="I1723" i="13" s="1"/>
  <c r="J1723" i="13" s="1"/>
  <c r="G1724" i="13"/>
  <c r="H1724" i="13" s="1"/>
  <c r="I1724" i="13" s="1"/>
  <c r="J1724" i="13" s="1"/>
  <c r="G1725" i="13"/>
  <c r="H1725" i="13" s="1"/>
  <c r="I1725" i="13" s="1"/>
  <c r="J1725" i="13" s="1"/>
  <c r="G1726" i="13"/>
  <c r="H1726" i="13" s="1"/>
  <c r="I1726" i="13" s="1"/>
  <c r="J1726" i="13" s="1"/>
  <c r="G1727" i="13"/>
  <c r="H1727" i="13" s="1"/>
  <c r="I1727" i="13" s="1"/>
  <c r="J1727" i="13" s="1"/>
  <c r="G1728" i="13"/>
  <c r="H1728" i="13" s="1"/>
  <c r="I1728" i="13" s="1"/>
  <c r="J1728" i="13" s="1"/>
  <c r="G1729" i="13"/>
  <c r="H1729" i="13" s="1"/>
  <c r="I1729" i="13" s="1"/>
  <c r="J1729" i="13" s="1"/>
  <c r="G1730" i="13"/>
  <c r="H1730" i="13" s="1"/>
  <c r="I1730" i="13" s="1"/>
  <c r="J1730" i="13" s="1"/>
  <c r="G1731" i="13"/>
  <c r="H1731" i="13" s="1"/>
  <c r="I1731" i="13" s="1"/>
  <c r="J1731" i="13" s="1"/>
  <c r="G1732" i="13"/>
  <c r="H1732" i="13" s="1"/>
  <c r="I1732" i="13" s="1"/>
  <c r="J1732" i="13" s="1"/>
  <c r="G1733" i="13"/>
  <c r="H1733" i="13" s="1"/>
  <c r="I1733" i="13" s="1"/>
  <c r="J1733" i="13" s="1"/>
  <c r="G1734" i="13"/>
  <c r="H1734" i="13" s="1"/>
  <c r="I1734" i="13" s="1"/>
  <c r="J1734" i="13" s="1"/>
  <c r="G1735" i="13"/>
  <c r="H1735" i="13" s="1"/>
  <c r="I1735" i="13" s="1"/>
  <c r="J1735" i="13" s="1"/>
  <c r="G1736" i="13"/>
  <c r="H1736" i="13" s="1"/>
  <c r="I1736" i="13" s="1"/>
  <c r="J1736" i="13" s="1"/>
  <c r="G1737" i="13"/>
  <c r="H1737" i="13" s="1"/>
  <c r="I1737" i="13" s="1"/>
  <c r="J1737" i="13" s="1"/>
  <c r="G1738" i="13"/>
  <c r="H1738" i="13" s="1"/>
  <c r="I1738" i="13" s="1"/>
  <c r="J1738" i="13" s="1"/>
  <c r="G1739" i="13"/>
  <c r="H1739" i="13" s="1"/>
  <c r="I1739" i="13" s="1"/>
  <c r="J1739" i="13" s="1"/>
  <c r="G1740" i="13"/>
  <c r="H1740" i="13" s="1"/>
  <c r="I1740" i="13" s="1"/>
  <c r="J1740" i="13" s="1"/>
  <c r="G1741" i="13"/>
  <c r="H1741" i="13" s="1"/>
  <c r="I1741" i="13" s="1"/>
  <c r="J1741" i="13" s="1"/>
  <c r="G1742" i="13"/>
  <c r="H1742" i="13" s="1"/>
  <c r="I1742" i="13" s="1"/>
  <c r="J1742" i="13" s="1"/>
  <c r="G1743" i="13"/>
  <c r="H1743" i="13" s="1"/>
  <c r="I1743" i="13" s="1"/>
  <c r="J1743" i="13" s="1"/>
  <c r="G1744" i="13"/>
  <c r="H1744" i="13" s="1"/>
  <c r="I1744" i="13" s="1"/>
  <c r="J1744" i="13" s="1"/>
  <c r="G1745" i="13"/>
  <c r="H1745" i="13" s="1"/>
  <c r="I1745" i="13" s="1"/>
  <c r="J1745" i="13" s="1"/>
  <c r="G1746" i="13"/>
  <c r="H1746" i="13" s="1"/>
  <c r="I1746" i="13" s="1"/>
  <c r="J1746" i="13" s="1"/>
  <c r="G1747" i="13"/>
  <c r="H1747" i="13" s="1"/>
  <c r="I1747" i="13" s="1"/>
  <c r="J1747" i="13" s="1"/>
  <c r="G1748" i="13"/>
  <c r="H1748" i="13" s="1"/>
  <c r="I1748" i="13" s="1"/>
  <c r="J1748" i="13" s="1"/>
  <c r="G1749" i="13"/>
  <c r="H1749" i="13" s="1"/>
  <c r="I1749" i="13" s="1"/>
  <c r="J1749" i="13" s="1"/>
  <c r="G1750" i="13"/>
  <c r="H1750" i="13" s="1"/>
  <c r="I1750" i="13" s="1"/>
  <c r="J1750" i="13" s="1"/>
  <c r="G1751" i="13"/>
  <c r="H1751" i="13" s="1"/>
  <c r="I1751" i="13" s="1"/>
  <c r="J1751" i="13" s="1"/>
  <c r="G1752" i="13"/>
  <c r="H1752" i="13" s="1"/>
  <c r="I1752" i="13" s="1"/>
  <c r="J1752" i="13" s="1"/>
  <c r="G1753" i="13"/>
  <c r="H1753" i="13" s="1"/>
  <c r="I1753" i="13" s="1"/>
  <c r="J1753" i="13" s="1"/>
  <c r="G1754" i="13"/>
  <c r="H1754" i="13" s="1"/>
  <c r="I1754" i="13" s="1"/>
  <c r="J1754" i="13" s="1"/>
  <c r="G1755" i="13"/>
  <c r="H1755" i="13" s="1"/>
  <c r="I1755" i="13" s="1"/>
  <c r="J1755" i="13" s="1"/>
  <c r="G1756" i="13"/>
  <c r="H1756" i="13" s="1"/>
  <c r="I1756" i="13" s="1"/>
  <c r="J1756" i="13" s="1"/>
  <c r="G1757" i="13"/>
  <c r="H1757" i="13" s="1"/>
  <c r="I1757" i="13" s="1"/>
  <c r="J1757" i="13" s="1"/>
  <c r="G1758" i="13"/>
  <c r="H1758" i="13" s="1"/>
  <c r="I1758" i="13" s="1"/>
  <c r="J1758" i="13" s="1"/>
  <c r="G1759" i="13"/>
  <c r="H1759" i="13" s="1"/>
  <c r="I1759" i="13" s="1"/>
  <c r="J1759" i="13" s="1"/>
  <c r="G1760" i="13"/>
  <c r="H1760" i="13" s="1"/>
  <c r="I1760" i="13" s="1"/>
  <c r="J1760" i="13" s="1"/>
  <c r="G1761" i="13"/>
  <c r="H1761" i="13" s="1"/>
  <c r="I1761" i="13" s="1"/>
  <c r="J1761" i="13" s="1"/>
  <c r="G1762" i="13"/>
  <c r="H1762" i="13" s="1"/>
  <c r="I1762" i="13" s="1"/>
  <c r="J1762" i="13" s="1"/>
  <c r="G1763" i="13"/>
  <c r="H1763" i="13" s="1"/>
  <c r="I1763" i="13" s="1"/>
  <c r="J1763" i="13" s="1"/>
  <c r="G1764" i="13"/>
  <c r="H1764" i="13" s="1"/>
  <c r="I1764" i="13" s="1"/>
  <c r="J1764" i="13" s="1"/>
  <c r="G1765" i="13"/>
  <c r="H1765" i="13" s="1"/>
  <c r="I1765" i="13" s="1"/>
  <c r="J1765" i="13" s="1"/>
  <c r="G1766" i="13"/>
  <c r="H1766" i="13" s="1"/>
  <c r="I1766" i="13" s="1"/>
  <c r="J1766" i="13" s="1"/>
  <c r="G1767" i="13"/>
  <c r="H1767" i="13" s="1"/>
  <c r="I1767" i="13" s="1"/>
  <c r="J1767" i="13" s="1"/>
  <c r="G1768" i="13"/>
  <c r="H1768" i="13" s="1"/>
  <c r="I1768" i="13" s="1"/>
  <c r="J1768" i="13" s="1"/>
  <c r="G1769" i="13"/>
  <c r="H1769" i="13" s="1"/>
  <c r="I1769" i="13" s="1"/>
  <c r="J1769" i="13" s="1"/>
  <c r="G1770" i="13"/>
  <c r="H1770" i="13" s="1"/>
  <c r="I1770" i="13" s="1"/>
  <c r="J1770" i="13" s="1"/>
  <c r="G1771" i="13"/>
  <c r="H1771" i="13" s="1"/>
  <c r="I1771" i="13" s="1"/>
  <c r="J1771" i="13" s="1"/>
  <c r="G1772" i="13"/>
  <c r="H1772" i="13" s="1"/>
  <c r="I1772" i="13" s="1"/>
  <c r="J1772" i="13" s="1"/>
  <c r="G1773" i="13"/>
  <c r="H1773" i="13" s="1"/>
  <c r="I1773" i="13" s="1"/>
  <c r="J1773" i="13" s="1"/>
  <c r="G1774" i="13"/>
  <c r="H1774" i="13" s="1"/>
  <c r="I1774" i="13" s="1"/>
  <c r="J1774" i="13" s="1"/>
  <c r="G1775" i="13"/>
  <c r="H1775" i="13" s="1"/>
  <c r="I1775" i="13" s="1"/>
  <c r="J1775" i="13" s="1"/>
  <c r="G1776" i="13"/>
  <c r="H1776" i="13" s="1"/>
  <c r="I1776" i="13" s="1"/>
  <c r="J1776" i="13" s="1"/>
  <c r="G1777" i="13"/>
  <c r="H1777" i="13" s="1"/>
  <c r="I1777" i="13" s="1"/>
  <c r="J1777" i="13" s="1"/>
  <c r="G1778" i="13"/>
  <c r="H1778" i="13" s="1"/>
  <c r="I1778" i="13" s="1"/>
  <c r="J1778" i="13" s="1"/>
  <c r="G1779" i="13"/>
  <c r="H1779" i="13" s="1"/>
  <c r="I1779" i="13" s="1"/>
  <c r="J1779" i="13" s="1"/>
  <c r="G1780" i="13"/>
  <c r="H1780" i="13" s="1"/>
  <c r="I1780" i="13" s="1"/>
  <c r="J1780" i="13" s="1"/>
  <c r="G1781" i="13"/>
  <c r="H1781" i="13" s="1"/>
  <c r="I1781" i="13" s="1"/>
  <c r="J1781" i="13" s="1"/>
  <c r="G1782" i="13"/>
  <c r="H1782" i="13" s="1"/>
  <c r="I1782" i="13" s="1"/>
  <c r="J1782" i="13" s="1"/>
  <c r="G1783" i="13"/>
  <c r="H1783" i="13" s="1"/>
  <c r="I1783" i="13" s="1"/>
  <c r="J1783" i="13" s="1"/>
  <c r="G1784" i="13"/>
  <c r="H1784" i="13" s="1"/>
  <c r="I1784" i="13" s="1"/>
  <c r="J1784" i="13" s="1"/>
  <c r="G1785" i="13"/>
  <c r="H1785" i="13" s="1"/>
  <c r="I1785" i="13" s="1"/>
  <c r="J1785" i="13" s="1"/>
  <c r="G1786" i="13"/>
  <c r="H1786" i="13" s="1"/>
  <c r="I1786" i="13" s="1"/>
  <c r="J1786" i="13" s="1"/>
  <c r="G1787" i="13"/>
  <c r="H1787" i="13" s="1"/>
  <c r="I1787" i="13" s="1"/>
  <c r="J1787" i="13" s="1"/>
  <c r="G1788" i="13"/>
  <c r="H1788" i="13" s="1"/>
  <c r="I1788" i="13" s="1"/>
  <c r="J1788" i="13" s="1"/>
  <c r="G1789" i="13"/>
  <c r="H1789" i="13" s="1"/>
  <c r="I1789" i="13" s="1"/>
  <c r="J1789" i="13" s="1"/>
  <c r="G1790" i="13"/>
  <c r="H1790" i="13" s="1"/>
  <c r="I1790" i="13" s="1"/>
  <c r="J1790" i="13" s="1"/>
  <c r="G1791" i="13"/>
  <c r="H1791" i="13" s="1"/>
  <c r="I1791" i="13" s="1"/>
  <c r="J1791" i="13" s="1"/>
  <c r="G1792" i="13"/>
  <c r="H1792" i="13" s="1"/>
  <c r="I1792" i="13" s="1"/>
  <c r="J1792" i="13" s="1"/>
  <c r="G1793" i="13"/>
  <c r="H1793" i="13" s="1"/>
  <c r="I1793" i="13" s="1"/>
  <c r="J1793" i="13" s="1"/>
  <c r="G1794" i="13"/>
  <c r="H1794" i="13" s="1"/>
  <c r="I1794" i="13" s="1"/>
  <c r="J1794" i="13" s="1"/>
  <c r="G1795" i="13"/>
  <c r="H1795" i="13" s="1"/>
  <c r="I1795" i="13" s="1"/>
  <c r="J1795" i="13" s="1"/>
  <c r="G1796" i="13"/>
  <c r="H1796" i="13" s="1"/>
  <c r="I1796" i="13" s="1"/>
  <c r="J1796" i="13" s="1"/>
  <c r="G1797" i="13"/>
  <c r="H1797" i="13" s="1"/>
  <c r="I1797" i="13" s="1"/>
  <c r="J1797" i="13" s="1"/>
  <c r="G1798" i="13"/>
  <c r="H1798" i="13" s="1"/>
  <c r="I1798" i="13" s="1"/>
  <c r="J1798" i="13" s="1"/>
  <c r="G1799" i="13"/>
  <c r="H1799" i="13" s="1"/>
  <c r="I1799" i="13" s="1"/>
  <c r="J1799" i="13" s="1"/>
  <c r="G1800" i="13"/>
  <c r="H1800" i="13" s="1"/>
  <c r="I1800" i="13" s="1"/>
  <c r="J1800" i="13" s="1"/>
  <c r="G1801" i="13"/>
  <c r="H1801" i="13" s="1"/>
  <c r="I1801" i="13" s="1"/>
  <c r="J1801" i="13" s="1"/>
  <c r="G1802" i="13"/>
  <c r="H1802" i="13" s="1"/>
  <c r="I1802" i="13" s="1"/>
  <c r="J1802" i="13" s="1"/>
  <c r="G1803" i="13"/>
  <c r="H1803" i="13" s="1"/>
  <c r="I1803" i="13" s="1"/>
  <c r="J1803" i="13" s="1"/>
  <c r="G1804" i="13"/>
  <c r="H1804" i="13" s="1"/>
  <c r="I1804" i="13" s="1"/>
  <c r="J1804" i="13" s="1"/>
  <c r="G1805" i="13"/>
  <c r="H1805" i="13" s="1"/>
  <c r="I1805" i="13" s="1"/>
  <c r="J1805" i="13" s="1"/>
  <c r="G1806" i="13"/>
  <c r="H1806" i="13" s="1"/>
  <c r="I1806" i="13" s="1"/>
  <c r="J1806" i="13" s="1"/>
  <c r="G1807" i="13"/>
  <c r="H1807" i="13" s="1"/>
  <c r="I1807" i="13" s="1"/>
  <c r="J1807" i="13" s="1"/>
  <c r="G1808" i="13"/>
  <c r="H1808" i="13" s="1"/>
  <c r="I1808" i="13" s="1"/>
  <c r="J1808" i="13" s="1"/>
  <c r="G1809" i="13"/>
  <c r="H1809" i="13" s="1"/>
  <c r="I1809" i="13" s="1"/>
  <c r="J1809" i="13" s="1"/>
  <c r="G1810" i="13"/>
  <c r="H1810" i="13" s="1"/>
  <c r="I1810" i="13" s="1"/>
  <c r="J1810" i="13" s="1"/>
  <c r="G1811" i="13"/>
  <c r="H1811" i="13" s="1"/>
  <c r="I1811" i="13" s="1"/>
  <c r="J1811" i="13" s="1"/>
  <c r="G1812" i="13"/>
  <c r="H1812" i="13" s="1"/>
  <c r="I1812" i="13" s="1"/>
  <c r="J1812" i="13" s="1"/>
  <c r="G1813" i="13"/>
  <c r="H1813" i="13" s="1"/>
  <c r="I1813" i="13" s="1"/>
  <c r="J1813" i="13" s="1"/>
  <c r="G1814" i="13"/>
  <c r="H1814" i="13" s="1"/>
  <c r="I1814" i="13" s="1"/>
  <c r="J1814" i="13" s="1"/>
  <c r="G1815" i="13"/>
  <c r="H1815" i="13" s="1"/>
  <c r="I1815" i="13" s="1"/>
  <c r="J1815" i="13" s="1"/>
  <c r="G1816" i="13"/>
  <c r="H1816" i="13" s="1"/>
  <c r="I1816" i="13" s="1"/>
  <c r="J1816" i="13" s="1"/>
  <c r="G1817" i="13"/>
  <c r="H1817" i="13" s="1"/>
  <c r="I1817" i="13" s="1"/>
  <c r="J1817" i="13" s="1"/>
  <c r="G1818" i="13"/>
  <c r="H1818" i="13" s="1"/>
  <c r="I1818" i="13" s="1"/>
  <c r="J1818" i="13" s="1"/>
  <c r="G1819" i="13"/>
  <c r="H1819" i="13" s="1"/>
  <c r="I1819" i="13" s="1"/>
  <c r="J1819" i="13" s="1"/>
  <c r="G1820" i="13"/>
  <c r="H1820" i="13" s="1"/>
  <c r="I1820" i="13" s="1"/>
  <c r="J1820" i="13" s="1"/>
  <c r="G1821" i="13"/>
  <c r="H1821" i="13" s="1"/>
  <c r="I1821" i="13" s="1"/>
  <c r="J1821" i="13" s="1"/>
  <c r="G1822" i="13"/>
  <c r="H1822" i="13" s="1"/>
  <c r="I1822" i="13" s="1"/>
  <c r="J1822" i="13" s="1"/>
  <c r="G1823" i="13"/>
  <c r="H1823" i="13" s="1"/>
  <c r="I1823" i="13" s="1"/>
  <c r="J1823" i="13" s="1"/>
  <c r="G1824" i="13"/>
  <c r="H1824" i="13" s="1"/>
  <c r="I1824" i="13" s="1"/>
  <c r="J1824" i="13" s="1"/>
  <c r="G1825" i="13"/>
  <c r="H1825" i="13" s="1"/>
  <c r="I1825" i="13" s="1"/>
  <c r="J1825" i="13" s="1"/>
  <c r="G1826" i="13"/>
  <c r="H1826" i="13" s="1"/>
  <c r="I1826" i="13" s="1"/>
  <c r="J1826" i="13" s="1"/>
  <c r="G1827" i="13"/>
  <c r="H1827" i="13" s="1"/>
  <c r="I1827" i="13" s="1"/>
  <c r="J1827" i="13" s="1"/>
  <c r="G1828" i="13"/>
  <c r="H1828" i="13" s="1"/>
  <c r="I1828" i="13" s="1"/>
  <c r="J1828" i="13" s="1"/>
  <c r="G1829" i="13"/>
  <c r="H1829" i="13" s="1"/>
  <c r="I1829" i="13" s="1"/>
  <c r="J1829" i="13" s="1"/>
  <c r="G1830" i="13"/>
  <c r="H1830" i="13" s="1"/>
  <c r="I1830" i="13" s="1"/>
  <c r="J1830" i="13" s="1"/>
  <c r="G1831" i="13"/>
  <c r="H1831" i="13" s="1"/>
  <c r="I1831" i="13" s="1"/>
  <c r="J1831" i="13" s="1"/>
  <c r="G1832" i="13"/>
  <c r="H1832" i="13" s="1"/>
  <c r="I1832" i="13" s="1"/>
  <c r="J1832" i="13" s="1"/>
  <c r="G1833" i="13"/>
  <c r="H1833" i="13" s="1"/>
  <c r="I1833" i="13" s="1"/>
  <c r="J1833" i="13" s="1"/>
  <c r="G1834" i="13"/>
  <c r="H1834" i="13" s="1"/>
  <c r="I1834" i="13" s="1"/>
  <c r="J1834" i="13" s="1"/>
  <c r="G1835" i="13"/>
  <c r="H1835" i="13" s="1"/>
  <c r="I1835" i="13" s="1"/>
  <c r="J1835" i="13" s="1"/>
  <c r="G1836" i="13"/>
  <c r="H1836" i="13" s="1"/>
  <c r="I1836" i="13" s="1"/>
  <c r="J1836" i="13" s="1"/>
  <c r="G1837" i="13"/>
  <c r="H1837" i="13" s="1"/>
  <c r="I1837" i="13" s="1"/>
  <c r="J1837" i="13" s="1"/>
  <c r="G1838" i="13"/>
  <c r="H1838" i="13" s="1"/>
  <c r="I1838" i="13" s="1"/>
  <c r="J1838" i="13" s="1"/>
  <c r="G1839" i="13"/>
  <c r="H1839" i="13" s="1"/>
  <c r="I1839" i="13" s="1"/>
  <c r="J1839" i="13" s="1"/>
  <c r="G1840" i="13"/>
  <c r="H1840" i="13" s="1"/>
  <c r="I1840" i="13" s="1"/>
  <c r="J1840" i="13" s="1"/>
  <c r="G1841" i="13"/>
  <c r="H1841" i="13" s="1"/>
  <c r="I1841" i="13" s="1"/>
  <c r="J1841" i="13" s="1"/>
  <c r="G1842" i="13"/>
  <c r="H1842" i="13" s="1"/>
  <c r="I1842" i="13" s="1"/>
  <c r="J1842" i="13" s="1"/>
  <c r="G1843" i="13"/>
  <c r="H1843" i="13" s="1"/>
  <c r="I1843" i="13" s="1"/>
  <c r="J1843" i="13" s="1"/>
  <c r="G1844" i="13"/>
  <c r="H1844" i="13" s="1"/>
  <c r="I1844" i="13" s="1"/>
  <c r="J1844" i="13" s="1"/>
  <c r="G1845" i="13"/>
  <c r="H1845" i="13" s="1"/>
  <c r="I1845" i="13" s="1"/>
  <c r="J1845" i="13" s="1"/>
  <c r="G1846" i="13"/>
  <c r="H1846" i="13" s="1"/>
  <c r="I1846" i="13" s="1"/>
  <c r="J1846" i="13" s="1"/>
  <c r="G1847" i="13"/>
  <c r="H1847" i="13" s="1"/>
  <c r="I1847" i="13" s="1"/>
  <c r="J1847" i="13" s="1"/>
  <c r="G1848" i="13"/>
  <c r="H1848" i="13" s="1"/>
  <c r="I1848" i="13" s="1"/>
  <c r="J1848" i="13" s="1"/>
  <c r="G1849" i="13"/>
  <c r="H1849" i="13" s="1"/>
  <c r="I1849" i="13" s="1"/>
  <c r="J1849" i="13" s="1"/>
  <c r="G1850" i="13"/>
  <c r="H1850" i="13" s="1"/>
  <c r="I1850" i="13" s="1"/>
  <c r="J1850" i="13" s="1"/>
  <c r="G1851" i="13"/>
  <c r="H1851" i="13" s="1"/>
  <c r="I1851" i="13" s="1"/>
  <c r="J1851" i="13" s="1"/>
  <c r="G1852" i="13"/>
  <c r="H1852" i="13" s="1"/>
  <c r="I1852" i="13" s="1"/>
  <c r="J1852" i="13" s="1"/>
  <c r="G1853" i="13"/>
  <c r="H1853" i="13" s="1"/>
  <c r="I1853" i="13" s="1"/>
  <c r="J1853" i="13" s="1"/>
  <c r="G1854" i="13"/>
  <c r="H1854" i="13" s="1"/>
  <c r="I1854" i="13" s="1"/>
  <c r="J1854" i="13" s="1"/>
  <c r="G1855" i="13"/>
  <c r="H1855" i="13" s="1"/>
  <c r="I1855" i="13" s="1"/>
  <c r="J1855" i="13" s="1"/>
  <c r="G1856" i="13"/>
  <c r="H1856" i="13" s="1"/>
  <c r="I1856" i="13" s="1"/>
  <c r="J1856" i="13" s="1"/>
  <c r="G1857" i="13"/>
  <c r="H1857" i="13" s="1"/>
  <c r="I1857" i="13" s="1"/>
  <c r="J1857" i="13" s="1"/>
  <c r="G1858" i="13"/>
  <c r="H1858" i="13" s="1"/>
  <c r="I1858" i="13" s="1"/>
  <c r="J1858" i="13" s="1"/>
  <c r="G1859" i="13"/>
  <c r="H1859" i="13" s="1"/>
  <c r="I1859" i="13" s="1"/>
  <c r="J1859" i="13" s="1"/>
  <c r="G1860" i="13"/>
  <c r="H1860" i="13" s="1"/>
  <c r="I1860" i="13" s="1"/>
  <c r="J1860" i="13" s="1"/>
  <c r="G1861" i="13"/>
  <c r="H1861" i="13" s="1"/>
  <c r="I1861" i="13" s="1"/>
  <c r="J1861" i="13" s="1"/>
  <c r="G1862" i="13"/>
  <c r="H1862" i="13" s="1"/>
  <c r="I1862" i="13" s="1"/>
  <c r="J1862" i="13" s="1"/>
  <c r="G1863" i="13"/>
  <c r="H1863" i="13" s="1"/>
  <c r="I1863" i="13" s="1"/>
  <c r="J1863" i="13" s="1"/>
  <c r="G1864" i="13"/>
  <c r="H1864" i="13" s="1"/>
  <c r="I1864" i="13" s="1"/>
  <c r="J1864" i="13" s="1"/>
  <c r="G1865" i="13"/>
  <c r="H1865" i="13" s="1"/>
  <c r="I1865" i="13" s="1"/>
  <c r="J1865" i="13" s="1"/>
  <c r="G1866" i="13"/>
  <c r="H1866" i="13" s="1"/>
  <c r="I1866" i="13" s="1"/>
  <c r="J1866" i="13" s="1"/>
  <c r="G1867" i="13"/>
  <c r="H1867" i="13" s="1"/>
  <c r="I1867" i="13" s="1"/>
  <c r="J1867" i="13" s="1"/>
  <c r="G1868" i="13"/>
  <c r="H1868" i="13" s="1"/>
  <c r="I1868" i="13" s="1"/>
  <c r="J1868" i="13" s="1"/>
  <c r="G1869" i="13"/>
  <c r="H1869" i="13" s="1"/>
  <c r="I1869" i="13" s="1"/>
  <c r="J1869" i="13" s="1"/>
  <c r="G1870" i="13"/>
  <c r="H1870" i="13" s="1"/>
  <c r="I1870" i="13" s="1"/>
  <c r="J1870" i="13" s="1"/>
  <c r="G1871" i="13"/>
  <c r="H1871" i="13" s="1"/>
  <c r="I1871" i="13" s="1"/>
  <c r="J1871" i="13" s="1"/>
  <c r="G1872" i="13"/>
  <c r="H1872" i="13" s="1"/>
  <c r="I1872" i="13" s="1"/>
  <c r="J1872" i="13" s="1"/>
  <c r="G1873" i="13"/>
  <c r="H1873" i="13" s="1"/>
  <c r="I1873" i="13" s="1"/>
  <c r="J1873" i="13" s="1"/>
  <c r="G1874" i="13"/>
  <c r="H1874" i="13" s="1"/>
  <c r="I1874" i="13" s="1"/>
  <c r="J1874" i="13" s="1"/>
  <c r="G1875" i="13"/>
  <c r="H1875" i="13" s="1"/>
  <c r="I1875" i="13" s="1"/>
  <c r="J1875" i="13" s="1"/>
  <c r="G1876" i="13"/>
  <c r="H1876" i="13" s="1"/>
  <c r="I1876" i="13" s="1"/>
  <c r="J1876" i="13" s="1"/>
  <c r="G1877" i="13"/>
  <c r="H1877" i="13" s="1"/>
  <c r="I1877" i="13" s="1"/>
  <c r="J1877" i="13" s="1"/>
  <c r="G1878" i="13"/>
  <c r="H1878" i="13" s="1"/>
  <c r="I1878" i="13" s="1"/>
  <c r="J1878" i="13" s="1"/>
  <c r="G1879" i="13"/>
  <c r="H1879" i="13" s="1"/>
  <c r="I1879" i="13" s="1"/>
  <c r="J1879" i="13" s="1"/>
  <c r="G1880" i="13"/>
  <c r="H1880" i="13" s="1"/>
  <c r="I1880" i="13" s="1"/>
  <c r="J1880" i="13" s="1"/>
  <c r="G1881" i="13"/>
  <c r="H1881" i="13" s="1"/>
  <c r="I1881" i="13" s="1"/>
  <c r="J1881" i="13" s="1"/>
  <c r="G1882" i="13"/>
  <c r="H1882" i="13" s="1"/>
  <c r="I1882" i="13" s="1"/>
  <c r="J1882" i="13" s="1"/>
  <c r="G1883" i="13"/>
  <c r="H1883" i="13" s="1"/>
  <c r="I1883" i="13" s="1"/>
  <c r="J1883" i="13" s="1"/>
  <c r="G1884" i="13"/>
  <c r="H1884" i="13" s="1"/>
  <c r="I1884" i="13" s="1"/>
  <c r="J1884" i="13" s="1"/>
  <c r="G1885" i="13"/>
  <c r="H1885" i="13" s="1"/>
  <c r="I1885" i="13" s="1"/>
  <c r="J1885" i="13" s="1"/>
  <c r="G1886" i="13"/>
  <c r="H1886" i="13" s="1"/>
  <c r="I1886" i="13" s="1"/>
  <c r="J1886" i="13" s="1"/>
  <c r="G1887" i="13"/>
  <c r="H1887" i="13" s="1"/>
  <c r="I1887" i="13" s="1"/>
  <c r="J1887" i="13" s="1"/>
  <c r="G1888" i="13"/>
  <c r="H1888" i="13" s="1"/>
  <c r="I1888" i="13" s="1"/>
  <c r="J1888" i="13" s="1"/>
  <c r="G1889" i="13"/>
  <c r="H1889" i="13" s="1"/>
  <c r="I1889" i="13" s="1"/>
  <c r="J1889" i="13" s="1"/>
  <c r="G1890" i="13"/>
  <c r="H1890" i="13" s="1"/>
  <c r="I1890" i="13" s="1"/>
  <c r="J1890" i="13" s="1"/>
  <c r="G1891" i="13"/>
  <c r="H1891" i="13" s="1"/>
  <c r="I1891" i="13" s="1"/>
  <c r="J1891" i="13" s="1"/>
  <c r="G1892" i="13"/>
  <c r="H1892" i="13" s="1"/>
  <c r="I1892" i="13" s="1"/>
  <c r="J1892" i="13" s="1"/>
  <c r="G1893" i="13"/>
  <c r="H1893" i="13" s="1"/>
  <c r="I1893" i="13" s="1"/>
  <c r="J1893" i="13" s="1"/>
  <c r="G1894" i="13"/>
  <c r="H1894" i="13" s="1"/>
  <c r="I1894" i="13" s="1"/>
  <c r="J1894" i="13" s="1"/>
  <c r="G1895" i="13"/>
  <c r="H1895" i="13" s="1"/>
  <c r="I1895" i="13" s="1"/>
  <c r="J1895" i="13" s="1"/>
  <c r="G1896" i="13"/>
  <c r="H1896" i="13" s="1"/>
  <c r="I1896" i="13" s="1"/>
  <c r="J1896" i="13" s="1"/>
  <c r="G1897" i="13"/>
  <c r="H1897" i="13" s="1"/>
  <c r="I1897" i="13" s="1"/>
  <c r="J1897" i="13" s="1"/>
  <c r="G1898" i="13"/>
  <c r="H1898" i="13" s="1"/>
  <c r="I1898" i="13" s="1"/>
  <c r="J1898" i="13" s="1"/>
  <c r="G1899" i="13"/>
  <c r="H1899" i="13" s="1"/>
  <c r="I1899" i="13" s="1"/>
  <c r="J1899" i="13" s="1"/>
  <c r="G1900" i="13"/>
  <c r="H1900" i="13" s="1"/>
  <c r="I1900" i="13" s="1"/>
  <c r="J1900" i="13" s="1"/>
  <c r="G1901" i="13"/>
  <c r="H1901" i="13" s="1"/>
  <c r="I1901" i="13" s="1"/>
  <c r="J1901" i="13" s="1"/>
  <c r="G1902" i="13"/>
  <c r="H1902" i="13" s="1"/>
  <c r="I1902" i="13" s="1"/>
  <c r="J1902" i="13" s="1"/>
  <c r="G1903" i="13"/>
  <c r="H1903" i="13" s="1"/>
  <c r="I1903" i="13" s="1"/>
  <c r="J1903" i="13" s="1"/>
  <c r="G1904" i="13"/>
  <c r="H1904" i="13" s="1"/>
  <c r="I1904" i="13" s="1"/>
  <c r="J1904" i="13" s="1"/>
  <c r="G1905" i="13"/>
  <c r="H1905" i="13" s="1"/>
  <c r="I1905" i="13" s="1"/>
  <c r="J1905" i="13" s="1"/>
  <c r="G1906" i="13"/>
  <c r="H1906" i="13" s="1"/>
  <c r="I1906" i="13" s="1"/>
  <c r="J1906" i="13" s="1"/>
  <c r="G1907" i="13"/>
  <c r="H1907" i="13" s="1"/>
  <c r="I1907" i="13" s="1"/>
  <c r="J1907" i="13" s="1"/>
  <c r="G1908" i="13"/>
  <c r="H1908" i="13" s="1"/>
  <c r="I1908" i="13" s="1"/>
  <c r="J1908" i="13" s="1"/>
  <c r="G1909" i="13"/>
  <c r="H1909" i="13" s="1"/>
  <c r="I1909" i="13" s="1"/>
  <c r="J1909" i="13" s="1"/>
  <c r="G1910" i="13"/>
  <c r="H1910" i="13" s="1"/>
  <c r="I1910" i="13" s="1"/>
  <c r="J1910" i="13" s="1"/>
  <c r="G1911" i="13"/>
  <c r="H1911" i="13" s="1"/>
  <c r="I1911" i="13" s="1"/>
  <c r="J1911" i="13" s="1"/>
  <c r="G1912" i="13"/>
  <c r="H1912" i="13" s="1"/>
  <c r="I1912" i="13" s="1"/>
  <c r="J1912" i="13" s="1"/>
  <c r="G1913" i="13"/>
  <c r="H1913" i="13" s="1"/>
  <c r="I1913" i="13" s="1"/>
  <c r="J1913" i="13" s="1"/>
  <c r="G1914" i="13"/>
  <c r="H1914" i="13" s="1"/>
  <c r="I1914" i="13" s="1"/>
  <c r="J1914" i="13" s="1"/>
  <c r="G1915" i="13"/>
  <c r="H1915" i="13" s="1"/>
  <c r="I1915" i="13" s="1"/>
  <c r="J1915" i="13" s="1"/>
  <c r="G1916" i="13"/>
  <c r="H1916" i="13" s="1"/>
  <c r="I1916" i="13" s="1"/>
  <c r="J1916" i="13" s="1"/>
  <c r="G1917" i="13"/>
  <c r="H1917" i="13" s="1"/>
  <c r="I1917" i="13" s="1"/>
  <c r="J1917" i="13" s="1"/>
  <c r="G1918" i="13"/>
  <c r="H1918" i="13" s="1"/>
  <c r="I1918" i="13" s="1"/>
  <c r="J1918" i="13" s="1"/>
  <c r="G1919" i="13"/>
  <c r="H1919" i="13" s="1"/>
  <c r="I1919" i="13" s="1"/>
  <c r="J1919" i="13" s="1"/>
  <c r="G1920" i="13"/>
  <c r="H1920" i="13" s="1"/>
  <c r="I1920" i="13" s="1"/>
  <c r="J1920" i="13" s="1"/>
  <c r="G1921" i="13"/>
  <c r="H1921" i="13" s="1"/>
  <c r="I1921" i="13" s="1"/>
  <c r="J1921" i="13" s="1"/>
  <c r="G1922" i="13"/>
  <c r="H1922" i="13" s="1"/>
  <c r="I1922" i="13" s="1"/>
  <c r="J1922" i="13" s="1"/>
  <c r="G1923" i="13"/>
  <c r="H1923" i="13" s="1"/>
  <c r="I1923" i="13" s="1"/>
  <c r="J1923" i="13" s="1"/>
  <c r="G1924" i="13"/>
  <c r="H1924" i="13" s="1"/>
  <c r="I1924" i="13" s="1"/>
  <c r="J1924" i="13" s="1"/>
  <c r="G1925" i="13"/>
  <c r="H1925" i="13" s="1"/>
  <c r="I1925" i="13" s="1"/>
  <c r="J1925" i="13" s="1"/>
  <c r="G1926" i="13"/>
  <c r="H1926" i="13" s="1"/>
  <c r="I1926" i="13" s="1"/>
  <c r="J1926" i="13" s="1"/>
  <c r="G1927" i="13"/>
  <c r="H1927" i="13" s="1"/>
  <c r="I1927" i="13" s="1"/>
  <c r="J1927" i="13" s="1"/>
  <c r="G1928" i="13"/>
  <c r="H1928" i="13" s="1"/>
  <c r="I1928" i="13" s="1"/>
  <c r="J1928" i="13" s="1"/>
  <c r="G1929" i="13"/>
  <c r="H1929" i="13" s="1"/>
  <c r="I1929" i="13" s="1"/>
  <c r="J1929" i="13" s="1"/>
  <c r="G1930" i="13"/>
  <c r="H1930" i="13" s="1"/>
  <c r="I1930" i="13" s="1"/>
  <c r="J1930" i="13" s="1"/>
  <c r="G1931" i="13"/>
  <c r="H1931" i="13" s="1"/>
  <c r="I1931" i="13" s="1"/>
  <c r="J1931" i="13" s="1"/>
  <c r="G1932" i="13"/>
  <c r="H1932" i="13" s="1"/>
  <c r="I1932" i="13" s="1"/>
  <c r="J1932" i="13" s="1"/>
  <c r="G1933" i="13"/>
  <c r="H1933" i="13" s="1"/>
  <c r="I1933" i="13" s="1"/>
  <c r="J1933" i="13" s="1"/>
  <c r="G1934" i="13"/>
  <c r="H1934" i="13" s="1"/>
  <c r="I1934" i="13" s="1"/>
  <c r="J1934" i="13" s="1"/>
  <c r="G1935" i="13"/>
  <c r="H1935" i="13" s="1"/>
  <c r="I1935" i="13" s="1"/>
  <c r="J1935" i="13" s="1"/>
  <c r="G1936" i="13"/>
  <c r="H1936" i="13" s="1"/>
  <c r="I1936" i="13" s="1"/>
  <c r="J1936" i="13" s="1"/>
  <c r="G1937" i="13"/>
  <c r="H1937" i="13" s="1"/>
  <c r="I1937" i="13" s="1"/>
  <c r="J1937" i="13" s="1"/>
  <c r="G1938" i="13"/>
  <c r="H1938" i="13" s="1"/>
  <c r="I1938" i="13" s="1"/>
  <c r="J1938" i="13" s="1"/>
  <c r="G1939" i="13"/>
  <c r="H1939" i="13" s="1"/>
  <c r="I1939" i="13" s="1"/>
  <c r="J1939" i="13" s="1"/>
  <c r="G1940" i="13"/>
  <c r="H1940" i="13" s="1"/>
  <c r="I1940" i="13" s="1"/>
  <c r="J1940" i="13" s="1"/>
  <c r="G1941" i="13"/>
  <c r="H1941" i="13" s="1"/>
  <c r="I1941" i="13" s="1"/>
  <c r="J1941" i="13" s="1"/>
  <c r="G1942" i="13"/>
  <c r="H1942" i="13" s="1"/>
  <c r="I1942" i="13" s="1"/>
  <c r="J1942" i="13" s="1"/>
  <c r="G1943" i="13"/>
  <c r="H1943" i="13" s="1"/>
  <c r="I1943" i="13" s="1"/>
  <c r="J1943" i="13" s="1"/>
  <c r="G1944" i="13"/>
  <c r="H1944" i="13" s="1"/>
  <c r="I1944" i="13" s="1"/>
  <c r="J1944" i="13" s="1"/>
  <c r="G1945" i="13"/>
  <c r="H1945" i="13" s="1"/>
  <c r="I1945" i="13" s="1"/>
  <c r="J1945" i="13" s="1"/>
  <c r="G1946" i="13"/>
  <c r="H1946" i="13" s="1"/>
  <c r="I1946" i="13" s="1"/>
  <c r="J1946" i="13" s="1"/>
  <c r="G1947" i="13"/>
  <c r="H1947" i="13" s="1"/>
  <c r="I1947" i="13" s="1"/>
  <c r="J1947" i="13" s="1"/>
  <c r="G1948" i="13"/>
  <c r="H1948" i="13" s="1"/>
  <c r="I1948" i="13" s="1"/>
  <c r="J1948" i="13" s="1"/>
  <c r="G1949" i="13"/>
  <c r="H1949" i="13" s="1"/>
  <c r="I1949" i="13" s="1"/>
  <c r="J1949" i="13" s="1"/>
  <c r="G1950" i="13"/>
  <c r="H1950" i="13" s="1"/>
  <c r="I1950" i="13" s="1"/>
  <c r="J1950" i="13" s="1"/>
  <c r="G1951" i="13"/>
  <c r="H1951" i="13" s="1"/>
  <c r="I1951" i="13" s="1"/>
  <c r="J1951" i="13" s="1"/>
  <c r="G1952" i="13"/>
  <c r="H1952" i="13" s="1"/>
  <c r="I1952" i="13" s="1"/>
  <c r="J1952" i="13" s="1"/>
  <c r="G1953" i="13"/>
  <c r="H1953" i="13" s="1"/>
  <c r="I1953" i="13" s="1"/>
  <c r="J1953" i="13" s="1"/>
  <c r="G1954" i="13"/>
  <c r="H1954" i="13" s="1"/>
  <c r="I1954" i="13" s="1"/>
  <c r="J1954" i="13" s="1"/>
  <c r="G1955" i="13"/>
  <c r="H1955" i="13" s="1"/>
  <c r="I1955" i="13" s="1"/>
  <c r="J1955" i="13" s="1"/>
  <c r="G1956" i="13"/>
  <c r="H1956" i="13" s="1"/>
  <c r="I1956" i="13" s="1"/>
  <c r="J1956" i="13" s="1"/>
  <c r="G1957" i="13"/>
  <c r="H1957" i="13" s="1"/>
  <c r="I1957" i="13" s="1"/>
  <c r="J1957" i="13" s="1"/>
  <c r="G1958" i="13"/>
  <c r="H1958" i="13" s="1"/>
  <c r="I1958" i="13" s="1"/>
  <c r="J1958" i="13" s="1"/>
  <c r="G1959" i="13"/>
  <c r="H1959" i="13" s="1"/>
  <c r="I1959" i="13" s="1"/>
  <c r="J1959" i="13" s="1"/>
  <c r="G1960" i="13"/>
  <c r="H1960" i="13" s="1"/>
  <c r="I1960" i="13" s="1"/>
  <c r="J1960" i="13" s="1"/>
  <c r="G1961" i="13"/>
  <c r="H1961" i="13" s="1"/>
  <c r="I1961" i="13" s="1"/>
  <c r="J1961" i="13" s="1"/>
  <c r="G1962" i="13"/>
  <c r="H1962" i="13" s="1"/>
  <c r="I1962" i="13" s="1"/>
  <c r="J1962" i="13" s="1"/>
  <c r="G1963" i="13"/>
  <c r="H1963" i="13" s="1"/>
  <c r="I1963" i="13" s="1"/>
  <c r="J1963" i="13" s="1"/>
  <c r="G1964" i="13"/>
  <c r="H1964" i="13" s="1"/>
  <c r="I1964" i="13" s="1"/>
  <c r="J1964" i="13" s="1"/>
  <c r="G1965" i="13"/>
  <c r="H1965" i="13" s="1"/>
  <c r="I1965" i="13" s="1"/>
  <c r="J1965" i="13" s="1"/>
  <c r="G1966" i="13"/>
  <c r="H1966" i="13" s="1"/>
  <c r="I1966" i="13" s="1"/>
  <c r="J1966" i="13" s="1"/>
  <c r="G1967" i="13"/>
  <c r="H1967" i="13" s="1"/>
  <c r="I1967" i="13" s="1"/>
  <c r="J1967" i="13" s="1"/>
  <c r="G1968" i="13"/>
  <c r="H1968" i="13" s="1"/>
  <c r="I1968" i="13" s="1"/>
  <c r="J1968" i="13" s="1"/>
  <c r="G1969" i="13"/>
  <c r="H1969" i="13" s="1"/>
  <c r="I1969" i="13" s="1"/>
  <c r="J1969" i="13" s="1"/>
  <c r="G1970" i="13"/>
  <c r="H1970" i="13" s="1"/>
  <c r="I1970" i="13" s="1"/>
  <c r="J1970" i="13" s="1"/>
  <c r="G1971" i="13"/>
  <c r="H1971" i="13" s="1"/>
  <c r="I1971" i="13" s="1"/>
  <c r="J1971" i="13" s="1"/>
  <c r="G1972" i="13"/>
  <c r="H1972" i="13" s="1"/>
  <c r="I1972" i="13" s="1"/>
  <c r="J1972" i="13" s="1"/>
  <c r="G1973" i="13"/>
  <c r="H1973" i="13" s="1"/>
  <c r="I1973" i="13" s="1"/>
  <c r="J1973" i="13" s="1"/>
  <c r="G1974" i="13"/>
  <c r="H1974" i="13" s="1"/>
  <c r="I1974" i="13" s="1"/>
  <c r="J1974" i="13" s="1"/>
  <c r="G1975" i="13"/>
  <c r="H1975" i="13" s="1"/>
  <c r="I1975" i="13" s="1"/>
  <c r="J1975" i="13" s="1"/>
  <c r="G1976" i="13"/>
  <c r="H1976" i="13" s="1"/>
  <c r="I1976" i="13" s="1"/>
  <c r="J1976" i="13" s="1"/>
  <c r="G1977" i="13"/>
  <c r="H1977" i="13" s="1"/>
  <c r="I1977" i="13" s="1"/>
  <c r="J1977" i="13" s="1"/>
  <c r="G1978" i="13"/>
  <c r="H1978" i="13" s="1"/>
  <c r="I1978" i="13" s="1"/>
  <c r="J1978" i="13" s="1"/>
  <c r="G1979" i="13"/>
  <c r="H1979" i="13" s="1"/>
  <c r="I1979" i="13" s="1"/>
  <c r="J1979" i="13" s="1"/>
  <c r="G1980" i="13"/>
  <c r="H1980" i="13" s="1"/>
  <c r="I1980" i="13" s="1"/>
  <c r="J1980" i="13" s="1"/>
  <c r="G1981" i="13"/>
  <c r="H1981" i="13" s="1"/>
  <c r="I1981" i="13" s="1"/>
  <c r="J1981" i="13" s="1"/>
  <c r="G1982" i="13"/>
  <c r="H1982" i="13" s="1"/>
  <c r="I1982" i="13" s="1"/>
  <c r="J1982" i="13" s="1"/>
  <c r="G1983" i="13"/>
  <c r="H1983" i="13" s="1"/>
  <c r="I1983" i="13" s="1"/>
  <c r="J1983" i="13" s="1"/>
  <c r="G1984" i="13"/>
  <c r="H1984" i="13" s="1"/>
  <c r="I1984" i="13" s="1"/>
  <c r="J1984" i="13" s="1"/>
  <c r="G1985" i="13"/>
  <c r="H1985" i="13" s="1"/>
  <c r="I1985" i="13" s="1"/>
  <c r="J1985" i="13" s="1"/>
  <c r="G1986" i="13"/>
  <c r="H1986" i="13" s="1"/>
  <c r="I1986" i="13" s="1"/>
  <c r="J1986" i="13" s="1"/>
  <c r="G1987" i="13"/>
  <c r="H1987" i="13" s="1"/>
  <c r="I1987" i="13" s="1"/>
  <c r="J1987" i="13" s="1"/>
  <c r="G1988" i="13"/>
  <c r="H1988" i="13" s="1"/>
  <c r="I1988" i="13" s="1"/>
  <c r="J1988" i="13" s="1"/>
  <c r="G1989" i="13"/>
  <c r="H1989" i="13" s="1"/>
  <c r="I1989" i="13" s="1"/>
  <c r="J1989" i="13" s="1"/>
  <c r="G1990" i="13"/>
  <c r="H1990" i="13" s="1"/>
  <c r="I1990" i="13" s="1"/>
  <c r="J1990" i="13" s="1"/>
  <c r="G1991" i="13"/>
  <c r="H1991" i="13" s="1"/>
  <c r="I1991" i="13" s="1"/>
  <c r="J1991" i="13" s="1"/>
  <c r="G1992" i="13"/>
  <c r="H1992" i="13" s="1"/>
  <c r="I1992" i="13" s="1"/>
  <c r="J1992" i="13" s="1"/>
  <c r="G1993" i="13"/>
  <c r="H1993" i="13" s="1"/>
  <c r="I1993" i="13" s="1"/>
  <c r="J1993" i="13" s="1"/>
  <c r="G1994" i="13"/>
  <c r="H1994" i="13" s="1"/>
  <c r="I1994" i="13" s="1"/>
  <c r="J1994" i="13" s="1"/>
  <c r="G1995" i="13"/>
  <c r="H1995" i="13" s="1"/>
  <c r="I1995" i="13" s="1"/>
  <c r="J1995" i="13" s="1"/>
  <c r="G1996" i="13"/>
  <c r="H1996" i="13" s="1"/>
  <c r="I1996" i="13" s="1"/>
  <c r="J1996" i="13" s="1"/>
  <c r="G1997" i="13"/>
  <c r="H1997" i="13" s="1"/>
  <c r="I1997" i="13" s="1"/>
  <c r="J1997" i="13" s="1"/>
  <c r="G1998" i="13"/>
  <c r="H1998" i="13" s="1"/>
  <c r="I1998" i="13" s="1"/>
  <c r="J1998" i="13" s="1"/>
  <c r="G1999" i="13"/>
  <c r="H1999" i="13" s="1"/>
  <c r="I1999" i="13" s="1"/>
  <c r="J1999" i="13" s="1"/>
  <c r="G2000" i="13"/>
  <c r="H2000" i="13" s="1"/>
  <c r="I2000" i="13" s="1"/>
  <c r="J2000" i="13" s="1"/>
  <c r="G2001" i="13"/>
  <c r="H2001" i="13" s="1"/>
  <c r="I2001" i="13" s="1"/>
  <c r="J2001" i="13" s="1"/>
  <c r="G2002" i="13"/>
  <c r="H2002" i="13" s="1"/>
  <c r="I2002" i="13" s="1"/>
  <c r="J2002" i="13" s="1"/>
  <c r="G2003" i="13"/>
  <c r="H2003" i="13" s="1"/>
  <c r="I2003" i="13" s="1"/>
  <c r="J2003" i="13" s="1"/>
  <c r="G2004" i="13"/>
  <c r="H2004" i="13" s="1"/>
  <c r="I2004" i="13" s="1"/>
  <c r="J2004" i="13" s="1"/>
  <c r="G2005" i="13"/>
  <c r="H2005" i="13" s="1"/>
  <c r="I2005" i="13" s="1"/>
  <c r="J2005" i="13" s="1"/>
  <c r="G2006" i="13"/>
  <c r="H2006" i="13" s="1"/>
  <c r="I2006" i="13" s="1"/>
  <c r="J2006" i="13" s="1"/>
  <c r="G2007" i="13"/>
  <c r="H2007" i="13" s="1"/>
  <c r="I2007" i="13" s="1"/>
  <c r="J2007" i="13" s="1"/>
  <c r="G2008" i="13"/>
  <c r="H2008" i="13" s="1"/>
  <c r="I2008" i="13" s="1"/>
  <c r="J2008" i="13" s="1"/>
  <c r="G2009" i="13"/>
  <c r="H2009" i="13" s="1"/>
  <c r="I2009" i="13" s="1"/>
  <c r="J2009" i="13" s="1"/>
  <c r="G2010" i="13"/>
  <c r="H2010" i="13" s="1"/>
  <c r="I2010" i="13" s="1"/>
  <c r="J2010" i="13" s="1"/>
  <c r="G2011" i="13"/>
  <c r="H2011" i="13" s="1"/>
  <c r="I2011" i="13" s="1"/>
  <c r="J2011" i="13" s="1"/>
  <c r="G2012" i="13"/>
  <c r="H2012" i="13" s="1"/>
  <c r="I2012" i="13" s="1"/>
  <c r="J2012" i="13" s="1"/>
  <c r="G2013" i="13"/>
  <c r="H2013" i="13" s="1"/>
  <c r="I2013" i="13" s="1"/>
  <c r="J2013" i="13" s="1"/>
  <c r="G2014" i="13"/>
  <c r="H2014" i="13" s="1"/>
  <c r="I2014" i="13" s="1"/>
  <c r="J2014" i="13" s="1"/>
  <c r="G2015" i="13"/>
  <c r="H2015" i="13" s="1"/>
  <c r="I2015" i="13" s="1"/>
  <c r="J2015" i="13" s="1"/>
  <c r="G2016" i="13"/>
  <c r="H2016" i="13" s="1"/>
  <c r="I2016" i="13" s="1"/>
  <c r="J2016" i="13" s="1"/>
  <c r="G2017" i="13"/>
  <c r="H2017" i="13" s="1"/>
  <c r="I2017" i="13" s="1"/>
  <c r="J2017" i="13" s="1"/>
  <c r="G2018" i="13"/>
  <c r="H2018" i="13" s="1"/>
  <c r="I2018" i="13" s="1"/>
  <c r="J2018" i="13" s="1"/>
  <c r="G2019" i="13"/>
  <c r="H2019" i="13" s="1"/>
  <c r="I2019" i="13" s="1"/>
  <c r="J2019" i="13" s="1"/>
  <c r="G2020" i="13"/>
  <c r="H2020" i="13" s="1"/>
  <c r="I2020" i="13" s="1"/>
  <c r="J2020" i="13" s="1"/>
  <c r="G2021" i="13"/>
  <c r="H2021" i="13" s="1"/>
  <c r="I2021" i="13" s="1"/>
  <c r="J2021" i="13" s="1"/>
  <c r="G2022" i="13"/>
  <c r="H2022" i="13" s="1"/>
  <c r="I2022" i="13" s="1"/>
  <c r="J2022" i="13" s="1"/>
  <c r="G2023" i="13"/>
  <c r="H2023" i="13" s="1"/>
  <c r="I2023" i="13" s="1"/>
  <c r="J2023" i="13" s="1"/>
  <c r="G2024" i="13"/>
  <c r="H2024" i="13" s="1"/>
  <c r="I2024" i="13" s="1"/>
  <c r="J2024" i="13" s="1"/>
  <c r="G2025" i="13"/>
  <c r="H2025" i="13" s="1"/>
  <c r="I2025" i="13" s="1"/>
  <c r="J2025" i="13" s="1"/>
  <c r="G2026" i="13"/>
  <c r="H2026" i="13" s="1"/>
  <c r="I2026" i="13" s="1"/>
  <c r="J2026" i="13" s="1"/>
  <c r="G2027" i="13"/>
  <c r="H2027" i="13" s="1"/>
  <c r="I2027" i="13" s="1"/>
  <c r="J2027" i="13" s="1"/>
  <c r="G2028" i="13"/>
  <c r="H2028" i="13" s="1"/>
  <c r="I2028" i="13" s="1"/>
  <c r="J2028" i="13" s="1"/>
  <c r="G2029" i="13"/>
  <c r="H2029" i="13" s="1"/>
  <c r="I2029" i="13" s="1"/>
  <c r="J2029" i="13" s="1"/>
  <c r="G2030" i="13"/>
  <c r="H2030" i="13" s="1"/>
  <c r="I2030" i="13" s="1"/>
  <c r="J2030" i="13" s="1"/>
  <c r="G2031" i="13"/>
  <c r="H2031" i="13" s="1"/>
  <c r="I2031" i="13" s="1"/>
  <c r="J2031" i="13" s="1"/>
  <c r="G2032" i="13"/>
  <c r="H2032" i="13" s="1"/>
  <c r="I2032" i="13" s="1"/>
  <c r="J2032" i="13" s="1"/>
  <c r="G2033" i="13"/>
  <c r="H2033" i="13" s="1"/>
  <c r="I2033" i="13" s="1"/>
  <c r="J2033" i="13" s="1"/>
  <c r="G2034" i="13"/>
  <c r="H2034" i="13" s="1"/>
  <c r="I2034" i="13" s="1"/>
  <c r="J2034" i="13" s="1"/>
  <c r="G2035" i="13"/>
  <c r="H2035" i="13" s="1"/>
  <c r="I2035" i="13" s="1"/>
  <c r="J2035" i="13" s="1"/>
  <c r="G2036" i="13"/>
  <c r="H2036" i="13" s="1"/>
  <c r="I2036" i="13" s="1"/>
  <c r="J2036" i="13" s="1"/>
  <c r="G2037" i="13"/>
  <c r="H2037" i="13" s="1"/>
  <c r="I2037" i="13" s="1"/>
  <c r="J2037" i="13" s="1"/>
  <c r="G2038" i="13"/>
  <c r="H2038" i="13" s="1"/>
  <c r="I2038" i="13" s="1"/>
  <c r="J2038" i="13" s="1"/>
  <c r="G2039" i="13"/>
  <c r="H2039" i="13" s="1"/>
  <c r="I2039" i="13" s="1"/>
  <c r="J2039" i="13" s="1"/>
  <c r="G2040" i="13"/>
  <c r="H2040" i="13" s="1"/>
  <c r="I2040" i="13" s="1"/>
  <c r="J2040" i="13" s="1"/>
  <c r="G2041" i="13"/>
  <c r="H2041" i="13" s="1"/>
  <c r="I2041" i="13" s="1"/>
  <c r="J2041" i="13" s="1"/>
  <c r="G2042" i="13"/>
  <c r="H2042" i="13" s="1"/>
  <c r="I2042" i="13" s="1"/>
  <c r="J2042" i="13" s="1"/>
  <c r="G2043" i="13"/>
  <c r="H2043" i="13" s="1"/>
  <c r="I2043" i="13" s="1"/>
  <c r="J2043" i="13" s="1"/>
  <c r="G2044" i="13"/>
  <c r="H2044" i="13" s="1"/>
  <c r="I2044" i="13" s="1"/>
  <c r="J2044" i="13" s="1"/>
  <c r="G2045" i="13"/>
  <c r="H2045" i="13" s="1"/>
  <c r="I2045" i="13" s="1"/>
  <c r="J2045" i="13" s="1"/>
  <c r="G2046" i="13"/>
  <c r="H2046" i="13" s="1"/>
  <c r="I2046" i="13" s="1"/>
  <c r="J2046" i="13" s="1"/>
  <c r="G2047" i="13"/>
  <c r="H2047" i="13" s="1"/>
  <c r="I2047" i="13" s="1"/>
  <c r="J2047" i="13" s="1"/>
  <c r="G2048" i="13"/>
  <c r="H2048" i="13" s="1"/>
  <c r="I2048" i="13" s="1"/>
  <c r="J2048" i="13" s="1"/>
  <c r="G2049" i="13"/>
  <c r="H2049" i="13" s="1"/>
  <c r="I2049" i="13" s="1"/>
  <c r="J2049" i="13" s="1"/>
  <c r="G2050" i="13"/>
  <c r="H2050" i="13" s="1"/>
  <c r="I2050" i="13" s="1"/>
  <c r="J2050" i="13" s="1"/>
  <c r="G2051" i="13"/>
  <c r="H2051" i="13" s="1"/>
  <c r="I2051" i="13" s="1"/>
  <c r="J2051" i="13" s="1"/>
  <c r="G2052" i="13"/>
  <c r="H2052" i="13" s="1"/>
  <c r="I2052" i="13" s="1"/>
  <c r="J2052" i="13" s="1"/>
  <c r="G2053" i="13"/>
  <c r="H2053" i="13" s="1"/>
  <c r="I2053" i="13" s="1"/>
  <c r="J2053" i="13" s="1"/>
  <c r="G2054" i="13"/>
  <c r="H2054" i="13" s="1"/>
  <c r="I2054" i="13" s="1"/>
  <c r="J2054" i="13" s="1"/>
  <c r="G2055" i="13"/>
  <c r="H2055" i="13" s="1"/>
  <c r="I2055" i="13" s="1"/>
  <c r="J2055" i="13" s="1"/>
  <c r="G2056" i="13"/>
  <c r="H2056" i="13" s="1"/>
  <c r="I2056" i="13" s="1"/>
  <c r="J2056" i="13" s="1"/>
  <c r="G2057" i="13"/>
  <c r="H2057" i="13" s="1"/>
  <c r="I2057" i="13" s="1"/>
  <c r="J2057" i="13" s="1"/>
  <c r="G2058" i="13"/>
  <c r="H2058" i="13" s="1"/>
  <c r="I2058" i="13" s="1"/>
  <c r="J2058" i="13" s="1"/>
  <c r="G2059" i="13"/>
  <c r="H2059" i="13" s="1"/>
  <c r="I2059" i="13" s="1"/>
  <c r="J2059" i="13" s="1"/>
  <c r="G2060" i="13"/>
  <c r="H2060" i="13" s="1"/>
  <c r="I2060" i="13" s="1"/>
  <c r="J2060" i="13" s="1"/>
  <c r="G2061" i="13"/>
  <c r="H2061" i="13" s="1"/>
  <c r="I2061" i="13" s="1"/>
  <c r="J2061" i="13" s="1"/>
  <c r="G2062" i="13"/>
  <c r="H2062" i="13" s="1"/>
  <c r="I2062" i="13" s="1"/>
  <c r="J2062" i="13" s="1"/>
  <c r="G2063" i="13"/>
  <c r="H2063" i="13" s="1"/>
  <c r="I2063" i="13" s="1"/>
  <c r="J2063" i="13" s="1"/>
  <c r="G2064" i="13"/>
  <c r="H2064" i="13" s="1"/>
  <c r="I2064" i="13" s="1"/>
  <c r="J2064" i="13" s="1"/>
  <c r="G2065" i="13"/>
  <c r="H2065" i="13" s="1"/>
  <c r="I2065" i="13" s="1"/>
  <c r="J2065" i="13" s="1"/>
  <c r="G2066" i="13"/>
  <c r="H2066" i="13" s="1"/>
  <c r="I2066" i="13" s="1"/>
  <c r="J2066" i="13" s="1"/>
  <c r="G2067" i="13"/>
  <c r="H2067" i="13" s="1"/>
  <c r="I2067" i="13" s="1"/>
  <c r="J2067" i="13" s="1"/>
  <c r="G2068" i="13"/>
  <c r="H2068" i="13" s="1"/>
  <c r="I2068" i="13" s="1"/>
  <c r="J2068" i="13" s="1"/>
  <c r="G2069" i="13"/>
  <c r="H2069" i="13" s="1"/>
  <c r="I2069" i="13" s="1"/>
  <c r="J2069" i="13" s="1"/>
  <c r="G2070" i="13"/>
  <c r="H2070" i="13" s="1"/>
  <c r="I2070" i="13" s="1"/>
  <c r="J2070" i="13" s="1"/>
  <c r="G2071" i="13"/>
  <c r="H2071" i="13" s="1"/>
  <c r="I2071" i="13" s="1"/>
  <c r="J2071" i="13" s="1"/>
  <c r="G2072" i="13"/>
  <c r="H2072" i="13" s="1"/>
  <c r="I2072" i="13" s="1"/>
  <c r="J2072" i="13" s="1"/>
  <c r="G2073" i="13"/>
  <c r="H2073" i="13" s="1"/>
  <c r="I2073" i="13" s="1"/>
  <c r="J2073" i="13" s="1"/>
  <c r="G2074" i="13"/>
  <c r="H2074" i="13" s="1"/>
  <c r="I2074" i="13" s="1"/>
  <c r="J2074" i="13" s="1"/>
  <c r="G2075" i="13"/>
  <c r="H2075" i="13" s="1"/>
  <c r="I2075" i="13" s="1"/>
  <c r="J2075" i="13" s="1"/>
  <c r="G2076" i="13"/>
  <c r="H2076" i="13" s="1"/>
  <c r="I2076" i="13" s="1"/>
  <c r="J2076" i="13" s="1"/>
  <c r="G2077" i="13"/>
  <c r="H2077" i="13" s="1"/>
  <c r="I2077" i="13" s="1"/>
  <c r="J2077" i="13" s="1"/>
  <c r="G2078" i="13"/>
  <c r="H2078" i="13" s="1"/>
  <c r="I2078" i="13" s="1"/>
  <c r="J2078" i="13" s="1"/>
  <c r="G2079" i="13"/>
  <c r="H2079" i="13" s="1"/>
  <c r="I2079" i="13" s="1"/>
  <c r="J2079" i="13" s="1"/>
  <c r="G2080" i="13"/>
  <c r="H2080" i="13" s="1"/>
  <c r="I2080" i="13" s="1"/>
  <c r="J2080" i="13" s="1"/>
  <c r="G2081" i="13"/>
  <c r="H2081" i="13" s="1"/>
  <c r="I2081" i="13" s="1"/>
  <c r="J2081" i="13" s="1"/>
  <c r="G2082" i="13"/>
  <c r="H2082" i="13" s="1"/>
  <c r="I2082" i="13" s="1"/>
  <c r="J2082" i="13" s="1"/>
  <c r="G2083" i="13"/>
  <c r="H2083" i="13" s="1"/>
  <c r="I2083" i="13" s="1"/>
  <c r="J2083" i="13" s="1"/>
  <c r="G2084" i="13"/>
  <c r="H2084" i="13" s="1"/>
  <c r="I2084" i="13" s="1"/>
  <c r="J2084" i="13" s="1"/>
  <c r="G2085" i="13"/>
  <c r="H2085" i="13" s="1"/>
  <c r="I2085" i="13" s="1"/>
  <c r="J2085" i="13" s="1"/>
  <c r="G2086" i="13"/>
  <c r="H2086" i="13" s="1"/>
  <c r="I2086" i="13" s="1"/>
  <c r="J2086" i="13" s="1"/>
  <c r="G2087" i="13"/>
  <c r="H2087" i="13" s="1"/>
  <c r="I2087" i="13" s="1"/>
  <c r="J2087" i="13" s="1"/>
  <c r="G2088" i="13"/>
  <c r="H2088" i="13" s="1"/>
  <c r="I2088" i="13" s="1"/>
  <c r="J2088" i="13" s="1"/>
  <c r="G2089" i="13"/>
  <c r="H2089" i="13" s="1"/>
  <c r="I2089" i="13" s="1"/>
  <c r="J2089" i="13" s="1"/>
  <c r="G2090" i="13"/>
  <c r="H2090" i="13" s="1"/>
  <c r="I2090" i="13" s="1"/>
  <c r="J2090" i="13" s="1"/>
  <c r="G2091" i="13"/>
  <c r="H2091" i="13" s="1"/>
  <c r="I2091" i="13" s="1"/>
  <c r="J2091" i="13" s="1"/>
  <c r="G2092" i="13"/>
  <c r="H2092" i="13" s="1"/>
  <c r="I2092" i="13" s="1"/>
  <c r="J2092" i="13" s="1"/>
  <c r="G2093" i="13"/>
  <c r="H2093" i="13" s="1"/>
  <c r="I2093" i="13" s="1"/>
  <c r="J2093" i="13" s="1"/>
  <c r="G2094" i="13"/>
  <c r="H2094" i="13" s="1"/>
  <c r="I2094" i="13" s="1"/>
  <c r="J2094" i="13" s="1"/>
  <c r="G2095" i="13"/>
  <c r="H2095" i="13" s="1"/>
  <c r="I2095" i="13" s="1"/>
  <c r="J2095" i="13" s="1"/>
  <c r="G2096" i="13"/>
  <c r="H2096" i="13" s="1"/>
  <c r="I2096" i="13" s="1"/>
  <c r="J2096" i="13" s="1"/>
  <c r="G2097" i="13"/>
  <c r="H2097" i="13" s="1"/>
  <c r="I2097" i="13" s="1"/>
  <c r="J2097" i="13" s="1"/>
  <c r="G2098" i="13"/>
  <c r="H2098" i="13" s="1"/>
  <c r="I2098" i="13" s="1"/>
  <c r="J2098" i="13" s="1"/>
  <c r="G2099" i="13"/>
  <c r="H2099" i="13" s="1"/>
  <c r="I2099" i="13" s="1"/>
  <c r="J2099" i="13" s="1"/>
  <c r="G2100" i="13"/>
  <c r="H2100" i="13" s="1"/>
  <c r="I2100" i="13" s="1"/>
  <c r="J2100" i="13" s="1"/>
  <c r="G2101" i="13"/>
  <c r="H2101" i="13" s="1"/>
  <c r="I2101" i="13" s="1"/>
  <c r="J2101" i="13" s="1"/>
  <c r="G2102" i="13"/>
  <c r="H2102" i="13" s="1"/>
  <c r="I2102" i="13" s="1"/>
  <c r="J2102" i="13" s="1"/>
  <c r="G2103" i="13"/>
  <c r="H2103" i="13" s="1"/>
  <c r="I2103" i="13" s="1"/>
  <c r="J2103" i="13" s="1"/>
  <c r="G2104" i="13"/>
  <c r="H2104" i="13" s="1"/>
  <c r="I2104" i="13" s="1"/>
  <c r="J2104" i="13" s="1"/>
  <c r="G2105" i="13"/>
  <c r="H2105" i="13" s="1"/>
  <c r="I2105" i="13" s="1"/>
  <c r="J2105" i="13" s="1"/>
  <c r="G2106" i="13"/>
  <c r="H2106" i="13" s="1"/>
  <c r="I2106" i="13" s="1"/>
  <c r="J2106" i="13" s="1"/>
  <c r="G2107" i="13"/>
  <c r="H2107" i="13" s="1"/>
  <c r="I2107" i="13" s="1"/>
  <c r="J2107" i="13" s="1"/>
  <c r="G2108" i="13"/>
  <c r="H2108" i="13" s="1"/>
  <c r="I2108" i="13" s="1"/>
  <c r="J2108" i="13" s="1"/>
  <c r="G2109" i="13"/>
  <c r="H2109" i="13" s="1"/>
  <c r="I2109" i="13" s="1"/>
  <c r="J2109" i="13" s="1"/>
  <c r="G2110" i="13"/>
  <c r="H2110" i="13" s="1"/>
  <c r="I2110" i="13" s="1"/>
  <c r="J2110" i="13" s="1"/>
  <c r="G2111" i="13"/>
  <c r="H2111" i="13" s="1"/>
  <c r="I2111" i="13" s="1"/>
  <c r="J2111" i="13" s="1"/>
  <c r="G2112" i="13"/>
  <c r="H2112" i="13" s="1"/>
  <c r="I2112" i="13" s="1"/>
  <c r="J2112" i="13" s="1"/>
  <c r="G2113" i="13"/>
  <c r="H2113" i="13" s="1"/>
  <c r="I2113" i="13" s="1"/>
  <c r="J2113" i="13" s="1"/>
  <c r="G2114" i="13"/>
  <c r="H2114" i="13" s="1"/>
  <c r="I2114" i="13" s="1"/>
  <c r="J2114" i="13" s="1"/>
  <c r="G2115" i="13"/>
  <c r="H2115" i="13" s="1"/>
  <c r="I2115" i="13" s="1"/>
  <c r="J2115" i="13" s="1"/>
  <c r="G2116" i="13"/>
  <c r="H2116" i="13" s="1"/>
  <c r="I2116" i="13" s="1"/>
  <c r="J2116" i="13" s="1"/>
  <c r="G2117" i="13"/>
  <c r="H2117" i="13" s="1"/>
  <c r="I2117" i="13" s="1"/>
  <c r="J2117" i="13" s="1"/>
  <c r="G2118" i="13"/>
  <c r="H2118" i="13" s="1"/>
  <c r="I2118" i="13" s="1"/>
  <c r="J2118" i="13" s="1"/>
  <c r="G2119" i="13"/>
  <c r="H2119" i="13" s="1"/>
  <c r="I2119" i="13" s="1"/>
  <c r="J2119" i="13" s="1"/>
  <c r="G2120" i="13"/>
  <c r="H2120" i="13" s="1"/>
  <c r="I2120" i="13" s="1"/>
  <c r="J2120" i="13" s="1"/>
  <c r="G2121" i="13"/>
  <c r="H2121" i="13" s="1"/>
  <c r="I2121" i="13" s="1"/>
  <c r="J2121" i="13" s="1"/>
  <c r="G2122" i="13"/>
  <c r="H2122" i="13" s="1"/>
  <c r="I2122" i="13" s="1"/>
  <c r="J2122" i="13" s="1"/>
  <c r="G2123" i="13"/>
  <c r="H2123" i="13" s="1"/>
  <c r="I2123" i="13" s="1"/>
  <c r="J2123" i="13" s="1"/>
  <c r="G2124" i="13"/>
  <c r="H2124" i="13" s="1"/>
  <c r="I2124" i="13" s="1"/>
  <c r="J2124" i="13" s="1"/>
  <c r="G2125" i="13"/>
  <c r="H2125" i="13" s="1"/>
  <c r="I2125" i="13" s="1"/>
  <c r="J2125" i="13" s="1"/>
  <c r="G2126" i="13"/>
  <c r="H2126" i="13" s="1"/>
  <c r="I2126" i="13" s="1"/>
  <c r="J2126" i="13" s="1"/>
  <c r="G2127" i="13"/>
  <c r="H2127" i="13" s="1"/>
  <c r="I2127" i="13" s="1"/>
  <c r="J2127" i="13" s="1"/>
  <c r="G2128" i="13"/>
  <c r="H2128" i="13" s="1"/>
  <c r="I2128" i="13" s="1"/>
  <c r="J2128" i="13" s="1"/>
  <c r="G2129" i="13"/>
  <c r="H2129" i="13" s="1"/>
  <c r="I2129" i="13" s="1"/>
  <c r="J2129" i="13" s="1"/>
  <c r="G2130" i="13"/>
  <c r="H2130" i="13" s="1"/>
  <c r="I2130" i="13" s="1"/>
  <c r="J2130" i="13" s="1"/>
  <c r="G2131" i="13"/>
  <c r="H2131" i="13" s="1"/>
  <c r="I2131" i="13" s="1"/>
  <c r="J2131" i="13" s="1"/>
  <c r="G2132" i="13"/>
  <c r="H2132" i="13" s="1"/>
  <c r="I2132" i="13" s="1"/>
  <c r="J2132" i="13" s="1"/>
  <c r="G2133" i="13"/>
  <c r="H2133" i="13" s="1"/>
  <c r="I2133" i="13" s="1"/>
  <c r="J2133" i="13" s="1"/>
  <c r="G2134" i="13"/>
  <c r="H2134" i="13" s="1"/>
  <c r="I2134" i="13" s="1"/>
  <c r="J2134" i="13" s="1"/>
  <c r="G2135" i="13"/>
  <c r="H2135" i="13" s="1"/>
  <c r="I2135" i="13" s="1"/>
  <c r="J2135" i="13" s="1"/>
  <c r="G2136" i="13"/>
  <c r="H2136" i="13" s="1"/>
  <c r="I2136" i="13" s="1"/>
  <c r="J2136" i="13" s="1"/>
  <c r="G2137" i="13"/>
  <c r="H2137" i="13" s="1"/>
  <c r="I2137" i="13" s="1"/>
  <c r="J2137" i="13" s="1"/>
  <c r="G2138" i="13"/>
  <c r="H2138" i="13" s="1"/>
  <c r="I2138" i="13" s="1"/>
  <c r="J2138" i="13" s="1"/>
  <c r="G2139" i="13"/>
  <c r="H2139" i="13" s="1"/>
  <c r="I2139" i="13" s="1"/>
  <c r="J2139" i="13" s="1"/>
  <c r="G2140" i="13"/>
  <c r="H2140" i="13" s="1"/>
  <c r="I2140" i="13" s="1"/>
  <c r="J2140" i="13" s="1"/>
  <c r="G2141" i="13"/>
  <c r="H2141" i="13" s="1"/>
  <c r="I2141" i="13" s="1"/>
  <c r="J2141" i="13" s="1"/>
  <c r="G2142" i="13"/>
  <c r="H2142" i="13" s="1"/>
  <c r="I2142" i="13" s="1"/>
  <c r="J2142" i="13" s="1"/>
  <c r="G2143" i="13"/>
  <c r="H2143" i="13" s="1"/>
  <c r="I2143" i="13" s="1"/>
  <c r="J2143" i="13" s="1"/>
  <c r="G2144" i="13"/>
  <c r="H2144" i="13" s="1"/>
  <c r="I2144" i="13" s="1"/>
  <c r="J2144" i="13" s="1"/>
  <c r="G2145" i="13"/>
  <c r="H2145" i="13" s="1"/>
  <c r="I2145" i="13" s="1"/>
  <c r="J2145" i="13" s="1"/>
  <c r="G2146" i="13"/>
  <c r="H2146" i="13" s="1"/>
  <c r="I2146" i="13" s="1"/>
  <c r="J2146" i="13" s="1"/>
  <c r="G2147" i="13"/>
  <c r="H2147" i="13" s="1"/>
  <c r="I2147" i="13" s="1"/>
  <c r="J2147" i="13" s="1"/>
  <c r="G2148" i="13"/>
  <c r="H2148" i="13" s="1"/>
  <c r="I2148" i="13" s="1"/>
  <c r="J2148" i="13" s="1"/>
  <c r="G2149" i="13"/>
  <c r="H2149" i="13" s="1"/>
  <c r="I2149" i="13" s="1"/>
  <c r="J2149" i="13" s="1"/>
  <c r="G2150" i="13"/>
  <c r="H2150" i="13" s="1"/>
  <c r="I2150" i="13" s="1"/>
  <c r="J2150" i="13" s="1"/>
  <c r="G2151" i="13"/>
  <c r="H2151" i="13" s="1"/>
  <c r="I2151" i="13" s="1"/>
  <c r="J2151" i="13" s="1"/>
  <c r="G2152" i="13"/>
  <c r="H2152" i="13" s="1"/>
  <c r="I2152" i="13" s="1"/>
  <c r="J2152" i="13" s="1"/>
  <c r="G2153" i="13"/>
  <c r="H2153" i="13" s="1"/>
  <c r="I2153" i="13" s="1"/>
  <c r="J2153" i="13" s="1"/>
  <c r="G2154" i="13"/>
  <c r="H2154" i="13" s="1"/>
  <c r="I2154" i="13" s="1"/>
  <c r="J2154" i="13" s="1"/>
  <c r="G2155" i="13"/>
  <c r="H2155" i="13" s="1"/>
  <c r="I2155" i="13" s="1"/>
  <c r="J2155" i="13" s="1"/>
  <c r="G2156" i="13"/>
  <c r="H2156" i="13" s="1"/>
  <c r="I2156" i="13" s="1"/>
  <c r="J2156" i="13" s="1"/>
  <c r="G2157" i="13"/>
  <c r="H2157" i="13" s="1"/>
  <c r="I2157" i="13" s="1"/>
  <c r="J2157" i="13" s="1"/>
  <c r="G2158" i="13"/>
  <c r="H2158" i="13" s="1"/>
  <c r="I2158" i="13" s="1"/>
  <c r="J2158" i="13" s="1"/>
  <c r="G2159" i="13"/>
  <c r="H2159" i="13" s="1"/>
  <c r="I2159" i="13" s="1"/>
  <c r="J2159" i="13" s="1"/>
  <c r="G2160" i="13"/>
  <c r="H2160" i="13" s="1"/>
  <c r="I2160" i="13" s="1"/>
  <c r="J2160" i="13" s="1"/>
  <c r="G2161" i="13"/>
  <c r="H2161" i="13" s="1"/>
  <c r="I2161" i="13" s="1"/>
  <c r="J2161" i="13" s="1"/>
  <c r="G2162" i="13"/>
  <c r="H2162" i="13" s="1"/>
  <c r="I2162" i="13" s="1"/>
  <c r="J2162" i="13" s="1"/>
  <c r="G2163" i="13"/>
  <c r="H2163" i="13" s="1"/>
  <c r="I2163" i="13" s="1"/>
  <c r="J2163" i="13" s="1"/>
  <c r="G2164" i="13"/>
  <c r="H2164" i="13" s="1"/>
  <c r="I2164" i="13" s="1"/>
  <c r="J2164" i="13" s="1"/>
  <c r="G2165" i="13"/>
  <c r="H2165" i="13" s="1"/>
  <c r="I2165" i="13" s="1"/>
  <c r="J2165" i="13" s="1"/>
  <c r="G2166" i="13"/>
  <c r="H2166" i="13" s="1"/>
  <c r="I2166" i="13" s="1"/>
  <c r="J2166" i="13" s="1"/>
  <c r="G2167" i="13"/>
  <c r="H2167" i="13" s="1"/>
  <c r="I2167" i="13" s="1"/>
  <c r="J2167" i="13" s="1"/>
  <c r="G2168" i="13"/>
  <c r="H2168" i="13" s="1"/>
  <c r="I2168" i="13" s="1"/>
  <c r="J2168" i="13" s="1"/>
  <c r="G2169" i="13"/>
  <c r="H2169" i="13" s="1"/>
  <c r="I2169" i="13" s="1"/>
  <c r="J2169" i="13" s="1"/>
  <c r="G2170" i="13"/>
  <c r="H2170" i="13" s="1"/>
  <c r="I2170" i="13" s="1"/>
  <c r="J2170" i="13" s="1"/>
  <c r="G2171" i="13"/>
  <c r="H2171" i="13" s="1"/>
  <c r="I2171" i="13" s="1"/>
  <c r="J2171" i="13" s="1"/>
  <c r="G2172" i="13"/>
  <c r="H2172" i="13" s="1"/>
  <c r="I2172" i="13" s="1"/>
  <c r="J2172" i="13" s="1"/>
  <c r="G2173" i="13"/>
  <c r="H2173" i="13" s="1"/>
  <c r="I2173" i="13" s="1"/>
  <c r="J2173" i="13" s="1"/>
  <c r="G2174" i="13"/>
  <c r="H2174" i="13" s="1"/>
  <c r="I2174" i="13" s="1"/>
  <c r="J2174" i="13" s="1"/>
  <c r="G2175" i="13"/>
  <c r="H2175" i="13" s="1"/>
  <c r="I2175" i="13" s="1"/>
  <c r="J2175" i="13" s="1"/>
  <c r="G2176" i="13"/>
  <c r="H2176" i="13" s="1"/>
  <c r="I2176" i="13" s="1"/>
  <c r="J2176" i="13" s="1"/>
  <c r="G2177" i="13"/>
  <c r="H2177" i="13" s="1"/>
  <c r="I2177" i="13" s="1"/>
  <c r="J2177" i="13" s="1"/>
  <c r="G2178" i="13"/>
  <c r="H2178" i="13" s="1"/>
  <c r="I2178" i="13" s="1"/>
  <c r="J2178" i="13" s="1"/>
  <c r="G2179" i="13"/>
  <c r="H2179" i="13" s="1"/>
  <c r="I2179" i="13" s="1"/>
  <c r="J2179" i="13" s="1"/>
  <c r="G2180" i="13"/>
  <c r="H2180" i="13" s="1"/>
  <c r="I2180" i="13" s="1"/>
  <c r="J2180" i="13" s="1"/>
  <c r="G2181" i="13"/>
  <c r="H2181" i="13" s="1"/>
  <c r="I2181" i="13" s="1"/>
  <c r="J2181" i="13" s="1"/>
  <c r="G2182" i="13"/>
  <c r="H2182" i="13" s="1"/>
  <c r="I2182" i="13" s="1"/>
  <c r="J2182" i="13" s="1"/>
  <c r="G2183" i="13"/>
  <c r="H2183" i="13" s="1"/>
  <c r="I2183" i="13" s="1"/>
  <c r="J2183" i="13" s="1"/>
  <c r="G2184" i="13"/>
  <c r="H2184" i="13" s="1"/>
  <c r="I2184" i="13" s="1"/>
  <c r="J2184" i="13" s="1"/>
  <c r="G2185" i="13"/>
  <c r="H2185" i="13" s="1"/>
  <c r="I2185" i="13" s="1"/>
  <c r="J2185" i="13" s="1"/>
  <c r="G2186" i="13"/>
  <c r="H2186" i="13" s="1"/>
  <c r="I2186" i="13" s="1"/>
  <c r="J2186" i="13" s="1"/>
  <c r="G2187" i="13"/>
  <c r="H2187" i="13" s="1"/>
  <c r="I2187" i="13" s="1"/>
  <c r="J2187" i="13" s="1"/>
  <c r="G2188" i="13"/>
  <c r="H2188" i="13" s="1"/>
  <c r="I2188" i="13" s="1"/>
  <c r="J2188" i="13" s="1"/>
  <c r="G2189" i="13"/>
  <c r="H2189" i="13" s="1"/>
  <c r="I2189" i="13" s="1"/>
  <c r="J2189" i="13" s="1"/>
  <c r="G2190" i="13"/>
  <c r="H2190" i="13" s="1"/>
  <c r="I2190" i="13" s="1"/>
  <c r="J2190" i="13" s="1"/>
  <c r="G2191" i="13"/>
  <c r="H2191" i="13" s="1"/>
  <c r="I2191" i="13" s="1"/>
  <c r="J2191" i="13" s="1"/>
  <c r="G2192" i="13"/>
  <c r="H2192" i="13" s="1"/>
  <c r="I2192" i="13" s="1"/>
  <c r="J2192" i="13" s="1"/>
  <c r="G2193" i="13"/>
  <c r="H2193" i="13" s="1"/>
  <c r="I2193" i="13" s="1"/>
  <c r="J2193" i="13" s="1"/>
  <c r="G2194" i="13"/>
  <c r="H2194" i="13" s="1"/>
  <c r="I2194" i="13" s="1"/>
  <c r="J2194" i="13" s="1"/>
  <c r="G2195" i="13"/>
  <c r="H2195" i="13" s="1"/>
  <c r="I2195" i="13" s="1"/>
  <c r="J2195" i="13" s="1"/>
  <c r="G2196" i="13"/>
  <c r="H2196" i="13" s="1"/>
  <c r="I2196" i="13" s="1"/>
  <c r="J2196" i="13" s="1"/>
  <c r="G2197" i="13"/>
  <c r="H2197" i="13" s="1"/>
  <c r="I2197" i="13" s="1"/>
  <c r="J2197" i="13" s="1"/>
  <c r="G2198" i="13"/>
  <c r="H2198" i="13" s="1"/>
  <c r="I2198" i="13" s="1"/>
  <c r="J2198" i="13" s="1"/>
  <c r="G2199" i="13"/>
  <c r="H2199" i="13" s="1"/>
  <c r="I2199" i="13" s="1"/>
  <c r="J2199" i="13" s="1"/>
  <c r="G2200" i="13"/>
  <c r="H2200" i="13" s="1"/>
  <c r="I2200" i="13" s="1"/>
  <c r="J2200" i="13" s="1"/>
  <c r="G2201" i="13"/>
  <c r="H2201" i="13" s="1"/>
  <c r="I2201" i="13" s="1"/>
  <c r="J2201" i="13" s="1"/>
  <c r="G2202" i="13"/>
  <c r="H2202" i="13" s="1"/>
  <c r="I2202" i="13" s="1"/>
  <c r="J2202" i="13" s="1"/>
  <c r="G2203" i="13"/>
  <c r="H2203" i="13" s="1"/>
  <c r="I2203" i="13" s="1"/>
  <c r="J2203" i="13" s="1"/>
  <c r="G2204" i="13"/>
  <c r="H2204" i="13" s="1"/>
  <c r="I2204" i="13" s="1"/>
  <c r="J2204" i="13" s="1"/>
  <c r="G2205" i="13"/>
  <c r="H2205" i="13" s="1"/>
  <c r="I2205" i="13" s="1"/>
  <c r="J2205" i="13" s="1"/>
  <c r="G2206" i="13"/>
  <c r="H2206" i="13" s="1"/>
  <c r="I2206" i="13" s="1"/>
  <c r="J2206" i="13" s="1"/>
  <c r="G2207" i="13"/>
  <c r="H2207" i="13" s="1"/>
  <c r="I2207" i="13" s="1"/>
  <c r="J2207" i="13" s="1"/>
  <c r="G2208" i="13"/>
  <c r="H2208" i="13" s="1"/>
  <c r="I2208" i="13" s="1"/>
  <c r="J2208" i="13" s="1"/>
  <c r="G2209" i="13"/>
  <c r="H2209" i="13" s="1"/>
  <c r="I2209" i="13" s="1"/>
  <c r="J2209" i="13" s="1"/>
  <c r="G2210" i="13"/>
  <c r="H2210" i="13" s="1"/>
  <c r="I2210" i="13" s="1"/>
  <c r="J2210" i="13" s="1"/>
  <c r="G2211" i="13"/>
  <c r="H2211" i="13" s="1"/>
  <c r="I2211" i="13" s="1"/>
  <c r="J2211" i="13" s="1"/>
  <c r="G2212" i="13"/>
  <c r="H2212" i="13" s="1"/>
  <c r="I2212" i="13" s="1"/>
  <c r="J2212" i="13" s="1"/>
  <c r="G2213" i="13"/>
  <c r="H2213" i="13" s="1"/>
  <c r="I2213" i="13" s="1"/>
  <c r="J2213" i="13" s="1"/>
  <c r="G2214" i="13"/>
  <c r="H2214" i="13" s="1"/>
  <c r="I2214" i="13" s="1"/>
  <c r="J2214" i="13" s="1"/>
  <c r="G2215" i="13"/>
  <c r="H2215" i="13" s="1"/>
  <c r="I2215" i="13" s="1"/>
  <c r="J2215" i="13" s="1"/>
  <c r="G2216" i="13"/>
  <c r="H2216" i="13" s="1"/>
  <c r="I2216" i="13" s="1"/>
  <c r="J2216" i="13" s="1"/>
  <c r="G2217" i="13"/>
  <c r="H2217" i="13" s="1"/>
  <c r="I2217" i="13" s="1"/>
  <c r="J2217" i="13" s="1"/>
  <c r="G2218" i="13"/>
  <c r="H2218" i="13" s="1"/>
  <c r="I2218" i="13" s="1"/>
  <c r="J2218" i="13" s="1"/>
  <c r="G2219" i="13"/>
  <c r="H2219" i="13" s="1"/>
  <c r="I2219" i="13" s="1"/>
  <c r="J2219" i="13" s="1"/>
  <c r="G2220" i="13"/>
  <c r="H2220" i="13" s="1"/>
  <c r="I2220" i="13" s="1"/>
  <c r="J2220" i="13" s="1"/>
  <c r="G2221" i="13"/>
  <c r="H2221" i="13" s="1"/>
  <c r="I2221" i="13" s="1"/>
  <c r="J2221" i="13" s="1"/>
  <c r="G2222" i="13"/>
  <c r="H2222" i="13" s="1"/>
  <c r="I2222" i="13" s="1"/>
  <c r="J2222" i="13" s="1"/>
  <c r="G2223" i="13"/>
  <c r="H2223" i="13" s="1"/>
  <c r="I2223" i="13" s="1"/>
  <c r="J2223" i="13" s="1"/>
  <c r="G2224" i="13"/>
  <c r="H2224" i="13" s="1"/>
  <c r="I2224" i="13" s="1"/>
  <c r="J2224" i="13" s="1"/>
  <c r="G2225" i="13"/>
  <c r="H2225" i="13" s="1"/>
  <c r="I2225" i="13" s="1"/>
  <c r="J2225" i="13" s="1"/>
  <c r="G2226" i="13"/>
  <c r="H2226" i="13" s="1"/>
  <c r="I2226" i="13" s="1"/>
  <c r="J2226" i="13" s="1"/>
  <c r="G2227" i="13"/>
  <c r="H2227" i="13" s="1"/>
  <c r="I2227" i="13" s="1"/>
  <c r="J2227" i="13" s="1"/>
  <c r="G2228" i="13"/>
  <c r="H2228" i="13" s="1"/>
  <c r="I2228" i="13" s="1"/>
  <c r="J2228" i="13" s="1"/>
  <c r="G2229" i="13"/>
  <c r="H2229" i="13" s="1"/>
  <c r="I2229" i="13" s="1"/>
  <c r="J2229" i="13" s="1"/>
  <c r="G2230" i="13"/>
  <c r="H2230" i="13" s="1"/>
  <c r="I2230" i="13" s="1"/>
  <c r="J2230" i="13" s="1"/>
  <c r="G2231" i="13"/>
  <c r="H2231" i="13" s="1"/>
  <c r="I2231" i="13" s="1"/>
  <c r="J2231" i="13" s="1"/>
  <c r="G2232" i="13"/>
  <c r="H2232" i="13" s="1"/>
  <c r="I2232" i="13" s="1"/>
  <c r="J2232" i="13" s="1"/>
  <c r="G2233" i="13"/>
  <c r="H2233" i="13" s="1"/>
  <c r="I2233" i="13" s="1"/>
  <c r="J2233" i="13" s="1"/>
  <c r="G2234" i="13"/>
  <c r="H2234" i="13" s="1"/>
  <c r="I2234" i="13" s="1"/>
  <c r="J2234" i="13" s="1"/>
  <c r="G2235" i="13"/>
  <c r="H2235" i="13" s="1"/>
  <c r="I2235" i="13" s="1"/>
  <c r="J2235" i="13" s="1"/>
  <c r="G2236" i="13"/>
  <c r="H2236" i="13" s="1"/>
  <c r="I2236" i="13" s="1"/>
  <c r="J2236" i="13" s="1"/>
  <c r="G2237" i="13"/>
  <c r="H2237" i="13" s="1"/>
  <c r="I2237" i="13" s="1"/>
  <c r="J2237" i="13" s="1"/>
  <c r="G2238" i="13"/>
  <c r="H2238" i="13" s="1"/>
  <c r="I2238" i="13" s="1"/>
  <c r="J2238" i="13" s="1"/>
  <c r="G2239" i="13"/>
  <c r="H2239" i="13" s="1"/>
  <c r="I2239" i="13" s="1"/>
  <c r="J2239" i="13" s="1"/>
  <c r="G2240" i="13"/>
  <c r="H2240" i="13" s="1"/>
  <c r="I2240" i="13" s="1"/>
  <c r="J2240" i="13" s="1"/>
  <c r="G2241" i="13"/>
  <c r="H2241" i="13" s="1"/>
  <c r="I2241" i="13" s="1"/>
  <c r="J2241" i="13" s="1"/>
  <c r="G2242" i="13"/>
  <c r="H2242" i="13" s="1"/>
  <c r="I2242" i="13" s="1"/>
  <c r="J2242" i="13" s="1"/>
  <c r="G2243" i="13"/>
  <c r="H2243" i="13" s="1"/>
  <c r="I2243" i="13" s="1"/>
  <c r="J2243" i="13" s="1"/>
  <c r="G2244" i="13"/>
  <c r="H2244" i="13" s="1"/>
  <c r="I2244" i="13" s="1"/>
  <c r="J2244" i="13" s="1"/>
  <c r="G2245" i="13"/>
  <c r="H2245" i="13" s="1"/>
  <c r="I2245" i="13" s="1"/>
  <c r="J2245" i="13" s="1"/>
  <c r="G2246" i="13"/>
  <c r="H2246" i="13" s="1"/>
  <c r="I2246" i="13" s="1"/>
  <c r="J2246" i="13" s="1"/>
  <c r="G2247" i="13"/>
  <c r="H2247" i="13" s="1"/>
  <c r="I2247" i="13" s="1"/>
  <c r="J2247" i="13" s="1"/>
  <c r="G2248" i="13"/>
  <c r="H2248" i="13" s="1"/>
  <c r="I2248" i="13" s="1"/>
  <c r="J2248" i="13" s="1"/>
  <c r="G2249" i="13"/>
  <c r="H2249" i="13" s="1"/>
  <c r="I2249" i="13" s="1"/>
  <c r="J2249" i="13" s="1"/>
  <c r="G2250" i="13"/>
  <c r="H2250" i="13" s="1"/>
  <c r="I2250" i="13" s="1"/>
  <c r="J2250" i="13" s="1"/>
  <c r="G2251" i="13"/>
  <c r="H2251" i="13" s="1"/>
  <c r="I2251" i="13" s="1"/>
  <c r="J2251" i="13" s="1"/>
  <c r="G2252" i="13"/>
  <c r="H2252" i="13" s="1"/>
  <c r="I2252" i="13" s="1"/>
  <c r="J2252" i="13" s="1"/>
  <c r="G2253" i="13"/>
  <c r="H2253" i="13" s="1"/>
  <c r="I2253" i="13" s="1"/>
  <c r="J2253" i="13" s="1"/>
  <c r="G2254" i="13"/>
  <c r="H2254" i="13" s="1"/>
  <c r="I2254" i="13" s="1"/>
  <c r="J2254" i="13" s="1"/>
  <c r="G2255" i="13"/>
  <c r="H2255" i="13" s="1"/>
  <c r="I2255" i="13" s="1"/>
  <c r="J2255" i="13" s="1"/>
  <c r="G2256" i="13"/>
  <c r="H2256" i="13" s="1"/>
  <c r="I2256" i="13" s="1"/>
  <c r="J2256" i="13" s="1"/>
  <c r="G2257" i="13"/>
  <c r="H2257" i="13" s="1"/>
  <c r="I2257" i="13" s="1"/>
  <c r="J2257" i="13" s="1"/>
  <c r="G2258" i="13"/>
  <c r="H2258" i="13" s="1"/>
  <c r="I2258" i="13" s="1"/>
  <c r="J2258" i="13" s="1"/>
  <c r="G2259" i="13"/>
  <c r="H2259" i="13" s="1"/>
  <c r="I2259" i="13" s="1"/>
  <c r="J2259" i="13" s="1"/>
  <c r="G2260" i="13"/>
  <c r="H2260" i="13" s="1"/>
  <c r="I2260" i="13" s="1"/>
  <c r="J2260" i="13" s="1"/>
  <c r="G2261" i="13"/>
  <c r="H2261" i="13" s="1"/>
  <c r="I2261" i="13" s="1"/>
  <c r="J2261" i="13" s="1"/>
  <c r="G2262" i="13"/>
  <c r="H2262" i="13" s="1"/>
  <c r="I2262" i="13" s="1"/>
  <c r="J2262" i="13" s="1"/>
  <c r="G2263" i="13"/>
  <c r="H2263" i="13" s="1"/>
  <c r="I2263" i="13" s="1"/>
  <c r="J2263" i="13" s="1"/>
  <c r="G2264" i="13"/>
  <c r="H2264" i="13" s="1"/>
  <c r="I2264" i="13" s="1"/>
  <c r="J2264" i="13" s="1"/>
  <c r="G2265" i="13"/>
  <c r="H2265" i="13" s="1"/>
  <c r="I2265" i="13" s="1"/>
  <c r="J2265" i="13" s="1"/>
  <c r="G2266" i="13"/>
  <c r="H2266" i="13" s="1"/>
  <c r="I2266" i="13" s="1"/>
  <c r="J2266" i="13" s="1"/>
  <c r="G2267" i="13"/>
  <c r="H2267" i="13" s="1"/>
  <c r="I2267" i="13" s="1"/>
  <c r="J2267" i="13" s="1"/>
  <c r="G2268" i="13"/>
  <c r="H2268" i="13" s="1"/>
  <c r="I2268" i="13" s="1"/>
  <c r="J2268" i="13" s="1"/>
  <c r="G2269" i="13"/>
  <c r="H2269" i="13" s="1"/>
  <c r="I2269" i="13" s="1"/>
  <c r="J2269" i="13" s="1"/>
  <c r="G2270" i="13"/>
  <c r="H2270" i="13" s="1"/>
  <c r="I2270" i="13" s="1"/>
  <c r="J2270" i="13" s="1"/>
  <c r="G2271" i="13"/>
  <c r="H2271" i="13" s="1"/>
  <c r="I2271" i="13" s="1"/>
  <c r="J2271" i="13" s="1"/>
  <c r="G2272" i="13"/>
  <c r="H2272" i="13" s="1"/>
  <c r="I2272" i="13" s="1"/>
  <c r="J2272" i="13" s="1"/>
  <c r="G2273" i="13"/>
  <c r="H2273" i="13" s="1"/>
  <c r="I2273" i="13" s="1"/>
  <c r="J2273" i="13" s="1"/>
  <c r="G2274" i="13"/>
  <c r="H2274" i="13" s="1"/>
  <c r="I2274" i="13" s="1"/>
  <c r="J2274" i="13" s="1"/>
  <c r="G2275" i="13"/>
  <c r="H2275" i="13" s="1"/>
  <c r="I2275" i="13" s="1"/>
  <c r="J2275" i="13" s="1"/>
  <c r="G2276" i="13"/>
  <c r="H2276" i="13" s="1"/>
  <c r="I2276" i="13" s="1"/>
  <c r="J2276" i="13" s="1"/>
  <c r="G2277" i="13"/>
  <c r="H2277" i="13" s="1"/>
  <c r="I2277" i="13" s="1"/>
  <c r="J2277" i="13" s="1"/>
  <c r="G2278" i="13"/>
  <c r="H2278" i="13" s="1"/>
  <c r="I2278" i="13" s="1"/>
  <c r="J2278" i="13" s="1"/>
  <c r="G2279" i="13"/>
  <c r="H2279" i="13" s="1"/>
  <c r="I2279" i="13" s="1"/>
  <c r="J2279" i="13" s="1"/>
  <c r="G2280" i="13"/>
  <c r="H2280" i="13" s="1"/>
  <c r="I2280" i="13" s="1"/>
  <c r="J2280" i="13" s="1"/>
  <c r="G2281" i="13"/>
  <c r="H2281" i="13" s="1"/>
  <c r="I2281" i="13" s="1"/>
  <c r="J2281" i="13" s="1"/>
  <c r="G2282" i="13"/>
  <c r="H2282" i="13" s="1"/>
  <c r="I2282" i="13" s="1"/>
  <c r="J2282" i="13" s="1"/>
  <c r="G2283" i="13"/>
  <c r="H2283" i="13" s="1"/>
  <c r="I2283" i="13" s="1"/>
  <c r="J2283" i="13" s="1"/>
  <c r="G2284" i="13"/>
  <c r="H2284" i="13" s="1"/>
  <c r="I2284" i="13" s="1"/>
  <c r="J2284" i="13" s="1"/>
  <c r="G2285" i="13"/>
  <c r="H2285" i="13" s="1"/>
  <c r="I2285" i="13" s="1"/>
  <c r="J2285" i="13" s="1"/>
  <c r="G2286" i="13"/>
  <c r="H2286" i="13" s="1"/>
  <c r="I2286" i="13" s="1"/>
  <c r="J2286" i="13" s="1"/>
  <c r="G2287" i="13"/>
  <c r="H2287" i="13" s="1"/>
  <c r="I2287" i="13" s="1"/>
  <c r="J2287" i="13" s="1"/>
  <c r="G2288" i="13"/>
  <c r="H2288" i="13" s="1"/>
  <c r="I2288" i="13" s="1"/>
  <c r="J2288" i="13" s="1"/>
  <c r="G2289" i="13"/>
  <c r="H2289" i="13" s="1"/>
  <c r="I2289" i="13" s="1"/>
  <c r="J2289" i="13" s="1"/>
  <c r="G2290" i="13"/>
  <c r="H2290" i="13" s="1"/>
  <c r="I2290" i="13" s="1"/>
  <c r="J2290" i="13" s="1"/>
  <c r="G2291" i="13"/>
  <c r="H2291" i="13" s="1"/>
  <c r="I2291" i="13" s="1"/>
  <c r="J2291" i="13" s="1"/>
  <c r="G2292" i="13"/>
  <c r="H2292" i="13" s="1"/>
  <c r="I2292" i="13" s="1"/>
  <c r="J2292" i="13" s="1"/>
  <c r="G2293" i="13"/>
  <c r="H2293" i="13" s="1"/>
  <c r="I2293" i="13" s="1"/>
  <c r="J2293" i="13" s="1"/>
  <c r="G2294" i="13"/>
  <c r="H2294" i="13" s="1"/>
  <c r="I2294" i="13" s="1"/>
  <c r="J2294" i="13" s="1"/>
  <c r="G2295" i="13"/>
  <c r="H2295" i="13" s="1"/>
  <c r="I2295" i="13" s="1"/>
  <c r="J2295" i="13" s="1"/>
  <c r="G2296" i="13"/>
  <c r="H2296" i="13" s="1"/>
  <c r="I2296" i="13" s="1"/>
  <c r="J2296" i="13" s="1"/>
  <c r="G2297" i="13"/>
  <c r="H2297" i="13" s="1"/>
  <c r="I2297" i="13" s="1"/>
  <c r="J2297" i="13" s="1"/>
  <c r="G2298" i="13"/>
  <c r="H2298" i="13" s="1"/>
  <c r="I2298" i="13" s="1"/>
  <c r="J2298" i="13" s="1"/>
  <c r="G2299" i="13"/>
  <c r="H2299" i="13" s="1"/>
  <c r="I2299" i="13" s="1"/>
  <c r="J2299" i="13" s="1"/>
  <c r="G2300" i="13"/>
  <c r="H2300" i="13" s="1"/>
  <c r="I2300" i="13" s="1"/>
  <c r="J2300" i="13" s="1"/>
  <c r="G2301" i="13"/>
  <c r="H2301" i="13" s="1"/>
  <c r="I2301" i="13" s="1"/>
  <c r="J2301" i="13" s="1"/>
  <c r="G2302" i="13"/>
  <c r="H2302" i="13" s="1"/>
  <c r="I2302" i="13" s="1"/>
  <c r="J2302" i="13" s="1"/>
  <c r="G2303" i="13"/>
  <c r="H2303" i="13" s="1"/>
  <c r="I2303" i="13" s="1"/>
  <c r="J2303" i="13" s="1"/>
  <c r="G2304" i="13"/>
  <c r="H2304" i="13" s="1"/>
  <c r="I2304" i="13" s="1"/>
  <c r="J2304" i="13" s="1"/>
  <c r="G2305" i="13"/>
  <c r="H2305" i="13" s="1"/>
  <c r="I2305" i="13" s="1"/>
  <c r="J2305" i="13" s="1"/>
  <c r="G2306" i="13"/>
  <c r="H2306" i="13" s="1"/>
  <c r="I2306" i="13" s="1"/>
  <c r="J2306" i="13" s="1"/>
  <c r="G2307" i="13"/>
  <c r="H2307" i="13" s="1"/>
  <c r="I2307" i="13" s="1"/>
  <c r="J2307" i="13" s="1"/>
  <c r="G2308" i="13"/>
  <c r="H2308" i="13" s="1"/>
  <c r="I2308" i="13" s="1"/>
  <c r="J2308" i="13" s="1"/>
  <c r="G2309" i="13"/>
  <c r="H2309" i="13" s="1"/>
  <c r="I2309" i="13" s="1"/>
  <c r="J2309" i="13" s="1"/>
  <c r="G2310" i="13"/>
  <c r="H2310" i="13" s="1"/>
  <c r="I2310" i="13" s="1"/>
  <c r="J2310" i="13" s="1"/>
  <c r="G2311" i="13"/>
  <c r="H2311" i="13" s="1"/>
  <c r="I2311" i="13" s="1"/>
  <c r="J2311" i="13" s="1"/>
  <c r="G2312" i="13"/>
  <c r="H2312" i="13" s="1"/>
  <c r="I2312" i="13" s="1"/>
  <c r="J2312" i="13" s="1"/>
  <c r="G2313" i="13"/>
  <c r="H2313" i="13" s="1"/>
  <c r="I2313" i="13" s="1"/>
  <c r="J2313" i="13" s="1"/>
  <c r="G2314" i="13"/>
  <c r="H2314" i="13" s="1"/>
  <c r="I2314" i="13" s="1"/>
  <c r="J2314" i="13" s="1"/>
  <c r="G2315" i="13"/>
  <c r="H2315" i="13" s="1"/>
  <c r="I2315" i="13" s="1"/>
  <c r="J2315" i="13" s="1"/>
  <c r="G2316" i="13"/>
  <c r="H2316" i="13" s="1"/>
  <c r="I2316" i="13" s="1"/>
  <c r="J2316" i="13" s="1"/>
  <c r="G2317" i="13"/>
  <c r="H2317" i="13" s="1"/>
  <c r="I2317" i="13" s="1"/>
  <c r="J2317" i="13" s="1"/>
  <c r="G2318" i="13"/>
  <c r="H2318" i="13" s="1"/>
  <c r="I2318" i="13" s="1"/>
  <c r="J2318" i="13" s="1"/>
  <c r="G2319" i="13"/>
  <c r="H2319" i="13" s="1"/>
  <c r="I2319" i="13" s="1"/>
  <c r="J2319" i="13" s="1"/>
  <c r="G2320" i="13"/>
  <c r="H2320" i="13" s="1"/>
  <c r="I2320" i="13" s="1"/>
  <c r="J2320" i="13" s="1"/>
  <c r="G2321" i="13"/>
  <c r="H2321" i="13" s="1"/>
  <c r="I2321" i="13" s="1"/>
  <c r="J2321" i="13" s="1"/>
  <c r="G2322" i="13"/>
  <c r="H2322" i="13" s="1"/>
  <c r="I2322" i="13" s="1"/>
  <c r="J2322" i="13" s="1"/>
  <c r="G2323" i="13"/>
  <c r="H2323" i="13" s="1"/>
  <c r="I2323" i="13" s="1"/>
  <c r="J2323" i="13" s="1"/>
  <c r="G2324" i="13"/>
  <c r="H2324" i="13" s="1"/>
  <c r="I2324" i="13" s="1"/>
  <c r="J2324" i="13" s="1"/>
  <c r="G2325" i="13"/>
  <c r="H2325" i="13" s="1"/>
  <c r="I2325" i="13" s="1"/>
  <c r="J2325" i="13" s="1"/>
  <c r="G2326" i="13"/>
  <c r="H2326" i="13" s="1"/>
  <c r="I2326" i="13" s="1"/>
  <c r="J2326" i="13" s="1"/>
  <c r="G2327" i="13"/>
  <c r="H2327" i="13" s="1"/>
  <c r="I2327" i="13" s="1"/>
  <c r="J2327" i="13" s="1"/>
  <c r="G2328" i="13"/>
  <c r="H2328" i="13" s="1"/>
  <c r="I2328" i="13" s="1"/>
  <c r="J2328" i="13" s="1"/>
  <c r="G2329" i="13"/>
  <c r="H2329" i="13" s="1"/>
  <c r="I2329" i="13" s="1"/>
  <c r="J2329" i="13" s="1"/>
  <c r="G2330" i="13"/>
  <c r="H2330" i="13" s="1"/>
  <c r="I2330" i="13" s="1"/>
  <c r="J2330" i="13" s="1"/>
  <c r="G2331" i="13"/>
  <c r="H2331" i="13" s="1"/>
  <c r="I2331" i="13" s="1"/>
  <c r="J2331" i="13" s="1"/>
  <c r="G2332" i="13"/>
  <c r="H2332" i="13" s="1"/>
  <c r="I2332" i="13" s="1"/>
  <c r="J2332" i="13" s="1"/>
  <c r="G2333" i="13"/>
  <c r="H2333" i="13" s="1"/>
  <c r="I2333" i="13" s="1"/>
  <c r="J2333" i="13" s="1"/>
  <c r="G2334" i="13"/>
  <c r="H2334" i="13" s="1"/>
  <c r="I2334" i="13" s="1"/>
  <c r="J2334" i="13" s="1"/>
  <c r="G2335" i="13"/>
  <c r="H2335" i="13" s="1"/>
  <c r="I2335" i="13" s="1"/>
  <c r="J2335" i="13" s="1"/>
  <c r="G2336" i="13"/>
  <c r="H2336" i="13" s="1"/>
  <c r="I2336" i="13" s="1"/>
  <c r="J2336" i="13" s="1"/>
  <c r="G2337" i="13"/>
  <c r="H2337" i="13" s="1"/>
  <c r="I2337" i="13" s="1"/>
  <c r="J2337" i="13" s="1"/>
  <c r="G2338" i="13"/>
  <c r="H2338" i="13" s="1"/>
  <c r="I2338" i="13" s="1"/>
  <c r="J2338" i="13" s="1"/>
  <c r="G2339" i="13"/>
  <c r="H2339" i="13" s="1"/>
  <c r="I2339" i="13" s="1"/>
  <c r="J2339" i="13" s="1"/>
  <c r="G2340" i="13"/>
  <c r="H2340" i="13" s="1"/>
  <c r="I2340" i="13" s="1"/>
  <c r="J2340" i="13" s="1"/>
  <c r="G2341" i="13"/>
  <c r="H2341" i="13" s="1"/>
  <c r="I2341" i="13" s="1"/>
  <c r="J2341" i="13" s="1"/>
  <c r="G2342" i="13"/>
  <c r="H2342" i="13" s="1"/>
  <c r="I2342" i="13" s="1"/>
  <c r="J2342" i="13" s="1"/>
  <c r="G2343" i="13"/>
  <c r="H2343" i="13" s="1"/>
  <c r="I2343" i="13" s="1"/>
  <c r="J2343" i="13" s="1"/>
  <c r="G2344" i="13"/>
  <c r="H2344" i="13" s="1"/>
  <c r="I2344" i="13" s="1"/>
  <c r="J2344" i="13" s="1"/>
  <c r="G2345" i="13"/>
  <c r="H2345" i="13" s="1"/>
  <c r="I2345" i="13" s="1"/>
  <c r="J2345" i="13" s="1"/>
  <c r="G2346" i="13"/>
  <c r="H2346" i="13" s="1"/>
  <c r="I2346" i="13" s="1"/>
  <c r="J2346" i="13" s="1"/>
  <c r="G2347" i="13"/>
  <c r="H2347" i="13" s="1"/>
  <c r="I2347" i="13" s="1"/>
  <c r="J2347" i="13" s="1"/>
  <c r="G2348" i="13"/>
  <c r="H2348" i="13" s="1"/>
  <c r="I2348" i="13" s="1"/>
  <c r="J2348" i="13" s="1"/>
  <c r="G2349" i="13"/>
  <c r="H2349" i="13" s="1"/>
  <c r="I2349" i="13" s="1"/>
  <c r="J2349" i="13" s="1"/>
  <c r="G2350" i="13"/>
  <c r="H2350" i="13" s="1"/>
  <c r="I2350" i="13" s="1"/>
  <c r="J2350" i="13" s="1"/>
  <c r="G2351" i="13"/>
  <c r="H2351" i="13" s="1"/>
  <c r="I2351" i="13" s="1"/>
  <c r="J2351" i="13" s="1"/>
  <c r="G2352" i="13"/>
  <c r="H2352" i="13" s="1"/>
  <c r="I2352" i="13" s="1"/>
  <c r="J2352" i="13" s="1"/>
  <c r="G2353" i="13"/>
  <c r="H2353" i="13" s="1"/>
  <c r="I2353" i="13" s="1"/>
  <c r="J2353" i="13" s="1"/>
  <c r="G2354" i="13"/>
  <c r="H2354" i="13" s="1"/>
  <c r="I2354" i="13" s="1"/>
  <c r="J2354" i="13" s="1"/>
  <c r="G2355" i="13"/>
  <c r="H2355" i="13" s="1"/>
  <c r="I2355" i="13" s="1"/>
  <c r="J2355" i="13" s="1"/>
  <c r="G2356" i="13"/>
  <c r="H2356" i="13" s="1"/>
  <c r="I2356" i="13" s="1"/>
  <c r="J2356" i="13" s="1"/>
  <c r="G2357" i="13"/>
  <c r="H2357" i="13" s="1"/>
  <c r="I2357" i="13" s="1"/>
  <c r="J2357" i="13" s="1"/>
  <c r="G2358" i="13"/>
  <c r="H2358" i="13" s="1"/>
  <c r="I2358" i="13" s="1"/>
  <c r="J2358" i="13" s="1"/>
  <c r="G2359" i="13"/>
  <c r="H2359" i="13" s="1"/>
  <c r="I2359" i="13" s="1"/>
  <c r="J2359" i="13" s="1"/>
  <c r="G2360" i="13"/>
  <c r="H2360" i="13" s="1"/>
  <c r="I2360" i="13" s="1"/>
  <c r="J2360" i="13" s="1"/>
  <c r="G2361" i="13"/>
  <c r="H2361" i="13" s="1"/>
  <c r="I2361" i="13" s="1"/>
  <c r="J2361" i="13" s="1"/>
  <c r="G2362" i="13"/>
  <c r="H2362" i="13" s="1"/>
  <c r="I2362" i="13" s="1"/>
  <c r="J2362" i="13" s="1"/>
  <c r="G2363" i="13"/>
  <c r="H2363" i="13" s="1"/>
  <c r="I2363" i="13" s="1"/>
  <c r="J2363" i="13" s="1"/>
  <c r="G2364" i="13"/>
  <c r="H2364" i="13" s="1"/>
  <c r="I2364" i="13" s="1"/>
  <c r="J2364" i="13" s="1"/>
  <c r="G2365" i="13"/>
  <c r="H2365" i="13" s="1"/>
  <c r="I2365" i="13" s="1"/>
  <c r="J2365" i="13" s="1"/>
  <c r="G2366" i="13"/>
  <c r="H2366" i="13" s="1"/>
  <c r="I2366" i="13" s="1"/>
  <c r="J2366" i="13" s="1"/>
  <c r="G2367" i="13"/>
  <c r="H2367" i="13" s="1"/>
  <c r="I2367" i="13" s="1"/>
  <c r="J2367" i="13" s="1"/>
  <c r="G2368" i="13"/>
  <c r="H2368" i="13" s="1"/>
  <c r="I2368" i="13" s="1"/>
  <c r="J2368" i="13" s="1"/>
  <c r="G2369" i="13"/>
  <c r="H2369" i="13" s="1"/>
  <c r="I2369" i="13" s="1"/>
  <c r="J2369" i="13" s="1"/>
  <c r="G2370" i="13"/>
  <c r="H2370" i="13" s="1"/>
  <c r="I2370" i="13" s="1"/>
  <c r="J2370" i="13" s="1"/>
  <c r="G2371" i="13"/>
  <c r="H2371" i="13" s="1"/>
  <c r="I2371" i="13" s="1"/>
  <c r="J2371" i="13" s="1"/>
  <c r="G2372" i="13"/>
  <c r="H2372" i="13" s="1"/>
  <c r="I2372" i="13" s="1"/>
  <c r="J2372" i="13" s="1"/>
  <c r="G2373" i="13"/>
  <c r="H2373" i="13" s="1"/>
  <c r="I2373" i="13" s="1"/>
  <c r="J2373" i="13" s="1"/>
  <c r="G2374" i="13"/>
  <c r="H2374" i="13" s="1"/>
  <c r="I2374" i="13" s="1"/>
  <c r="J2374" i="13" s="1"/>
  <c r="G2375" i="13"/>
  <c r="H2375" i="13" s="1"/>
  <c r="I2375" i="13" s="1"/>
  <c r="J2375" i="13" s="1"/>
  <c r="G2376" i="13"/>
  <c r="H2376" i="13" s="1"/>
  <c r="I2376" i="13" s="1"/>
  <c r="J2376" i="13" s="1"/>
  <c r="G2377" i="13"/>
  <c r="H2377" i="13" s="1"/>
  <c r="I2377" i="13" s="1"/>
  <c r="J2377" i="13" s="1"/>
  <c r="G2378" i="13"/>
  <c r="H2378" i="13" s="1"/>
  <c r="I2378" i="13" s="1"/>
  <c r="J2378" i="13" s="1"/>
  <c r="G2379" i="13"/>
  <c r="H2379" i="13" s="1"/>
  <c r="I2379" i="13" s="1"/>
  <c r="J2379" i="13" s="1"/>
  <c r="G2380" i="13"/>
  <c r="H2380" i="13" s="1"/>
  <c r="I2380" i="13" s="1"/>
  <c r="J2380" i="13" s="1"/>
  <c r="G2381" i="13"/>
  <c r="H2381" i="13" s="1"/>
  <c r="I2381" i="13" s="1"/>
  <c r="J2381" i="13" s="1"/>
  <c r="G2382" i="13"/>
  <c r="H2382" i="13" s="1"/>
  <c r="I2382" i="13" s="1"/>
  <c r="J2382" i="13" s="1"/>
  <c r="G2383" i="13"/>
  <c r="H2383" i="13" s="1"/>
  <c r="I2383" i="13" s="1"/>
  <c r="J2383" i="13" s="1"/>
  <c r="G2384" i="13"/>
  <c r="H2384" i="13" s="1"/>
  <c r="I2384" i="13" s="1"/>
  <c r="J2384" i="13" s="1"/>
  <c r="G2385" i="13"/>
  <c r="H2385" i="13" s="1"/>
  <c r="I2385" i="13" s="1"/>
  <c r="J2385" i="13" s="1"/>
  <c r="G2386" i="13"/>
  <c r="H2386" i="13" s="1"/>
  <c r="I2386" i="13" s="1"/>
  <c r="J2386" i="13" s="1"/>
  <c r="G2387" i="13"/>
  <c r="H2387" i="13" s="1"/>
  <c r="I2387" i="13" s="1"/>
  <c r="J2387" i="13" s="1"/>
  <c r="G2388" i="13"/>
  <c r="H2388" i="13" s="1"/>
  <c r="I2388" i="13" s="1"/>
  <c r="J2388" i="13" s="1"/>
  <c r="G2389" i="13"/>
  <c r="H2389" i="13" s="1"/>
  <c r="I2389" i="13" s="1"/>
  <c r="J2389" i="13" s="1"/>
  <c r="G2390" i="13"/>
  <c r="H2390" i="13" s="1"/>
  <c r="I2390" i="13" s="1"/>
  <c r="J2390" i="13" s="1"/>
  <c r="G2391" i="13"/>
  <c r="H2391" i="13" s="1"/>
  <c r="I2391" i="13" s="1"/>
  <c r="J2391" i="13" s="1"/>
  <c r="G2392" i="13"/>
  <c r="H2392" i="13" s="1"/>
  <c r="I2392" i="13" s="1"/>
  <c r="J2392" i="13" s="1"/>
  <c r="G2393" i="13"/>
  <c r="H2393" i="13" s="1"/>
  <c r="I2393" i="13" s="1"/>
  <c r="J2393" i="13" s="1"/>
  <c r="G2394" i="13"/>
  <c r="H2394" i="13" s="1"/>
  <c r="I2394" i="13" s="1"/>
  <c r="J2394" i="13" s="1"/>
  <c r="G2395" i="13"/>
  <c r="H2395" i="13" s="1"/>
  <c r="I2395" i="13" s="1"/>
  <c r="J2395" i="13" s="1"/>
  <c r="G2396" i="13"/>
  <c r="H2396" i="13" s="1"/>
  <c r="I2396" i="13" s="1"/>
  <c r="J2396" i="13" s="1"/>
  <c r="G2397" i="13"/>
  <c r="H2397" i="13" s="1"/>
  <c r="I2397" i="13" s="1"/>
  <c r="J2397" i="13" s="1"/>
  <c r="G2398" i="13"/>
  <c r="H2398" i="13" s="1"/>
  <c r="I2398" i="13" s="1"/>
  <c r="J2398" i="13" s="1"/>
  <c r="G2399" i="13"/>
  <c r="H2399" i="13" s="1"/>
  <c r="I2399" i="13" s="1"/>
  <c r="J2399" i="13" s="1"/>
  <c r="G2400" i="13"/>
  <c r="H2400" i="13" s="1"/>
  <c r="I2400" i="13" s="1"/>
  <c r="J2400" i="13" s="1"/>
  <c r="G2401" i="13"/>
  <c r="H2401" i="13" s="1"/>
  <c r="I2401" i="13" s="1"/>
  <c r="J2401" i="13" s="1"/>
  <c r="G2402" i="13"/>
  <c r="H2402" i="13" s="1"/>
  <c r="I2402" i="13" s="1"/>
  <c r="J2402" i="13" s="1"/>
  <c r="G2403" i="13"/>
  <c r="H2403" i="13" s="1"/>
  <c r="I2403" i="13" s="1"/>
  <c r="J2403" i="13" s="1"/>
  <c r="G2404" i="13"/>
  <c r="H2404" i="13" s="1"/>
  <c r="I2404" i="13" s="1"/>
  <c r="J2404" i="13" s="1"/>
  <c r="G2405" i="13"/>
  <c r="H2405" i="13" s="1"/>
  <c r="I2405" i="13" s="1"/>
  <c r="J2405" i="13" s="1"/>
  <c r="G2406" i="13"/>
  <c r="H2406" i="13" s="1"/>
  <c r="I2406" i="13" s="1"/>
  <c r="J2406" i="13" s="1"/>
  <c r="G2407" i="13"/>
  <c r="H2407" i="13" s="1"/>
  <c r="I2407" i="13" s="1"/>
  <c r="J2407" i="13" s="1"/>
  <c r="G2408" i="13"/>
  <c r="H2408" i="13" s="1"/>
  <c r="I2408" i="13" s="1"/>
  <c r="J2408" i="13" s="1"/>
  <c r="G2409" i="13"/>
  <c r="H2409" i="13" s="1"/>
  <c r="I2409" i="13" s="1"/>
  <c r="J2409" i="13" s="1"/>
  <c r="G2410" i="13"/>
  <c r="H2410" i="13" s="1"/>
  <c r="I2410" i="13" s="1"/>
  <c r="J2410" i="13" s="1"/>
  <c r="G2411" i="13"/>
  <c r="H2411" i="13" s="1"/>
  <c r="I2411" i="13" s="1"/>
  <c r="J2411" i="13" s="1"/>
  <c r="G2412" i="13"/>
  <c r="H2412" i="13" s="1"/>
  <c r="I2412" i="13" s="1"/>
  <c r="J2412" i="13" s="1"/>
  <c r="G2413" i="13"/>
  <c r="H2413" i="13" s="1"/>
  <c r="I2413" i="13" s="1"/>
  <c r="J2413" i="13" s="1"/>
  <c r="G2414" i="13"/>
  <c r="H2414" i="13" s="1"/>
  <c r="I2414" i="13" s="1"/>
  <c r="J2414" i="13" s="1"/>
  <c r="G2415" i="13"/>
  <c r="H2415" i="13" s="1"/>
  <c r="I2415" i="13" s="1"/>
  <c r="J2415" i="13" s="1"/>
  <c r="G2416" i="13"/>
  <c r="H2416" i="13" s="1"/>
  <c r="I2416" i="13" s="1"/>
  <c r="J2416" i="13" s="1"/>
  <c r="G2417" i="13"/>
  <c r="H2417" i="13" s="1"/>
  <c r="I2417" i="13" s="1"/>
  <c r="J2417" i="13" s="1"/>
  <c r="G2418" i="13"/>
  <c r="H2418" i="13" s="1"/>
  <c r="I2418" i="13" s="1"/>
  <c r="J2418" i="13" s="1"/>
  <c r="G2419" i="13"/>
  <c r="H2419" i="13" s="1"/>
  <c r="I2419" i="13" s="1"/>
  <c r="J2419" i="13" s="1"/>
  <c r="G2420" i="13"/>
  <c r="H2420" i="13" s="1"/>
  <c r="I2420" i="13" s="1"/>
  <c r="J2420" i="13" s="1"/>
  <c r="G2421" i="13"/>
  <c r="H2421" i="13" s="1"/>
  <c r="I2421" i="13" s="1"/>
  <c r="J2421" i="13" s="1"/>
  <c r="G2422" i="13"/>
  <c r="H2422" i="13" s="1"/>
  <c r="I2422" i="13" s="1"/>
  <c r="J2422" i="13" s="1"/>
  <c r="G2423" i="13"/>
  <c r="H2423" i="13" s="1"/>
  <c r="I2423" i="13" s="1"/>
  <c r="J2423" i="13" s="1"/>
  <c r="G2424" i="13"/>
  <c r="H2424" i="13" s="1"/>
  <c r="I2424" i="13" s="1"/>
  <c r="J2424" i="13" s="1"/>
  <c r="G2425" i="13"/>
  <c r="H2425" i="13" s="1"/>
  <c r="I2425" i="13" s="1"/>
  <c r="J2425" i="13" s="1"/>
  <c r="G2426" i="13"/>
  <c r="H2426" i="13" s="1"/>
  <c r="I2426" i="13" s="1"/>
  <c r="J2426" i="13" s="1"/>
  <c r="G2427" i="13"/>
  <c r="H2427" i="13" s="1"/>
  <c r="I2427" i="13" s="1"/>
  <c r="J2427" i="13" s="1"/>
  <c r="G2428" i="13"/>
  <c r="H2428" i="13" s="1"/>
  <c r="I2428" i="13" s="1"/>
  <c r="J2428" i="13" s="1"/>
  <c r="G2429" i="13"/>
  <c r="H2429" i="13" s="1"/>
  <c r="I2429" i="13" s="1"/>
  <c r="J2429" i="13" s="1"/>
  <c r="G2430" i="13"/>
  <c r="H2430" i="13" s="1"/>
  <c r="I2430" i="13" s="1"/>
  <c r="J2430" i="13" s="1"/>
  <c r="G2431" i="13"/>
  <c r="H2431" i="13" s="1"/>
  <c r="I2431" i="13" s="1"/>
  <c r="J2431" i="13" s="1"/>
  <c r="G2432" i="13"/>
  <c r="H2432" i="13" s="1"/>
  <c r="I2432" i="13" s="1"/>
  <c r="J2432" i="13" s="1"/>
  <c r="G2433" i="13"/>
  <c r="H2433" i="13" s="1"/>
  <c r="I2433" i="13" s="1"/>
  <c r="J2433" i="13" s="1"/>
  <c r="G2434" i="13"/>
  <c r="H2434" i="13" s="1"/>
  <c r="I2434" i="13" s="1"/>
  <c r="J2434" i="13" s="1"/>
  <c r="G2435" i="13"/>
  <c r="H2435" i="13" s="1"/>
  <c r="I2435" i="13" s="1"/>
  <c r="J2435" i="13" s="1"/>
  <c r="G2436" i="13"/>
  <c r="H2436" i="13" s="1"/>
  <c r="I2436" i="13" s="1"/>
  <c r="J2436" i="13" s="1"/>
  <c r="G2437" i="13"/>
  <c r="H2437" i="13" s="1"/>
  <c r="I2437" i="13" s="1"/>
  <c r="J2437" i="13" s="1"/>
  <c r="G2438" i="13"/>
  <c r="H2438" i="13" s="1"/>
  <c r="I2438" i="13" s="1"/>
  <c r="J2438" i="13" s="1"/>
  <c r="G2439" i="13"/>
  <c r="H2439" i="13" s="1"/>
  <c r="I2439" i="13" s="1"/>
  <c r="J2439" i="13" s="1"/>
  <c r="G2440" i="13"/>
  <c r="H2440" i="13" s="1"/>
  <c r="I2440" i="13" s="1"/>
  <c r="J2440" i="13" s="1"/>
  <c r="G2441" i="13"/>
  <c r="H2441" i="13" s="1"/>
  <c r="I2441" i="13" s="1"/>
  <c r="J2441" i="13" s="1"/>
  <c r="G2442" i="13"/>
  <c r="H2442" i="13" s="1"/>
  <c r="I2442" i="13" s="1"/>
  <c r="J2442" i="13" s="1"/>
  <c r="G2443" i="13"/>
  <c r="H2443" i="13" s="1"/>
  <c r="I2443" i="13" s="1"/>
  <c r="J2443" i="13" s="1"/>
  <c r="G2444" i="13"/>
  <c r="H2444" i="13" s="1"/>
  <c r="I2444" i="13" s="1"/>
  <c r="J2444" i="13" s="1"/>
  <c r="G2445" i="13"/>
  <c r="H2445" i="13" s="1"/>
  <c r="I2445" i="13" s="1"/>
  <c r="J2445" i="13" s="1"/>
  <c r="G2446" i="13"/>
  <c r="H2446" i="13" s="1"/>
  <c r="I2446" i="13" s="1"/>
  <c r="J2446" i="13" s="1"/>
  <c r="G2447" i="13"/>
  <c r="H2447" i="13" s="1"/>
  <c r="I2447" i="13" s="1"/>
  <c r="J2447" i="13" s="1"/>
  <c r="G2448" i="13"/>
  <c r="H2448" i="13" s="1"/>
  <c r="I2448" i="13" s="1"/>
  <c r="J2448" i="13" s="1"/>
  <c r="G2449" i="13"/>
  <c r="H2449" i="13" s="1"/>
  <c r="I2449" i="13" s="1"/>
  <c r="J2449" i="13" s="1"/>
  <c r="G2450" i="13"/>
  <c r="H2450" i="13" s="1"/>
  <c r="I2450" i="13" s="1"/>
  <c r="J2450" i="13" s="1"/>
  <c r="G2451" i="13"/>
  <c r="H2451" i="13" s="1"/>
  <c r="I2451" i="13" s="1"/>
  <c r="J2451" i="13" s="1"/>
  <c r="G2452" i="13"/>
  <c r="H2452" i="13" s="1"/>
  <c r="I2452" i="13" s="1"/>
  <c r="J2452" i="13" s="1"/>
  <c r="G2453" i="13"/>
  <c r="H2453" i="13" s="1"/>
  <c r="I2453" i="13" s="1"/>
  <c r="J2453" i="13" s="1"/>
  <c r="G2454" i="13"/>
  <c r="H2454" i="13" s="1"/>
  <c r="I2454" i="13" s="1"/>
  <c r="J2454" i="13" s="1"/>
  <c r="G2455" i="13"/>
  <c r="H2455" i="13" s="1"/>
  <c r="I2455" i="13" s="1"/>
  <c r="J2455" i="13" s="1"/>
  <c r="G2456" i="13"/>
  <c r="H2456" i="13" s="1"/>
  <c r="I2456" i="13" s="1"/>
  <c r="J2456" i="13" s="1"/>
  <c r="G2457" i="13"/>
  <c r="H2457" i="13" s="1"/>
  <c r="I2457" i="13" s="1"/>
  <c r="J2457" i="13" s="1"/>
  <c r="G2458" i="13"/>
  <c r="H2458" i="13" s="1"/>
  <c r="I2458" i="13" s="1"/>
  <c r="J2458" i="13" s="1"/>
  <c r="G2459" i="13"/>
  <c r="H2459" i="13" s="1"/>
  <c r="I2459" i="13" s="1"/>
  <c r="J2459" i="13" s="1"/>
  <c r="G2460" i="13"/>
  <c r="H2460" i="13" s="1"/>
  <c r="I2460" i="13" s="1"/>
  <c r="J2460" i="13" s="1"/>
  <c r="G2461" i="13"/>
  <c r="H2461" i="13" s="1"/>
  <c r="I2461" i="13" s="1"/>
  <c r="J2461" i="13" s="1"/>
  <c r="G2462" i="13"/>
  <c r="H2462" i="13" s="1"/>
  <c r="I2462" i="13" s="1"/>
  <c r="J2462" i="13" s="1"/>
  <c r="G2463" i="13"/>
  <c r="H2463" i="13" s="1"/>
  <c r="I2463" i="13" s="1"/>
  <c r="J2463" i="13" s="1"/>
  <c r="G2464" i="13"/>
  <c r="H2464" i="13" s="1"/>
  <c r="I2464" i="13" s="1"/>
  <c r="J2464" i="13" s="1"/>
  <c r="G2465" i="13"/>
  <c r="H2465" i="13" s="1"/>
  <c r="I2465" i="13" s="1"/>
  <c r="J2465" i="13" s="1"/>
  <c r="G2466" i="13"/>
  <c r="H2466" i="13" s="1"/>
  <c r="I2466" i="13" s="1"/>
  <c r="J2466" i="13" s="1"/>
  <c r="G2467" i="13"/>
  <c r="H2467" i="13" s="1"/>
  <c r="I2467" i="13" s="1"/>
  <c r="J2467" i="13" s="1"/>
  <c r="G2468" i="13"/>
  <c r="H2468" i="13" s="1"/>
  <c r="I2468" i="13" s="1"/>
  <c r="J2468" i="13" s="1"/>
  <c r="G2469" i="13"/>
  <c r="H2469" i="13" s="1"/>
  <c r="I2469" i="13" s="1"/>
  <c r="J2469" i="13" s="1"/>
  <c r="G2470" i="13"/>
  <c r="H2470" i="13" s="1"/>
  <c r="I2470" i="13" s="1"/>
  <c r="J2470" i="13" s="1"/>
  <c r="G2471" i="13"/>
  <c r="H2471" i="13" s="1"/>
  <c r="I2471" i="13" s="1"/>
  <c r="J2471" i="13" s="1"/>
  <c r="G2472" i="13"/>
  <c r="H2472" i="13" s="1"/>
  <c r="I2472" i="13" s="1"/>
  <c r="J2472" i="13" s="1"/>
  <c r="G2473" i="13"/>
  <c r="H2473" i="13" s="1"/>
  <c r="I2473" i="13" s="1"/>
  <c r="J2473" i="13" s="1"/>
  <c r="G2474" i="13"/>
  <c r="H2474" i="13" s="1"/>
  <c r="I2474" i="13" s="1"/>
  <c r="J2474" i="13" s="1"/>
  <c r="G2475" i="13"/>
  <c r="H2475" i="13" s="1"/>
  <c r="I2475" i="13" s="1"/>
  <c r="J2475" i="13" s="1"/>
  <c r="G2476" i="13"/>
  <c r="H2476" i="13" s="1"/>
  <c r="I2476" i="13" s="1"/>
  <c r="J2476" i="13" s="1"/>
  <c r="G2477" i="13"/>
  <c r="H2477" i="13" s="1"/>
  <c r="I2477" i="13" s="1"/>
  <c r="J2477" i="13" s="1"/>
  <c r="G2478" i="13"/>
  <c r="H2478" i="13" s="1"/>
  <c r="I2478" i="13" s="1"/>
  <c r="J2478" i="13" s="1"/>
  <c r="G2479" i="13"/>
  <c r="H2479" i="13" s="1"/>
  <c r="I2479" i="13" s="1"/>
  <c r="J2479" i="13" s="1"/>
  <c r="G2480" i="13"/>
  <c r="H2480" i="13" s="1"/>
  <c r="I2480" i="13" s="1"/>
  <c r="J2480" i="13" s="1"/>
  <c r="G2481" i="13"/>
  <c r="H2481" i="13" s="1"/>
  <c r="I2481" i="13" s="1"/>
  <c r="J2481" i="13" s="1"/>
  <c r="G2482" i="13"/>
  <c r="H2482" i="13" s="1"/>
  <c r="I2482" i="13" s="1"/>
  <c r="J2482" i="13" s="1"/>
  <c r="G2483" i="13"/>
  <c r="H2483" i="13" s="1"/>
  <c r="I2483" i="13" s="1"/>
  <c r="J2483" i="13" s="1"/>
  <c r="G2484" i="13"/>
  <c r="H2484" i="13" s="1"/>
  <c r="I2484" i="13" s="1"/>
  <c r="J2484" i="13" s="1"/>
  <c r="G2485" i="13"/>
  <c r="H2485" i="13" s="1"/>
  <c r="I2485" i="13" s="1"/>
  <c r="J2485" i="13" s="1"/>
  <c r="G2486" i="13"/>
  <c r="H2486" i="13" s="1"/>
  <c r="I2486" i="13" s="1"/>
  <c r="J2486" i="13" s="1"/>
  <c r="G2487" i="13"/>
  <c r="H2487" i="13" s="1"/>
  <c r="I2487" i="13" s="1"/>
  <c r="J2487" i="13" s="1"/>
  <c r="G2488" i="13"/>
  <c r="H2488" i="13" s="1"/>
  <c r="I2488" i="13" s="1"/>
  <c r="J2488" i="13" s="1"/>
  <c r="G2489" i="13"/>
  <c r="H2489" i="13" s="1"/>
  <c r="I2489" i="13" s="1"/>
  <c r="J2489" i="13" s="1"/>
  <c r="G2490" i="13"/>
  <c r="H2490" i="13" s="1"/>
  <c r="I2490" i="13" s="1"/>
  <c r="J2490" i="13" s="1"/>
  <c r="G2491" i="13"/>
  <c r="H2491" i="13" s="1"/>
  <c r="I2491" i="13" s="1"/>
  <c r="J2491" i="13" s="1"/>
  <c r="G2492" i="13"/>
  <c r="H2492" i="13" s="1"/>
  <c r="I2492" i="13" s="1"/>
  <c r="J2492" i="13" s="1"/>
  <c r="G2493" i="13"/>
  <c r="H2493" i="13" s="1"/>
  <c r="I2493" i="13" s="1"/>
  <c r="J2493" i="13" s="1"/>
  <c r="G2494" i="13"/>
  <c r="H2494" i="13" s="1"/>
  <c r="I2494" i="13" s="1"/>
  <c r="J2494" i="13" s="1"/>
  <c r="G2495" i="13"/>
  <c r="H2495" i="13" s="1"/>
  <c r="I2495" i="13" s="1"/>
  <c r="J2495" i="13" s="1"/>
  <c r="G2496" i="13"/>
  <c r="H2496" i="13" s="1"/>
  <c r="I2496" i="13" s="1"/>
  <c r="J2496" i="13" s="1"/>
  <c r="G2497" i="13"/>
  <c r="H2497" i="13" s="1"/>
  <c r="I2497" i="13" s="1"/>
  <c r="J2497" i="13" s="1"/>
  <c r="G2498" i="13"/>
  <c r="H2498" i="13" s="1"/>
  <c r="I2498" i="13" s="1"/>
  <c r="J2498" i="13" s="1"/>
  <c r="G2499" i="13"/>
  <c r="H2499" i="13" s="1"/>
  <c r="I2499" i="13" s="1"/>
  <c r="J2499" i="13" s="1"/>
  <c r="G2500" i="13"/>
  <c r="H2500" i="13" s="1"/>
  <c r="I2500" i="13" s="1"/>
  <c r="J2500" i="13" s="1"/>
  <c r="G2501" i="13"/>
  <c r="H2501" i="13" s="1"/>
  <c r="I2501" i="13" s="1"/>
  <c r="J2501" i="13" s="1"/>
  <c r="G2502" i="13"/>
  <c r="H2502" i="13" s="1"/>
  <c r="I2502" i="13" s="1"/>
  <c r="J2502" i="13" s="1"/>
  <c r="G2503" i="13"/>
  <c r="H2503" i="13" s="1"/>
  <c r="I2503" i="13" s="1"/>
  <c r="J2503" i="13" s="1"/>
  <c r="G2504" i="13"/>
  <c r="H2504" i="13" s="1"/>
  <c r="I2504" i="13" s="1"/>
  <c r="J2504" i="13" s="1"/>
  <c r="G2505" i="13"/>
  <c r="H2505" i="13" s="1"/>
  <c r="I2505" i="13" s="1"/>
  <c r="J2505" i="13" s="1"/>
  <c r="G2506" i="13"/>
  <c r="H2506" i="13" s="1"/>
  <c r="I2506" i="13" s="1"/>
  <c r="J2506" i="13" s="1"/>
  <c r="G2507" i="13"/>
  <c r="H2507" i="13" s="1"/>
  <c r="I2507" i="13" s="1"/>
  <c r="J2507" i="13" s="1"/>
  <c r="G2508" i="13"/>
  <c r="H2508" i="13" s="1"/>
  <c r="I2508" i="13" s="1"/>
  <c r="J2508" i="13" s="1"/>
  <c r="G2509" i="13"/>
  <c r="H2509" i="13" s="1"/>
  <c r="I2509" i="13" s="1"/>
  <c r="J2509" i="13" s="1"/>
  <c r="G2510" i="13"/>
  <c r="H2510" i="13" s="1"/>
  <c r="I2510" i="13" s="1"/>
  <c r="J2510" i="13" s="1"/>
  <c r="G2511" i="13"/>
  <c r="H2511" i="13" s="1"/>
  <c r="I2511" i="13" s="1"/>
  <c r="J2511" i="13" s="1"/>
  <c r="G2512" i="13"/>
  <c r="H2512" i="13" s="1"/>
  <c r="I2512" i="13" s="1"/>
  <c r="J2512" i="13" s="1"/>
  <c r="G2513" i="13"/>
  <c r="H2513" i="13" s="1"/>
  <c r="I2513" i="13" s="1"/>
  <c r="J2513" i="13" s="1"/>
  <c r="G2514" i="13"/>
  <c r="H2514" i="13" s="1"/>
  <c r="I2514" i="13" s="1"/>
  <c r="J2514" i="13" s="1"/>
  <c r="G2515" i="13"/>
  <c r="H2515" i="13" s="1"/>
  <c r="I2515" i="13" s="1"/>
  <c r="J2515" i="13" s="1"/>
  <c r="G2516" i="13"/>
  <c r="H2516" i="13" s="1"/>
  <c r="I2516" i="13" s="1"/>
  <c r="J2516" i="13" s="1"/>
  <c r="G2517" i="13"/>
  <c r="H2517" i="13" s="1"/>
  <c r="I2517" i="13" s="1"/>
  <c r="J2517" i="13" s="1"/>
  <c r="G2518" i="13"/>
  <c r="H2518" i="13" s="1"/>
  <c r="I2518" i="13" s="1"/>
  <c r="J2518" i="13" s="1"/>
  <c r="G2519" i="13"/>
  <c r="H2519" i="13" s="1"/>
  <c r="I2519" i="13" s="1"/>
  <c r="J2519" i="13" s="1"/>
  <c r="G2520" i="13"/>
  <c r="H2520" i="13" s="1"/>
  <c r="I2520" i="13" s="1"/>
  <c r="J2520" i="13" s="1"/>
  <c r="G2521" i="13"/>
  <c r="H2521" i="13" s="1"/>
  <c r="I2521" i="13" s="1"/>
  <c r="J2521" i="13" s="1"/>
  <c r="G2522" i="13"/>
  <c r="H2522" i="13" s="1"/>
  <c r="I2522" i="13" s="1"/>
  <c r="J2522" i="13" s="1"/>
  <c r="G2523" i="13"/>
  <c r="H2523" i="13" s="1"/>
  <c r="I2523" i="13" s="1"/>
  <c r="J2523" i="13" s="1"/>
  <c r="G2524" i="13"/>
  <c r="H2524" i="13" s="1"/>
  <c r="I2524" i="13" s="1"/>
  <c r="J2524" i="13" s="1"/>
  <c r="G2525" i="13"/>
  <c r="H2525" i="13" s="1"/>
  <c r="I2525" i="13" s="1"/>
  <c r="J2525" i="13" s="1"/>
  <c r="G2526" i="13"/>
  <c r="H2526" i="13" s="1"/>
  <c r="I2526" i="13" s="1"/>
  <c r="J2526" i="13" s="1"/>
  <c r="G2527" i="13"/>
  <c r="H2527" i="13" s="1"/>
  <c r="I2527" i="13" s="1"/>
  <c r="J2527" i="13" s="1"/>
  <c r="G2528" i="13"/>
  <c r="H2528" i="13" s="1"/>
  <c r="I2528" i="13" s="1"/>
  <c r="J2528" i="13" s="1"/>
  <c r="G2529" i="13"/>
  <c r="H2529" i="13" s="1"/>
  <c r="I2529" i="13" s="1"/>
  <c r="J2529" i="13" s="1"/>
  <c r="G2530" i="13"/>
  <c r="H2530" i="13" s="1"/>
  <c r="I2530" i="13" s="1"/>
  <c r="J2530" i="13" s="1"/>
  <c r="G2531" i="13"/>
  <c r="H2531" i="13" s="1"/>
  <c r="I2531" i="13" s="1"/>
  <c r="J2531" i="13" s="1"/>
  <c r="G2532" i="13"/>
  <c r="H2532" i="13" s="1"/>
  <c r="I2532" i="13" s="1"/>
  <c r="J2532" i="13" s="1"/>
  <c r="G2533" i="13"/>
  <c r="H2533" i="13" s="1"/>
  <c r="I2533" i="13" s="1"/>
  <c r="J2533" i="13" s="1"/>
  <c r="G2534" i="13"/>
  <c r="H2534" i="13" s="1"/>
  <c r="I2534" i="13" s="1"/>
  <c r="J2534" i="13" s="1"/>
  <c r="G2535" i="13"/>
  <c r="H2535" i="13" s="1"/>
  <c r="I2535" i="13" s="1"/>
  <c r="J2535" i="13" s="1"/>
  <c r="G2536" i="13"/>
  <c r="H2536" i="13" s="1"/>
  <c r="I2536" i="13" s="1"/>
  <c r="J2536" i="13" s="1"/>
  <c r="G2537" i="13"/>
  <c r="H2537" i="13" s="1"/>
  <c r="I2537" i="13" s="1"/>
  <c r="J2537" i="13" s="1"/>
  <c r="G2538" i="13"/>
  <c r="H2538" i="13" s="1"/>
  <c r="I2538" i="13" s="1"/>
  <c r="J2538" i="13" s="1"/>
  <c r="G2539" i="13"/>
  <c r="H2539" i="13" s="1"/>
  <c r="I2539" i="13" s="1"/>
  <c r="J2539" i="13" s="1"/>
  <c r="G2540" i="13"/>
  <c r="H2540" i="13" s="1"/>
  <c r="I2540" i="13" s="1"/>
  <c r="J2540" i="13" s="1"/>
  <c r="G2541" i="13"/>
  <c r="H2541" i="13" s="1"/>
  <c r="I2541" i="13" s="1"/>
  <c r="J2541" i="13" s="1"/>
  <c r="G2542" i="13"/>
  <c r="H2542" i="13" s="1"/>
  <c r="I2542" i="13" s="1"/>
  <c r="J2542" i="13" s="1"/>
  <c r="G2543" i="13"/>
  <c r="H2543" i="13" s="1"/>
  <c r="I2543" i="13" s="1"/>
  <c r="J2543" i="13" s="1"/>
  <c r="G2544" i="13"/>
  <c r="H2544" i="13" s="1"/>
  <c r="I2544" i="13" s="1"/>
  <c r="J2544" i="13" s="1"/>
  <c r="G2545" i="13"/>
  <c r="H2545" i="13" s="1"/>
  <c r="I2545" i="13" s="1"/>
  <c r="J2545" i="13" s="1"/>
  <c r="G2546" i="13"/>
  <c r="H2546" i="13" s="1"/>
  <c r="I2546" i="13" s="1"/>
  <c r="J2546" i="13" s="1"/>
  <c r="G2547" i="13"/>
  <c r="H2547" i="13" s="1"/>
  <c r="I2547" i="13" s="1"/>
  <c r="J2547" i="13" s="1"/>
  <c r="G2548" i="13"/>
  <c r="H2548" i="13" s="1"/>
  <c r="I2548" i="13" s="1"/>
  <c r="J2548" i="13" s="1"/>
  <c r="G2549" i="13"/>
  <c r="H2549" i="13" s="1"/>
  <c r="I2549" i="13" s="1"/>
  <c r="J2549" i="13" s="1"/>
  <c r="G2550" i="13"/>
  <c r="H2550" i="13" s="1"/>
  <c r="I2550" i="13" s="1"/>
  <c r="J2550" i="13" s="1"/>
  <c r="G2551" i="13"/>
  <c r="H2551" i="13" s="1"/>
  <c r="I2551" i="13" s="1"/>
  <c r="J2551" i="13" s="1"/>
  <c r="G2552" i="13"/>
  <c r="H2552" i="13" s="1"/>
  <c r="I2552" i="13" s="1"/>
  <c r="J2552" i="13" s="1"/>
  <c r="G2553" i="13"/>
  <c r="H2553" i="13" s="1"/>
  <c r="I2553" i="13" s="1"/>
  <c r="J2553" i="13" s="1"/>
  <c r="G2554" i="13"/>
  <c r="H2554" i="13" s="1"/>
  <c r="I2554" i="13" s="1"/>
  <c r="J2554" i="13" s="1"/>
  <c r="G2555" i="13"/>
  <c r="H2555" i="13" s="1"/>
  <c r="I2555" i="13" s="1"/>
  <c r="J2555" i="13" s="1"/>
  <c r="G2556" i="13"/>
  <c r="H2556" i="13" s="1"/>
  <c r="I2556" i="13" s="1"/>
  <c r="J2556" i="13" s="1"/>
  <c r="G2557" i="13"/>
  <c r="H2557" i="13" s="1"/>
  <c r="I2557" i="13" s="1"/>
  <c r="J2557" i="13" s="1"/>
  <c r="G2558" i="13"/>
  <c r="H2558" i="13" s="1"/>
  <c r="I2558" i="13" s="1"/>
  <c r="J2558" i="13" s="1"/>
  <c r="G2559" i="13"/>
  <c r="H2559" i="13" s="1"/>
  <c r="I2559" i="13" s="1"/>
  <c r="J2559" i="13" s="1"/>
  <c r="G2560" i="13"/>
  <c r="H2560" i="13" s="1"/>
  <c r="I2560" i="13" s="1"/>
  <c r="J2560" i="13" s="1"/>
  <c r="G2561" i="13"/>
  <c r="H2561" i="13" s="1"/>
  <c r="I2561" i="13" s="1"/>
  <c r="J2561" i="13" s="1"/>
  <c r="G2562" i="13"/>
  <c r="H2562" i="13" s="1"/>
  <c r="I2562" i="13" s="1"/>
  <c r="J2562" i="13" s="1"/>
  <c r="G2563" i="13"/>
  <c r="H2563" i="13" s="1"/>
  <c r="I2563" i="13" s="1"/>
  <c r="J2563" i="13" s="1"/>
  <c r="G2564" i="13"/>
  <c r="H2564" i="13" s="1"/>
  <c r="I2564" i="13" s="1"/>
  <c r="J2564" i="13" s="1"/>
  <c r="G2565" i="13"/>
  <c r="H2565" i="13" s="1"/>
  <c r="I2565" i="13" s="1"/>
  <c r="J2565" i="13" s="1"/>
  <c r="G2566" i="13"/>
  <c r="H2566" i="13" s="1"/>
  <c r="I2566" i="13" s="1"/>
  <c r="J2566" i="13" s="1"/>
  <c r="G2567" i="13"/>
  <c r="H2567" i="13" s="1"/>
  <c r="I2567" i="13" s="1"/>
  <c r="J2567" i="13" s="1"/>
  <c r="G2568" i="13"/>
  <c r="H2568" i="13" s="1"/>
  <c r="I2568" i="13" s="1"/>
  <c r="J2568" i="13" s="1"/>
  <c r="G2569" i="13"/>
  <c r="H2569" i="13" s="1"/>
  <c r="I2569" i="13" s="1"/>
  <c r="J2569" i="13" s="1"/>
  <c r="G2570" i="13"/>
  <c r="H2570" i="13" s="1"/>
  <c r="I2570" i="13" s="1"/>
  <c r="J2570" i="13" s="1"/>
  <c r="G2571" i="13"/>
  <c r="H2571" i="13" s="1"/>
  <c r="I2571" i="13" s="1"/>
  <c r="J2571" i="13" s="1"/>
  <c r="G2572" i="13"/>
  <c r="H2572" i="13" s="1"/>
  <c r="I2572" i="13" s="1"/>
  <c r="J2572" i="13" s="1"/>
  <c r="G2573" i="13"/>
  <c r="H2573" i="13" s="1"/>
  <c r="I2573" i="13" s="1"/>
  <c r="J2573" i="13" s="1"/>
  <c r="G2574" i="13"/>
  <c r="H2574" i="13" s="1"/>
  <c r="I2574" i="13" s="1"/>
  <c r="J2574" i="13" s="1"/>
  <c r="G2575" i="13"/>
  <c r="H2575" i="13" s="1"/>
  <c r="I2575" i="13" s="1"/>
  <c r="J2575" i="13" s="1"/>
  <c r="G2576" i="13"/>
  <c r="H2576" i="13" s="1"/>
  <c r="I2576" i="13" s="1"/>
  <c r="J2576" i="13" s="1"/>
  <c r="G2577" i="13"/>
  <c r="H2577" i="13" s="1"/>
  <c r="I2577" i="13" s="1"/>
  <c r="J2577" i="13" s="1"/>
  <c r="G2578" i="13"/>
  <c r="H2578" i="13" s="1"/>
  <c r="I2578" i="13" s="1"/>
  <c r="J2578" i="13" s="1"/>
  <c r="G2579" i="13"/>
  <c r="H2579" i="13" s="1"/>
  <c r="I2579" i="13" s="1"/>
  <c r="J2579" i="13" s="1"/>
  <c r="G2580" i="13"/>
  <c r="H2580" i="13" s="1"/>
  <c r="I2580" i="13" s="1"/>
  <c r="J2580" i="13" s="1"/>
  <c r="G2581" i="13"/>
  <c r="H2581" i="13" s="1"/>
  <c r="I2581" i="13" s="1"/>
  <c r="J2581" i="13" s="1"/>
  <c r="G2582" i="13"/>
  <c r="H2582" i="13" s="1"/>
  <c r="I2582" i="13" s="1"/>
  <c r="J2582" i="13" s="1"/>
  <c r="G2583" i="13"/>
  <c r="H2583" i="13" s="1"/>
  <c r="I2583" i="13" s="1"/>
  <c r="J2583" i="13" s="1"/>
  <c r="G2584" i="13"/>
  <c r="H2584" i="13" s="1"/>
  <c r="I2584" i="13" s="1"/>
  <c r="J2584" i="13" s="1"/>
  <c r="G2585" i="13"/>
  <c r="H2585" i="13" s="1"/>
  <c r="I2585" i="13" s="1"/>
  <c r="J2585" i="13" s="1"/>
  <c r="G2586" i="13"/>
  <c r="H2586" i="13" s="1"/>
  <c r="I2586" i="13" s="1"/>
  <c r="J2586" i="13" s="1"/>
  <c r="G2587" i="13"/>
  <c r="H2587" i="13" s="1"/>
  <c r="I2587" i="13" s="1"/>
  <c r="J2587" i="13" s="1"/>
  <c r="G2588" i="13"/>
  <c r="H2588" i="13" s="1"/>
  <c r="I2588" i="13" s="1"/>
  <c r="J2588" i="13" s="1"/>
  <c r="G2589" i="13"/>
  <c r="H2589" i="13" s="1"/>
  <c r="I2589" i="13" s="1"/>
  <c r="J2589" i="13" s="1"/>
  <c r="G2590" i="13"/>
  <c r="H2590" i="13" s="1"/>
  <c r="I2590" i="13" s="1"/>
  <c r="J2590" i="13" s="1"/>
  <c r="G2591" i="13"/>
  <c r="H2591" i="13" s="1"/>
  <c r="I2591" i="13" s="1"/>
  <c r="J2591" i="13" s="1"/>
  <c r="G2592" i="13"/>
  <c r="H2592" i="13" s="1"/>
  <c r="I2592" i="13" s="1"/>
  <c r="J2592" i="13" s="1"/>
  <c r="G2593" i="13"/>
  <c r="H2593" i="13" s="1"/>
  <c r="I2593" i="13" s="1"/>
  <c r="J2593" i="13" s="1"/>
  <c r="G2594" i="13"/>
  <c r="H2594" i="13" s="1"/>
  <c r="I2594" i="13" s="1"/>
  <c r="J2594" i="13" s="1"/>
  <c r="G2595" i="13"/>
  <c r="H2595" i="13" s="1"/>
  <c r="I2595" i="13" s="1"/>
  <c r="J2595" i="13" s="1"/>
  <c r="G2596" i="13"/>
  <c r="H2596" i="13" s="1"/>
  <c r="I2596" i="13" s="1"/>
  <c r="J2596" i="13" s="1"/>
  <c r="G2597" i="13"/>
  <c r="H2597" i="13" s="1"/>
  <c r="I2597" i="13" s="1"/>
  <c r="J2597" i="13" s="1"/>
  <c r="G2598" i="13"/>
  <c r="H2598" i="13" s="1"/>
  <c r="I2598" i="13" s="1"/>
  <c r="J2598" i="13" s="1"/>
  <c r="G2599" i="13"/>
  <c r="H2599" i="13" s="1"/>
  <c r="I2599" i="13" s="1"/>
  <c r="J2599" i="13" s="1"/>
  <c r="G2600" i="13"/>
  <c r="H2600" i="13" s="1"/>
  <c r="I2600" i="13" s="1"/>
  <c r="J2600" i="13" s="1"/>
  <c r="G2601" i="13"/>
  <c r="H2601" i="13" s="1"/>
  <c r="I2601" i="13" s="1"/>
  <c r="J2601" i="13" s="1"/>
  <c r="G2602" i="13"/>
  <c r="H2602" i="13" s="1"/>
  <c r="I2602" i="13" s="1"/>
  <c r="J2602" i="13" s="1"/>
  <c r="G2603" i="13"/>
  <c r="H2603" i="13" s="1"/>
  <c r="I2603" i="13" s="1"/>
  <c r="J2603" i="13" s="1"/>
  <c r="G2604" i="13"/>
  <c r="H2604" i="13" s="1"/>
  <c r="I2604" i="13" s="1"/>
  <c r="J2604" i="13" s="1"/>
  <c r="G2605" i="13"/>
  <c r="H2605" i="13" s="1"/>
  <c r="I2605" i="13" s="1"/>
  <c r="J2605" i="13" s="1"/>
  <c r="G2606" i="13"/>
  <c r="H2606" i="13" s="1"/>
  <c r="I2606" i="13" s="1"/>
  <c r="J2606" i="13" s="1"/>
  <c r="G2607" i="13"/>
  <c r="H2607" i="13" s="1"/>
  <c r="I2607" i="13" s="1"/>
  <c r="J2607" i="13" s="1"/>
  <c r="G2608" i="13"/>
  <c r="H2608" i="13" s="1"/>
  <c r="I2608" i="13" s="1"/>
  <c r="J2608" i="13" s="1"/>
  <c r="G2609" i="13"/>
  <c r="H2609" i="13" s="1"/>
  <c r="I2609" i="13" s="1"/>
  <c r="J2609" i="13" s="1"/>
  <c r="G2610" i="13"/>
  <c r="H2610" i="13" s="1"/>
  <c r="I2610" i="13" s="1"/>
  <c r="J2610" i="13" s="1"/>
  <c r="G2611" i="13"/>
  <c r="H2611" i="13" s="1"/>
  <c r="I2611" i="13" s="1"/>
  <c r="J2611" i="13" s="1"/>
  <c r="G2612" i="13"/>
  <c r="H2612" i="13" s="1"/>
  <c r="I2612" i="13" s="1"/>
  <c r="J2612" i="13" s="1"/>
  <c r="G2613" i="13"/>
  <c r="H2613" i="13" s="1"/>
  <c r="I2613" i="13" s="1"/>
  <c r="J2613" i="13" s="1"/>
  <c r="G2614" i="13"/>
  <c r="H2614" i="13" s="1"/>
  <c r="I2614" i="13" s="1"/>
  <c r="J2614" i="13" s="1"/>
  <c r="G2615" i="13"/>
  <c r="H2615" i="13" s="1"/>
  <c r="I2615" i="13" s="1"/>
  <c r="J2615" i="13" s="1"/>
  <c r="G2616" i="13"/>
  <c r="H2616" i="13" s="1"/>
  <c r="I2616" i="13" s="1"/>
  <c r="J2616" i="13" s="1"/>
  <c r="G2617" i="13"/>
  <c r="H2617" i="13" s="1"/>
  <c r="I2617" i="13" s="1"/>
  <c r="J2617" i="13" s="1"/>
  <c r="G2618" i="13"/>
  <c r="H2618" i="13" s="1"/>
  <c r="I2618" i="13" s="1"/>
  <c r="J2618" i="13" s="1"/>
  <c r="G2619" i="13"/>
  <c r="H2619" i="13" s="1"/>
  <c r="I2619" i="13" s="1"/>
  <c r="J2619" i="13" s="1"/>
  <c r="G2620" i="13"/>
  <c r="H2620" i="13" s="1"/>
  <c r="I2620" i="13" s="1"/>
  <c r="J2620" i="13" s="1"/>
  <c r="G2621" i="13"/>
  <c r="H2621" i="13" s="1"/>
  <c r="I2621" i="13" s="1"/>
  <c r="J2621" i="13" s="1"/>
  <c r="G2622" i="13"/>
  <c r="H2622" i="13" s="1"/>
  <c r="I2622" i="13" s="1"/>
  <c r="J2622" i="13" s="1"/>
  <c r="G2623" i="13"/>
  <c r="H2623" i="13" s="1"/>
  <c r="I2623" i="13" s="1"/>
  <c r="J2623" i="13" s="1"/>
  <c r="G2624" i="13"/>
  <c r="H2624" i="13" s="1"/>
  <c r="I2624" i="13" s="1"/>
  <c r="J2624" i="13" s="1"/>
  <c r="G2625" i="13"/>
  <c r="H2625" i="13" s="1"/>
  <c r="I2625" i="13" s="1"/>
  <c r="J2625" i="13" s="1"/>
  <c r="G2626" i="13"/>
  <c r="H2626" i="13" s="1"/>
  <c r="I2626" i="13" s="1"/>
  <c r="J2626" i="13" s="1"/>
  <c r="G2627" i="13"/>
  <c r="H2627" i="13" s="1"/>
  <c r="I2627" i="13" s="1"/>
  <c r="J2627" i="13" s="1"/>
  <c r="G2628" i="13"/>
  <c r="H2628" i="13" s="1"/>
  <c r="I2628" i="13" s="1"/>
  <c r="J2628" i="13" s="1"/>
  <c r="G2629" i="13"/>
  <c r="H2629" i="13" s="1"/>
  <c r="I2629" i="13" s="1"/>
  <c r="J2629" i="13" s="1"/>
  <c r="G2630" i="13"/>
  <c r="H2630" i="13" s="1"/>
  <c r="I2630" i="13" s="1"/>
  <c r="J2630" i="13" s="1"/>
  <c r="G2631" i="13"/>
  <c r="H2631" i="13" s="1"/>
  <c r="I2631" i="13" s="1"/>
  <c r="J2631" i="13" s="1"/>
  <c r="G2632" i="13"/>
  <c r="H2632" i="13" s="1"/>
  <c r="I2632" i="13" s="1"/>
  <c r="J2632" i="13" s="1"/>
  <c r="G2633" i="13"/>
  <c r="H2633" i="13" s="1"/>
  <c r="I2633" i="13" s="1"/>
  <c r="J2633" i="13" s="1"/>
  <c r="G2634" i="13"/>
  <c r="H2634" i="13" s="1"/>
  <c r="I2634" i="13" s="1"/>
  <c r="J2634" i="13" s="1"/>
  <c r="G2635" i="13"/>
  <c r="H2635" i="13" s="1"/>
  <c r="I2635" i="13" s="1"/>
  <c r="J2635" i="13" s="1"/>
  <c r="G2636" i="13"/>
  <c r="H2636" i="13" s="1"/>
  <c r="I2636" i="13" s="1"/>
  <c r="J2636" i="13" s="1"/>
  <c r="G2637" i="13"/>
  <c r="H2637" i="13" s="1"/>
  <c r="I2637" i="13" s="1"/>
  <c r="J2637" i="13" s="1"/>
  <c r="G2638" i="13"/>
  <c r="H2638" i="13" s="1"/>
  <c r="I2638" i="13" s="1"/>
  <c r="J2638" i="13" s="1"/>
  <c r="G2639" i="13"/>
  <c r="H2639" i="13" s="1"/>
  <c r="I2639" i="13" s="1"/>
  <c r="J2639" i="13" s="1"/>
  <c r="G2640" i="13"/>
  <c r="H2640" i="13" s="1"/>
  <c r="I2640" i="13" s="1"/>
  <c r="J2640" i="13" s="1"/>
  <c r="G2641" i="13"/>
  <c r="H2641" i="13" s="1"/>
  <c r="I2641" i="13" s="1"/>
  <c r="J2641" i="13" s="1"/>
  <c r="G2642" i="13"/>
  <c r="H2642" i="13" s="1"/>
  <c r="I2642" i="13" s="1"/>
  <c r="J2642" i="13" s="1"/>
  <c r="G2643" i="13"/>
  <c r="H2643" i="13" s="1"/>
  <c r="I2643" i="13" s="1"/>
  <c r="J2643" i="13" s="1"/>
  <c r="G2644" i="13"/>
  <c r="H2644" i="13" s="1"/>
  <c r="I2644" i="13" s="1"/>
  <c r="J2644" i="13" s="1"/>
  <c r="G2645" i="13"/>
  <c r="H2645" i="13" s="1"/>
  <c r="I2645" i="13" s="1"/>
  <c r="J2645" i="13" s="1"/>
  <c r="G2646" i="13"/>
  <c r="H2646" i="13" s="1"/>
  <c r="I2646" i="13" s="1"/>
  <c r="J2646" i="13" s="1"/>
  <c r="G2647" i="13"/>
  <c r="H2647" i="13" s="1"/>
  <c r="I2647" i="13" s="1"/>
  <c r="J2647" i="13" s="1"/>
  <c r="G2648" i="13"/>
  <c r="H2648" i="13" s="1"/>
  <c r="I2648" i="13" s="1"/>
  <c r="J2648" i="13" s="1"/>
  <c r="G2649" i="13"/>
  <c r="H2649" i="13" s="1"/>
  <c r="I2649" i="13" s="1"/>
  <c r="J2649" i="13" s="1"/>
  <c r="G2650" i="13"/>
  <c r="H2650" i="13" s="1"/>
  <c r="I2650" i="13" s="1"/>
  <c r="J2650" i="13" s="1"/>
  <c r="G2651" i="13"/>
  <c r="H2651" i="13" s="1"/>
  <c r="I2651" i="13" s="1"/>
  <c r="J2651" i="13" s="1"/>
  <c r="G2652" i="13"/>
  <c r="H2652" i="13" s="1"/>
  <c r="I2652" i="13" s="1"/>
  <c r="J2652" i="13" s="1"/>
  <c r="G2653" i="13"/>
  <c r="H2653" i="13" s="1"/>
  <c r="I2653" i="13" s="1"/>
  <c r="J2653" i="13" s="1"/>
  <c r="G2654" i="13"/>
  <c r="H2654" i="13" s="1"/>
  <c r="I2654" i="13" s="1"/>
  <c r="J2654" i="13" s="1"/>
  <c r="G2655" i="13"/>
  <c r="H2655" i="13" s="1"/>
  <c r="I2655" i="13" s="1"/>
  <c r="J2655" i="13" s="1"/>
  <c r="G2656" i="13"/>
  <c r="H2656" i="13" s="1"/>
  <c r="I2656" i="13" s="1"/>
  <c r="J2656" i="13" s="1"/>
  <c r="G2657" i="13"/>
  <c r="H2657" i="13" s="1"/>
  <c r="I2657" i="13" s="1"/>
  <c r="J2657" i="13" s="1"/>
  <c r="G2658" i="13"/>
  <c r="H2658" i="13" s="1"/>
  <c r="I2658" i="13" s="1"/>
  <c r="J2658" i="13" s="1"/>
  <c r="G2659" i="13"/>
  <c r="H2659" i="13" s="1"/>
  <c r="I2659" i="13" s="1"/>
  <c r="J2659" i="13" s="1"/>
  <c r="G2660" i="13"/>
  <c r="H2660" i="13" s="1"/>
  <c r="I2660" i="13" s="1"/>
  <c r="J2660" i="13" s="1"/>
  <c r="G2661" i="13"/>
  <c r="H2661" i="13" s="1"/>
  <c r="I2661" i="13" s="1"/>
  <c r="J2661" i="13" s="1"/>
  <c r="G2662" i="13"/>
  <c r="H2662" i="13" s="1"/>
  <c r="I2662" i="13" s="1"/>
  <c r="J2662" i="13" s="1"/>
  <c r="G2663" i="13"/>
  <c r="H2663" i="13" s="1"/>
  <c r="I2663" i="13" s="1"/>
  <c r="J2663" i="13" s="1"/>
  <c r="G2664" i="13"/>
  <c r="H2664" i="13" s="1"/>
  <c r="I2664" i="13" s="1"/>
  <c r="J2664" i="13" s="1"/>
  <c r="G2665" i="13"/>
  <c r="H2665" i="13" s="1"/>
  <c r="I2665" i="13" s="1"/>
  <c r="J2665" i="13" s="1"/>
  <c r="G2666" i="13"/>
  <c r="H2666" i="13" s="1"/>
  <c r="I2666" i="13" s="1"/>
  <c r="J2666" i="13" s="1"/>
  <c r="G2667" i="13"/>
  <c r="H2667" i="13" s="1"/>
  <c r="I2667" i="13" s="1"/>
  <c r="J2667" i="13" s="1"/>
  <c r="G2668" i="13"/>
  <c r="H2668" i="13" s="1"/>
  <c r="I2668" i="13" s="1"/>
  <c r="J2668" i="13" s="1"/>
  <c r="G2669" i="13"/>
  <c r="H2669" i="13" s="1"/>
  <c r="I2669" i="13" s="1"/>
  <c r="J2669" i="13" s="1"/>
  <c r="G2670" i="13"/>
  <c r="H2670" i="13" s="1"/>
  <c r="I2670" i="13" s="1"/>
  <c r="J2670" i="13" s="1"/>
  <c r="G2671" i="13"/>
  <c r="H2671" i="13" s="1"/>
  <c r="I2671" i="13" s="1"/>
  <c r="J2671" i="13" s="1"/>
  <c r="G2672" i="13"/>
  <c r="H2672" i="13" s="1"/>
  <c r="I2672" i="13" s="1"/>
  <c r="J2672" i="13" s="1"/>
  <c r="G2673" i="13"/>
  <c r="H2673" i="13" s="1"/>
  <c r="I2673" i="13" s="1"/>
  <c r="J2673" i="13" s="1"/>
  <c r="G2674" i="13"/>
  <c r="H2674" i="13" s="1"/>
  <c r="I2674" i="13" s="1"/>
  <c r="J2674" i="13" s="1"/>
  <c r="G2675" i="13"/>
  <c r="H2675" i="13" s="1"/>
  <c r="I2675" i="13" s="1"/>
  <c r="J2675" i="13" s="1"/>
  <c r="G2676" i="13"/>
  <c r="H2676" i="13" s="1"/>
  <c r="I2676" i="13" s="1"/>
  <c r="J2676" i="13" s="1"/>
  <c r="G2677" i="13"/>
  <c r="H2677" i="13" s="1"/>
  <c r="I2677" i="13" s="1"/>
  <c r="J2677" i="13" s="1"/>
  <c r="G2678" i="13"/>
  <c r="H2678" i="13" s="1"/>
  <c r="I2678" i="13" s="1"/>
  <c r="J2678" i="13" s="1"/>
  <c r="G2679" i="13"/>
  <c r="H2679" i="13" s="1"/>
  <c r="I2679" i="13" s="1"/>
  <c r="J2679" i="13" s="1"/>
  <c r="G2680" i="13"/>
  <c r="H2680" i="13" s="1"/>
  <c r="I2680" i="13" s="1"/>
  <c r="J2680" i="13" s="1"/>
  <c r="G2681" i="13"/>
  <c r="H2681" i="13" s="1"/>
  <c r="I2681" i="13" s="1"/>
  <c r="J2681" i="13" s="1"/>
  <c r="G2682" i="13"/>
  <c r="H2682" i="13" s="1"/>
  <c r="I2682" i="13" s="1"/>
  <c r="J2682" i="13" s="1"/>
  <c r="G2683" i="13"/>
  <c r="H2683" i="13" s="1"/>
  <c r="I2683" i="13" s="1"/>
  <c r="J2683" i="13" s="1"/>
  <c r="G2684" i="13"/>
  <c r="H2684" i="13" s="1"/>
  <c r="I2684" i="13" s="1"/>
  <c r="J2684" i="13" s="1"/>
  <c r="G2685" i="13"/>
  <c r="H2685" i="13" s="1"/>
  <c r="I2685" i="13" s="1"/>
  <c r="J2685" i="13" s="1"/>
  <c r="G2686" i="13"/>
  <c r="H2686" i="13" s="1"/>
  <c r="I2686" i="13" s="1"/>
  <c r="J2686" i="13" s="1"/>
  <c r="G2687" i="13"/>
  <c r="H2687" i="13" s="1"/>
  <c r="I2687" i="13" s="1"/>
  <c r="J2687" i="13" s="1"/>
  <c r="G2688" i="13"/>
  <c r="H2688" i="13" s="1"/>
  <c r="I2688" i="13" s="1"/>
  <c r="J2688" i="13" s="1"/>
  <c r="G2689" i="13"/>
  <c r="H2689" i="13" s="1"/>
  <c r="I2689" i="13" s="1"/>
  <c r="J2689" i="13" s="1"/>
  <c r="G2690" i="13"/>
  <c r="H2690" i="13" s="1"/>
  <c r="I2690" i="13" s="1"/>
  <c r="J2690" i="13" s="1"/>
  <c r="G2691" i="13"/>
  <c r="H2691" i="13" s="1"/>
  <c r="I2691" i="13" s="1"/>
  <c r="J2691" i="13" s="1"/>
  <c r="G2692" i="13"/>
  <c r="H2692" i="13" s="1"/>
  <c r="I2692" i="13" s="1"/>
  <c r="J2692" i="13" s="1"/>
  <c r="G2693" i="13"/>
  <c r="H2693" i="13" s="1"/>
  <c r="I2693" i="13" s="1"/>
  <c r="J2693" i="13" s="1"/>
  <c r="G2694" i="13"/>
  <c r="H2694" i="13" s="1"/>
  <c r="I2694" i="13" s="1"/>
  <c r="J2694" i="13" s="1"/>
  <c r="G2695" i="13"/>
  <c r="H2695" i="13" s="1"/>
  <c r="I2695" i="13" s="1"/>
  <c r="J2695" i="13" s="1"/>
  <c r="G2696" i="13"/>
  <c r="H2696" i="13" s="1"/>
  <c r="I2696" i="13" s="1"/>
  <c r="J2696" i="13" s="1"/>
  <c r="G2697" i="13"/>
  <c r="H2697" i="13" s="1"/>
  <c r="I2697" i="13" s="1"/>
  <c r="J2697" i="13" s="1"/>
  <c r="G2698" i="13"/>
  <c r="H2698" i="13" s="1"/>
  <c r="I2698" i="13" s="1"/>
  <c r="J2698" i="13" s="1"/>
  <c r="G2699" i="13"/>
  <c r="H2699" i="13" s="1"/>
  <c r="I2699" i="13" s="1"/>
  <c r="J2699" i="13" s="1"/>
  <c r="G2700" i="13"/>
  <c r="H2700" i="13" s="1"/>
  <c r="I2700" i="13" s="1"/>
  <c r="J2700" i="13" s="1"/>
  <c r="G2701" i="13"/>
  <c r="H2701" i="13" s="1"/>
  <c r="I2701" i="13" s="1"/>
  <c r="J2701" i="13" s="1"/>
  <c r="G2702" i="13"/>
  <c r="H2702" i="13" s="1"/>
  <c r="I2702" i="13" s="1"/>
  <c r="J2702" i="13" s="1"/>
  <c r="G2703" i="13"/>
  <c r="H2703" i="13" s="1"/>
  <c r="I2703" i="13" s="1"/>
  <c r="J2703" i="13" s="1"/>
  <c r="G2704" i="13"/>
  <c r="H2704" i="13" s="1"/>
  <c r="I2704" i="13" s="1"/>
  <c r="J2704" i="13" s="1"/>
  <c r="G2705" i="13"/>
  <c r="H2705" i="13" s="1"/>
  <c r="I2705" i="13" s="1"/>
  <c r="J2705" i="13" s="1"/>
  <c r="G2706" i="13"/>
  <c r="H2706" i="13" s="1"/>
  <c r="I2706" i="13" s="1"/>
  <c r="J2706" i="13" s="1"/>
  <c r="G2707" i="13"/>
  <c r="H2707" i="13" s="1"/>
  <c r="I2707" i="13" s="1"/>
  <c r="J2707" i="13" s="1"/>
  <c r="G2708" i="13"/>
  <c r="H2708" i="13" s="1"/>
  <c r="I2708" i="13" s="1"/>
  <c r="J2708" i="13" s="1"/>
  <c r="G2709" i="13"/>
  <c r="H2709" i="13" s="1"/>
  <c r="I2709" i="13" s="1"/>
  <c r="J2709" i="13" s="1"/>
  <c r="G2710" i="13"/>
  <c r="H2710" i="13" s="1"/>
  <c r="I2710" i="13" s="1"/>
  <c r="J2710" i="13" s="1"/>
  <c r="G2711" i="13"/>
  <c r="H2711" i="13" s="1"/>
  <c r="I2711" i="13" s="1"/>
  <c r="J2711" i="13" s="1"/>
  <c r="G2712" i="13"/>
  <c r="H2712" i="13" s="1"/>
  <c r="I2712" i="13" s="1"/>
  <c r="J2712" i="13" s="1"/>
  <c r="G2713" i="13"/>
  <c r="H2713" i="13" s="1"/>
  <c r="I2713" i="13" s="1"/>
  <c r="J2713" i="13" s="1"/>
  <c r="G2714" i="13"/>
  <c r="H2714" i="13" s="1"/>
  <c r="I2714" i="13" s="1"/>
  <c r="J2714" i="13" s="1"/>
  <c r="G2715" i="13"/>
  <c r="H2715" i="13" s="1"/>
  <c r="I2715" i="13" s="1"/>
  <c r="J2715" i="13" s="1"/>
  <c r="G2716" i="13"/>
  <c r="H2716" i="13" s="1"/>
  <c r="I2716" i="13" s="1"/>
  <c r="J2716" i="13" s="1"/>
  <c r="G2717" i="13"/>
  <c r="H2717" i="13" s="1"/>
  <c r="I2717" i="13" s="1"/>
  <c r="J2717" i="13" s="1"/>
  <c r="G2718" i="13"/>
  <c r="H2718" i="13" s="1"/>
  <c r="I2718" i="13" s="1"/>
  <c r="J2718" i="13" s="1"/>
  <c r="G2719" i="13"/>
  <c r="H2719" i="13" s="1"/>
  <c r="I2719" i="13" s="1"/>
  <c r="J2719" i="13" s="1"/>
  <c r="G2720" i="13"/>
  <c r="H2720" i="13" s="1"/>
  <c r="I2720" i="13" s="1"/>
  <c r="J2720" i="13" s="1"/>
  <c r="G2721" i="13"/>
  <c r="H2721" i="13" s="1"/>
  <c r="I2721" i="13" s="1"/>
  <c r="J2721" i="13" s="1"/>
  <c r="G2722" i="13"/>
  <c r="H2722" i="13" s="1"/>
  <c r="I2722" i="13" s="1"/>
  <c r="J2722" i="13" s="1"/>
  <c r="G2723" i="13"/>
  <c r="H2723" i="13" s="1"/>
  <c r="I2723" i="13" s="1"/>
  <c r="J2723" i="13" s="1"/>
  <c r="G2724" i="13"/>
  <c r="H2724" i="13" s="1"/>
  <c r="I2724" i="13" s="1"/>
  <c r="J2724" i="13" s="1"/>
  <c r="G2725" i="13"/>
  <c r="H2725" i="13" s="1"/>
  <c r="I2725" i="13" s="1"/>
  <c r="J2725" i="13" s="1"/>
  <c r="G2726" i="13"/>
  <c r="H2726" i="13" s="1"/>
  <c r="I2726" i="13" s="1"/>
  <c r="J2726" i="13" s="1"/>
  <c r="G2727" i="13"/>
  <c r="H2727" i="13" s="1"/>
  <c r="I2727" i="13" s="1"/>
  <c r="J2727" i="13" s="1"/>
  <c r="G2728" i="13"/>
  <c r="H2728" i="13" s="1"/>
  <c r="I2728" i="13" s="1"/>
  <c r="J2728" i="13" s="1"/>
  <c r="G2729" i="13"/>
  <c r="H2729" i="13" s="1"/>
  <c r="I2729" i="13" s="1"/>
  <c r="J2729" i="13" s="1"/>
  <c r="G2730" i="13"/>
  <c r="H2730" i="13" s="1"/>
  <c r="I2730" i="13" s="1"/>
  <c r="J2730" i="13" s="1"/>
  <c r="G2731" i="13"/>
  <c r="H2731" i="13" s="1"/>
  <c r="I2731" i="13" s="1"/>
  <c r="J2731" i="13" s="1"/>
  <c r="G2732" i="13"/>
  <c r="H2732" i="13" s="1"/>
  <c r="I2732" i="13" s="1"/>
  <c r="J2732" i="13" s="1"/>
  <c r="G2733" i="13"/>
  <c r="H2733" i="13" s="1"/>
  <c r="I2733" i="13" s="1"/>
  <c r="J2733" i="13" s="1"/>
  <c r="G2734" i="13"/>
  <c r="H2734" i="13" s="1"/>
  <c r="I2734" i="13" s="1"/>
  <c r="J2734" i="13" s="1"/>
  <c r="G2735" i="13"/>
  <c r="H2735" i="13" s="1"/>
  <c r="I2735" i="13" s="1"/>
  <c r="J2735" i="13" s="1"/>
  <c r="G2736" i="13"/>
  <c r="H2736" i="13" s="1"/>
  <c r="I2736" i="13" s="1"/>
  <c r="J2736" i="13" s="1"/>
  <c r="G2737" i="13"/>
  <c r="H2737" i="13" s="1"/>
  <c r="I2737" i="13" s="1"/>
  <c r="J2737" i="13" s="1"/>
  <c r="G2738" i="13"/>
  <c r="H2738" i="13" s="1"/>
  <c r="I2738" i="13" s="1"/>
  <c r="J2738" i="13" s="1"/>
  <c r="G2739" i="13"/>
  <c r="H2739" i="13" s="1"/>
  <c r="I2739" i="13" s="1"/>
  <c r="J2739" i="13" s="1"/>
  <c r="G2740" i="13"/>
  <c r="H2740" i="13" s="1"/>
  <c r="I2740" i="13" s="1"/>
  <c r="J2740" i="13" s="1"/>
  <c r="G2741" i="13"/>
  <c r="H2741" i="13" s="1"/>
  <c r="I2741" i="13" s="1"/>
  <c r="J2741" i="13" s="1"/>
  <c r="G2742" i="13"/>
  <c r="H2742" i="13" s="1"/>
  <c r="I2742" i="13" s="1"/>
  <c r="J2742" i="13" s="1"/>
  <c r="G2743" i="13"/>
  <c r="H2743" i="13" s="1"/>
  <c r="I2743" i="13" s="1"/>
  <c r="J2743" i="13" s="1"/>
  <c r="G2744" i="13"/>
  <c r="H2744" i="13" s="1"/>
  <c r="I2744" i="13" s="1"/>
  <c r="J2744" i="13" s="1"/>
  <c r="G2745" i="13"/>
  <c r="H2745" i="13" s="1"/>
  <c r="I2745" i="13" s="1"/>
  <c r="J2745" i="13" s="1"/>
  <c r="G2746" i="13"/>
  <c r="H2746" i="13" s="1"/>
  <c r="I2746" i="13" s="1"/>
  <c r="J2746" i="13" s="1"/>
  <c r="G2747" i="13"/>
  <c r="H2747" i="13" s="1"/>
  <c r="I2747" i="13" s="1"/>
  <c r="J2747" i="13" s="1"/>
  <c r="G2748" i="13"/>
  <c r="H2748" i="13" s="1"/>
  <c r="I2748" i="13" s="1"/>
  <c r="J2748" i="13" s="1"/>
  <c r="G2749" i="13"/>
  <c r="H2749" i="13" s="1"/>
  <c r="I2749" i="13" s="1"/>
  <c r="J2749" i="13" s="1"/>
  <c r="G2750" i="13"/>
  <c r="H2750" i="13" s="1"/>
  <c r="I2750" i="13" s="1"/>
  <c r="J2750" i="13" s="1"/>
  <c r="G2751" i="13"/>
  <c r="H2751" i="13" s="1"/>
  <c r="I2751" i="13" s="1"/>
  <c r="J2751" i="13" s="1"/>
  <c r="G2752" i="13"/>
  <c r="H2752" i="13" s="1"/>
  <c r="I2752" i="13" s="1"/>
  <c r="J2752" i="13" s="1"/>
  <c r="G2753" i="13"/>
  <c r="H2753" i="13" s="1"/>
  <c r="I2753" i="13" s="1"/>
  <c r="J2753" i="13" s="1"/>
  <c r="G2754" i="13"/>
  <c r="H2754" i="13" s="1"/>
  <c r="I2754" i="13" s="1"/>
  <c r="J2754" i="13" s="1"/>
  <c r="G2755" i="13"/>
  <c r="H2755" i="13" s="1"/>
  <c r="I2755" i="13" s="1"/>
  <c r="J2755" i="13" s="1"/>
  <c r="G2756" i="13"/>
  <c r="H2756" i="13" s="1"/>
  <c r="I2756" i="13" s="1"/>
  <c r="J2756" i="13" s="1"/>
  <c r="G2757" i="13"/>
  <c r="H2757" i="13" s="1"/>
  <c r="I2757" i="13" s="1"/>
  <c r="J2757" i="13" s="1"/>
  <c r="G2758" i="13"/>
  <c r="H2758" i="13" s="1"/>
  <c r="I2758" i="13" s="1"/>
  <c r="J2758" i="13" s="1"/>
  <c r="G2759" i="13"/>
  <c r="H2759" i="13" s="1"/>
  <c r="I2759" i="13" s="1"/>
  <c r="J2759" i="13" s="1"/>
  <c r="G2760" i="13"/>
  <c r="H2760" i="13" s="1"/>
  <c r="I2760" i="13" s="1"/>
  <c r="J2760" i="13" s="1"/>
  <c r="G2761" i="13"/>
  <c r="H2761" i="13" s="1"/>
  <c r="I2761" i="13" s="1"/>
  <c r="J2761" i="13" s="1"/>
  <c r="G2762" i="13"/>
  <c r="H2762" i="13" s="1"/>
  <c r="I2762" i="13" s="1"/>
  <c r="J2762" i="13" s="1"/>
  <c r="G2763" i="13"/>
  <c r="H2763" i="13" s="1"/>
  <c r="I2763" i="13" s="1"/>
  <c r="J2763" i="13" s="1"/>
  <c r="G2764" i="13"/>
  <c r="H2764" i="13" s="1"/>
  <c r="I2764" i="13" s="1"/>
  <c r="J2764" i="13" s="1"/>
  <c r="G2765" i="13"/>
  <c r="H2765" i="13" s="1"/>
  <c r="I2765" i="13" s="1"/>
  <c r="J2765" i="13" s="1"/>
  <c r="G2766" i="13"/>
  <c r="H2766" i="13" s="1"/>
  <c r="I2766" i="13" s="1"/>
  <c r="J2766" i="13" s="1"/>
  <c r="G2767" i="13"/>
  <c r="H2767" i="13" s="1"/>
  <c r="I2767" i="13" s="1"/>
  <c r="J2767" i="13" s="1"/>
  <c r="G2768" i="13"/>
  <c r="H2768" i="13" s="1"/>
  <c r="I2768" i="13" s="1"/>
  <c r="J2768" i="13" s="1"/>
  <c r="G2769" i="13"/>
  <c r="H2769" i="13" s="1"/>
  <c r="I2769" i="13" s="1"/>
  <c r="J2769" i="13" s="1"/>
  <c r="G2770" i="13"/>
  <c r="H2770" i="13" s="1"/>
  <c r="I2770" i="13" s="1"/>
  <c r="J2770" i="13" s="1"/>
  <c r="G2771" i="13"/>
  <c r="H2771" i="13" s="1"/>
  <c r="I2771" i="13" s="1"/>
  <c r="J2771" i="13" s="1"/>
  <c r="G2772" i="13"/>
  <c r="H2772" i="13" s="1"/>
  <c r="I2772" i="13" s="1"/>
  <c r="J2772" i="13" s="1"/>
  <c r="G2773" i="13"/>
  <c r="H2773" i="13" s="1"/>
  <c r="I2773" i="13" s="1"/>
  <c r="J2773" i="13" s="1"/>
  <c r="G2774" i="13"/>
  <c r="H2774" i="13" s="1"/>
  <c r="I2774" i="13" s="1"/>
  <c r="J2774" i="13" s="1"/>
  <c r="G2775" i="13"/>
  <c r="H2775" i="13" s="1"/>
  <c r="I2775" i="13" s="1"/>
  <c r="J2775" i="13" s="1"/>
  <c r="G2776" i="13"/>
  <c r="H2776" i="13" s="1"/>
  <c r="I2776" i="13" s="1"/>
  <c r="J2776" i="13" s="1"/>
  <c r="G2777" i="13"/>
  <c r="H2777" i="13" s="1"/>
  <c r="I2777" i="13" s="1"/>
  <c r="J2777" i="13" s="1"/>
  <c r="G2778" i="13"/>
  <c r="H2778" i="13" s="1"/>
  <c r="I2778" i="13" s="1"/>
  <c r="J2778" i="13" s="1"/>
  <c r="G2779" i="13"/>
  <c r="H2779" i="13" s="1"/>
  <c r="I2779" i="13" s="1"/>
  <c r="J2779" i="13" s="1"/>
  <c r="G2780" i="13"/>
  <c r="H2780" i="13" s="1"/>
  <c r="I2780" i="13" s="1"/>
  <c r="J2780" i="13" s="1"/>
  <c r="G2781" i="13"/>
  <c r="H2781" i="13" s="1"/>
  <c r="I2781" i="13" s="1"/>
  <c r="J2781" i="13" s="1"/>
  <c r="G2782" i="13"/>
  <c r="H2782" i="13" s="1"/>
  <c r="I2782" i="13" s="1"/>
  <c r="J2782" i="13" s="1"/>
  <c r="G2783" i="13"/>
  <c r="H2783" i="13" s="1"/>
  <c r="I2783" i="13" s="1"/>
  <c r="J2783" i="13" s="1"/>
  <c r="G2784" i="13"/>
  <c r="H2784" i="13" s="1"/>
  <c r="I2784" i="13" s="1"/>
  <c r="J2784" i="13" s="1"/>
  <c r="G2785" i="13"/>
  <c r="H2785" i="13" s="1"/>
  <c r="I2785" i="13" s="1"/>
  <c r="J2785" i="13" s="1"/>
  <c r="G2786" i="13"/>
  <c r="H2786" i="13" s="1"/>
  <c r="I2786" i="13" s="1"/>
  <c r="J2786" i="13" s="1"/>
  <c r="G2787" i="13"/>
  <c r="H2787" i="13" s="1"/>
  <c r="I2787" i="13" s="1"/>
  <c r="J2787" i="13" s="1"/>
  <c r="G2788" i="13"/>
  <c r="H2788" i="13" s="1"/>
  <c r="I2788" i="13" s="1"/>
  <c r="J2788" i="13" s="1"/>
  <c r="G2789" i="13"/>
  <c r="H2789" i="13" s="1"/>
  <c r="I2789" i="13" s="1"/>
  <c r="J2789" i="13" s="1"/>
  <c r="G2790" i="13"/>
  <c r="H2790" i="13" s="1"/>
  <c r="I2790" i="13" s="1"/>
  <c r="J2790" i="13" s="1"/>
  <c r="G2791" i="13"/>
  <c r="H2791" i="13" s="1"/>
  <c r="I2791" i="13" s="1"/>
  <c r="J2791" i="13" s="1"/>
  <c r="G2792" i="13"/>
  <c r="H2792" i="13" s="1"/>
  <c r="I2792" i="13" s="1"/>
  <c r="J2792" i="13" s="1"/>
  <c r="G2793" i="13"/>
  <c r="H2793" i="13" s="1"/>
  <c r="I2793" i="13" s="1"/>
  <c r="J2793" i="13" s="1"/>
  <c r="G2794" i="13"/>
  <c r="H2794" i="13" s="1"/>
  <c r="I2794" i="13" s="1"/>
  <c r="J2794" i="13" s="1"/>
  <c r="G2795" i="13"/>
  <c r="H2795" i="13" s="1"/>
  <c r="I2795" i="13" s="1"/>
  <c r="J2795" i="13" s="1"/>
  <c r="G2796" i="13"/>
  <c r="H2796" i="13" s="1"/>
  <c r="I2796" i="13" s="1"/>
  <c r="J2796" i="13" s="1"/>
  <c r="G2797" i="13"/>
  <c r="H2797" i="13" s="1"/>
  <c r="I2797" i="13" s="1"/>
  <c r="J2797" i="13" s="1"/>
  <c r="G2798" i="13"/>
  <c r="H2798" i="13" s="1"/>
  <c r="I2798" i="13" s="1"/>
  <c r="J2798" i="13" s="1"/>
  <c r="G2799" i="13"/>
  <c r="H2799" i="13" s="1"/>
  <c r="I2799" i="13" s="1"/>
  <c r="J2799" i="13" s="1"/>
  <c r="G2800" i="13"/>
  <c r="H2800" i="13" s="1"/>
  <c r="I2800" i="13" s="1"/>
  <c r="J2800" i="13" s="1"/>
  <c r="G2801" i="13"/>
  <c r="H2801" i="13" s="1"/>
  <c r="I2801" i="13" s="1"/>
  <c r="J2801" i="13" s="1"/>
  <c r="G2802" i="13"/>
  <c r="H2802" i="13" s="1"/>
  <c r="I2802" i="13" s="1"/>
  <c r="J2802" i="13" s="1"/>
  <c r="G2803" i="13"/>
  <c r="H2803" i="13" s="1"/>
  <c r="I2803" i="13" s="1"/>
  <c r="J2803" i="13" s="1"/>
  <c r="G2804" i="13"/>
  <c r="H2804" i="13" s="1"/>
  <c r="I2804" i="13" s="1"/>
  <c r="J2804" i="13" s="1"/>
  <c r="G2805" i="13"/>
  <c r="H2805" i="13" s="1"/>
  <c r="I2805" i="13" s="1"/>
  <c r="J2805" i="13" s="1"/>
  <c r="G2806" i="13"/>
  <c r="H2806" i="13" s="1"/>
  <c r="I2806" i="13" s="1"/>
  <c r="J2806" i="13" s="1"/>
  <c r="G2807" i="13"/>
  <c r="H2807" i="13" s="1"/>
  <c r="I2807" i="13" s="1"/>
  <c r="J2807" i="13" s="1"/>
  <c r="G2808" i="13"/>
  <c r="H2808" i="13" s="1"/>
  <c r="I2808" i="13" s="1"/>
  <c r="J2808" i="13" s="1"/>
  <c r="G2809" i="13"/>
  <c r="H2809" i="13" s="1"/>
  <c r="I2809" i="13" s="1"/>
  <c r="J2809" i="13" s="1"/>
  <c r="G2810" i="13"/>
  <c r="H2810" i="13" s="1"/>
  <c r="I2810" i="13" s="1"/>
  <c r="J2810" i="13" s="1"/>
  <c r="G2811" i="13"/>
  <c r="H2811" i="13" s="1"/>
  <c r="I2811" i="13" s="1"/>
  <c r="J2811" i="13" s="1"/>
  <c r="G2812" i="13"/>
  <c r="H2812" i="13" s="1"/>
  <c r="I2812" i="13" s="1"/>
  <c r="J2812" i="13" s="1"/>
  <c r="G2813" i="13"/>
  <c r="H2813" i="13" s="1"/>
  <c r="I2813" i="13" s="1"/>
  <c r="J2813" i="13" s="1"/>
  <c r="G2814" i="13"/>
  <c r="H2814" i="13" s="1"/>
  <c r="I2814" i="13" s="1"/>
  <c r="J2814" i="13" s="1"/>
  <c r="G2815" i="13"/>
  <c r="H2815" i="13" s="1"/>
  <c r="I2815" i="13" s="1"/>
  <c r="J2815" i="13" s="1"/>
  <c r="G2816" i="13"/>
  <c r="H2816" i="13" s="1"/>
  <c r="I2816" i="13" s="1"/>
  <c r="J2816" i="13" s="1"/>
  <c r="G2817" i="13"/>
  <c r="H2817" i="13" s="1"/>
  <c r="I2817" i="13" s="1"/>
  <c r="J2817" i="13" s="1"/>
  <c r="G2818" i="13"/>
  <c r="H2818" i="13" s="1"/>
  <c r="I2818" i="13" s="1"/>
  <c r="J2818" i="13" s="1"/>
  <c r="G2819" i="13"/>
  <c r="H2819" i="13" s="1"/>
  <c r="I2819" i="13" s="1"/>
  <c r="J2819" i="13" s="1"/>
  <c r="G2820" i="13"/>
  <c r="H2820" i="13" s="1"/>
  <c r="I2820" i="13" s="1"/>
  <c r="J2820" i="13" s="1"/>
  <c r="G2821" i="13"/>
  <c r="H2821" i="13" s="1"/>
  <c r="I2821" i="13" s="1"/>
  <c r="J2821" i="13" s="1"/>
  <c r="G2822" i="13"/>
  <c r="H2822" i="13" s="1"/>
  <c r="I2822" i="13" s="1"/>
  <c r="J2822" i="13" s="1"/>
  <c r="G2823" i="13"/>
  <c r="H2823" i="13" s="1"/>
  <c r="I2823" i="13" s="1"/>
  <c r="J2823" i="13" s="1"/>
  <c r="G2824" i="13"/>
  <c r="H2824" i="13" s="1"/>
  <c r="I2824" i="13" s="1"/>
  <c r="J2824" i="13" s="1"/>
  <c r="G2825" i="13"/>
  <c r="H2825" i="13" s="1"/>
  <c r="I2825" i="13" s="1"/>
  <c r="J2825" i="13" s="1"/>
  <c r="G2826" i="13"/>
  <c r="H2826" i="13" s="1"/>
  <c r="I2826" i="13" s="1"/>
  <c r="J2826" i="13" s="1"/>
  <c r="G2827" i="13"/>
  <c r="H2827" i="13" s="1"/>
  <c r="I2827" i="13" s="1"/>
  <c r="J2827" i="13" s="1"/>
  <c r="G2828" i="13"/>
  <c r="H2828" i="13" s="1"/>
  <c r="I2828" i="13" s="1"/>
  <c r="J2828" i="13" s="1"/>
  <c r="G2829" i="13"/>
  <c r="H2829" i="13" s="1"/>
  <c r="I2829" i="13" s="1"/>
  <c r="J2829" i="13" s="1"/>
  <c r="G2830" i="13"/>
  <c r="H2830" i="13" s="1"/>
  <c r="I2830" i="13" s="1"/>
  <c r="J2830" i="13" s="1"/>
  <c r="G2831" i="13"/>
  <c r="H2831" i="13" s="1"/>
  <c r="I2831" i="13" s="1"/>
  <c r="J2831" i="13" s="1"/>
  <c r="G2832" i="13"/>
  <c r="H2832" i="13" s="1"/>
  <c r="I2832" i="13" s="1"/>
  <c r="J2832" i="13" s="1"/>
  <c r="G2833" i="13"/>
  <c r="H2833" i="13" s="1"/>
  <c r="I2833" i="13" s="1"/>
  <c r="J2833" i="13" s="1"/>
  <c r="G2834" i="13"/>
  <c r="H2834" i="13" s="1"/>
  <c r="I2834" i="13" s="1"/>
  <c r="J2834" i="13" s="1"/>
  <c r="G2835" i="13"/>
  <c r="H2835" i="13" s="1"/>
  <c r="I2835" i="13" s="1"/>
  <c r="J2835" i="13" s="1"/>
  <c r="G2836" i="13"/>
  <c r="H2836" i="13" s="1"/>
  <c r="I2836" i="13" s="1"/>
  <c r="J2836" i="13" s="1"/>
  <c r="G2837" i="13"/>
  <c r="H2837" i="13" s="1"/>
  <c r="I2837" i="13" s="1"/>
  <c r="J2837" i="13" s="1"/>
  <c r="G2838" i="13"/>
  <c r="H2838" i="13" s="1"/>
  <c r="I2838" i="13" s="1"/>
  <c r="J2838" i="13" s="1"/>
  <c r="G2839" i="13"/>
  <c r="H2839" i="13" s="1"/>
  <c r="I2839" i="13" s="1"/>
  <c r="J2839" i="13" s="1"/>
  <c r="G2840" i="13"/>
  <c r="H2840" i="13" s="1"/>
  <c r="I2840" i="13" s="1"/>
  <c r="J2840" i="13" s="1"/>
  <c r="G2841" i="13"/>
  <c r="H2841" i="13" s="1"/>
  <c r="I2841" i="13" s="1"/>
  <c r="J2841" i="13" s="1"/>
  <c r="G2842" i="13"/>
  <c r="H2842" i="13" s="1"/>
  <c r="I2842" i="13" s="1"/>
  <c r="J2842" i="13" s="1"/>
  <c r="G2843" i="13"/>
  <c r="H2843" i="13" s="1"/>
  <c r="I2843" i="13" s="1"/>
  <c r="J2843" i="13" s="1"/>
  <c r="G2844" i="13"/>
  <c r="H2844" i="13" s="1"/>
  <c r="I2844" i="13" s="1"/>
  <c r="J2844" i="13" s="1"/>
  <c r="G2845" i="13"/>
  <c r="H2845" i="13" s="1"/>
  <c r="I2845" i="13" s="1"/>
  <c r="J2845" i="13" s="1"/>
  <c r="G2846" i="13"/>
  <c r="H2846" i="13" s="1"/>
  <c r="I2846" i="13" s="1"/>
  <c r="J2846" i="13" s="1"/>
  <c r="G2847" i="13"/>
  <c r="H2847" i="13" s="1"/>
  <c r="I2847" i="13" s="1"/>
  <c r="J2847" i="13" s="1"/>
  <c r="G2848" i="13"/>
  <c r="H2848" i="13" s="1"/>
  <c r="I2848" i="13" s="1"/>
  <c r="J2848" i="13" s="1"/>
  <c r="G2849" i="13"/>
  <c r="H2849" i="13" s="1"/>
  <c r="I2849" i="13" s="1"/>
  <c r="J2849" i="13" s="1"/>
  <c r="G2850" i="13"/>
  <c r="H2850" i="13" s="1"/>
  <c r="I2850" i="13" s="1"/>
  <c r="J2850" i="13" s="1"/>
  <c r="G2851" i="13"/>
  <c r="H2851" i="13" s="1"/>
  <c r="I2851" i="13" s="1"/>
  <c r="J2851" i="13" s="1"/>
  <c r="G2852" i="13"/>
  <c r="H2852" i="13" s="1"/>
  <c r="I2852" i="13" s="1"/>
  <c r="J2852" i="13" s="1"/>
  <c r="G2853" i="13"/>
  <c r="H2853" i="13" s="1"/>
  <c r="I2853" i="13" s="1"/>
  <c r="J2853" i="13" s="1"/>
  <c r="G2854" i="13"/>
  <c r="H2854" i="13" s="1"/>
  <c r="I2854" i="13" s="1"/>
  <c r="J2854" i="13" s="1"/>
  <c r="G2855" i="13"/>
  <c r="H2855" i="13" s="1"/>
  <c r="I2855" i="13" s="1"/>
  <c r="J2855" i="13" s="1"/>
  <c r="G2856" i="13"/>
  <c r="H2856" i="13" s="1"/>
  <c r="I2856" i="13" s="1"/>
  <c r="J2856" i="13" s="1"/>
  <c r="G2857" i="13"/>
  <c r="H2857" i="13" s="1"/>
  <c r="I2857" i="13" s="1"/>
  <c r="J2857" i="13" s="1"/>
  <c r="G2858" i="13"/>
  <c r="H2858" i="13" s="1"/>
  <c r="I2858" i="13" s="1"/>
  <c r="J2858" i="13" s="1"/>
  <c r="G2859" i="13"/>
  <c r="H2859" i="13" s="1"/>
  <c r="I2859" i="13" s="1"/>
  <c r="J2859" i="13" s="1"/>
  <c r="G2860" i="13"/>
  <c r="H2860" i="13" s="1"/>
  <c r="I2860" i="13" s="1"/>
  <c r="J2860" i="13" s="1"/>
  <c r="G2861" i="13"/>
  <c r="H2861" i="13" s="1"/>
  <c r="I2861" i="13" s="1"/>
  <c r="J2861" i="13" s="1"/>
  <c r="G2862" i="13"/>
  <c r="H2862" i="13" s="1"/>
  <c r="I2862" i="13" s="1"/>
  <c r="J2862" i="13" s="1"/>
  <c r="G2863" i="13"/>
  <c r="H2863" i="13" s="1"/>
  <c r="I2863" i="13" s="1"/>
  <c r="J2863" i="13" s="1"/>
  <c r="G2864" i="13"/>
  <c r="H2864" i="13" s="1"/>
  <c r="I2864" i="13" s="1"/>
  <c r="J2864" i="13" s="1"/>
  <c r="G2865" i="13"/>
  <c r="H2865" i="13" s="1"/>
  <c r="I2865" i="13" s="1"/>
  <c r="J2865" i="13" s="1"/>
  <c r="G2866" i="13"/>
  <c r="H2866" i="13" s="1"/>
  <c r="I2866" i="13" s="1"/>
  <c r="J2866" i="13" s="1"/>
  <c r="G2867" i="13"/>
  <c r="H2867" i="13" s="1"/>
  <c r="I2867" i="13" s="1"/>
  <c r="J2867" i="13" s="1"/>
  <c r="G2868" i="13"/>
  <c r="H2868" i="13" s="1"/>
  <c r="I2868" i="13" s="1"/>
  <c r="J2868" i="13" s="1"/>
  <c r="G2869" i="13"/>
  <c r="H2869" i="13" s="1"/>
  <c r="I2869" i="13" s="1"/>
  <c r="J2869" i="13" s="1"/>
  <c r="G2870" i="13"/>
  <c r="H2870" i="13" s="1"/>
  <c r="I2870" i="13" s="1"/>
  <c r="J2870" i="13" s="1"/>
  <c r="G2871" i="13"/>
  <c r="H2871" i="13" s="1"/>
  <c r="I2871" i="13" s="1"/>
  <c r="J2871" i="13" s="1"/>
  <c r="G2872" i="13"/>
  <c r="H2872" i="13" s="1"/>
  <c r="I2872" i="13" s="1"/>
  <c r="J2872" i="13" s="1"/>
  <c r="G2873" i="13"/>
  <c r="H2873" i="13" s="1"/>
  <c r="I2873" i="13" s="1"/>
  <c r="J2873" i="13" s="1"/>
  <c r="G2874" i="13"/>
  <c r="H2874" i="13" s="1"/>
  <c r="I2874" i="13" s="1"/>
  <c r="J2874" i="13" s="1"/>
  <c r="G2875" i="13"/>
  <c r="H2875" i="13" s="1"/>
  <c r="I2875" i="13" s="1"/>
  <c r="J2875" i="13" s="1"/>
  <c r="G2876" i="13"/>
  <c r="H2876" i="13" s="1"/>
  <c r="I2876" i="13" s="1"/>
  <c r="J2876" i="13" s="1"/>
  <c r="G2877" i="13"/>
  <c r="H2877" i="13" s="1"/>
  <c r="I2877" i="13" s="1"/>
  <c r="J2877" i="13" s="1"/>
  <c r="G2878" i="13"/>
  <c r="H2878" i="13" s="1"/>
  <c r="I2878" i="13" s="1"/>
  <c r="J2878" i="13" s="1"/>
  <c r="G2879" i="13"/>
  <c r="H2879" i="13" s="1"/>
  <c r="I2879" i="13" s="1"/>
  <c r="J2879" i="13" s="1"/>
  <c r="G2880" i="13"/>
  <c r="H2880" i="13" s="1"/>
  <c r="I2880" i="13" s="1"/>
  <c r="J2880" i="13" s="1"/>
  <c r="G2881" i="13"/>
  <c r="H2881" i="13" s="1"/>
  <c r="I2881" i="13" s="1"/>
  <c r="J2881" i="13" s="1"/>
  <c r="G2882" i="13"/>
  <c r="H2882" i="13" s="1"/>
  <c r="I2882" i="13" s="1"/>
  <c r="J2882" i="13" s="1"/>
  <c r="G2883" i="13"/>
  <c r="H2883" i="13" s="1"/>
  <c r="I2883" i="13" s="1"/>
  <c r="J2883" i="13" s="1"/>
  <c r="G2884" i="13"/>
  <c r="H2884" i="13" s="1"/>
  <c r="I2884" i="13" s="1"/>
  <c r="J2884" i="13" s="1"/>
  <c r="G2885" i="13"/>
  <c r="H2885" i="13" s="1"/>
  <c r="I2885" i="13" s="1"/>
  <c r="J2885" i="13" s="1"/>
  <c r="G2886" i="13"/>
  <c r="H2886" i="13" s="1"/>
  <c r="I2886" i="13" s="1"/>
  <c r="J2886" i="13" s="1"/>
  <c r="G2887" i="13"/>
  <c r="H2887" i="13" s="1"/>
  <c r="I2887" i="13" s="1"/>
  <c r="J2887" i="13" s="1"/>
  <c r="G2888" i="13"/>
  <c r="H2888" i="13" s="1"/>
  <c r="I2888" i="13" s="1"/>
  <c r="J2888" i="13" s="1"/>
  <c r="G2889" i="13"/>
  <c r="H2889" i="13" s="1"/>
  <c r="I2889" i="13" s="1"/>
  <c r="J2889" i="13" s="1"/>
  <c r="G2890" i="13"/>
  <c r="H2890" i="13" s="1"/>
  <c r="I2890" i="13" s="1"/>
  <c r="J2890" i="13" s="1"/>
  <c r="G2891" i="13"/>
  <c r="H2891" i="13" s="1"/>
  <c r="I2891" i="13" s="1"/>
  <c r="J2891" i="13" s="1"/>
  <c r="G2892" i="13"/>
  <c r="H2892" i="13" s="1"/>
  <c r="I2892" i="13" s="1"/>
  <c r="J2892" i="13" s="1"/>
  <c r="G2893" i="13"/>
  <c r="H2893" i="13" s="1"/>
  <c r="I2893" i="13" s="1"/>
  <c r="J2893" i="13" s="1"/>
  <c r="G2894" i="13"/>
  <c r="H2894" i="13" s="1"/>
  <c r="I2894" i="13" s="1"/>
  <c r="J2894" i="13" s="1"/>
  <c r="G2895" i="13"/>
  <c r="H2895" i="13" s="1"/>
  <c r="I2895" i="13" s="1"/>
  <c r="J2895" i="13" s="1"/>
  <c r="G2896" i="13"/>
  <c r="H2896" i="13" s="1"/>
  <c r="I2896" i="13" s="1"/>
  <c r="J2896" i="13" s="1"/>
  <c r="G2897" i="13"/>
  <c r="H2897" i="13" s="1"/>
  <c r="I2897" i="13" s="1"/>
  <c r="J2897" i="13" s="1"/>
  <c r="G2898" i="13"/>
  <c r="H2898" i="13" s="1"/>
  <c r="I2898" i="13" s="1"/>
  <c r="J2898" i="13" s="1"/>
  <c r="G2899" i="13"/>
  <c r="H2899" i="13" s="1"/>
  <c r="I2899" i="13" s="1"/>
  <c r="J2899" i="13" s="1"/>
  <c r="G2900" i="13"/>
  <c r="H2900" i="13" s="1"/>
  <c r="I2900" i="13" s="1"/>
  <c r="J2900" i="13" s="1"/>
  <c r="G2901" i="13"/>
  <c r="H2901" i="13" s="1"/>
  <c r="I2901" i="13" s="1"/>
  <c r="J2901" i="13" s="1"/>
  <c r="G2902" i="13"/>
  <c r="H2902" i="13" s="1"/>
  <c r="I2902" i="13" s="1"/>
  <c r="J2902" i="13" s="1"/>
  <c r="G2903" i="13"/>
  <c r="H2903" i="13" s="1"/>
  <c r="I2903" i="13" s="1"/>
  <c r="J2903" i="13" s="1"/>
  <c r="G2904" i="13"/>
  <c r="H2904" i="13" s="1"/>
  <c r="I2904" i="13" s="1"/>
  <c r="J2904" i="13" s="1"/>
  <c r="G2905" i="13"/>
  <c r="H2905" i="13" s="1"/>
  <c r="I2905" i="13" s="1"/>
  <c r="J2905" i="13" s="1"/>
  <c r="G2906" i="13"/>
  <c r="H2906" i="13" s="1"/>
  <c r="I2906" i="13" s="1"/>
  <c r="J2906" i="13" s="1"/>
  <c r="G2907" i="13"/>
  <c r="H2907" i="13" s="1"/>
  <c r="I2907" i="13" s="1"/>
  <c r="J2907" i="13" s="1"/>
  <c r="G2908" i="13"/>
  <c r="H2908" i="13" s="1"/>
  <c r="I2908" i="13" s="1"/>
  <c r="J2908" i="13" s="1"/>
  <c r="G2909" i="13"/>
  <c r="H2909" i="13" s="1"/>
  <c r="I2909" i="13" s="1"/>
  <c r="J2909" i="13" s="1"/>
  <c r="G2910" i="13"/>
  <c r="H2910" i="13" s="1"/>
  <c r="I2910" i="13" s="1"/>
  <c r="J2910" i="13" s="1"/>
  <c r="G2911" i="13"/>
  <c r="H2911" i="13" s="1"/>
  <c r="I2911" i="13" s="1"/>
  <c r="J2911" i="13" s="1"/>
  <c r="G2912" i="13"/>
  <c r="H2912" i="13" s="1"/>
  <c r="I2912" i="13" s="1"/>
  <c r="J2912" i="13" s="1"/>
  <c r="G2913" i="13"/>
  <c r="H2913" i="13" s="1"/>
  <c r="I2913" i="13" s="1"/>
  <c r="J2913" i="13" s="1"/>
  <c r="G2914" i="13"/>
  <c r="H2914" i="13" s="1"/>
  <c r="I2914" i="13" s="1"/>
  <c r="J2914" i="13" s="1"/>
  <c r="G2915" i="13"/>
  <c r="H2915" i="13" s="1"/>
  <c r="I2915" i="13" s="1"/>
  <c r="J2915" i="13" s="1"/>
  <c r="G2916" i="13"/>
  <c r="H2916" i="13" s="1"/>
  <c r="I2916" i="13" s="1"/>
  <c r="J2916" i="13" s="1"/>
  <c r="G2917" i="13"/>
  <c r="H2917" i="13" s="1"/>
  <c r="I2917" i="13" s="1"/>
  <c r="J2917" i="13" s="1"/>
  <c r="G2918" i="13"/>
  <c r="H2918" i="13" s="1"/>
  <c r="I2918" i="13" s="1"/>
  <c r="J2918" i="13" s="1"/>
  <c r="G2919" i="13"/>
  <c r="H2919" i="13" s="1"/>
  <c r="I2919" i="13" s="1"/>
  <c r="J2919" i="13" s="1"/>
  <c r="G2920" i="13"/>
  <c r="H2920" i="13" s="1"/>
  <c r="I2920" i="13" s="1"/>
  <c r="J2920" i="13" s="1"/>
  <c r="G2921" i="13"/>
  <c r="H2921" i="13" s="1"/>
  <c r="I2921" i="13" s="1"/>
  <c r="J2921" i="13" s="1"/>
  <c r="G2922" i="13"/>
  <c r="H2922" i="13" s="1"/>
  <c r="I2922" i="13" s="1"/>
  <c r="J2922" i="13" s="1"/>
  <c r="G2923" i="13"/>
  <c r="H2923" i="13" s="1"/>
  <c r="I2923" i="13" s="1"/>
  <c r="J2923" i="13" s="1"/>
  <c r="G2924" i="13"/>
  <c r="H2924" i="13" s="1"/>
  <c r="I2924" i="13" s="1"/>
  <c r="J2924" i="13" s="1"/>
  <c r="G2925" i="13"/>
  <c r="H2925" i="13" s="1"/>
  <c r="I2925" i="13" s="1"/>
  <c r="J2925" i="13" s="1"/>
  <c r="G2926" i="13"/>
  <c r="H2926" i="13" s="1"/>
  <c r="I2926" i="13" s="1"/>
  <c r="J2926" i="13" s="1"/>
  <c r="G2927" i="13"/>
  <c r="H2927" i="13" s="1"/>
  <c r="I2927" i="13" s="1"/>
  <c r="J2927" i="13" s="1"/>
  <c r="G2928" i="13"/>
  <c r="H2928" i="13" s="1"/>
  <c r="I2928" i="13" s="1"/>
  <c r="J2928" i="13" s="1"/>
  <c r="G2929" i="13"/>
  <c r="H2929" i="13" s="1"/>
  <c r="I2929" i="13" s="1"/>
  <c r="J2929" i="13" s="1"/>
  <c r="G2930" i="13"/>
  <c r="H2930" i="13" s="1"/>
  <c r="I2930" i="13" s="1"/>
  <c r="J2930" i="13" s="1"/>
  <c r="G2931" i="13"/>
  <c r="H2931" i="13" s="1"/>
  <c r="I2931" i="13" s="1"/>
  <c r="J2931" i="13" s="1"/>
  <c r="G2932" i="13"/>
  <c r="H2932" i="13" s="1"/>
  <c r="I2932" i="13" s="1"/>
  <c r="J2932" i="13" s="1"/>
  <c r="G2933" i="13"/>
  <c r="H2933" i="13" s="1"/>
  <c r="I2933" i="13" s="1"/>
  <c r="J2933" i="13" s="1"/>
  <c r="G2934" i="13"/>
  <c r="H2934" i="13" s="1"/>
  <c r="I2934" i="13" s="1"/>
  <c r="J2934" i="13" s="1"/>
  <c r="G2935" i="13"/>
  <c r="H2935" i="13" s="1"/>
  <c r="I2935" i="13" s="1"/>
  <c r="J2935" i="13" s="1"/>
  <c r="G2936" i="13"/>
  <c r="H2936" i="13" s="1"/>
  <c r="I2936" i="13" s="1"/>
  <c r="J2936" i="13" s="1"/>
  <c r="G2937" i="13"/>
  <c r="H2937" i="13" s="1"/>
  <c r="I2937" i="13" s="1"/>
  <c r="J2937" i="13" s="1"/>
  <c r="G2938" i="13"/>
  <c r="H2938" i="13" s="1"/>
  <c r="I2938" i="13" s="1"/>
  <c r="J2938" i="13" s="1"/>
  <c r="G2939" i="13"/>
  <c r="H2939" i="13" s="1"/>
  <c r="I2939" i="13" s="1"/>
  <c r="J2939" i="13" s="1"/>
  <c r="G2940" i="13"/>
  <c r="H2940" i="13" s="1"/>
  <c r="I2940" i="13" s="1"/>
  <c r="J2940" i="13" s="1"/>
  <c r="G2941" i="13"/>
  <c r="H2941" i="13" s="1"/>
  <c r="I2941" i="13" s="1"/>
  <c r="J2941" i="13" s="1"/>
  <c r="G2942" i="13"/>
  <c r="H2942" i="13" s="1"/>
  <c r="I2942" i="13" s="1"/>
  <c r="J2942" i="13" s="1"/>
  <c r="G2943" i="13"/>
  <c r="H2943" i="13" s="1"/>
  <c r="I2943" i="13" s="1"/>
  <c r="J2943" i="13" s="1"/>
  <c r="G2944" i="13"/>
  <c r="H2944" i="13" s="1"/>
  <c r="I2944" i="13" s="1"/>
  <c r="J2944" i="13" s="1"/>
  <c r="B6" i="10"/>
  <c r="B21" i="10" s="1"/>
  <c r="B36" i="10" s="1"/>
  <c r="P6" i="10"/>
  <c r="P21" i="10" s="1"/>
  <c r="P36" i="10" s="1"/>
  <c r="B65" i="10"/>
  <c r="B66" i="10"/>
  <c r="B67" i="10"/>
  <c r="B68" i="10"/>
  <c r="B69" i="10"/>
  <c r="B70" i="10"/>
  <c r="B71" i="10"/>
  <c r="B72" i="10"/>
  <c r="B73" i="10"/>
  <c r="B74" i="10"/>
  <c r="B75" i="10"/>
  <c r="N75" i="11"/>
  <c r="O75" i="11" s="1"/>
  <c r="L76" i="11"/>
  <c r="L77" i="11"/>
  <c r="D75" i="11"/>
  <c r="E75" i="11" s="1"/>
  <c r="B76" i="11"/>
  <c r="D76" i="11"/>
  <c r="E76" i="11" s="1"/>
  <c r="N76" i="11"/>
  <c r="O76" i="11" s="1"/>
  <c r="N77" i="11"/>
  <c r="O77" i="11" s="1"/>
  <c r="L78" i="11"/>
  <c r="B77" i="11"/>
  <c r="U228" i="2"/>
  <c r="W228" i="2"/>
  <c r="V228" i="2"/>
  <c r="Y228" i="2"/>
  <c r="AM19" i="2"/>
  <c r="F136" i="11"/>
  <c r="G76" i="11"/>
  <c r="F137" i="11"/>
  <c r="D77" i="11"/>
  <c r="E77" i="11" s="1"/>
  <c r="B78" i="11"/>
  <c r="I76" i="11"/>
  <c r="J76" i="11" s="1"/>
  <c r="G77" i="11"/>
  <c r="N78" i="11"/>
  <c r="O78" i="11" s="1"/>
  <c r="L79" i="11"/>
  <c r="N79" i="11"/>
  <c r="O79" i="11" s="1"/>
  <c r="L80" i="11"/>
  <c r="I77" i="11"/>
  <c r="J77" i="11" s="1"/>
  <c r="G78" i="11"/>
  <c r="B79" i="11"/>
  <c r="D78" i="11"/>
  <c r="E78" i="11" s="1"/>
  <c r="F138" i="11"/>
  <c r="G79" i="11"/>
  <c r="I78" i="11"/>
  <c r="J78" i="11" s="1"/>
  <c r="K138" i="11"/>
  <c r="I138" i="11"/>
  <c r="H138" i="11"/>
  <c r="F139" i="11"/>
  <c r="M138" i="11"/>
  <c r="D79" i="11"/>
  <c r="E79" i="11" s="1"/>
  <c r="B80" i="11"/>
  <c r="L81" i="11"/>
  <c r="N80" i="11"/>
  <c r="O80" i="11" s="1"/>
  <c r="H139" i="11"/>
  <c r="M139" i="11"/>
  <c r="F140" i="11"/>
  <c r="I139" i="11"/>
  <c r="K139" i="11"/>
  <c r="N81" i="11"/>
  <c r="O81" i="11" s="1"/>
  <c r="L82" i="11"/>
  <c r="D80" i="11"/>
  <c r="E80" i="11" s="1"/>
  <c r="B81" i="11"/>
  <c r="I79" i="11"/>
  <c r="J79" i="11" s="1"/>
  <c r="G80" i="11"/>
  <c r="G81" i="11"/>
  <c r="I80" i="11"/>
  <c r="J80" i="11" s="1"/>
  <c r="B82" i="11"/>
  <c r="D81" i="11"/>
  <c r="E81" i="11" s="1"/>
  <c r="L83" i="11"/>
  <c r="N82" i="11"/>
  <c r="O82" i="11" s="1"/>
  <c r="H140" i="11"/>
  <c r="M140" i="11"/>
  <c r="K140" i="11"/>
  <c r="I140" i="11"/>
  <c r="N83" i="11"/>
  <c r="O83" i="11" s="1"/>
  <c r="L84" i="11"/>
  <c r="D82" i="11"/>
  <c r="E82" i="11" s="1"/>
  <c r="B83" i="11"/>
  <c r="I81" i="11"/>
  <c r="J81" i="11" s="1"/>
  <c r="G82" i="11"/>
  <c r="I82" i="11"/>
  <c r="J82" i="11" s="1"/>
  <c r="G83" i="11"/>
  <c r="B84" i="11"/>
  <c r="D83" i="11"/>
  <c r="E83" i="11" s="1"/>
  <c r="N84" i="11"/>
  <c r="O84" i="11" s="1"/>
  <c r="L85" i="11"/>
  <c r="D84" i="11"/>
  <c r="E84" i="11" s="1"/>
  <c r="B85" i="11"/>
  <c r="N85" i="11"/>
  <c r="O85" i="11" s="1"/>
  <c r="L86" i="11"/>
  <c r="I83" i="11"/>
  <c r="J83" i="11" s="1"/>
  <c r="G84" i="11"/>
  <c r="G85" i="11"/>
  <c r="I84" i="11"/>
  <c r="J84" i="11" s="1"/>
  <c r="N86" i="11"/>
  <c r="O86" i="11" s="1"/>
  <c r="L87" i="11"/>
  <c r="D85" i="11"/>
  <c r="E85" i="11" s="1"/>
  <c r="B86" i="11"/>
  <c r="G86" i="11"/>
  <c r="I85" i="11"/>
  <c r="J85" i="11" s="1"/>
  <c r="B87" i="11"/>
  <c r="D86" i="11"/>
  <c r="E86" i="11" s="1"/>
  <c r="N87" i="11"/>
  <c r="O87" i="11" s="1"/>
  <c r="L88" i="11"/>
  <c r="N88" i="11"/>
  <c r="O88" i="11" s="1"/>
  <c r="L89" i="11"/>
  <c r="B88" i="11"/>
  <c r="D87" i="11"/>
  <c r="E87" i="11" s="1"/>
  <c r="G87" i="11"/>
  <c r="I86" i="11"/>
  <c r="J86" i="11" s="1"/>
  <c r="I87" i="11"/>
  <c r="J87" i="11" s="1"/>
  <c r="G88" i="11"/>
  <c r="D88" i="11"/>
  <c r="E88" i="11" s="1"/>
  <c r="B89" i="11"/>
  <c r="N89" i="11"/>
  <c r="O89" i="11" s="1"/>
  <c r="L90" i="11"/>
  <c r="N90" i="11"/>
  <c r="O90" i="11" s="1"/>
  <c r="L91" i="11"/>
  <c r="N91" i="11"/>
  <c r="O91" i="11" s="1"/>
  <c r="B90" i="11"/>
  <c r="D89" i="11"/>
  <c r="E89" i="11" s="1"/>
  <c r="G89" i="11"/>
  <c r="I88" i="11"/>
  <c r="J88" i="11" s="1"/>
  <c r="G90" i="11"/>
  <c r="I89" i="11"/>
  <c r="J89" i="11" s="1"/>
  <c r="D90" i="11"/>
  <c r="E90" i="11" s="1"/>
  <c r="B91" i="11"/>
  <c r="D91" i="11"/>
  <c r="E91" i="11" s="1"/>
  <c r="G91" i="11"/>
  <c r="I91" i="11"/>
  <c r="J91" i="11" s="1"/>
  <c r="I90" i="11"/>
  <c r="J90" i="11" s="1"/>
  <c r="J118" i="11"/>
  <c r="G105" i="11"/>
  <c r="E40" i="11"/>
  <c r="G18" i="11"/>
  <c r="M11" i="11"/>
  <c r="I18" i="11"/>
  <c r="H189" i="11"/>
  <c r="L22" i="11"/>
  <c r="O11" i="11"/>
  <c r="E27" i="11"/>
  <c r="H2" i="13"/>
  <c r="J117" i="11"/>
  <c r="E18" i="11"/>
  <c r="R8" i="13"/>
  <c r="G63" i="11"/>
  <c r="J127" i="11"/>
  <c r="J120" i="11"/>
  <c r="L11" i="11"/>
  <c r="M12" i="11"/>
  <c r="X228" i="2"/>
  <c r="H187" i="11"/>
  <c r="L12" i="11"/>
  <c r="G98" i="11"/>
  <c r="H6" i="11"/>
  <c r="H4" i="13"/>
  <c r="W8" i="13"/>
  <c r="H3" i="13"/>
  <c r="G103" i="11"/>
  <c r="I1" i="20" l="1"/>
  <c r="S8" i="13"/>
  <c r="J1" i="20" s="1"/>
  <c r="I1" i="21"/>
  <c r="X8" i="13"/>
  <c r="J1" i="21" s="1"/>
  <c r="M136" i="11"/>
  <c r="H9" i="13"/>
  <c r="I9" i="13" s="1"/>
  <c r="J476" i="13"/>
  <c r="J401" i="13"/>
  <c r="J464" i="13"/>
  <c r="J132" i="13"/>
  <c r="J413" i="13"/>
  <c r="H75" i="13"/>
  <c r="I75" i="13" s="1"/>
  <c r="J75" i="13" s="1"/>
  <c r="H71" i="13"/>
  <c r="I71" i="13" s="1"/>
  <c r="J71" i="13" s="1"/>
  <c r="H67" i="13"/>
  <c r="I67" i="13" s="1"/>
  <c r="J67" i="13" s="1"/>
  <c r="H59" i="13"/>
  <c r="I59" i="13" s="1"/>
  <c r="J59" i="13" s="1"/>
  <c r="H55" i="13"/>
  <c r="I55" i="13" s="1"/>
  <c r="J55" i="13" s="1"/>
  <c r="H51" i="13"/>
  <c r="I51" i="13" s="1"/>
  <c r="J51" i="13" s="1"/>
  <c r="H47" i="13"/>
  <c r="I47" i="13" s="1"/>
  <c r="J47" i="13" s="1"/>
  <c r="H43" i="13"/>
  <c r="I43" i="13" s="1"/>
  <c r="J43" i="13" s="1"/>
  <c r="H39" i="13"/>
  <c r="I39" i="13" s="1"/>
  <c r="J39" i="13" s="1"/>
  <c r="H35" i="13"/>
  <c r="I35" i="13" s="1"/>
  <c r="J35" i="13" s="1"/>
  <c r="H30" i="13"/>
  <c r="I30" i="13" s="1"/>
  <c r="J30" i="13" s="1"/>
  <c r="H26" i="13"/>
  <c r="I26" i="13" s="1"/>
  <c r="J26" i="13" s="1"/>
  <c r="H21" i="13"/>
  <c r="I21" i="13" s="1"/>
  <c r="J21" i="13" s="1"/>
  <c r="H16" i="13"/>
  <c r="I16" i="13" s="1"/>
  <c r="J16" i="13" s="1"/>
  <c r="H77" i="13"/>
  <c r="I77" i="13" s="1"/>
  <c r="J77" i="13" s="1"/>
  <c r="H73" i="13"/>
  <c r="I73" i="13" s="1"/>
  <c r="J73" i="13" s="1"/>
  <c r="H69" i="13"/>
  <c r="I69" i="13" s="1"/>
  <c r="J69" i="13" s="1"/>
  <c r="H61" i="13"/>
  <c r="I61" i="13" s="1"/>
  <c r="J61" i="13" s="1"/>
  <c r="H57" i="13"/>
  <c r="I57" i="13" s="1"/>
  <c r="J57" i="13" s="1"/>
  <c r="H53" i="13"/>
  <c r="I53" i="13" s="1"/>
  <c r="J53" i="13" s="1"/>
  <c r="H49" i="13"/>
  <c r="I49" i="13" s="1"/>
  <c r="J49" i="13" s="1"/>
  <c r="H45" i="13"/>
  <c r="I45" i="13" s="1"/>
  <c r="J45" i="13" s="1"/>
  <c r="H41" i="13"/>
  <c r="I41" i="13" s="1"/>
  <c r="J41" i="13" s="1"/>
  <c r="H37" i="13"/>
  <c r="I37" i="13" s="1"/>
  <c r="J37" i="13" s="1"/>
  <c r="H33" i="13"/>
  <c r="I33" i="13" s="1"/>
  <c r="J33" i="13" s="1"/>
  <c r="H28" i="13"/>
  <c r="I28" i="13" s="1"/>
  <c r="J28" i="13" s="1"/>
  <c r="H23" i="13"/>
  <c r="I23" i="13" s="1"/>
  <c r="J23" i="13" s="1"/>
  <c r="H18" i="13"/>
  <c r="I18" i="13" s="1"/>
  <c r="J18" i="13" s="1"/>
  <c r="H13" i="13"/>
  <c r="I13" i="13" s="1"/>
  <c r="J13" i="13" s="1"/>
  <c r="J375" i="13"/>
  <c r="H76" i="13"/>
  <c r="I76" i="13" s="1"/>
  <c r="J76" i="13" s="1"/>
  <c r="H72" i="13"/>
  <c r="I72" i="13" s="1"/>
  <c r="J72" i="13" s="1"/>
  <c r="H68" i="13"/>
  <c r="I68" i="13" s="1"/>
  <c r="J68" i="13" s="1"/>
  <c r="H60" i="13"/>
  <c r="I60" i="13" s="1"/>
  <c r="J60" i="13" s="1"/>
  <c r="H56" i="13"/>
  <c r="I56" i="13" s="1"/>
  <c r="J56" i="13" s="1"/>
  <c r="H52" i="13"/>
  <c r="I52" i="13" s="1"/>
  <c r="J52" i="13" s="1"/>
  <c r="H48" i="13"/>
  <c r="I48" i="13" s="1"/>
  <c r="J48" i="13" s="1"/>
  <c r="H44" i="13"/>
  <c r="I44" i="13" s="1"/>
  <c r="J44" i="13" s="1"/>
  <c r="H40" i="13"/>
  <c r="I40" i="13" s="1"/>
  <c r="J40" i="13" s="1"/>
  <c r="H36" i="13"/>
  <c r="I36" i="13" s="1"/>
  <c r="J36" i="13" s="1"/>
  <c r="H31" i="13"/>
  <c r="I31" i="13" s="1"/>
  <c r="J31" i="13" s="1"/>
  <c r="H27" i="13"/>
  <c r="I27" i="13" s="1"/>
  <c r="J27" i="13" s="1"/>
  <c r="H22" i="13"/>
  <c r="I22" i="13" s="1"/>
  <c r="J22" i="13" s="1"/>
  <c r="H17" i="13"/>
  <c r="I17" i="13" s="1"/>
  <c r="J17" i="13" s="1"/>
  <c r="H78" i="13"/>
  <c r="I78" i="13" s="1"/>
  <c r="J78" i="13" s="1"/>
  <c r="H74" i="13"/>
  <c r="I74" i="13" s="1"/>
  <c r="J74" i="13" s="1"/>
  <c r="H70" i="13"/>
  <c r="I70" i="13" s="1"/>
  <c r="J70" i="13" s="1"/>
  <c r="H66" i="13"/>
  <c r="I66" i="13" s="1"/>
  <c r="J66" i="13" s="1"/>
  <c r="H62" i="13"/>
  <c r="I62" i="13" s="1"/>
  <c r="H58" i="13"/>
  <c r="I58" i="13" s="1"/>
  <c r="J58" i="13" s="1"/>
  <c r="H54" i="13"/>
  <c r="I54" i="13" s="1"/>
  <c r="J54" i="13" s="1"/>
  <c r="H50" i="13"/>
  <c r="I50" i="13" s="1"/>
  <c r="J50" i="13" s="1"/>
  <c r="H46" i="13"/>
  <c r="I46" i="13" s="1"/>
  <c r="J46" i="13" s="1"/>
  <c r="H38" i="13"/>
  <c r="I38" i="13" s="1"/>
  <c r="J38" i="13" s="1"/>
  <c r="H34" i="13"/>
  <c r="I34" i="13" s="1"/>
  <c r="J34" i="13" s="1"/>
  <c r="H29" i="13"/>
  <c r="I29" i="13" s="1"/>
  <c r="J29" i="13" s="1"/>
  <c r="H25" i="13"/>
  <c r="I25" i="13" s="1"/>
  <c r="J25" i="13" s="1"/>
  <c r="H20" i="13"/>
  <c r="I20" i="13" s="1"/>
  <c r="J20" i="13" s="1"/>
  <c r="H14" i="13"/>
  <c r="I14" i="13" s="1"/>
  <c r="J14" i="13" s="1"/>
  <c r="H11" i="13"/>
  <c r="I11" i="13" s="1"/>
  <c r="J11" i="13" s="1"/>
  <c r="G10" i="13"/>
  <c r="H10" i="13" s="1"/>
  <c r="I10" i="13" s="1"/>
  <c r="H8" i="13"/>
  <c r="I8" i="13" s="1"/>
  <c r="J155" i="13"/>
  <c r="M135" i="11"/>
  <c r="E127" i="11"/>
  <c r="G20" i="11"/>
  <c r="AM20" i="2"/>
  <c r="B14" i="10"/>
  <c r="P14" i="10" s="1"/>
  <c r="P29" i="10" s="1"/>
  <c r="P44" i="10" s="1"/>
  <c r="B24" i="10"/>
  <c r="B39" i="10" s="1"/>
  <c r="P9" i="10"/>
  <c r="P24" i="10" s="1"/>
  <c r="P39" i="10" s="1"/>
  <c r="AM22" i="2"/>
  <c r="C19" i="2"/>
  <c r="AM18" i="2"/>
  <c r="AM24" i="2"/>
  <c r="C21" i="2"/>
  <c r="B29" i="10"/>
  <c r="B44" i="10" s="1"/>
  <c r="C18" i="2"/>
  <c r="C17" i="2"/>
  <c r="B12" i="10"/>
  <c r="B23" i="10"/>
  <c r="B38" i="10" s="1"/>
  <c r="P8" i="10"/>
  <c r="P23" i="10" s="1"/>
  <c r="P38" i="10" s="1"/>
  <c r="AM23" i="2"/>
  <c r="B11" i="10"/>
  <c r="C25" i="2"/>
  <c r="B16" i="10"/>
  <c r="P16" i="10" s="1"/>
  <c r="P31" i="10" s="1"/>
  <c r="P46" i="10" s="1"/>
  <c r="B13" i="10"/>
  <c r="B28" i="10" s="1"/>
  <c r="B43" i="10" s="1"/>
  <c r="P7" i="10"/>
  <c r="P22" i="10" s="1"/>
  <c r="P37" i="10" s="1"/>
  <c r="B22" i="10"/>
  <c r="B37" i="10" s="1"/>
  <c r="P15" i="10"/>
  <c r="P30" i="10" s="1"/>
  <c r="P45" i="10" s="1"/>
  <c r="B30" i="10"/>
  <c r="B45" i="10" s="1"/>
  <c r="P10" i="10"/>
  <c r="P25" i="10" s="1"/>
  <c r="P40" i="10" s="1"/>
  <c r="B25" i="10"/>
  <c r="B40" i="10" s="1"/>
  <c r="C20" i="2"/>
  <c r="AM26" i="2"/>
  <c r="AM17" i="2"/>
  <c r="AM25" i="2"/>
  <c r="I122" i="11"/>
  <c r="C122" i="11" s="1"/>
  <c r="I10" i="2"/>
  <c r="L27" i="11"/>
  <c r="L30" i="11"/>
  <c r="H32" i="11" s="1"/>
  <c r="H63" i="11"/>
  <c r="L6" i="11"/>
  <c r="N6" i="11" s="1"/>
  <c r="J6" i="11"/>
  <c r="K117" i="11"/>
  <c r="N129" i="11" s="1"/>
  <c r="E2" i="13"/>
  <c r="J5" i="2"/>
  <c r="I187" i="11"/>
  <c r="H105" i="11"/>
  <c r="G11" i="11"/>
  <c r="J6" i="2"/>
  <c r="H40" i="11"/>
  <c r="L43" i="11" s="1"/>
  <c r="H45" i="11" s="1"/>
  <c r="H98" i="11"/>
  <c r="F101" i="11" s="1"/>
  <c r="K104" i="11"/>
  <c r="K118" i="11"/>
  <c r="J8" i="2"/>
  <c r="E4" i="13"/>
  <c r="I189" i="11"/>
  <c r="K127" i="11"/>
  <c r="H103" i="11"/>
  <c r="K120" i="11"/>
  <c r="G12" i="11"/>
  <c r="J63" i="13"/>
  <c r="G12" i="13"/>
  <c r="H12" i="13" s="1"/>
  <c r="I12" i="13" s="1"/>
  <c r="E3" i="13"/>
  <c r="G23" i="11"/>
  <c r="J65" i="13"/>
  <c r="J64" i="13"/>
  <c r="J42" i="13"/>
  <c r="N22" i="11"/>
  <c r="L18" i="11"/>
  <c r="J122" i="11"/>
  <c r="J62" i="13" l="1"/>
  <c r="J12" i="13"/>
  <c r="J19" i="13"/>
  <c r="J24" i="13"/>
  <c r="H19" i="11"/>
  <c r="P13" i="10"/>
  <c r="P28" i="10" s="1"/>
  <c r="P43" i="10" s="1"/>
  <c r="B27" i="10"/>
  <c r="B42" i="10" s="1"/>
  <c r="P12" i="10"/>
  <c r="P27" i="10" s="1"/>
  <c r="P42" i="10" s="1"/>
  <c r="B26" i="10"/>
  <c r="B41" i="10" s="1"/>
  <c r="P11" i="10"/>
  <c r="P26" i="10" s="1"/>
  <c r="P41" i="10" s="1"/>
  <c r="B31" i="10"/>
  <c r="B46" i="10" s="1"/>
  <c r="K122" i="11"/>
  <c r="M122" i="11"/>
  <c r="N122" i="11" s="1"/>
  <c r="G129" i="11"/>
  <c r="G5" i="13"/>
  <c r="C10" i="2"/>
  <c r="B1" i="21" s="1"/>
  <c r="F117" i="11"/>
  <c r="J129" i="11"/>
  <c r="L105" i="11"/>
  <c r="M105" i="11" s="1"/>
  <c r="H22" i="11"/>
  <c r="K8" i="2"/>
  <c r="Y8" i="2"/>
  <c r="B4" i="20" s="1"/>
  <c r="H30" i="11"/>
  <c r="H31" i="11" s="1"/>
  <c r="H33" i="11" s="1"/>
  <c r="Y6" i="2"/>
  <c r="AB3" i="2" s="1"/>
  <c r="AB5" i="2" s="1"/>
  <c r="K6" i="2"/>
  <c r="H43" i="11"/>
  <c r="H44" i="11" s="1"/>
  <c r="H46" i="11" s="1"/>
  <c r="L103" i="11"/>
  <c r="I70" i="11"/>
  <c r="D70" i="11"/>
  <c r="L187" i="11"/>
  <c r="N187" i="11" s="1"/>
  <c r="N191" i="11" s="1"/>
  <c r="Y5" i="2"/>
  <c r="K5" i="2"/>
  <c r="L5" i="2" s="1"/>
  <c r="H5" i="13"/>
  <c r="B5" i="20" l="1"/>
  <c r="B13" i="20" s="1"/>
  <c r="J15" i="13"/>
  <c r="J9" i="13"/>
  <c r="N127" i="1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C130" i="11"/>
  <c r="O162" i="11" s="1"/>
  <c r="L162" i="11" s="1"/>
  <c r="E5" i="13"/>
  <c r="J10" i="2"/>
  <c r="R10" i="2" s="1"/>
  <c r="S10" i="2" s="1"/>
  <c r="J8" i="13"/>
  <c r="J10" i="13"/>
  <c r="G117" i="11"/>
  <c r="D164" i="11"/>
  <c r="H135" i="11"/>
  <c r="D160" i="11"/>
  <c r="K159" i="11"/>
  <c r="H137" i="11"/>
  <c r="K155" i="11"/>
  <c r="K164" i="11"/>
  <c r="D161" i="11"/>
  <c r="D155" i="11"/>
  <c r="K162" i="11"/>
  <c r="D162" i="11"/>
  <c r="K156" i="11"/>
  <c r="D156" i="11"/>
  <c r="D154" i="11"/>
  <c r="K160" i="11"/>
  <c r="D159" i="11"/>
  <c r="K157" i="11"/>
  <c r="L32" i="11"/>
  <c r="H136" i="11"/>
  <c r="K161" i="11"/>
  <c r="K163" i="11"/>
  <c r="D157" i="11"/>
  <c r="D163" i="11"/>
  <c r="K158" i="11"/>
  <c r="D158" i="11"/>
  <c r="N105" i="11"/>
  <c r="K187" i="11"/>
  <c r="L205" i="11" s="1"/>
  <c r="L206" i="11" s="1"/>
  <c r="N103" i="11"/>
  <c r="M103" i="11"/>
  <c r="F5" i="2"/>
  <c r="Z15" i="2"/>
  <c r="AH15" i="2" s="1"/>
  <c r="AA3" i="2"/>
  <c r="L45" i="11"/>
  <c r="B12" i="20" l="1"/>
  <c r="B14" i="20" s="1"/>
  <c r="B17" i="20"/>
  <c r="B15" i="20"/>
  <c r="H156" i="11"/>
  <c r="E156" i="11" s="1"/>
  <c r="F156" i="11" s="1"/>
  <c r="H157" i="11"/>
  <c r="E157" i="11" s="1"/>
  <c r="F157" i="11" s="1"/>
  <c r="H164" i="11"/>
  <c r="E164" i="11" s="1"/>
  <c r="F164" i="11" s="1"/>
  <c r="O159" i="11"/>
  <c r="L159" i="11" s="1"/>
  <c r="M159" i="11" s="1"/>
  <c r="H160" i="11"/>
  <c r="E160" i="11" s="1"/>
  <c r="F160" i="11" s="1"/>
  <c r="H163" i="11"/>
  <c r="E163" i="11" s="1"/>
  <c r="F163" i="11" s="1"/>
  <c r="N130" i="11"/>
  <c r="I137" i="11" s="1"/>
  <c r="K137" i="11" s="1"/>
  <c r="O164" i="11"/>
  <c r="L164" i="11" s="1"/>
  <c r="M164" i="11" s="1"/>
  <c r="O156" i="11"/>
  <c r="L156" i="11" s="1"/>
  <c r="M156" i="11" s="1"/>
  <c r="H162" i="11"/>
  <c r="E162" i="11" s="1"/>
  <c r="F162" i="11" s="1"/>
  <c r="H159" i="11"/>
  <c r="E159" i="11" s="1"/>
  <c r="F159" i="11" s="1"/>
  <c r="H158" i="11"/>
  <c r="E158" i="11" s="1"/>
  <c r="F158" i="11" s="1"/>
  <c r="O161" i="11"/>
  <c r="L161" i="11" s="1"/>
  <c r="M161" i="11" s="1"/>
  <c r="O160" i="11"/>
  <c r="L160" i="11" s="1"/>
  <c r="M160" i="11" s="1"/>
  <c r="O157" i="11"/>
  <c r="L157" i="11" s="1"/>
  <c r="M157" i="11" s="1"/>
  <c r="O155" i="11"/>
  <c r="L155" i="11" s="1"/>
  <c r="M155" i="11" s="1"/>
  <c r="H155" i="11"/>
  <c r="E155" i="11" s="1"/>
  <c r="F155" i="11" s="1"/>
  <c r="H161" i="11"/>
  <c r="E161" i="11" s="1"/>
  <c r="F161" i="11" s="1"/>
  <c r="G5" i="2"/>
  <c r="H154" i="11"/>
  <c r="E154" i="11" s="1"/>
  <c r="F154" i="11" s="1"/>
  <c r="O158" i="11"/>
  <c r="L158" i="11" s="1"/>
  <c r="M158" i="11" s="1"/>
  <c r="O163" i="11"/>
  <c r="L163" i="11" s="1"/>
  <c r="M163" i="11" s="1"/>
  <c r="Y10" i="2"/>
  <c r="K10" i="2"/>
  <c r="M162" i="11"/>
  <c r="AD5" i="2"/>
  <c r="F205" i="11"/>
  <c r="F206" i="11" s="1"/>
  <c r="AG15" i="2"/>
  <c r="AA5" i="2"/>
  <c r="Z5" i="2" s="1"/>
  <c r="AD6" i="2" l="1"/>
  <c r="B16" i="20"/>
  <c r="D29" i="20" s="1"/>
  <c r="K29" i="20" s="1"/>
  <c r="AI15" i="2"/>
  <c r="AJ15" i="2" s="1"/>
  <c r="AK15" i="2" s="1"/>
  <c r="AE15" i="2" s="1"/>
  <c r="B4" i="21"/>
  <c r="B5" i="21" s="1"/>
  <c r="I135" i="11"/>
  <c r="K135" i="11" s="1"/>
  <c r="I136" i="11"/>
  <c r="K136" i="11" s="1"/>
  <c r="H205" i="11"/>
  <c r="H206" i="11" s="1"/>
  <c r="J205" i="11"/>
  <c r="J206" i="11" s="1"/>
  <c r="Z8" i="2"/>
  <c r="AB10" i="2"/>
  <c r="AD8" i="2"/>
  <c r="AA10" i="2"/>
  <c r="AC3" i="2"/>
  <c r="AH3" i="2" s="1"/>
  <c r="AA6" i="2"/>
  <c r="AC5" i="2"/>
  <c r="AM200" i="2"/>
  <c r="AF15" i="2"/>
  <c r="AM166" i="2"/>
  <c r="AM138" i="2"/>
  <c r="AM58" i="2"/>
  <c r="AM207" i="2"/>
  <c r="AM62" i="2"/>
  <c r="AM117" i="2"/>
  <c r="AM79" i="2"/>
  <c r="AM91" i="2"/>
  <c r="AM118" i="2"/>
  <c r="AM125" i="2"/>
  <c r="AM163" i="2"/>
  <c r="AM57" i="2"/>
  <c r="AM92" i="2"/>
  <c r="AM159" i="2"/>
  <c r="AM152" i="2"/>
  <c r="AM107" i="2"/>
  <c r="AM82" i="2"/>
  <c r="AM66" i="2"/>
  <c r="AM208" i="2"/>
  <c r="AM158" i="2"/>
  <c r="AM150" i="2"/>
  <c r="AM60" i="2"/>
  <c r="AM175" i="2"/>
  <c r="AM178" i="2"/>
  <c r="AM75" i="2"/>
  <c r="AM80" i="2"/>
  <c r="AM116" i="2"/>
  <c r="AM30" i="2"/>
  <c r="AM93" i="2"/>
  <c r="AM120" i="2"/>
  <c r="AM71" i="2"/>
  <c r="AM49" i="2"/>
  <c r="AM35" i="2"/>
  <c r="AM192" i="2"/>
  <c r="AM155" i="2"/>
  <c r="AM111" i="2"/>
  <c r="AM115" i="2"/>
  <c r="AM130" i="2"/>
  <c r="AM199" i="2"/>
  <c r="AM87" i="2"/>
  <c r="AM173" i="2"/>
  <c r="AM41" i="2"/>
  <c r="AM95" i="2"/>
  <c r="AM141" i="2"/>
  <c r="AM103" i="2"/>
  <c r="AM126" i="2"/>
  <c r="AM113" i="2"/>
  <c r="AM89" i="2"/>
  <c r="AM157" i="2"/>
  <c r="AM129" i="2"/>
  <c r="AM145" i="2"/>
  <c r="AN25" i="2"/>
  <c r="AM84" i="2"/>
  <c r="AM56" i="2"/>
  <c r="AM171" i="2"/>
  <c r="AM100" i="2"/>
  <c r="AM187" i="2"/>
  <c r="AM101" i="2"/>
  <c r="AM43" i="2"/>
  <c r="AM139" i="2"/>
  <c r="AM34" i="2"/>
  <c r="AM122" i="2"/>
  <c r="AM83" i="2"/>
  <c r="AM90" i="2"/>
  <c r="AM119" i="2"/>
  <c r="AM151" i="2"/>
  <c r="AM185" i="2"/>
  <c r="AM168" i="2"/>
  <c r="AM164" i="2"/>
  <c r="AM147" i="2"/>
  <c r="AM206" i="2"/>
  <c r="AM65" i="2"/>
  <c r="AM72" i="2"/>
  <c r="AM73" i="2"/>
  <c r="AM153" i="2"/>
  <c r="AM68" i="2"/>
  <c r="AM52" i="2"/>
  <c r="AM184" i="2"/>
  <c r="AM193" i="2"/>
  <c r="AN26" i="2"/>
  <c r="AM186" i="2"/>
  <c r="AM165" i="2"/>
  <c r="AM162" i="2"/>
  <c r="AM44" i="2"/>
  <c r="AM143" i="2"/>
  <c r="AN23" i="2"/>
  <c r="AM61" i="2"/>
  <c r="AM69" i="2"/>
  <c r="AM188" i="2"/>
  <c r="AM170" i="2"/>
  <c r="AM123" i="2"/>
  <c r="AM106" i="2"/>
  <c r="AN24" i="2"/>
  <c r="AM204" i="2"/>
  <c r="AM96" i="2"/>
  <c r="AM167" i="2"/>
  <c r="AM114" i="2"/>
  <c r="AM37" i="2"/>
  <c r="AM55" i="2"/>
  <c r="AM172" i="2"/>
  <c r="AM77" i="2"/>
  <c r="AM64" i="2"/>
  <c r="AM169" i="2"/>
  <c r="AM48" i="2"/>
  <c r="AM140" i="2"/>
  <c r="AM133" i="2"/>
  <c r="AM36" i="2"/>
  <c r="AM124" i="2"/>
  <c r="AM197" i="2"/>
  <c r="AM121" i="2"/>
  <c r="AM148" i="2"/>
  <c r="AM132" i="2"/>
  <c r="AM144" i="2"/>
  <c r="AM149" i="2"/>
  <c r="AM105" i="2"/>
  <c r="AM180" i="2"/>
  <c r="AM81" i="2"/>
  <c r="AM70" i="2"/>
  <c r="AM154" i="2"/>
  <c r="AM137" i="2"/>
  <c r="AM67" i="2"/>
  <c r="AM177" i="2"/>
  <c r="AM40" i="2"/>
  <c r="AN18" i="2"/>
  <c r="AM179" i="2"/>
  <c r="AM38" i="2"/>
  <c r="AM99" i="2"/>
  <c r="AM135" i="2"/>
  <c r="AM112" i="2"/>
  <c r="AM189" i="2"/>
  <c r="AM94" i="2"/>
  <c r="AM88" i="2"/>
  <c r="AM86" i="2"/>
  <c r="AM74" i="2"/>
  <c r="AM76" i="2"/>
  <c r="AN21" i="2"/>
  <c r="AM198" i="2"/>
  <c r="AM194" i="2"/>
  <c r="AM181" i="2"/>
  <c r="AM191" i="2"/>
  <c r="AM63" i="2"/>
  <c r="AN22" i="2"/>
  <c r="AN20" i="2"/>
  <c r="AM42" i="2"/>
  <c r="AM160" i="2"/>
  <c r="AM202" i="2"/>
  <c r="AM39" i="2"/>
  <c r="AN16" i="2"/>
  <c r="AM108" i="2"/>
  <c r="AM183" i="2"/>
  <c r="AM190" i="2"/>
  <c r="AM195" i="2"/>
  <c r="AN17" i="2"/>
  <c r="AM46" i="2"/>
  <c r="AM33" i="2"/>
  <c r="AM109" i="2"/>
  <c r="AM104" i="2"/>
  <c r="AM85" i="2"/>
  <c r="AM205" i="2"/>
  <c r="AM201" i="2"/>
  <c r="AM31" i="2"/>
  <c r="AM98" i="2"/>
  <c r="AM97" i="2"/>
  <c r="AM156" i="2"/>
  <c r="AM78" i="2"/>
  <c r="AM47" i="2"/>
  <c r="AM176" i="2"/>
  <c r="AM128" i="2"/>
  <c r="AM136" i="2"/>
  <c r="AM53" i="2"/>
  <c r="AM209" i="2"/>
  <c r="AM134" i="2"/>
  <c r="AM161" i="2"/>
  <c r="AM32" i="2"/>
  <c r="AM45" i="2"/>
  <c r="AM174" i="2"/>
  <c r="AM54" i="2"/>
  <c r="AM127" i="2"/>
  <c r="AM142" i="2"/>
  <c r="AM196" i="2"/>
  <c r="AM50" i="2"/>
  <c r="AM146" i="2"/>
  <c r="AM210" i="2"/>
  <c r="AM51" i="2"/>
  <c r="AM182" i="2"/>
  <c r="AM131" i="2"/>
  <c r="AM203" i="2"/>
  <c r="AM102" i="2"/>
  <c r="AM59" i="2"/>
  <c r="AM110" i="2"/>
  <c r="AN19" i="2"/>
  <c r="H22" i="19" l="1"/>
  <c r="H13" i="19"/>
  <c r="H28" i="19"/>
  <c r="H21" i="19"/>
  <c r="H10" i="19"/>
  <c r="H15" i="19"/>
  <c r="H9" i="19"/>
  <c r="H26" i="19"/>
  <c r="H23" i="19"/>
  <c r="H14" i="19"/>
  <c r="H8" i="19"/>
  <c r="E5" i="19"/>
  <c r="B37" i="19" s="1"/>
  <c r="H27" i="19"/>
  <c r="D22" i="20"/>
  <c r="K22" i="20" s="1"/>
  <c r="D31" i="20"/>
  <c r="K31" i="20" s="1"/>
  <c r="D39" i="20"/>
  <c r="K39" i="20" s="1"/>
  <c r="E25" i="20"/>
  <c r="L25" i="20" s="1"/>
  <c r="D26" i="20"/>
  <c r="K26" i="20" s="1"/>
  <c r="E37" i="20"/>
  <c r="L37" i="20" s="1"/>
  <c r="D27" i="20"/>
  <c r="K27" i="20" s="1"/>
  <c r="D35" i="20"/>
  <c r="K35" i="20" s="1"/>
  <c r="D25" i="20"/>
  <c r="K25" i="20" s="1"/>
  <c r="E38" i="20"/>
  <c r="L38" i="20" s="1"/>
  <c r="E35" i="20"/>
  <c r="L35" i="20" s="1"/>
  <c r="D28" i="20"/>
  <c r="K28" i="20" s="1"/>
  <c r="E33" i="20"/>
  <c r="L33" i="20" s="1"/>
  <c r="E34" i="20"/>
  <c r="L34" i="20" s="1"/>
  <c r="E40" i="20"/>
  <c r="L40" i="20" s="1"/>
  <c r="D36" i="20"/>
  <c r="K36" i="20" s="1"/>
  <c r="D23" i="20"/>
  <c r="K23" i="20" s="1"/>
  <c r="D24" i="20"/>
  <c r="K24" i="20" s="1"/>
  <c r="D33" i="20"/>
  <c r="K33" i="20" s="1"/>
  <c r="E39" i="20"/>
  <c r="L39" i="20" s="1"/>
  <c r="D37" i="20"/>
  <c r="K37" i="20" s="1"/>
  <c r="E24" i="20"/>
  <c r="L24" i="20" s="1"/>
  <c r="E30" i="20"/>
  <c r="L30" i="20" s="1"/>
  <c r="E32" i="20"/>
  <c r="L32" i="20" s="1"/>
  <c r="E27" i="20"/>
  <c r="L27" i="20" s="1"/>
  <c r="D32" i="20"/>
  <c r="K32" i="20" s="1"/>
  <c r="E28" i="20"/>
  <c r="L28" i="20" s="1"/>
  <c r="E31" i="20"/>
  <c r="L31" i="20" s="1"/>
  <c r="E23" i="20"/>
  <c r="L23" i="20" s="1"/>
  <c r="D40" i="20"/>
  <c r="K40" i="20" s="1"/>
  <c r="D38" i="20"/>
  <c r="K38" i="20" s="1"/>
  <c r="E36" i="20"/>
  <c r="L36" i="20" s="1"/>
  <c r="E22" i="20"/>
  <c r="L22" i="20" s="1"/>
  <c r="D30" i="20"/>
  <c r="K30" i="20" s="1"/>
  <c r="D34" i="20"/>
  <c r="K34" i="20" s="1"/>
  <c r="B18" i="20"/>
  <c r="E26" i="20"/>
  <c r="L26" i="20" s="1"/>
  <c r="E29" i="20"/>
  <c r="L29" i="20" s="1"/>
  <c r="AL15" i="2"/>
  <c r="AN193" i="2" s="1"/>
  <c r="B13" i="21"/>
  <c r="B12" i="21"/>
  <c r="Z10" i="2"/>
  <c r="Z11" i="2" s="1"/>
  <c r="AA8" i="2"/>
  <c r="AC10" i="2"/>
  <c r="AE10" i="2"/>
  <c r="AD10" i="2"/>
  <c r="AF10" i="2"/>
  <c r="AH10" i="2" s="1"/>
  <c r="H29" i="19" l="1"/>
  <c r="K29" i="19" s="1"/>
  <c r="H24" i="19"/>
  <c r="K24" i="19" s="1"/>
  <c r="H11" i="19"/>
  <c r="K11" i="19" s="1"/>
  <c r="H16" i="19"/>
  <c r="K16" i="19" s="1"/>
  <c r="AN78" i="2"/>
  <c r="AN98" i="2"/>
  <c r="AN103" i="2"/>
  <c r="AO20" i="2"/>
  <c r="AN70" i="2"/>
  <c r="AN116" i="2"/>
  <c r="AN101" i="2"/>
  <c r="AN147" i="2"/>
  <c r="AN57" i="2"/>
  <c r="AN36" i="2"/>
  <c r="AN80" i="2"/>
  <c r="AN86" i="2"/>
  <c r="AN130" i="2"/>
  <c r="AN203" i="2"/>
  <c r="AN76" i="2"/>
  <c r="AN59" i="2"/>
  <c r="AN55" i="2"/>
  <c r="AN172" i="2"/>
  <c r="AN95" i="2"/>
  <c r="AN74" i="2"/>
  <c r="AO25" i="2"/>
  <c r="AN194" i="2"/>
  <c r="AN151" i="2"/>
  <c r="AN62" i="2"/>
  <c r="AN143" i="2"/>
  <c r="AN200" i="2"/>
  <c r="AN43" i="2"/>
  <c r="AN46" i="2"/>
  <c r="AO18" i="2"/>
  <c r="AN190" i="2"/>
  <c r="AN139" i="2"/>
  <c r="AN126" i="2"/>
  <c r="AN182" i="2"/>
  <c r="AN67" i="2"/>
  <c r="AN119" i="2"/>
  <c r="AN63" i="2"/>
  <c r="AN197" i="2"/>
  <c r="AO17" i="2"/>
  <c r="AN131" i="2"/>
  <c r="AN58" i="2"/>
  <c r="AN100" i="2"/>
  <c r="AO19" i="2"/>
  <c r="AN117" i="2"/>
  <c r="AP15" i="2"/>
  <c r="AQ20" i="2" s="1"/>
  <c r="AN85" i="2"/>
  <c r="AN177" i="2"/>
  <c r="AN96" i="2"/>
  <c r="AN206" i="2"/>
  <c r="AN171" i="2"/>
  <c r="AN199" i="2"/>
  <c r="AN129" i="2"/>
  <c r="AN51" i="2"/>
  <c r="AP51" i="2" s="1"/>
  <c r="AU51" i="2" s="1"/>
  <c r="AN137" i="2"/>
  <c r="AN114" i="2"/>
  <c r="AN35" i="2"/>
  <c r="AN210" i="2"/>
  <c r="AP210" i="2" s="1"/>
  <c r="AU210" i="2" s="1"/>
  <c r="AN39" i="2"/>
  <c r="AN167" i="2"/>
  <c r="AN68" i="2"/>
  <c r="AN89" i="2"/>
  <c r="AP89" i="2" s="1"/>
  <c r="AU89" i="2" s="1"/>
  <c r="AN178" i="2"/>
  <c r="AN152" i="2"/>
  <c r="AN141" i="2"/>
  <c r="AN146" i="2"/>
  <c r="AP146" i="2" s="1"/>
  <c r="AN37" i="2"/>
  <c r="AN31" i="2"/>
  <c r="AN53" i="2"/>
  <c r="AN157" i="2"/>
  <c r="AP157" i="2" s="1"/>
  <c r="AU157" i="2" s="1"/>
  <c r="AN165" i="2"/>
  <c r="AN72" i="2"/>
  <c r="AN173" i="2"/>
  <c r="AN32" i="2"/>
  <c r="AP32" i="2" s="1"/>
  <c r="AQ32" i="2" s="1"/>
  <c r="AN156" i="2"/>
  <c r="AN66" i="2"/>
  <c r="AO22" i="2"/>
  <c r="AN109" i="2"/>
  <c r="AP109" i="2" s="1"/>
  <c r="AN54" i="2"/>
  <c r="AN108" i="2"/>
  <c r="AN99" i="2"/>
  <c r="AN81" i="2"/>
  <c r="AP81" i="2" s="1"/>
  <c r="AN118" i="2"/>
  <c r="AN94" i="2"/>
  <c r="AN148" i="2"/>
  <c r="AN175" i="2"/>
  <c r="AP175" i="2" s="1"/>
  <c r="AQ175" i="2" s="1"/>
  <c r="AN181" i="2"/>
  <c r="AN144" i="2"/>
  <c r="AN163" i="2"/>
  <c r="AN191" i="2"/>
  <c r="AP191" i="2" s="1"/>
  <c r="AQ191" i="2" s="1"/>
  <c r="AN204" i="2"/>
  <c r="AN150" i="2"/>
  <c r="AO24" i="2"/>
  <c r="AN127" i="2"/>
  <c r="AP127" i="2" s="1"/>
  <c r="AU127" i="2" s="1"/>
  <c r="AN112" i="2"/>
  <c r="AN159" i="2"/>
  <c r="AN133" i="2"/>
  <c r="AN56" i="2"/>
  <c r="AP56" i="2" s="1"/>
  <c r="AN93" i="2"/>
  <c r="AN198" i="2"/>
  <c r="AO16" i="2"/>
  <c r="AN44" i="2"/>
  <c r="AP44" i="2" s="1"/>
  <c r="AQ44" i="2" s="1"/>
  <c r="AN77" i="2"/>
  <c r="AN170" i="2"/>
  <c r="AN205" i="2"/>
  <c r="AN52" i="2"/>
  <c r="AP52" i="2" s="1"/>
  <c r="AQ52" i="2" s="1"/>
  <c r="AN142" i="2"/>
  <c r="AN38" i="2"/>
  <c r="AN128" i="2"/>
  <c r="AN162" i="2"/>
  <c r="AP162" i="2" s="1"/>
  <c r="AQ162" i="2" s="1"/>
  <c r="AN184" i="2"/>
  <c r="AN154" i="2"/>
  <c r="AN75" i="2"/>
  <c r="AN120" i="2"/>
  <c r="AP120" i="2" s="1"/>
  <c r="AQ120" i="2" s="1"/>
  <c r="AN153" i="2"/>
  <c r="AN84" i="2"/>
  <c r="AN90" i="2"/>
  <c r="AN60" i="2"/>
  <c r="AP60" i="2" s="1"/>
  <c r="AU60" i="2" s="1"/>
  <c r="AN110" i="2"/>
  <c r="AN121" i="2"/>
  <c r="AN61" i="2"/>
  <c r="AN83" i="2"/>
  <c r="AP83" i="2" s="1"/>
  <c r="AU83" i="2" s="1"/>
  <c r="AN113" i="2"/>
  <c r="AN71" i="2"/>
  <c r="AN125" i="2"/>
  <c r="AN42" i="2"/>
  <c r="AP42" i="2" s="1"/>
  <c r="AU42" i="2" s="1"/>
  <c r="AN132" i="2"/>
  <c r="AN166" i="2"/>
  <c r="AN176" i="2"/>
  <c r="AN69" i="2"/>
  <c r="AP69" i="2" s="1"/>
  <c r="AQ69" i="2" s="1"/>
  <c r="AN168" i="2"/>
  <c r="AN183" i="2"/>
  <c r="AN149" i="2"/>
  <c r="AN123" i="2"/>
  <c r="AP123" i="2" s="1"/>
  <c r="AQ123" i="2" s="1"/>
  <c r="AN185" i="2"/>
  <c r="AN145" i="2"/>
  <c r="AN155" i="2"/>
  <c r="AN192" i="2"/>
  <c r="AP192" i="2" s="1"/>
  <c r="AU192" i="2" s="1"/>
  <c r="AN195" i="2"/>
  <c r="AN180" i="2"/>
  <c r="AN186" i="2"/>
  <c r="AN92" i="2"/>
  <c r="AP92" i="2" s="1"/>
  <c r="AQ92" i="2" s="1"/>
  <c r="AN45" i="2"/>
  <c r="AN40" i="2"/>
  <c r="AN106" i="2"/>
  <c r="AN65" i="2"/>
  <c r="AP65" i="2" s="1"/>
  <c r="AQ65" i="2" s="1"/>
  <c r="AN111" i="2"/>
  <c r="AN107" i="2"/>
  <c r="AN79" i="2"/>
  <c r="AN48" i="2"/>
  <c r="AP48" i="2" s="1"/>
  <c r="AU48" i="2" s="1"/>
  <c r="AN187" i="2"/>
  <c r="AN134" i="2"/>
  <c r="AN105" i="2"/>
  <c r="AN189" i="2"/>
  <c r="AP189" i="2" s="1"/>
  <c r="AQ189" i="2" s="1"/>
  <c r="AN202" i="2"/>
  <c r="AN34" i="2"/>
  <c r="AN169" i="2"/>
  <c r="AN49" i="2"/>
  <c r="AP49" i="2" s="1"/>
  <c r="AQ49" i="2" s="1"/>
  <c r="AN138" i="2"/>
  <c r="AN174" i="2"/>
  <c r="AN124" i="2"/>
  <c r="AN136" i="2"/>
  <c r="AP136" i="2" s="1"/>
  <c r="AU136" i="2" s="1"/>
  <c r="AN104" i="2"/>
  <c r="AN33" i="2"/>
  <c r="AN209" i="2"/>
  <c r="AN122" i="2"/>
  <c r="AP122" i="2" s="1"/>
  <c r="AN73" i="2"/>
  <c r="AN41" i="2"/>
  <c r="AN30" i="2"/>
  <c r="AN97" i="2"/>
  <c r="AP97" i="2" s="1"/>
  <c r="AQ97" i="2" s="1"/>
  <c r="AO21" i="2"/>
  <c r="AN47" i="2"/>
  <c r="AN164" i="2"/>
  <c r="AN158" i="2"/>
  <c r="AP158" i="2" s="1"/>
  <c r="AQ158" i="2" s="1"/>
  <c r="AN82" i="2"/>
  <c r="AN87" i="2"/>
  <c r="AN201" i="2"/>
  <c r="AN179" i="2"/>
  <c r="AP179" i="2" s="1"/>
  <c r="AN102" i="2"/>
  <c r="AN160" i="2"/>
  <c r="AN135" i="2"/>
  <c r="AN188" i="2"/>
  <c r="AP188" i="2" s="1"/>
  <c r="AN207" i="2"/>
  <c r="AN50" i="2"/>
  <c r="AN161" i="2"/>
  <c r="AO23" i="2"/>
  <c r="AQ23" i="2" s="1"/>
  <c r="AV23" i="2" s="1"/>
  <c r="AN196" i="2"/>
  <c r="AN88" i="2"/>
  <c r="AN140" i="2"/>
  <c r="AN91" i="2"/>
  <c r="AP91" i="2" s="1"/>
  <c r="AU91" i="2" s="1"/>
  <c r="AO26" i="2"/>
  <c r="AN115" i="2"/>
  <c r="AN208" i="2"/>
  <c r="AN64" i="2"/>
  <c r="AP64" i="2" s="1"/>
  <c r="AU64" i="2" s="1"/>
  <c r="B16" i="21"/>
  <c r="B14" i="21"/>
  <c r="B15" i="21"/>
  <c r="B17" i="21"/>
  <c r="AE11" i="2"/>
  <c r="AG10" i="2"/>
  <c r="AG12" i="2" s="1"/>
  <c r="AC8" i="2"/>
  <c r="AF8" i="2" s="1"/>
  <c r="AB8" i="2"/>
  <c r="AE8" i="2" s="1"/>
  <c r="K31" i="19" l="1"/>
  <c r="E37" i="19" s="1"/>
  <c r="K18" i="19"/>
  <c r="AP206" i="2"/>
  <c r="AU206" i="2" s="1"/>
  <c r="T206" i="2" s="1"/>
  <c r="AQ91" i="2"/>
  <c r="F91" i="2" s="1"/>
  <c r="AU191" i="2"/>
  <c r="T191" i="2" s="1"/>
  <c r="AU162" i="2"/>
  <c r="AV162" i="2" s="1"/>
  <c r="AW162" i="2" s="1"/>
  <c r="AQ157" i="2"/>
  <c r="AR157" i="2" s="1"/>
  <c r="AS157" i="2" s="1"/>
  <c r="AU32" i="2"/>
  <c r="AV32" i="2" s="1"/>
  <c r="AW32" i="2" s="1"/>
  <c r="AQ19" i="2"/>
  <c r="AV19" i="2" s="1"/>
  <c r="AW19" i="2" s="1"/>
  <c r="AX19" i="2" s="1"/>
  <c r="AQ17" i="2"/>
  <c r="AR17" i="2" s="1"/>
  <c r="F17" i="2" s="1"/>
  <c r="O17" i="2" s="1"/>
  <c r="AP67" i="2"/>
  <c r="AQ67" i="2" s="1"/>
  <c r="F67" i="2" s="1"/>
  <c r="AU92" i="2"/>
  <c r="T92" i="2" s="1"/>
  <c r="AP190" i="2"/>
  <c r="AU190" i="2" s="1"/>
  <c r="T190" i="2" s="1"/>
  <c r="AP200" i="2"/>
  <c r="AP194" i="2"/>
  <c r="AU194" i="2" s="1"/>
  <c r="AV194" i="2" s="1"/>
  <c r="AW194" i="2" s="1"/>
  <c r="AP172" i="2"/>
  <c r="AQ42" i="2"/>
  <c r="AR42" i="2" s="1"/>
  <c r="AS42" i="2" s="1"/>
  <c r="AQ48" i="2"/>
  <c r="AR48" i="2" s="1"/>
  <c r="AS48" i="2" s="1"/>
  <c r="AQ60" i="2"/>
  <c r="F60" i="2" s="1"/>
  <c r="AQ64" i="2"/>
  <c r="AR64" i="2" s="1"/>
  <c r="AS64" i="2" s="1"/>
  <c r="AU65" i="2"/>
  <c r="T65" i="2" s="1"/>
  <c r="AU175" i="2"/>
  <c r="AV175" i="2" s="1"/>
  <c r="AW175" i="2" s="1"/>
  <c r="AP101" i="2"/>
  <c r="AQ101" i="2" s="1"/>
  <c r="AR101" i="2" s="1"/>
  <c r="AS101" i="2" s="1"/>
  <c r="AQ192" i="2"/>
  <c r="AR192" i="2" s="1"/>
  <c r="AS192" i="2" s="1"/>
  <c r="AQ51" i="2"/>
  <c r="F51" i="2" s="1"/>
  <c r="AQ127" i="2"/>
  <c r="F127" i="2" s="1"/>
  <c r="AP193" i="2"/>
  <c r="AU193" i="2" s="1"/>
  <c r="AU97" i="2"/>
  <c r="T97" i="2" s="1"/>
  <c r="AQ89" i="2"/>
  <c r="F89" i="2" s="1"/>
  <c r="AU189" i="2"/>
  <c r="T189" i="2" s="1"/>
  <c r="AR23" i="2"/>
  <c r="F23" i="2" s="1"/>
  <c r="O23" i="2" s="1"/>
  <c r="AU44" i="2"/>
  <c r="T44" i="2" s="1"/>
  <c r="AQ83" i="2"/>
  <c r="AR83" i="2" s="1"/>
  <c r="AS83" i="2" s="1"/>
  <c r="AQ210" i="2"/>
  <c r="AR210" i="2" s="1"/>
  <c r="AS210" i="2" s="1"/>
  <c r="AQ136" i="2"/>
  <c r="AR136" i="2" s="1"/>
  <c r="AS136" i="2" s="1"/>
  <c r="AU52" i="2"/>
  <c r="AV52" i="2" s="1"/>
  <c r="AW52" i="2" s="1"/>
  <c r="AU120" i="2"/>
  <c r="T120" i="2" s="1"/>
  <c r="AV20" i="2"/>
  <c r="AW20" i="2" s="1"/>
  <c r="AX20" i="2" s="1"/>
  <c r="AR20" i="2"/>
  <c r="F20" i="2" s="1"/>
  <c r="O20" i="2" s="1"/>
  <c r="AQ81" i="2"/>
  <c r="AR81" i="2" s="1"/>
  <c r="AS81" i="2" s="1"/>
  <c r="AU81" i="2"/>
  <c r="AV81" i="2" s="1"/>
  <c r="AW81" i="2" s="1"/>
  <c r="AP197" i="2"/>
  <c r="AQ25" i="2"/>
  <c r="AP208" i="2"/>
  <c r="AP140" i="2"/>
  <c r="AP161" i="2"/>
  <c r="AP201" i="2"/>
  <c r="AP164" i="2"/>
  <c r="AP30" i="2"/>
  <c r="AP209" i="2"/>
  <c r="AP124" i="2"/>
  <c r="AP169" i="2"/>
  <c r="AP105" i="2"/>
  <c r="AP79" i="2"/>
  <c r="AP106" i="2"/>
  <c r="AP186" i="2"/>
  <c r="AP155" i="2"/>
  <c r="AP149" i="2"/>
  <c r="AP176" i="2"/>
  <c r="AP125" i="2"/>
  <c r="AP61" i="2"/>
  <c r="AP90" i="2"/>
  <c r="AP75" i="2"/>
  <c r="AP128" i="2"/>
  <c r="AP205" i="2"/>
  <c r="AQ16" i="2"/>
  <c r="AP133" i="2"/>
  <c r="AQ24" i="2"/>
  <c r="AP163" i="2"/>
  <c r="AP148" i="2"/>
  <c r="AP99" i="2"/>
  <c r="AQ22" i="2"/>
  <c r="AP173" i="2"/>
  <c r="AP53" i="2"/>
  <c r="AP141" i="2"/>
  <c r="AP68" i="2"/>
  <c r="AP35" i="2"/>
  <c r="AP129" i="2"/>
  <c r="AP96" i="2"/>
  <c r="AP130" i="2"/>
  <c r="AP70" i="2"/>
  <c r="AQ188" i="2"/>
  <c r="F188" i="2" s="1"/>
  <c r="AU188" i="2"/>
  <c r="AV188" i="2" s="1"/>
  <c r="AW188" i="2" s="1"/>
  <c r="AQ179" i="2"/>
  <c r="F179" i="2" s="1"/>
  <c r="AU179" i="2"/>
  <c r="AV179" i="2" s="1"/>
  <c r="AW179" i="2" s="1"/>
  <c r="AU122" i="2"/>
  <c r="T122" i="2" s="1"/>
  <c r="AQ122" i="2"/>
  <c r="AR122" i="2" s="1"/>
  <c r="AS122" i="2" s="1"/>
  <c r="AU56" i="2"/>
  <c r="T56" i="2" s="1"/>
  <c r="AQ56" i="2"/>
  <c r="F56" i="2" s="1"/>
  <c r="AQ109" i="2"/>
  <c r="AR109" i="2" s="1"/>
  <c r="AS109" i="2" s="1"/>
  <c r="AU109" i="2"/>
  <c r="AV109" i="2" s="1"/>
  <c r="AW109" i="2" s="1"/>
  <c r="AQ146" i="2"/>
  <c r="F146" i="2" s="1"/>
  <c r="AU146" i="2"/>
  <c r="T146" i="2" s="1"/>
  <c r="AP36" i="2"/>
  <c r="AP86" i="2"/>
  <c r="AP103" i="2"/>
  <c r="AP147" i="2"/>
  <c r="AP116" i="2"/>
  <c r="AP57" i="2"/>
  <c r="AP98" i="2"/>
  <c r="AP78" i="2"/>
  <c r="AP59" i="2"/>
  <c r="AP203" i="2"/>
  <c r="AP100" i="2"/>
  <c r="AP182" i="2"/>
  <c r="AQ18" i="2"/>
  <c r="AP143" i="2"/>
  <c r="AP55" i="2"/>
  <c r="AU123" i="2"/>
  <c r="AV123" i="2" s="1"/>
  <c r="AW123" i="2" s="1"/>
  <c r="AU69" i="2"/>
  <c r="T69" i="2" s="1"/>
  <c r="AP135" i="2"/>
  <c r="AU49" i="2"/>
  <c r="AU158" i="2"/>
  <c r="AV158" i="2" s="1"/>
  <c r="AW158" i="2" s="1"/>
  <c r="AP76" i="2"/>
  <c r="AP80" i="2"/>
  <c r="AP115" i="2"/>
  <c r="AP88" i="2"/>
  <c r="AP50" i="2"/>
  <c r="AP160" i="2"/>
  <c r="AP87" i="2"/>
  <c r="AP47" i="2"/>
  <c r="AP41" i="2"/>
  <c r="AP33" i="2"/>
  <c r="AP174" i="2"/>
  <c r="AP34" i="2"/>
  <c r="AP134" i="2"/>
  <c r="AP107" i="2"/>
  <c r="AP40" i="2"/>
  <c r="AP180" i="2"/>
  <c r="AP145" i="2"/>
  <c r="AP183" i="2"/>
  <c r="AP166" i="2"/>
  <c r="AP71" i="2"/>
  <c r="AP121" i="2"/>
  <c r="AP84" i="2"/>
  <c r="AP154" i="2"/>
  <c r="AP38" i="2"/>
  <c r="AP170" i="2"/>
  <c r="AP198" i="2"/>
  <c r="AP159" i="2"/>
  <c r="AP150" i="2"/>
  <c r="AP144" i="2"/>
  <c r="AP94" i="2"/>
  <c r="AP108" i="2"/>
  <c r="AP66" i="2"/>
  <c r="AP72" i="2"/>
  <c r="AP31" i="2"/>
  <c r="AP152" i="2"/>
  <c r="AP167" i="2"/>
  <c r="AP114" i="2"/>
  <c r="AP199" i="2"/>
  <c r="AP177" i="2"/>
  <c r="AP58" i="2"/>
  <c r="AP63" i="2"/>
  <c r="AP126" i="2"/>
  <c r="AP46" i="2"/>
  <c r="AP62" i="2"/>
  <c r="AP74" i="2"/>
  <c r="AQ26" i="2"/>
  <c r="AP196" i="2"/>
  <c r="AP207" i="2"/>
  <c r="AP102" i="2"/>
  <c r="AP82" i="2"/>
  <c r="AQ21" i="2"/>
  <c r="AP73" i="2"/>
  <c r="AP104" i="2"/>
  <c r="AP138" i="2"/>
  <c r="AP202" i="2"/>
  <c r="AP187" i="2"/>
  <c r="AP111" i="2"/>
  <c r="AP45" i="2"/>
  <c r="AP195" i="2"/>
  <c r="AP185" i="2"/>
  <c r="AP168" i="2"/>
  <c r="AP132" i="2"/>
  <c r="AP113" i="2"/>
  <c r="AP110" i="2"/>
  <c r="AP153" i="2"/>
  <c r="AP184" i="2"/>
  <c r="AP142" i="2"/>
  <c r="AP77" i="2"/>
  <c r="AP93" i="2"/>
  <c r="AP112" i="2"/>
  <c r="AP204" i="2"/>
  <c r="AP181" i="2"/>
  <c r="AP118" i="2"/>
  <c r="AP54" i="2"/>
  <c r="AP156" i="2"/>
  <c r="AP165" i="2"/>
  <c r="AP37" i="2"/>
  <c r="AP178" i="2"/>
  <c r="AP39" i="2"/>
  <c r="AP137" i="2"/>
  <c r="AP171" i="2"/>
  <c r="AP85" i="2"/>
  <c r="AP117" i="2"/>
  <c r="AP131" i="2"/>
  <c r="AP119" i="2"/>
  <c r="AP139" i="2"/>
  <c r="AP43" i="2"/>
  <c r="AP151" i="2"/>
  <c r="AP95" i="2"/>
  <c r="E30" i="21"/>
  <c r="L30" i="21" s="1"/>
  <c r="E22" i="21"/>
  <c r="L22" i="21" s="1"/>
  <c r="E29" i="21"/>
  <c r="L29" i="21" s="1"/>
  <c r="D25" i="21"/>
  <c r="K25" i="21" s="1"/>
  <c r="D26" i="21"/>
  <c r="K26" i="21" s="1"/>
  <c r="E28" i="21"/>
  <c r="L28" i="21" s="1"/>
  <c r="D28" i="21"/>
  <c r="K28" i="21" s="1"/>
  <c r="D27" i="21"/>
  <c r="K27" i="21" s="1"/>
  <c r="D22" i="21"/>
  <c r="K22" i="21" s="1"/>
  <c r="E23" i="21"/>
  <c r="L23" i="21" s="1"/>
  <c r="E26" i="21"/>
  <c r="L26" i="21" s="1"/>
  <c r="E25" i="21"/>
  <c r="L25" i="21" s="1"/>
  <c r="D30" i="21"/>
  <c r="K30" i="21" s="1"/>
  <c r="D29" i="21"/>
  <c r="K29" i="21" s="1"/>
  <c r="B18" i="21"/>
  <c r="E24" i="21"/>
  <c r="L24" i="21" s="1"/>
  <c r="D23" i="21"/>
  <c r="K23" i="21" s="1"/>
  <c r="E27" i="21"/>
  <c r="L27" i="21" s="1"/>
  <c r="D24" i="21"/>
  <c r="K24" i="21" s="1"/>
  <c r="E31" i="21"/>
  <c r="L31" i="21" s="1"/>
  <c r="D31" i="21"/>
  <c r="K31" i="21" s="1"/>
  <c r="E32" i="21"/>
  <c r="L32" i="21" s="1"/>
  <c r="D32" i="21"/>
  <c r="K32" i="21" s="1"/>
  <c r="E33" i="21"/>
  <c r="L33" i="21" s="1"/>
  <c r="D33" i="21"/>
  <c r="K33" i="21" s="1"/>
  <c r="D34" i="21"/>
  <c r="K34" i="21" s="1"/>
  <c r="E34" i="21"/>
  <c r="L34" i="21" s="1"/>
  <c r="E35" i="21"/>
  <c r="L35" i="21" s="1"/>
  <c r="D35" i="21"/>
  <c r="K35" i="21" s="1"/>
  <c r="D36" i="21"/>
  <c r="K36" i="21" s="1"/>
  <c r="E36" i="21"/>
  <c r="L36" i="21" s="1"/>
  <c r="E37" i="21"/>
  <c r="L37" i="21" s="1"/>
  <c r="D37" i="21"/>
  <c r="K37" i="21" s="1"/>
  <c r="E38" i="21"/>
  <c r="L38" i="21" s="1"/>
  <c r="D38" i="21"/>
  <c r="K38" i="21" s="1"/>
  <c r="D39" i="21"/>
  <c r="K39" i="21" s="1"/>
  <c r="E39" i="21"/>
  <c r="L39" i="21" s="1"/>
  <c r="E40" i="21"/>
  <c r="L40" i="21" s="1"/>
  <c r="D40" i="21"/>
  <c r="K40" i="21" s="1"/>
  <c r="AV192" i="2"/>
  <c r="AW192" i="2" s="1"/>
  <c r="T192" i="2"/>
  <c r="T157" i="2"/>
  <c r="AV157" i="2"/>
  <c r="AW157" i="2" s="1"/>
  <c r="AR49" i="2"/>
  <c r="AS49" i="2" s="1"/>
  <c r="F49" i="2"/>
  <c r="AV51" i="2"/>
  <c r="AW51" i="2" s="1"/>
  <c r="T51" i="2"/>
  <c r="F69" i="2"/>
  <c r="AR69" i="2"/>
  <c r="AS69" i="2" s="1"/>
  <c r="AR189" i="2"/>
  <c r="AS189" i="2" s="1"/>
  <c r="F189" i="2"/>
  <c r="F158" i="2"/>
  <c r="AR158" i="2"/>
  <c r="AS158" i="2" s="1"/>
  <c r="T42" i="2"/>
  <c r="AV42" i="2"/>
  <c r="AW42" i="2" s="1"/>
  <c r="AV91" i="2"/>
  <c r="AW91" i="2" s="1"/>
  <c r="T91" i="2"/>
  <c r="AG8" i="2"/>
  <c r="AI8" i="2" s="1"/>
  <c r="AE3" i="2"/>
  <c r="AV89" i="2"/>
  <c r="AW89" i="2" s="1"/>
  <c r="T89" i="2"/>
  <c r="AV83" i="2"/>
  <c r="AW83" i="2" s="1"/>
  <c r="T83" i="2"/>
  <c r="F92" i="2"/>
  <c r="AR92" i="2"/>
  <c r="AS92" i="2" s="1"/>
  <c r="AR65" i="2"/>
  <c r="AS65" i="2" s="1"/>
  <c r="F65" i="2"/>
  <c r="F162" i="2"/>
  <c r="AR162" i="2"/>
  <c r="AS162" i="2" s="1"/>
  <c r="AV136" i="2"/>
  <c r="AW136" i="2" s="1"/>
  <c r="T136" i="2"/>
  <c r="AV60" i="2"/>
  <c r="AW60" i="2" s="1"/>
  <c r="T60" i="2"/>
  <c r="F97" i="2"/>
  <c r="AR97" i="2"/>
  <c r="AS97" i="2" s="1"/>
  <c r="F44" i="2"/>
  <c r="AR44" i="2"/>
  <c r="AS44" i="2" s="1"/>
  <c r="AV64" i="2"/>
  <c r="AW64" i="2" s="1"/>
  <c r="T64" i="2"/>
  <c r="AH8" i="2"/>
  <c r="AJ8" i="2" s="1"/>
  <c r="AF3" i="2"/>
  <c r="AV92" i="2"/>
  <c r="AW92" i="2" s="1"/>
  <c r="AR123" i="2"/>
  <c r="AS123" i="2" s="1"/>
  <c r="F123" i="2"/>
  <c r="T210" i="2"/>
  <c r="AV210" i="2"/>
  <c r="AW210" i="2" s="1"/>
  <c r="AV65" i="2"/>
  <c r="AW65" i="2" s="1"/>
  <c r="T48" i="2"/>
  <c r="AV48" i="2"/>
  <c r="AW48" i="2" s="1"/>
  <c r="AR32" i="2"/>
  <c r="AS32" i="2" s="1"/>
  <c r="F32" i="2"/>
  <c r="S23" i="2"/>
  <c r="AW23" i="2"/>
  <c r="AX23" i="2" s="1"/>
  <c r="F52" i="2"/>
  <c r="AR52" i="2"/>
  <c r="AS52" i="2" s="1"/>
  <c r="F175" i="2"/>
  <c r="AR175" i="2"/>
  <c r="AS175" i="2" s="1"/>
  <c r="AR191" i="2"/>
  <c r="AS191" i="2" s="1"/>
  <c r="F191" i="2"/>
  <c r="T127" i="2"/>
  <c r="AV127" i="2"/>
  <c r="AW127" i="2" s="1"/>
  <c r="F120" i="2"/>
  <c r="AR120" i="2"/>
  <c r="AS120" i="2" s="1"/>
  <c r="AU67" i="2" l="1"/>
  <c r="AV67" i="2" s="1"/>
  <c r="AW67" i="2" s="1"/>
  <c r="AV206" i="2"/>
  <c r="AW206" i="2" s="1"/>
  <c r="AQ206" i="2"/>
  <c r="AR206" i="2" s="1"/>
  <c r="AS206" i="2" s="1"/>
  <c r="AR51" i="2"/>
  <c r="AS51" i="2" s="1"/>
  <c r="D51" i="2" s="1"/>
  <c r="AV191" i="2"/>
  <c r="AW191" i="2" s="1"/>
  <c r="AR19" i="2"/>
  <c r="F19" i="2" s="1"/>
  <c r="O19" i="2" s="1"/>
  <c r="AR89" i="2"/>
  <c r="AS89" i="2" s="1"/>
  <c r="H89" i="2" s="1"/>
  <c r="T32" i="2"/>
  <c r="U32" i="2" s="1"/>
  <c r="AR91" i="2"/>
  <c r="AS91" i="2" s="1"/>
  <c r="H91" i="2" s="1"/>
  <c r="AV122" i="2"/>
  <c r="AW122" i="2" s="1"/>
  <c r="F64" i="2"/>
  <c r="D64" i="2" s="1"/>
  <c r="T52" i="2"/>
  <c r="S52" i="2" s="1"/>
  <c r="T81" i="2"/>
  <c r="R81" i="2" s="1"/>
  <c r="AR56" i="2"/>
  <c r="AS56" i="2" s="1"/>
  <c r="H56" i="2" s="1"/>
  <c r="AV97" i="2"/>
  <c r="AW97" i="2" s="1"/>
  <c r="F157" i="2"/>
  <c r="L157" i="2" s="1"/>
  <c r="AR67" i="2"/>
  <c r="AS67" i="2" s="1"/>
  <c r="D67" i="2" s="1"/>
  <c r="AU101" i="2"/>
  <c r="T101" i="2" s="1"/>
  <c r="S101" i="2" s="1"/>
  <c r="AR127" i="2"/>
  <c r="AS127" i="2" s="1"/>
  <c r="D127" i="2" s="1"/>
  <c r="T179" i="2"/>
  <c r="AX179" i="2" s="1"/>
  <c r="F210" i="2"/>
  <c r="L210" i="2" s="1"/>
  <c r="AT210" i="2" s="1"/>
  <c r="J210" i="2" s="1"/>
  <c r="T162" i="2"/>
  <c r="U162" i="2" s="1"/>
  <c r="AV17" i="2"/>
  <c r="S17" i="2" s="1"/>
  <c r="AQ190" i="2"/>
  <c r="AR190" i="2" s="1"/>
  <c r="AS190" i="2" s="1"/>
  <c r="F42" i="2"/>
  <c r="D42" i="2" s="1"/>
  <c r="AV120" i="2"/>
  <c r="AW120" i="2" s="1"/>
  <c r="AV190" i="2"/>
  <c r="AW190" i="2" s="1"/>
  <c r="F48" i="2"/>
  <c r="L48" i="2" s="1"/>
  <c r="T123" i="2"/>
  <c r="U123" i="2" s="1"/>
  <c r="AV146" i="2"/>
  <c r="AW146" i="2" s="1"/>
  <c r="T158" i="2"/>
  <c r="AX158" i="2" s="1"/>
  <c r="AV44" i="2"/>
  <c r="AW44" i="2" s="1"/>
  <c r="F83" i="2"/>
  <c r="D83" i="2" s="1"/>
  <c r="T175" i="2"/>
  <c r="W175" i="2" s="1"/>
  <c r="AV189" i="2"/>
  <c r="AW189" i="2" s="1"/>
  <c r="AQ194" i="2"/>
  <c r="AU200" i="2"/>
  <c r="AQ200" i="2"/>
  <c r="AR60" i="2"/>
  <c r="AS60" i="2" s="1"/>
  <c r="D60" i="2" s="1"/>
  <c r="AS17" i="2"/>
  <c r="AT17" i="2" s="1"/>
  <c r="H17" i="2" s="1"/>
  <c r="I17" i="2" s="1"/>
  <c r="AQ172" i="2"/>
  <c r="AU172" i="2"/>
  <c r="AS23" i="2"/>
  <c r="AT23" i="2" s="1"/>
  <c r="D23" i="2" s="1"/>
  <c r="AV69" i="2"/>
  <c r="AW69" i="2" s="1"/>
  <c r="F192" i="2"/>
  <c r="D192" i="2" s="1"/>
  <c r="AQ193" i="2"/>
  <c r="F136" i="2"/>
  <c r="D136" i="2" s="1"/>
  <c r="F101" i="2"/>
  <c r="H101" i="2" s="1"/>
  <c r="AR188" i="2"/>
  <c r="AS188" i="2" s="1"/>
  <c r="H188" i="2" s="1"/>
  <c r="F109" i="2"/>
  <c r="H109" i="2" s="1"/>
  <c r="S20" i="2"/>
  <c r="Q20" i="2" s="1"/>
  <c r="T188" i="2"/>
  <c r="AX188" i="2" s="1"/>
  <c r="T109" i="2"/>
  <c r="U109" i="2" s="1"/>
  <c r="AS20" i="2"/>
  <c r="AT20" i="2" s="1"/>
  <c r="D20" i="2" s="1"/>
  <c r="F122" i="2"/>
  <c r="H122" i="2" s="1"/>
  <c r="AU39" i="2"/>
  <c r="AQ39" i="2"/>
  <c r="AQ142" i="2"/>
  <c r="AU142" i="2"/>
  <c r="AU202" i="2"/>
  <c r="AQ202" i="2"/>
  <c r="AU46" i="2"/>
  <c r="AQ46" i="2"/>
  <c r="AQ108" i="2"/>
  <c r="AU108" i="2"/>
  <c r="AU154" i="2"/>
  <c r="AQ154" i="2"/>
  <c r="AQ174" i="2"/>
  <c r="AU174" i="2"/>
  <c r="AU115" i="2"/>
  <c r="AQ115" i="2"/>
  <c r="AQ100" i="2"/>
  <c r="AU100" i="2"/>
  <c r="AU68" i="2"/>
  <c r="AQ68" i="2"/>
  <c r="AR146" i="2"/>
  <c r="AS146" i="2" s="1"/>
  <c r="H146" i="2" s="1"/>
  <c r="AR179" i="2"/>
  <c r="AS179" i="2" s="1"/>
  <c r="D179" i="2" s="1"/>
  <c r="S19" i="2"/>
  <c r="R19" i="2" s="1"/>
  <c r="Y19" i="2" s="1"/>
  <c r="AU43" i="2"/>
  <c r="AQ43" i="2"/>
  <c r="AQ117" i="2"/>
  <c r="AU117" i="2"/>
  <c r="AQ156" i="2"/>
  <c r="AU156" i="2"/>
  <c r="AQ204" i="2"/>
  <c r="AU204" i="2"/>
  <c r="AQ113" i="2"/>
  <c r="AU113" i="2"/>
  <c r="AQ195" i="2"/>
  <c r="AU195" i="2"/>
  <c r="AR21" i="2"/>
  <c r="AV21" i="2"/>
  <c r="AU196" i="2"/>
  <c r="AQ196" i="2"/>
  <c r="AQ177" i="2"/>
  <c r="AU177" i="2"/>
  <c r="AU152" i="2"/>
  <c r="AQ152" i="2"/>
  <c r="AU159" i="2"/>
  <c r="AQ159" i="2"/>
  <c r="AU166" i="2"/>
  <c r="AQ166" i="2"/>
  <c r="AQ40" i="2"/>
  <c r="AU40" i="2"/>
  <c r="AQ87" i="2"/>
  <c r="AU87" i="2"/>
  <c r="T49" i="2"/>
  <c r="S49" i="2" s="1"/>
  <c r="AV49" i="2"/>
  <c r="AW49" i="2" s="1"/>
  <c r="AQ55" i="2"/>
  <c r="AU55" i="2"/>
  <c r="AU98" i="2"/>
  <c r="AQ98" i="2"/>
  <c r="AU103" i="2"/>
  <c r="AQ103" i="2"/>
  <c r="AU130" i="2"/>
  <c r="AQ130" i="2"/>
  <c r="AV22" i="2"/>
  <c r="AR22" i="2"/>
  <c r="AR24" i="2"/>
  <c r="AV24" i="2"/>
  <c r="AQ128" i="2"/>
  <c r="AU128" i="2"/>
  <c r="AQ125" i="2"/>
  <c r="AU125" i="2"/>
  <c r="AQ186" i="2"/>
  <c r="AU186" i="2"/>
  <c r="AQ169" i="2"/>
  <c r="AU169" i="2"/>
  <c r="AU164" i="2"/>
  <c r="AQ164" i="2"/>
  <c r="AU208" i="2"/>
  <c r="AQ208" i="2"/>
  <c r="AV193" i="2"/>
  <c r="AW193" i="2" s="1"/>
  <c r="T193" i="2"/>
  <c r="S193" i="2" s="1"/>
  <c r="T194" i="2"/>
  <c r="S194" i="2" s="1"/>
  <c r="F81" i="2"/>
  <c r="D81" i="2" s="1"/>
  <c r="AV56" i="2"/>
  <c r="AW56" i="2" s="1"/>
  <c r="AU85" i="2"/>
  <c r="AQ85" i="2"/>
  <c r="AQ112" i="2"/>
  <c r="AU112" i="2"/>
  <c r="AQ45" i="2"/>
  <c r="AU45" i="2"/>
  <c r="AV26" i="2"/>
  <c r="AR26" i="2"/>
  <c r="AU199" i="2"/>
  <c r="AQ199" i="2"/>
  <c r="AU198" i="2"/>
  <c r="AQ198" i="2"/>
  <c r="AQ107" i="2"/>
  <c r="AU107" i="2"/>
  <c r="AQ143" i="2"/>
  <c r="AU143" i="2"/>
  <c r="AQ95" i="2"/>
  <c r="AU95" i="2"/>
  <c r="AU119" i="2"/>
  <c r="AQ119" i="2"/>
  <c r="AU171" i="2"/>
  <c r="AQ171" i="2"/>
  <c r="AU37" i="2"/>
  <c r="AQ37" i="2"/>
  <c r="AQ118" i="2"/>
  <c r="AU118" i="2"/>
  <c r="AU93" i="2"/>
  <c r="AQ93" i="2"/>
  <c r="AQ153" i="2"/>
  <c r="AU153" i="2"/>
  <c r="AQ168" i="2"/>
  <c r="AU168" i="2"/>
  <c r="AU111" i="2"/>
  <c r="AQ111" i="2"/>
  <c r="AQ104" i="2"/>
  <c r="AU104" i="2"/>
  <c r="AU102" i="2"/>
  <c r="AQ102" i="2"/>
  <c r="AU74" i="2"/>
  <c r="AQ74" i="2"/>
  <c r="AQ63" i="2"/>
  <c r="AU63" i="2"/>
  <c r="AU114" i="2"/>
  <c r="AQ114" i="2"/>
  <c r="AU72" i="2"/>
  <c r="AQ72" i="2"/>
  <c r="AQ144" i="2"/>
  <c r="AU144" i="2"/>
  <c r="AQ170" i="2"/>
  <c r="AU170" i="2"/>
  <c r="AQ121" i="2"/>
  <c r="AU121" i="2"/>
  <c r="AU145" i="2"/>
  <c r="AQ145" i="2"/>
  <c r="AQ134" i="2"/>
  <c r="AU134" i="2"/>
  <c r="AQ41" i="2"/>
  <c r="AU41" i="2"/>
  <c r="AU50" i="2"/>
  <c r="AQ50" i="2"/>
  <c r="AU76" i="2"/>
  <c r="AQ76" i="2"/>
  <c r="AV18" i="2"/>
  <c r="AR18" i="2"/>
  <c r="AU59" i="2"/>
  <c r="AQ59" i="2"/>
  <c r="AU116" i="2"/>
  <c r="AQ116" i="2"/>
  <c r="AU36" i="2"/>
  <c r="AQ36" i="2"/>
  <c r="AU129" i="2"/>
  <c r="AQ129" i="2"/>
  <c r="AQ53" i="2"/>
  <c r="AU53" i="2"/>
  <c r="AQ148" i="2"/>
  <c r="AU148" i="2"/>
  <c r="AV16" i="2"/>
  <c r="AR16" i="2"/>
  <c r="AU90" i="2"/>
  <c r="AQ90" i="2"/>
  <c r="AQ149" i="2"/>
  <c r="AU149" i="2"/>
  <c r="AU79" i="2"/>
  <c r="AQ79" i="2"/>
  <c r="AU209" i="2"/>
  <c r="AQ209" i="2"/>
  <c r="AU161" i="2"/>
  <c r="AQ161" i="2"/>
  <c r="AQ197" i="2"/>
  <c r="AU197" i="2"/>
  <c r="AQ139" i="2"/>
  <c r="AU139" i="2"/>
  <c r="AU178" i="2"/>
  <c r="AQ178" i="2"/>
  <c r="AU54" i="2"/>
  <c r="AQ54" i="2"/>
  <c r="AQ184" i="2"/>
  <c r="AU184" i="2"/>
  <c r="AQ132" i="2"/>
  <c r="AU132" i="2"/>
  <c r="AQ138" i="2"/>
  <c r="AU138" i="2"/>
  <c r="AU82" i="2"/>
  <c r="AQ82" i="2"/>
  <c r="AU126" i="2"/>
  <c r="AQ126" i="2"/>
  <c r="AQ31" i="2"/>
  <c r="AU31" i="2"/>
  <c r="AU94" i="2"/>
  <c r="AQ94" i="2"/>
  <c r="AQ84" i="2"/>
  <c r="AU84" i="2"/>
  <c r="AQ183" i="2"/>
  <c r="AU183" i="2"/>
  <c r="AQ33" i="2"/>
  <c r="AU33" i="2"/>
  <c r="AU160" i="2"/>
  <c r="AQ160" i="2"/>
  <c r="AU80" i="2"/>
  <c r="AQ80" i="2"/>
  <c r="AU135" i="2"/>
  <c r="AQ135" i="2"/>
  <c r="AQ203" i="2"/>
  <c r="AU203" i="2"/>
  <c r="AQ57" i="2"/>
  <c r="AU57" i="2"/>
  <c r="AU86" i="2"/>
  <c r="AQ86" i="2"/>
  <c r="AQ96" i="2"/>
  <c r="AU96" i="2"/>
  <c r="AQ141" i="2"/>
  <c r="AU141" i="2"/>
  <c r="AU99" i="2"/>
  <c r="AQ99" i="2"/>
  <c r="AQ133" i="2"/>
  <c r="AU133" i="2"/>
  <c r="AU75" i="2"/>
  <c r="AQ75" i="2"/>
  <c r="AU176" i="2"/>
  <c r="AQ176" i="2"/>
  <c r="AU106" i="2"/>
  <c r="AQ106" i="2"/>
  <c r="AU124" i="2"/>
  <c r="AQ124" i="2"/>
  <c r="AU201" i="2"/>
  <c r="AQ201" i="2"/>
  <c r="AR25" i="2"/>
  <c r="AV25" i="2"/>
  <c r="AU151" i="2"/>
  <c r="AQ151" i="2"/>
  <c r="AQ131" i="2"/>
  <c r="AU131" i="2"/>
  <c r="AQ137" i="2"/>
  <c r="AU137" i="2"/>
  <c r="AQ165" i="2"/>
  <c r="AU165" i="2"/>
  <c r="AU181" i="2"/>
  <c r="AQ181" i="2"/>
  <c r="AQ77" i="2"/>
  <c r="AU77" i="2"/>
  <c r="AU110" i="2"/>
  <c r="AQ110" i="2"/>
  <c r="AQ185" i="2"/>
  <c r="AU185" i="2"/>
  <c r="AU187" i="2"/>
  <c r="AQ187" i="2"/>
  <c r="AQ73" i="2"/>
  <c r="AU73" i="2"/>
  <c r="AQ207" i="2"/>
  <c r="AU207" i="2"/>
  <c r="AQ62" i="2"/>
  <c r="AU62" i="2"/>
  <c r="AU58" i="2"/>
  <c r="AQ58" i="2"/>
  <c r="AQ167" i="2"/>
  <c r="AU167" i="2"/>
  <c r="AU66" i="2"/>
  <c r="AQ66" i="2"/>
  <c r="AU150" i="2"/>
  <c r="AQ150" i="2"/>
  <c r="AU38" i="2"/>
  <c r="AQ38" i="2"/>
  <c r="AU71" i="2"/>
  <c r="AQ71" i="2"/>
  <c r="AU180" i="2"/>
  <c r="AQ180" i="2"/>
  <c r="AU34" i="2"/>
  <c r="AQ34" i="2"/>
  <c r="AU47" i="2"/>
  <c r="AQ47" i="2"/>
  <c r="AU88" i="2"/>
  <c r="AQ88" i="2"/>
  <c r="AQ182" i="2"/>
  <c r="AU182" i="2"/>
  <c r="AQ78" i="2"/>
  <c r="AU78" i="2"/>
  <c r="AU147" i="2"/>
  <c r="AQ147" i="2"/>
  <c r="AQ70" i="2"/>
  <c r="AU70" i="2"/>
  <c r="AU35" i="2"/>
  <c r="AQ35" i="2"/>
  <c r="AU173" i="2"/>
  <c r="AQ173" i="2"/>
  <c r="AU163" i="2"/>
  <c r="AQ163" i="2"/>
  <c r="AU205" i="2"/>
  <c r="AQ205" i="2"/>
  <c r="AQ61" i="2"/>
  <c r="AU61" i="2"/>
  <c r="AU155" i="2"/>
  <c r="AQ155" i="2"/>
  <c r="AU105" i="2"/>
  <c r="AQ105" i="2"/>
  <c r="AU30" i="2"/>
  <c r="AQ30" i="2"/>
  <c r="AQ140" i="2"/>
  <c r="AU140" i="2"/>
  <c r="L191" i="2"/>
  <c r="D191" i="2"/>
  <c r="H191" i="2"/>
  <c r="L120" i="2"/>
  <c r="AT120" i="2" s="1"/>
  <c r="J120" i="2" s="1"/>
  <c r="H120" i="2"/>
  <c r="D120" i="2"/>
  <c r="W127" i="2"/>
  <c r="AX127" i="2"/>
  <c r="S127" i="2"/>
  <c r="V127" i="2"/>
  <c r="R127" i="2"/>
  <c r="U127" i="2"/>
  <c r="H175" i="2"/>
  <c r="D175" i="2"/>
  <c r="L175" i="2"/>
  <c r="AT175" i="2" s="1"/>
  <c r="J175" i="2" s="1"/>
  <c r="L52" i="2"/>
  <c r="AT52" i="2" s="1"/>
  <c r="J52" i="2" s="1"/>
  <c r="H52" i="2"/>
  <c r="D52" i="2"/>
  <c r="W23" i="2"/>
  <c r="AY23" i="2" s="1"/>
  <c r="V23" i="2" s="1"/>
  <c r="Q28" i="10" s="1"/>
  <c r="P58" i="10" s="1"/>
  <c r="Q13" i="10"/>
  <c r="Q23" i="2"/>
  <c r="T23" i="2"/>
  <c r="U23" i="2" s="1"/>
  <c r="R23" i="2"/>
  <c r="Y23" i="2" s="1"/>
  <c r="W48" i="2"/>
  <c r="AX48" i="2" s="1"/>
  <c r="V48" i="2" s="1"/>
  <c r="R48" i="2"/>
  <c r="S48" i="2"/>
  <c r="U48" i="2"/>
  <c r="R194" i="2"/>
  <c r="L67" i="2"/>
  <c r="AT67" i="2" s="1"/>
  <c r="J67" i="2" s="1"/>
  <c r="H123" i="2"/>
  <c r="D123" i="2"/>
  <c r="L123" i="2"/>
  <c r="AT123" i="2" s="1"/>
  <c r="J123" i="2" s="1"/>
  <c r="L89" i="2"/>
  <c r="S64" i="2"/>
  <c r="U64" i="2"/>
  <c r="W64" i="2"/>
  <c r="AX64" i="2" s="1"/>
  <c r="V64" i="2" s="1"/>
  <c r="R64" i="2"/>
  <c r="U60" i="2"/>
  <c r="S60" i="2"/>
  <c r="R60" i="2"/>
  <c r="W60" i="2"/>
  <c r="AX60" i="2" s="1"/>
  <c r="V60" i="2" s="1"/>
  <c r="S136" i="2"/>
  <c r="U136" i="2"/>
  <c r="W136" i="2"/>
  <c r="V136" i="2"/>
  <c r="AX136" i="2"/>
  <c r="R136" i="2"/>
  <c r="L65" i="2"/>
  <c r="AT65" i="2" s="1"/>
  <c r="J65" i="2" s="1"/>
  <c r="D65" i="2"/>
  <c r="H65" i="2"/>
  <c r="R89" i="2"/>
  <c r="U89" i="2"/>
  <c r="W89" i="2"/>
  <c r="AX89" i="2" s="1"/>
  <c r="V89" i="2" s="1"/>
  <c r="S89" i="2"/>
  <c r="R91" i="2"/>
  <c r="U91" i="2"/>
  <c r="W91" i="2"/>
  <c r="AX91" i="2" s="1"/>
  <c r="V91" i="2" s="1"/>
  <c r="S91" i="2"/>
  <c r="L49" i="2"/>
  <c r="D49" i="2"/>
  <c r="H49" i="2"/>
  <c r="V192" i="2"/>
  <c r="U192" i="2"/>
  <c r="R192" i="2"/>
  <c r="S192" i="2"/>
  <c r="W192" i="2"/>
  <c r="AX192" i="2"/>
  <c r="R146" i="2"/>
  <c r="V146" i="2"/>
  <c r="S146" i="2"/>
  <c r="W146" i="2"/>
  <c r="AX146" i="2"/>
  <c r="U146" i="2"/>
  <c r="L56" i="2"/>
  <c r="S69" i="2"/>
  <c r="U69" i="2"/>
  <c r="R69" i="2"/>
  <c r="W69" i="2"/>
  <c r="AX69" i="2" s="1"/>
  <c r="V69" i="2" s="1"/>
  <c r="W92" i="2"/>
  <c r="AX92" i="2" s="1"/>
  <c r="V92" i="2" s="1"/>
  <c r="R92" i="2"/>
  <c r="S92" i="2"/>
  <c r="U92" i="2"/>
  <c r="D44" i="2"/>
  <c r="L44" i="2"/>
  <c r="AT44" i="2" s="1"/>
  <c r="J44" i="2" s="1"/>
  <c r="H44" i="2"/>
  <c r="D97" i="2"/>
  <c r="L97" i="2"/>
  <c r="H97" i="2"/>
  <c r="V190" i="2"/>
  <c r="W190" i="2"/>
  <c r="U190" i="2"/>
  <c r="S190" i="2"/>
  <c r="R190" i="2"/>
  <c r="AX190" i="2"/>
  <c r="H162" i="2"/>
  <c r="L162" i="2"/>
  <c r="AT162" i="2" s="1"/>
  <c r="J162" i="2" s="1"/>
  <c r="D162" i="2"/>
  <c r="D92" i="2"/>
  <c r="L92" i="2"/>
  <c r="AT92" i="2" s="1"/>
  <c r="J92" i="2" s="1"/>
  <c r="H92" i="2"/>
  <c r="U42" i="2"/>
  <c r="R42" i="2"/>
  <c r="W42" i="2"/>
  <c r="AX42" i="2" s="1"/>
  <c r="V42" i="2" s="1"/>
  <c r="S42" i="2"/>
  <c r="L188" i="2"/>
  <c r="AT188" i="2" s="1"/>
  <c r="J188" i="2" s="1"/>
  <c r="S122" i="2"/>
  <c r="R122" i="2"/>
  <c r="V122" i="2"/>
  <c r="W122" i="2"/>
  <c r="U122" i="2"/>
  <c r="AX122" i="2"/>
  <c r="L146" i="2"/>
  <c r="AT146" i="2" s="1"/>
  <c r="J146" i="2" s="1"/>
  <c r="S56" i="2"/>
  <c r="W56" i="2"/>
  <c r="AX56" i="2" s="1"/>
  <c r="V56" i="2" s="1"/>
  <c r="U56" i="2"/>
  <c r="R56" i="2"/>
  <c r="H69" i="2"/>
  <c r="L69" i="2"/>
  <c r="AT69" i="2" s="1"/>
  <c r="J69" i="2" s="1"/>
  <c r="D69" i="2"/>
  <c r="R206" i="2"/>
  <c r="AX206" i="2"/>
  <c r="V206" i="2"/>
  <c r="U206" i="2"/>
  <c r="S206" i="2"/>
  <c r="W206" i="2"/>
  <c r="L91" i="2"/>
  <c r="AT91" i="2" s="1"/>
  <c r="J91" i="2" s="1"/>
  <c r="K20" i="2"/>
  <c r="AU20" i="2" s="1"/>
  <c r="J20" i="2" s="1"/>
  <c r="C25" i="10" s="1"/>
  <c r="B55" i="10" s="1"/>
  <c r="C10" i="10"/>
  <c r="G20" i="2"/>
  <c r="N20" i="2" s="1"/>
  <c r="W44" i="2"/>
  <c r="AX44" i="2" s="1"/>
  <c r="V44" i="2" s="1"/>
  <c r="S44" i="2"/>
  <c r="R44" i="2"/>
  <c r="U44" i="2"/>
  <c r="S97" i="2"/>
  <c r="R97" i="2"/>
  <c r="U97" i="2"/>
  <c r="W97" i="2"/>
  <c r="AX97" i="2"/>
  <c r="V97" i="2" s="1"/>
  <c r="W65" i="2"/>
  <c r="AX65" i="2" s="1"/>
  <c r="V65" i="2" s="1"/>
  <c r="U65" i="2"/>
  <c r="S65" i="2"/>
  <c r="R65" i="2"/>
  <c r="L127" i="2"/>
  <c r="AT127" i="2" s="1"/>
  <c r="J127" i="2" s="1"/>
  <c r="U191" i="2"/>
  <c r="AX191" i="2"/>
  <c r="V191" i="2"/>
  <c r="R191" i="2"/>
  <c r="W191" i="2"/>
  <c r="S191" i="2"/>
  <c r="W83" i="2"/>
  <c r="AX83" i="2" s="1"/>
  <c r="V83" i="2" s="1"/>
  <c r="S83" i="2"/>
  <c r="R83" i="2"/>
  <c r="U83" i="2"/>
  <c r="L179" i="2"/>
  <c r="AT179" i="2" s="1"/>
  <c r="J179" i="2" s="1"/>
  <c r="L189" i="2"/>
  <c r="AT189" i="2" s="1"/>
  <c r="J189" i="2" s="1"/>
  <c r="H189" i="2"/>
  <c r="D189" i="2"/>
  <c r="R51" i="2"/>
  <c r="U51" i="2"/>
  <c r="W51" i="2"/>
  <c r="AX51" i="2" s="1"/>
  <c r="V51" i="2" s="1"/>
  <c r="S51" i="2"/>
  <c r="L51" i="2"/>
  <c r="AT51" i="2" s="1"/>
  <c r="J51" i="2" s="1"/>
  <c r="L60" i="2"/>
  <c r="AT60" i="2" s="1"/>
  <c r="J60" i="2" s="1"/>
  <c r="L32" i="2"/>
  <c r="AT32" i="2" s="1"/>
  <c r="J32" i="2" s="1"/>
  <c r="H32" i="2"/>
  <c r="D32" i="2"/>
  <c r="W210" i="2"/>
  <c r="S210" i="2"/>
  <c r="R210" i="2"/>
  <c r="AX210" i="2"/>
  <c r="V210" i="2"/>
  <c r="U210" i="2"/>
  <c r="W120" i="2"/>
  <c r="U120" i="2"/>
  <c r="AX120" i="2"/>
  <c r="V120" i="2"/>
  <c r="S120" i="2"/>
  <c r="R120" i="2"/>
  <c r="C13" i="10"/>
  <c r="K23" i="2"/>
  <c r="AU23" i="2" s="1"/>
  <c r="J23" i="2" s="1"/>
  <c r="C28" i="10" s="1"/>
  <c r="B58" i="10" s="1"/>
  <c r="G23" i="2"/>
  <c r="N23" i="2" s="1"/>
  <c r="L158" i="2"/>
  <c r="H158" i="2"/>
  <c r="D158" i="2"/>
  <c r="K17" i="2"/>
  <c r="C7" i="10"/>
  <c r="G17" i="2"/>
  <c r="N17" i="2" s="1"/>
  <c r="S157" i="2"/>
  <c r="W157" i="2"/>
  <c r="U157" i="2"/>
  <c r="R157" i="2"/>
  <c r="V157" i="2"/>
  <c r="AX157" i="2"/>
  <c r="W81" i="2"/>
  <c r="AX81" i="2" s="1"/>
  <c r="V81" i="2" s="1"/>
  <c r="V189" i="2"/>
  <c r="U189" i="2"/>
  <c r="R189" i="2"/>
  <c r="S189" i="2"/>
  <c r="W189" i="2"/>
  <c r="AX189" i="2"/>
  <c r="AS19" i="2" l="1"/>
  <c r="AT19" i="2" s="1"/>
  <c r="D19" i="2" s="1"/>
  <c r="E19" i="2" s="1"/>
  <c r="D89" i="2"/>
  <c r="D65" i="3" s="1"/>
  <c r="F206" i="2"/>
  <c r="D206" i="2" s="1"/>
  <c r="D182" i="3" s="1"/>
  <c r="T67" i="2"/>
  <c r="U67" i="2" s="1"/>
  <c r="H51" i="2"/>
  <c r="C9" i="10"/>
  <c r="D91" i="2"/>
  <c r="N67" i="3" s="1"/>
  <c r="U179" i="2"/>
  <c r="V175" i="2"/>
  <c r="H64" i="2"/>
  <c r="G19" i="2"/>
  <c r="N19" i="2" s="1"/>
  <c r="Q7" i="10"/>
  <c r="L64" i="2"/>
  <c r="AT64" i="2" s="1"/>
  <c r="J64" i="2" s="1"/>
  <c r="O40" i="3" s="1"/>
  <c r="R40" i="3" s="1"/>
  <c r="K19" i="2"/>
  <c r="C39" i="10" s="1"/>
  <c r="C54" i="10" s="1"/>
  <c r="D101" i="2"/>
  <c r="J77" i="3" s="1"/>
  <c r="R32" i="2"/>
  <c r="R52" i="2"/>
  <c r="S32" i="2"/>
  <c r="H60" i="2"/>
  <c r="S158" i="2"/>
  <c r="N316" i="3" s="1"/>
  <c r="W32" i="2"/>
  <c r="AX32" i="2" s="1"/>
  <c r="V32" i="2" s="1"/>
  <c r="U52" i="2"/>
  <c r="H157" i="2"/>
  <c r="W52" i="2"/>
  <c r="AX52" i="2" s="1"/>
  <c r="V52" i="2" s="1"/>
  <c r="S81" i="2"/>
  <c r="E239" i="3" s="1"/>
  <c r="AX123" i="2"/>
  <c r="R101" i="2"/>
  <c r="D56" i="2"/>
  <c r="J32" i="3" s="1"/>
  <c r="D210" i="2"/>
  <c r="J186" i="3" s="1"/>
  <c r="J187" i="3" s="1"/>
  <c r="W101" i="2"/>
  <c r="AX101" i="2" s="1"/>
  <c r="V101" i="2" s="1"/>
  <c r="L42" i="2"/>
  <c r="K18" i="3" s="1"/>
  <c r="U81" i="2"/>
  <c r="D157" i="2"/>
  <c r="H127" i="2"/>
  <c r="H206" i="2"/>
  <c r="W158" i="2"/>
  <c r="V179" i="2"/>
  <c r="V123" i="2"/>
  <c r="D122" i="2"/>
  <c r="D98" i="3" s="1"/>
  <c r="AV101" i="2"/>
  <c r="AW101" i="2" s="1"/>
  <c r="L101" i="2"/>
  <c r="K77" i="3" s="1"/>
  <c r="U101" i="2"/>
  <c r="R162" i="2"/>
  <c r="F190" i="2"/>
  <c r="D190" i="2" s="1"/>
  <c r="D166" i="3" s="1"/>
  <c r="AX175" i="2"/>
  <c r="W17" i="2"/>
  <c r="Q37" i="10" s="1"/>
  <c r="Q52" i="10" s="1"/>
  <c r="H179" i="2"/>
  <c r="H20" i="2"/>
  <c r="I20" i="2" s="1"/>
  <c r="W109" i="2"/>
  <c r="AX109" i="2" s="1"/>
  <c r="V109" i="2" s="1"/>
  <c r="R175" i="2"/>
  <c r="S175" i="2"/>
  <c r="K333" i="3" s="1"/>
  <c r="H83" i="2"/>
  <c r="Q17" i="2"/>
  <c r="D109" i="2"/>
  <c r="AW17" i="2"/>
  <c r="AX17" i="2" s="1"/>
  <c r="T17" i="2" s="1"/>
  <c r="U17" i="2" s="1"/>
  <c r="L136" i="2"/>
  <c r="K112" i="3" s="1"/>
  <c r="U175" i="2"/>
  <c r="H67" i="2"/>
  <c r="V158" i="2"/>
  <c r="S179" i="2"/>
  <c r="K337" i="3" s="1"/>
  <c r="W179" i="2"/>
  <c r="V193" i="2"/>
  <c r="R20" i="2"/>
  <c r="Y20" i="2" s="1"/>
  <c r="H210" i="2"/>
  <c r="R158" i="2"/>
  <c r="D17" i="2"/>
  <c r="AA17" i="2" s="1"/>
  <c r="D48" i="2"/>
  <c r="U158" i="2"/>
  <c r="R179" i="2"/>
  <c r="W193" i="2"/>
  <c r="L122" i="2"/>
  <c r="AT122" i="2" s="1"/>
  <c r="J122" i="2" s="1"/>
  <c r="E98" i="3" s="1"/>
  <c r="S109" i="2"/>
  <c r="O267" i="3" s="1"/>
  <c r="R267" i="3" s="1"/>
  <c r="H81" i="2"/>
  <c r="L83" i="2"/>
  <c r="AT83" i="2" s="1"/>
  <c r="J83" i="2" s="1"/>
  <c r="O59" i="3" s="1"/>
  <c r="R59" i="3" s="1"/>
  <c r="D188" i="2"/>
  <c r="R109" i="2"/>
  <c r="H48" i="2"/>
  <c r="V162" i="2"/>
  <c r="AX162" i="2"/>
  <c r="S123" i="2"/>
  <c r="P281" i="3" s="1"/>
  <c r="S281" i="3" s="1"/>
  <c r="R123" i="2"/>
  <c r="H42" i="2"/>
  <c r="W162" i="2"/>
  <c r="W123" i="2"/>
  <c r="S162" i="2"/>
  <c r="O320" i="3" s="1"/>
  <c r="R320" i="3" s="1"/>
  <c r="AR172" i="2"/>
  <c r="AS172" i="2" s="1"/>
  <c r="F172" i="2"/>
  <c r="AR200" i="2"/>
  <c r="AS200" i="2" s="1"/>
  <c r="F200" i="2"/>
  <c r="L109" i="2"/>
  <c r="AT109" i="2" s="1"/>
  <c r="J109" i="2" s="1"/>
  <c r="E85" i="3" s="1"/>
  <c r="H136" i="2"/>
  <c r="T200" i="2"/>
  <c r="AV200" i="2"/>
  <c r="AW200" i="2" s="1"/>
  <c r="F194" i="2"/>
  <c r="AR194" i="2"/>
  <c r="AS194" i="2" s="1"/>
  <c r="T172" i="2"/>
  <c r="AV172" i="2"/>
  <c r="AW172" i="2" s="1"/>
  <c r="L192" i="2"/>
  <c r="AT192" i="2" s="1"/>
  <c r="J192" i="2" s="1"/>
  <c r="E168" i="3" s="1"/>
  <c r="H192" i="2"/>
  <c r="S188" i="2"/>
  <c r="O346" i="3" s="1"/>
  <c r="R346" i="3" s="1"/>
  <c r="W20" i="2"/>
  <c r="AY20" i="2" s="1"/>
  <c r="V20" i="2" s="1"/>
  <c r="Q25" i="10" s="1"/>
  <c r="P55" i="10" s="1"/>
  <c r="H23" i="2"/>
  <c r="I23" i="2" s="1"/>
  <c r="W19" i="2"/>
  <c r="Q39" i="10" s="1"/>
  <c r="Q54" i="10" s="1"/>
  <c r="Q19" i="2"/>
  <c r="R188" i="2"/>
  <c r="F193" i="2"/>
  <c r="AR193" i="2"/>
  <c r="AS193" i="2" s="1"/>
  <c r="V188" i="2"/>
  <c r="Q9" i="10"/>
  <c r="R193" i="2"/>
  <c r="U193" i="2"/>
  <c r="U188" i="2"/>
  <c r="Q10" i="10"/>
  <c r="T20" i="2"/>
  <c r="U20" i="2" s="1"/>
  <c r="T19" i="2"/>
  <c r="U19" i="2" s="1"/>
  <c r="AX193" i="2"/>
  <c r="W188" i="2"/>
  <c r="T205" i="2"/>
  <c r="AV205" i="2"/>
  <c r="AW205" i="2" s="1"/>
  <c r="T88" i="2"/>
  <c r="AV88" i="2"/>
  <c r="AW88" i="2" s="1"/>
  <c r="AV71" i="2"/>
  <c r="AW71" i="2" s="1"/>
  <c r="T71" i="2"/>
  <c r="F62" i="2"/>
  <c r="AR62" i="2"/>
  <c r="AS62" i="2" s="1"/>
  <c r="AR77" i="2"/>
  <c r="AS77" i="2" s="1"/>
  <c r="F77" i="2"/>
  <c r="AV124" i="2"/>
  <c r="AW124" i="2" s="1"/>
  <c r="T124" i="2"/>
  <c r="AR133" i="2"/>
  <c r="AS133" i="2" s="1"/>
  <c r="F133" i="2"/>
  <c r="F203" i="2"/>
  <c r="AR203" i="2"/>
  <c r="AS203" i="2" s="1"/>
  <c r="F84" i="2"/>
  <c r="AR84" i="2"/>
  <c r="AS84" i="2" s="1"/>
  <c r="AR132" i="2"/>
  <c r="AS132" i="2" s="1"/>
  <c r="F132" i="2"/>
  <c r="AV161" i="2"/>
  <c r="AW161" i="2" s="1"/>
  <c r="T161" i="2"/>
  <c r="T90" i="2"/>
  <c r="AV90" i="2"/>
  <c r="AW90" i="2" s="1"/>
  <c r="T116" i="2"/>
  <c r="AV116" i="2"/>
  <c r="AW116" i="2" s="1"/>
  <c r="F134" i="2"/>
  <c r="AR134" i="2"/>
  <c r="AS134" i="2" s="1"/>
  <c r="T114" i="2"/>
  <c r="AV114" i="2"/>
  <c r="AW114" i="2" s="1"/>
  <c r="F168" i="2"/>
  <c r="AR168" i="2"/>
  <c r="AS168" i="2" s="1"/>
  <c r="AV37" i="2"/>
  <c r="AW37" i="2" s="1"/>
  <c r="T37" i="2"/>
  <c r="AV198" i="2"/>
  <c r="AW198" i="2" s="1"/>
  <c r="T198" i="2"/>
  <c r="S26" i="2"/>
  <c r="AW26" i="2"/>
  <c r="AX26" i="2" s="1"/>
  <c r="AR112" i="2"/>
  <c r="AS112" i="2" s="1"/>
  <c r="F112" i="2"/>
  <c r="AV169" i="2"/>
  <c r="AW169" i="2" s="1"/>
  <c r="T169" i="2"/>
  <c r="F98" i="2"/>
  <c r="AR98" i="2"/>
  <c r="AS98" i="2" s="1"/>
  <c r="T39" i="2"/>
  <c r="AV39" i="2"/>
  <c r="AW39" i="2" s="1"/>
  <c r="D146" i="2"/>
  <c r="J122" i="3" s="1"/>
  <c r="T140" i="2"/>
  <c r="AV140" i="2"/>
  <c r="AW140" i="2" s="1"/>
  <c r="AV61" i="2"/>
  <c r="AW61" i="2" s="1"/>
  <c r="T61" i="2"/>
  <c r="F147" i="2"/>
  <c r="AR147" i="2"/>
  <c r="AS147" i="2" s="1"/>
  <c r="F47" i="2"/>
  <c r="AR47" i="2"/>
  <c r="AS47" i="2" s="1"/>
  <c r="AR66" i="2"/>
  <c r="AS66" i="2" s="1"/>
  <c r="F66" i="2"/>
  <c r="AR187" i="2"/>
  <c r="AS187" i="2" s="1"/>
  <c r="F187" i="2"/>
  <c r="T137" i="2"/>
  <c r="AV137" i="2"/>
  <c r="AW137" i="2" s="1"/>
  <c r="AR201" i="2"/>
  <c r="AS201" i="2" s="1"/>
  <c r="F201" i="2"/>
  <c r="F99" i="2"/>
  <c r="AR99" i="2"/>
  <c r="AS99" i="2" s="1"/>
  <c r="F135" i="2"/>
  <c r="AR135" i="2"/>
  <c r="AS135" i="2" s="1"/>
  <c r="AV183" i="2"/>
  <c r="AW183" i="2" s="1"/>
  <c r="T183" i="2"/>
  <c r="T138" i="2"/>
  <c r="AV138" i="2"/>
  <c r="AW138" i="2" s="1"/>
  <c r="T197" i="2"/>
  <c r="AV197" i="2"/>
  <c r="AW197" i="2" s="1"/>
  <c r="F16" i="2"/>
  <c r="AS16" i="2"/>
  <c r="AT16" i="2" s="1"/>
  <c r="F59" i="2"/>
  <c r="AR59" i="2"/>
  <c r="AS59" i="2" s="1"/>
  <c r="T41" i="2"/>
  <c r="AV41" i="2"/>
  <c r="AW41" i="2" s="1"/>
  <c r="F72" i="2"/>
  <c r="AR72" i="2"/>
  <c r="AS72" i="2" s="1"/>
  <c r="F111" i="2"/>
  <c r="AR111" i="2"/>
  <c r="AS111" i="2" s="1"/>
  <c r="F171" i="2"/>
  <c r="AR171" i="2"/>
  <c r="AS171" i="2" s="1"/>
  <c r="F199" i="2"/>
  <c r="AR199" i="2"/>
  <c r="AS199" i="2" s="1"/>
  <c r="AV208" i="2"/>
  <c r="AW208" i="2" s="1"/>
  <c r="T208" i="2"/>
  <c r="F46" i="2"/>
  <c r="AR46" i="2"/>
  <c r="AS46" i="2" s="1"/>
  <c r="T30" i="2"/>
  <c r="AV30" i="2"/>
  <c r="AW30" i="2" s="1"/>
  <c r="AV155" i="2"/>
  <c r="AW155" i="2" s="1"/>
  <c r="T155" i="2"/>
  <c r="T173" i="2"/>
  <c r="AV173" i="2"/>
  <c r="AW173" i="2" s="1"/>
  <c r="F70" i="2"/>
  <c r="AR70" i="2"/>
  <c r="AS70" i="2" s="1"/>
  <c r="AR78" i="2"/>
  <c r="AS78" i="2" s="1"/>
  <c r="F78" i="2"/>
  <c r="T34" i="2"/>
  <c r="AV34" i="2"/>
  <c r="AW34" i="2" s="1"/>
  <c r="AV150" i="2"/>
  <c r="AW150" i="2" s="1"/>
  <c r="T150" i="2"/>
  <c r="F167" i="2"/>
  <c r="AR167" i="2"/>
  <c r="AS167" i="2" s="1"/>
  <c r="AR73" i="2"/>
  <c r="AS73" i="2" s="1"/>
  <c r="F73" i="2"/>
  <c r="F185" i="2"/>
  <c r="AR185" i="2"/>
  <c r="AS185" i="2" s="1"/>
  <c r="F165" i="2"/>
  <c r="AR165" i="2"/>
  <c r="AS165" i="2" s="1"/>
  <c r="F131" i="2"/>
  <c r="AR131" i="2"/>
  <c r="AS131" i="2" s="1"/>
  <c r="AS25" i="2"/>
  <c r="AT25" i="2" s="1"/>
  <c r="F25" i="2"/>
  <c r="AV176" i="2"/>
  <c r="AW176" i="2" s="1"/>
  <c r="T176" i="2"/>
  <c r="F141" i="2"/>
  <c r="AR141" i="2"/>
  <c r="AS141" i="2" s="1"/>
  <c r="AV86" i="2"/>
  <c r="AW86" i="2" s="1"/>
  <c r="T86" i="2"/>
  <c r="T80" i="2"/>
  <c r="AV80" i="2"/>
  <c r="AW80" i="2" s="1"/>
  <c r="AR33" i="2"/>
  <c r="AS33" i="2" s="1"/>
  <c r="F33" i="2"/>
  <c r="AR31" i="2"/>
  <c r="AS31" i="2" s="1"/>
  <c r="F31" i="2"/>
  <c r="AV82" i="2"/>
  <c r="AW82" i="2" s="1"/>
  <c r="T82" i="2"/>
  <c r="AV54" i="2"/>
  <c r="AW54" i="2" s="1"/>
  <c r="T54" i="2"/>
  <c r="F139" i="2"/>
  <c r="AR139" i="2"/>
  <c r="AS139" i="2" s="1"/>
  <c r="T79" i="2"/>
  <c r="AV79" i="2"/>
  <c r="AW79" i="2" s="1"/>
  <c r="AR148" i="2"/>
  <c r="AS148" i="2" s="1"/>
  <c r="F148" i="2"/>
  <c r="T129" i="2"/>
  <c r="AV129" i="2"/>
  <c r="AW129" i="2" s="1"/>
  <c r="S18" i="2"/>
  <c r="AW18" i="2"/>
  <c r="AX18" i="2" s="1"/>
  <c r="AV50" i="2"/>
  <c r="AW50" i="2" s="1"/>
  <c r="T50" i="2"/>
  <c r="F121" i="2"/>
  <c r="AR121" i="2"/>
  <c r="AS121" i="2" s="1"/>
  <c r="AR144" i="2"/>
  <c r="AS144" i="2" s="1"/>
  <c r="F144" i="2"/>
  <c r="AV74" i="2"/>
  <c r="AW74" i="2" s="1"/>
  <c r="T74" i="2"/>
  <c r="AR104" i="2"/>
  <c r="AS104" i="2" s="1"/>
  <c r="F104" i="2"/>
  <c r="AV93" i="2"/>
  <c r="AW93" i="2" s="1"/>
  <c r="T93" i="2"/>
  <c r="AV119" i="2"/>
  <c r="AW119" i="2" s="1"/>
  <c r="T119" i="2"/>
  <c r="F143" i="2"/>
  <c r="AR143" i="2"/>
  <c r="AS143" i="2" s="1"/>
  <c r="AR208" i="2"/>
  <c r="AS208" i="2" s="1"/>
  <c r="F208" i="2"/>
  <c r="AV125" i="2"/>
  <c r="AW125" i="2" s="1"/>
  <c r="T125" i="2"/>
  <c r="AW24" i="2"/>
  <c r="AX24" i="2" s="1"/>
  <c r="S24" i="2"/>
  <c r="AR130" i="2"/>
  <c r="AS130" i="2" s="1"/>
  <c r="F130" i="2"/>
  <c r="T40" i="2"/>
  <c r="AV40" i="2"/>
  <c r="AW40" i="2" s="1"/>
  <c r="AR159" i="2"/>
  <c r="AS159" i="2" s="1"/>
  <c r="F159" i="2"/>
  <c r="AV177" i="2"/>
  <c r="AW177" i="2" s="1"/>
  <c r="T177" i="2"/>
  <c r="S21" i="2"/>
  <c r="AW21" i="2"/>
  <c r="AX21" i="2" s="1"/>
  <c r="T113" i="2"/>
  <c r="AV113" i="2"/>
  <c r="AW113" i="2" s="1"/>
  <c r="T156" i="2"/>
  <c r="AV156" i="2"/>
  <c r="AW156" i="2" s="1"/>
  <c r="AR43" i="2"/>
  <c r="AS43" i="2" s="1"/>
  <c r="F43" i="2"/>
  <c r="AR100" i="2"/>
  <c r="AS100" i="2" s="1"/>
  <c r="F100" i="2"/>
  <c r="F174" i="2"/>
  <c r="AR174" i="2"/>
  <c r="AS174" i="2" s="1"/>
  <c r="AR108" i="2"/>
  <c r="AS108" i="2" s="1"/>
  <c r="F108" i="2"/>
  <c r="AV202" i="2"/>
  <c r="AW202" i="2" s="1"/>
  <c r="T202" i="2"/>
  <c r="L81" i="2"/>
  <c r="AT81" i="2" s="1"/>
  <c r="J81" i="2" s="1"/>
  <c r="E57" i="3" s="1"/>
  <c r="AR105" i="2"/>
  <c r="AS105" i="2" s="1"/>
  <c r="F105" i="2"/>
  <c r="AR163" i="2"/>
  <c r="AS163" i="2" s="1"/>
  <c r="F163" i="2"/>
  <c r="AR35" i="2"/>
  <c r="AS35" i="2" s="1"/>
  <c r="F35" i="2"/>
  <c r="T182" i="2"/>
  <c r="AV182" i="2"/>
  <c r="AW182" i="2" s="1"/>
  <c r="AR180" i="2"/>
  <c r="AS180" i="2" s="1"/>
  <c r="F180" i="2"/>
  <c r="AR38" i="2"/>
  <c r="AS38" i="2" s="1"/>
  <c r="F38" i="2"/>
  <c r="AR58" i="2"/>
  <c r="AS58" i="2" s="1"/>
  <c r="F58" i="2"/>
  <c r="AV207" i="2"/>
  <c r="AW207" i="2" s="1"/>
  <c r="T207" i="2"/>
  <c r="AR110" i="2"/>
  <c r="AS110" i="2" s="1"/>
  <c r="F110" i="2"/>
  <c r="F181" i="2"/>
  <c r="AR181" i="2"/>
  <c r="AS181" i="2" s="1"/>
  <c r="F151" i="2"/>
  <c r="AR151" i="2"/>
  <c r="AS151" i="2" s="1"/>
  <c r="AR106" i="2"/>
  <c r="AS106" i="2" s="1"/>
  <c r="F106" i="2"/>
  <c r="AR75" i="2"/>
  <c r="AS75" i="2" s="1"/>
  <c r="F75" i="2"/>
  <c r="T96" i="2"/>
  <c r="AV96" i="2"/>
  <c r="AW96" i="2" s="1"/>
  <c r="T57" i="2"/>
  <c r="AV57" i="2"/>
  <c r="AW57" i="2" s="1"/>
  <c r="F160" i="2"/>
  <c r="AR160" i="2"/>
  <c r="AS160" i="2" s="1"/>
  <c r="F94" i="2"/>
  <c r="AR94" i="2"/>
  <c r="AS94" i="2" s="1"/>
  <c r="AR126" i="2"/>
  <c r="AS126" i="2" s="1"/>
  <c r="F126" i="2"/>
  <c r="T184" i="2"/>
  <c r="AV184" i="2"/>
  <c r="AW184" i="2" s="1"/>
  <c r="F178" i="2"/>
  <c r="AR178" i="2"/>
  <c r="AS178" i="2" s="1"/>
  <c r="F209" i="2"/>
  <c r="AR209" i="2"/>
  <c r="AS209" i="2" s="1"/>
  <c r="T149" i="2"/>
  <c r="AV149" i="2"/>
  <c r="AW149" i="2" s="1"/>
  <c r="AV53" i="2"/>
  <c r="AW53" i="2" s="1"/>
  <c r="T53" i="2"/>
  <c r="AR36" i="2"/>
  <c r="AS36" i="2" s="1"/>
  <c r="F36" i="2"/>
  <c r="AR76" i="2"/>
  <c r="AS76" i="2" s="1"/>
  <c r="F76" i="2"/>
  <c r="AR145" i="2"/>
  <c r="AS145" i="2" s="1"/>
  <c r="F145" i="2"/>
  <c r="AV170" i="2"/>
  <c r="AW170" i="2" s="1"/>
  <c r="T170" i="2"/>
  <c r="T63" i="2"/>
  <c r="AV63" i="2"/>
  <c r="AW63" i="2" s="1"/>
  <c r="AR102" i="2"/>
  <c r="AS102" i="2" s="1"/>
  <c r="F102" i="2"/>
  <c r="T153" i="2"/>
  <c r="AV153" i="2"/>
  <c r="AW153" i="2" s="1"/>
  <c r="AV118" i="2"/>
  <c r="AW118" i="2" s="1"/>
  <c r="T118" i="2"/>
  <c r="AV95" i="2"/>
  <c r="AW95" i="2" s="1"/>
  <c r="T95" i="2"/>
  <c r="AV107" i="2"/>
  <c r="AW107" i="2" s="1"/>
  <c r="T107" i="2"/>
  <c r="T45" i="2"/>
  <c r="AV45" i="2"/>
  <c r="AW45" i="2" s="1"/>
  <c r="AR85" i="2"/>
  <c r="AS85" i="2" s="1"/>
  <c r="F85" i="2"/>
  <c r="U194" i="2"/>
  <c r="V194" i="2"/>
  <c r="W194" i="2"/>
  <c r="AR169" i="2"/>
  <c r="AS169" i="2" s="1"/>
  <c r="F169" i="2"/>
  <c r="F125" i="2"/>
  <c r="AR125" i="2"/>
  <c r="AS125" i="2" s="1"/>
  <c r="AS24" i="2"/>
  <c r="AT24" i="2" s="1"/>
  <c r="F24" i="2"/>
  <c r="T130" i="2"/>
  <c r="AV130" i="2"/>
  <c r="AW130" i="2" s="1"/>
  <c r="AV98" i="2"/>
  <c r="AW98" i="2" s="1"/>
  <c r="T98" i="2"/>
  <c r="W49" i="2"/>
  <c r="AX49" i="2" s="1"/>
  <c r="V49" i="2" s="1"/>
  <c r="R49" i="2"/>
  <c r="F40" i="2"/>
  <c r="AR40" i="2"/>
  <c r="AS40" i="2" s="1"/>
  <c r="AV159" i="2"/>
  <c r="AW159" i="2" s="1"/>
  <c r="T159" i="2"/>
  <c r="F177" i="2"/>
  <c r="AR177" i="2"/>
  <c r="AS177" i="2" s="1"/>
  <c r="F21" i="2"/>
  <c r="AS21" i="2"/>
  <c r="AT21" i="2" s="1"/>
  <c r="AR113" i="2"/>
  <c r="AS113" i="2" s="1"/>
  <c r="F113" i="2"/>
  <c r="AR156" i="2"/>
  <c r="AS156" i="2" s="1"/>
  <c r="F156" i="2"/>
  <c r="AV43" i="2"/>
  <c r="AW43" i="2" s="1"/>
  <c r="T43" i="2"/>
  <c r="F68" i="2"/>
  <c r="AR68" i="2"/>
  <c r="AS68" i="2" s="1"/>
  <c r="F115" i="2"/>
  <c r="AR115" i="2"/>
  <c r="AS115" i="2" s="1"/>
  <c r="AR154" i="2"/>
  <c r="AS154" i="2" s="1"/>
  <c r="F154" i="2"/>
  <c r="AV142" i="2"/>
  <c r="AW142" i="2" s="1"/>
  <c r="T142" i="2"/>
  <c r="U49" i="2"/>
  <c r="AX194" i="2"/>
  <c r="AR140" i="2"/>
  <c r="AS140" i="2" s="1"/>
  <c r="F140" i="2"/>
  <c r="AV105" i="2"/>
  <c r="AW105" i="2" s="1"/>
  <c r="T105" i="2"/>
  <c r="AR61" i="2"/>
  <c r="AS61" i="2" s="1"/>
  <c r="F61" i="2"/>
  <c r="AV163" i="2"/>
  <c r="AW163" i="2" s="1"/>
  <c r="T163" i="2"/>
  <c r="T35" i="2"/>
  <c r="AV35" i="2"/>
  <c r="AW35" i="2" s="1"/>
  <c r="T147" i="2"/>
  <c r="AV147" i="2"/>
  <c r="AW147" i="2" s="1"/>
  <c r="AR182" i="2"/>
  <c r="AS182" i="2" s="1"/>
  <c r="F182" i="2"/>
  <c r="AV47" i="2"/>
  <c r="AW47" i="2" s="1"/>
  <c r="T47" i="2"/>
  <c r="T180" i="2"/>
  <c r="AV180" i="2"/>
  <c r="AW180" i="2" s="1"/>
  <c r="AV38" i="2"/>
  <c r="AW38" i="2" s="1"/>
  <c r="T38" i="2"/>
  <c r="T66" i="2"/>
  <c r="AV66" i="2"/>
  <c r="AW66" i="2" s="1"/>
  <c r="T58" i="2"/>
  <c r="AV58" i="2"/>
  <c r="AW58" i="2" s="1"/>
  <c r="F207" i="2"/>
  <c r="AR207" i="2"/>
  <c r="AS207" i="2" s="1"/>
  <c r="AV187" i="2"/>
  <c r="AW187" i="2" s="1"/>
  <c r="T187" i="2"/>
  <c r="AV110" i="2"/>
  <c r="AW110" i="2" s="1"/>
  <c r="T110" i="2"/>
  <c r="AV181" i="2"/>
  <c r="AW181" i="2" s="1"/>
  <c r="T181" i="2"/>
  <c r="AR137" i="2"/>
  <c r="AS137" i="2" s="1"/>
  <c r="F137" i="2"/>
  <c r="T151" i="2"/>
  <c r="AV151" i="2"/>
  <c r="AW151" i="2" s="1"/>
  <c r="T201" i="2"/>
  <c r="AV201" i="2"/>
  <c r="AW201" i="2" s="1"/>
  <c r="AV106" i="2"/>
  <c r="AW106" i="2" s="1"/>
  <c r="T106" i="2"/>
  <c r="T75" i="2"/>
  <c r="AV75" i="2"/>
  <c r="AW75" i="2" s="1"/>
  <c r="T99" i="2"/>
  <c r="AV99" i="2"/>
  <c r="AW99" i="2" s="1"/>
  <c r="F96" i="2"/>
  <c r="AR96" i="2"/>
  <c r="AS96" i="2" s="1"/>
  <c r="F57" i="2"/>
  <c r="AR57" i="2"/>
  <c r="AS57" i="2" s="1"/>
  <c r="T135" i="2"/>
  <c r="AV135" i="2"/>
  <c r="AW135" i="2" s="1"/>
  <c r="AV160" i="2"/>
  <c r="AW160" i="2" s="1"/>
  <c r="T160" i="2"/>
  <c r="F183" i="2"/>
  <c r="AR183" i="2"/>
  <c r="AS183" i="2" s="1"/>
  <c r="AV94" i="2"/>
  <c r="AW94" i="2" s="1"/>
  <c r="T94" i="2"/>
  <c r="AV126" i="2"/>
  <c r="AW126" i="2" s="1"/>
  <c r="T126" i="2"/>
  <c r="AR138" i="2"/>
  <c r="AS138" i="2" s="1"/>
  <c r="F138" i="2"/>
  <c r="F184" i="2"/>
  <c r="AR184" i="2"/>
  <c r="AS184" i="2" s="1"/>
  <c r="T178" i="2"/>
  <c r="AV178" i="2"/>
  <c r="AW178" i="2" s="1"/>
  <c r="F197" i="2"/>
  <c r="AR197" i="2"/>
  <c r="AS197" i="2" s="1"/>
  <c r="AV209" i="2"/>
  <c r="AW209" i="2" s="1"/>
  <c r="T209" i="2"/>
  <c r="F149" i="2"/>
  <c r="AR149" i="2"/>
  <c r="AS149" i="2" s="1"/>
  <c r="AW16" i="2"/>
  <c r="AX16" i="2" s="1"/>
  <c r="S16" i="2"/>
  <c r="F53" i="2"/>
  <c r="AR53" i="2"/>
  <c r="AS53" i="2" s="1"/>
  <c r="T36" i="2"/>
  <c r="AV36" i="2"/>
  <c r="AW36" i="2" s="1"/>
  <c r="AV59" i="2"/>
  <c r="AW59" i="2" s="1"/>
  <c r="T59" i="2"/>
  <c r="T76" i="2"/>
  <c r="AV76" i="2"/>
  <c r="AW76" i="2" s="1"/>
  <c r="F41" i="2"/>
  <c r="AR41" i="2"/>
  <c r="AS41" i="2" s="1"/>
  <c r="AV145" i="2"/>
  <c r="AW145" i="2" s="1"/>
  <c r="T145" i="2"/>
  <c r="AR170" i="2"/>
  <c r="AS170" i="2" s="1"/>
  <c r="F170" i="2"/>
  <c r="T72" i="2"/>
  <c r="AV72" i="2"/>
  <c r="AW72" i="2" s="1"/>
  <c r="F63" i="2"/>
  <c r="AR63" i="2"/>
  <c r="AS63" i="2" s="1"/>
  <c r="AV102" i="2"/>
  <c r="AW102" i="2" s="1"/>
  <c r="T102" i="2"/>
  <c r="AV111" i="2"/>
  <c r="AW111" i="2" s="1"/>
  <c r="T111" i="2"/>
  <c r="AR153" i="2"/>
  <c r="AS153" i="2" s="1"/>
  <c r="F153" i="2"/>
  <c r="F118" i="2"/>
  <c r="AR118" i="2"/>
  <c r="AS118" i="2" s="1"/>
  <c r="AV171" i="2"/>
  <c r="AW171" i="2" s="1"/>
  <c r="T171" i="2"/>
  <c r="F95" i="2"/>
  <c r="AR95" i="2"/>
  <c r="AS95" i="2" s="1"/>
  <c r="AR107" i="2"/>
  <c r="AS107" i="2" s="1"/>
  <c r="F107" i="2"/>
  <c r="AV199" i="2"/>
  <c r="AW199" i="2" s="1"/>
  <c r="T199" i="2"/>
  <c r="AR45" i="2"/>
  <c r="AS45" i="2" s="1"/>
  <c r="F45" i="2"/>
  <c r="AV85" i="2"/>
  <c r="AW85" i="2" s="1"/>
  <c r="T85" i="2"/>
  <c r="AR164" i="2"/>
  <c r="AS164" i="2" s="1"/>
  <c r="F164" i="2"/>
  <c r="T186" i="2"/>
  <c r="AV186" i="2"/>
  <c r="AW186" i="2" s="1"/>
  <c r="T128" i="2"/>
  <c r="AV128" i="2"/>
  <c r="AW128" i="2" s="1"/>
  <c r="AS22" i="2"/>
  <c r="AT22" i="2" s="1"/>
  <c r="F22" i="2"/>
  <c r="F103" i="2"/>
  <c r="AR103" i="2"/>
  <c r="AS103" i="2" s="1"/>
  <c r="T55" i="2"/>
  <c r="AV55" i="2"/>
  <c r="AW55" i="2" s="1"/>
  <c r="AV87" i="2"/>
  <c r="AW87" i="2" s="1"/>
  <c r="T87" i="2"/>
  <c r="AR166" i="2"/>
  <c r="AS166" i="2" s="1"/>
  <c r="F166" i="2"/>
  <c r="AR152" i="2"/>
  <c r="AS152" i="2" s="1"/>
  <c r="F152" i="2"/>
  <c r="F196" i="2"/>
  <c r="AR196" i="2"/>
  <c r="AS196" i="2" s="1"/>
  <c r="AV195" i="2"/>
  <c r="AW195" i="2" s="1"/>
  <c r="T195" i="2"/>
  <c r="T204" i="2"/>
  <c r="AV204" i="2"/>
  <c r="AW204" i="2" s="1"/>
  <c r="T117" i="2"/>
  <c r="AV117" i="2"/>
  <c r="AW117" i="2" s="1"/>
  <c r="T68" i="2"/>
  <c r="AV68" i="2"/>
  <c r="AW68" i="2" s="1"/>
  <c r="T115" i="2"/>
  <c r="AV115" i="2"/>
  <c r="AW115" i="2" s="1"/>
  <c r="T154" i="2"/>
  <c r="AV154" i="2"/>
  <c r="AW154" i="2" s="1"/>
  <c r="AV46" i="2"/>
  <c r="AW46" i="2" s="1"/>
  <c r="T46" i="2"/>
  <c r="F142" i="2"/>
  <c r="AR142" i="2"/>
  <c r="AS142" i="2" s="1"/>
  <c r="AR30" i="2"/>
  <c r="AS30" i="2" s="1"/>
  <c r="F30" i="2"/>
  <c r="AR155" i="2"/>
  <c r="AS155" i="2" s="1"/>
  <c r="F155" i="2"/>
  <c r="F205" i="2"/>
  <c r="AR205" i="2"/>
  <c r="AS205" i="2" s="1"/>
  <c r="F173" i="2"/>
  <c r="AR173" i="2"/>
  <c r="AS173" i="2" s="1"/>
  <c r="T70" i="2"/>
  <c r="AV70" i="2"/>
  <c r="AW70" i="2" s="1"/>
  <c r="T78" i="2"/>
  <c r="AV78" i="2"/>
  <c r="AW78" i="2" s="1"/>
  <c r="AR88" i="2"/>
  <c r="AS88" i="2" s="1"/>
  <c r="F88" i="2"/>
  <c r="F34" i="2"/>
  <c r="AR34" i="2"/>
  <c r="AS34" i="2" s="1"/>
  <c r="F71" i="2"/>
  <c r="AR71" i="2"/>
  <c r="AS71" i="2" s="1"/>
  <c r="F150" i="2"/>
  <c r="AR150" i="2"/>
  <c r="AS150" i="2" s="1"/>
  <c r="T167" i="2"/>
  <c r="AV167" i="2"/>
  <c r="AW167" i="2" s="1"/>
  <c r="T62" i="2"/>
  <c r="AV62" i="2"/>
  <c r="AW62" i="2" s="1"/>
  <c r="T73" i="2"/>
  <c r="AV73" i="2"/>
  <c r="AW73" i="2" s="1"/>
  <c r="AV185" i="2"/>
  <c r="AW185" i="2" s="1"/>
  <c r="T185" i="2"/>
  <c r="T77" i="2"/>
  <c r="AV77" i="2"/>
  <c r="AW77" i="2" s="1"/>
  <c r="AV165" i="2"/>
  <c r="AW165" i="2" s="1"/>
  <c r="T165" i="2"/>
  <c r="AV131" i="2"/>
  <c r="AW131" i="2" s="1"/>
  <c r="T131" i="2"/>
  <c r="S25" i="2"/>
  <c r="AW25" i="2"/>
  <c r="AX25" i="2" s="1"/>
  <c r="F124" i="2"/>
  <c r="AR124" i="2"/>
  <c r="AS124" i="2" s="1"/>
  <c r="AR176" i="2"/>
  <c r="AS176" i="2" s="1"/>
  <c r="F176" i="2"/>
  <c r="T133" i="2"/>
  <c r="AV133" i="2"/>
  <c r="AW133" i="2" s="1"/>
  <c r="T141" i="2"/>
  <c r="AV141" i="2"/>
  <c r="AW141" i="2" s="1"/>
  <c r="F86" i="2"/>
  <c r="AR86" i="2"/>
  <c r="AS86" i="2" s="1"/>
  <c r="T203" i="2"/>
  <c r="AV203" i="2"/>
  <c r="AW203" i="2" s="1"/>
  <c r="AR80" i="2"/>
  <c r="AS80" i="2" s="1"/>
  <c r="F80" i="2"/>
  <c r="AV33" i="2"/>
  <c r="AW33" i="2" s="1"/>
  <c r="T33" i="2"/>
  <c r="AV84" i="2"/>
  <c r="AW84" i="2" s="1"/>
  <c r="T84" i="2"/>
  <c r="T31" i="2"/>
  <c r="AV31" i="2"/>
  <c r="AW31" i="2" s="1"/>
  <c r="F82" i="2"/>
  <c r="AR82" i="2"/>
  <c r="AS82" i="2" s="1"/>
  <c r="T132" i="2"/>
  <c r="AV132" i="2"/>
  <c r="AW132" i="2" s="1"/>
  <c r="AR54" i="2"/>
  <c r="AS54" i="2" s="1"/>
  <c r="F54" i="2"/>
  <c r="T139" i="2"/>
  <c r="AV139" i="2"/>
  <c r="AW139" i="2" s="1"/>
  <c r="F161" i="2"/>
  <c r="AR161" i="2"/>
  <c r="AS161" i="2" s="1"/>
  <c r="F79" i="2"/>
  <c r="AR79" i="2"/>
  <c r="AS79" i="2" s="1"/>
  <c r="F90" i="2"/>
  <c r="AR90" i="2"/>
  <c r="AS90" i="2" s="1"/>
  <c r="AV148" i="2"/>
  <c r="AW148" i="2" s="1"/>
  <c r="T148" i="2"/>
  <c r="AR129" i="2"/>
  <c r="AS129" i="2" s="1"/>
  <c r="F129" i="2"/>
  <c r="AR116" i="2"/>
  <c r="AS116" i="2" s="1"/>
  <c r="F116" i="2"/>
  <c r="F18" i="2"/>
  <c r="AS18" i="2"/>
  <c r="AT18" i="2" s="1"/>
  <c r="AR50" i="2"/>
  <c r="AS50" i="2" s="1"/>
  <c r="F50" i="2"/>
  <c r="T134" i="2"/>
  <c r="AV134" i="2"/>
  <c r="AW134" i="2" s="1"/>
  <c r="T121" i="2"/>
  <c r="AV121" i="2"/>
  <c r="AW121" i="2" s="1"/>
  <c r="AV144" i="2"/>
  <c r="AW144" i="2" s="1"/>
  <c r="T144" i="2"/>
  <c r="AR114" i="2"/>
  <c r="AS114" i="2" s="1"/>
  <c r="F114" i="2"/>
  <c r="AR74" i="2"/>
  <c r="AS74" i="2" s="1"/>
  <c r="F74" i="2"/>
  <c r="AV104" i="2"/>
  <c r="AW104" i="2" s="1"/>
  <c r="T104" i="2"/>
  <c r="AV168" i="2"/>
  <c r="AW168" i="2" s="1"/>
  <c r="T168" i="2"/>
  <c r="AR93" i="2"/>
  <c r="AS93" i="2" s="1"/>
  <c r="F93" i="2"/>
  <c r="F37" i="2"/>
  <c r="AR37" i="2"/>
  <c r="AS37" i="2" s="1"/>
  <c r="F119" i="2"/>
  <c r="AR119" i="2"/>
  <c r="AS119" i="2" s="1"/>
  <c r="T143" i="2"/>
  <c r="AV143" i="2"/>
  <c r="AW143" i="2" s="1"/>
  <c r="AR198" i="2"/>
  <c r="AS198" i="2" s="1"/>
  <c r="F198" i="2"/>
  <c r="F26" i="2"/>
  <c r="AS26" i="2"/>
  <c r="AT26" i="2" s="1"/>
  <c r="T112" i="2"/>
  <c r="AV112" i="2"/>
  <c r="AW112" i="2" s="1"/>
  <c r="AV164" i="2"/>
  <c r="AW164" i="2" s="1"/>
  <c r="T164" i="2"/>
  <c r="AR186" i="2"/>
  <c r="AS186" i="2" s="1"/>
  <c r="F186" i="2"/>
  <c r="F128" i="2"/>
  <c r="AR128" i="2"/>
  <c r="AS128" i="2" s="1"/>
  <c r="S22" i="2"/>
  <c r="AW22" i="2"/>
  <c r="AX22" i="2" s="1"/>
  <c r="AV103" i="2"/>
  <c r="AW103" i="2" s="1"/>
  <c r="T103" i="2"/>
  <c r="AR55" i="2"/>
  <c r="AS55" i="2" s="1"/>
  <c r="F55" i="2"/>
  <c r="AR87" i="2"/>
  <c r="AS87" i="2" s="1"/>
  <c r="F87" i="2"/>
  <c r="AV166" i="2"/>
  <c r="AW166" i="2" s="1"/>
  <c r="T166" i="2"/>
  <c r="T152" i="2"/>
  <c r="AV152" i="2"/>
  <c r="AW152" i="2" s="1"/>
  <c r="T196" i="2"/>
  <c r="AV196" i="2"/>
  <c r="AW196" i="2" s="1"/>
  <c r="AR195" i="2"/>
  <c r="AS195" i="2" s="1"/>
  <c r="F195" i="2"/>
  <c r="F204" i="2"/>
  <c r="AR204" i="2"/>
  <c r="AS204" i="2" s="1"/>
  <c r="F117" i="2"/>
  <c r="AR117" i="2"/>
  <c r="AS117" i="2" s="1"/>
  <c r="T100" i="2"/>
  <c r="AV100" i="2"/>
  <c r="AW100" i="2" s="1"/>
  <c r="AV174" i="2"/>
  <c r="AW174" i="2" s="1"/>
  <c r="T174" i="2"/>
  <c r="T108" i="2"/>
  <c r="AV108" i="2"/>
  <c r="AW108" i="2" s="1"/>
  <c r="F202" i="2"/>
  <c r="AR202" i="2"/>
  <c r="AS202" i="2" s="1"/>
  <c r="F39" i="2"/>
  <c r="AR39" i="2"/>
  <c r="AS39" i="2" s="1"/>
  <c r="O8" i="3"/>
  <c r="R8" i="3" s="1"/>
  <c r="E8" i="3"/>
  <c r="K28" i="3"/>
  <c r="P28" i="3"/>
  <c r="S28" i="3" s="1"/>
  <c r="M52" i="2"/>
  <c r="N52" i="2" s="1"/>
  <c r="N96" i="3"/>
  <c r="D96" i="3"/>
  <c r="J96" i="3"/>
  <c r="P167" i="3"/>
  <c r="S167" i="3" s="1"/>
  <c r="K167" i="3"/>
  <c r="M191" i="2"/>
  <c r="N191" i="2" s="1"/>
  <c r="P134" i="3"/>
  <c r="S134" i="3" s="1"/>
  <c r="K134" i="3"/>
  <c r="M158" i="2"/>
  <c r="N158" i="2" s="1"/>
  <c r="K24" i="3"/>
  <c r="P24" i="3"/>
  <c r="S24" i="3" s="1"/>
  <c r="M48" i="2"/>
  <c r="N48" i="2" s="1"/>
  <c r="D103" i="3"/>
  <c r="J103" i="3"/>
  <c r="N103" i="3"/>
  <c r="N351" i="3"/>
  <c r="J351" i="3"/>
  <c r="E351" i="3"/>
  <c r="D351" i="3"/>
  <c r="K351" i="3"/>
  <c r="O351" i="3"/>
  <c r="R351" i="3" s="1"/>
  <c r="P351" i="3"/>
  <c r="S351" i="3" s="1"/>
  <c r="O67" i="3"/>
  <c r="R67" i="3" s="1"/>
  <c r="E67" i="3"/>
  <c r="N45" i="3"/>
  <c r="D45" i="3"/>
  <c r="J45" i="3"/>
  <c r="E68" i="3"/>
  <c r="O68" i="3"/>
  <c r="R68" i="3" s="1"/>
  <c r="N20" i="3"/>
  <c r="J20" i="3"/>
  <c r="D20" i="3"/>
  <c r="P249" i="3"/>
  <c r="S249" i="3" s="1"/>
  <c r="N249" i="3"/>
  <c r="K249" i="3"/>
  <c r="J249" i="3"/>
  <c r="O249" i="3"/>
  <c r="R249" i="3" s="1"/>
  <c r="E249" i="3"/>
  <c r="D249" i="3"/>
  <c r="O294" i="3"/>
  <c r="R294" i="3" s="1"/>
  <c r="P294" i="3"/>
  <c r="S294" i="3" s="1"/>
  <c r="K294" i="3"/>
  <c r="N294" i="3"/>
  <c r="E294" i="3"/>
  <c r="J294" i="3"/>
  <c r="D294" i="3"/>
  <c r="P222" i="3"/>
  <c r="S222" i="3" s="1"/>
  <c r="O222" i="3"/>
  <c r="R222" i="3" s="1"/>
  <c r="D222" i="3"/>
  <c r="K222" i="3"/>
  <c r="E222" i="3"/>
  <c r="N222" i="3"/>
  <c r="J222" i="3"/>
  <c r="K65" i="3"/>
  <c r="P65" i="3"/>
  <c r="S65" i="3" s="1"/>
  <c r="M89" i="2"/>
  <c r="N89" i="2" s="1"/>
  <c r="O99" i="3"/>
  <c r="R99" i="3" s="1"/>
  <c r="E99" i="3"/>
  <c r="C37" i="10"/>
  <c r="C52" i="10" s="1"/>
  <c r="L17" i="2"/>
  <c r="M17" i="2" s="1"/>
  <c r="K12" i="2"/>
  <c r="N57" i="3"/>
  <c r="J57" i="3"/>
  <c r="D57" i="3"/>
  <c r="K133" i="3"/>
  <c r="P133" i="3"/>
  <c r="S133" i="3" s="1"/>
  <c r="M157" i="2"/>
  <c r="N157" i="2" s="1"/>
  <c r="N27" i="3"/>
  <c r="J27" i="3"/>
  <c r="D27" i="3"/>
  <c r="N165" i="3"/>
  <c r="D165" i="3"/>
  <c r="J165" i="3"/>
  <c r="E103" i="3"/>
  <c r="O103" i="3"/>
  <c r="R103" i="3" s="1"/>
  <c r="P103" i="3"/>
  <c r="S103" i="3" s="1"/>
  <c r="K103" i="3"/>
  <c r="M127" i="2"/>
  <c r="N127" i="2" s="1"/>
  <c r="N202" i="3"/>
  <c r="O202" i="3"/>
  <c r="R202" i="3" s="1"/>
  <c r="E202" i="3"/>
  <c r="J202" i="3"/>
  <c r="K202" i="3"/>
  <c r="D202" i="3"/>
  <c r="P202" i="3"/>
  <c r="S202" i="3" s="1"/>
  <c r="E20" i="2"/>
  <c r="AA20" i="2"/>
  <c r="K364" i="3"/>
  <c r="O364" i="3"/>
  <c r="R364" i="3" s="1"/>
  <c r="J364" i="3"/>
  <c r="P364" i="3"/>
  <c r="S364" i="3" s="1"/>
  <c r="D364" i="3"/>
  <c r="E364" i="3"/>
  <c r="N364" i="3"/>
  <c r="K45" i="3"/>
  <c r="P45" i="3"/>
  <c r="S45" i="3" s="1"/>
  <c r="M69" i="2"/>
  <c r="N69" i="2" s="1"/>
  <c r="P200" i="3"/>
  <c r="S200" i="3" s="1"/>
  <c r="K200" i="3"/>
  <c r="O200" i="3"/>
  <c r="R200" i="3" s="1"/>
  <c r="J200" i="3"/>
  <c r="N200" i="3"/>
  <c r="E200" i="3"/>
  <c r="D200" i="3"/>
  <c r="O138" i="3"/>
  <c r="R138" i="3" s="1"/>
  <c r="E138" i="3"/>
  <c r="D73" i="3"/>
  <c r="J73" i="3"/>
  <c r="N73" i="3"/>
  <c r="E20" i="3"/>
  <c r="O20" i="3"/>
  <c r="R20" i="3" s="1"/>
  <c r="P227" i="3"/>
  <c r="S227" i="3" s="1"/>
  <c r="D227" i="3"/>
  <c r="O227" i="3"/>
  <c r="R227" i="3" s="1"/>
  <c r="N227" i="3"/>
  <c r="J227" i="3"/>
  <c r="E227" i="3"/>
  <c r="K227" i="3"/>
  <c r="K25" i="3"/>
  <c r="P25" i="3"/>
  <c r="S25" i="3" s="1"/>
  <c r="M49" i="2"/>
  <c r="N49" i="2" s="1"/>
  <c r="K186" i="3"/>
  <c r="K187" i="3" s="1"/>
  <c r="P186" i="3"/>
  <c r="M210" i="2"/>
  <c r="N210" i="2" s="1"/>
  <c r="O43" i="3"/>
  <c r="R43" i="3" s="1"/>
  <c r="E43" i="3"/>
  <c r="Q43" i="10"/>
  <c r="Q58" i="10" s="1"/>
  <c r="X23" i="2"/>
  <c r="E28" i="3"/>
  <c r="O28" i="3"/>
  <c r="R28" i="3" s="1"/>
  <c r="P151" i="3"/>
  <c r="S151" i="3" s="1"/>
  <c r="K151" i="3"/>
  <c r="M175" i="2"/>
  <c r="N175" i="2" s="1"/>
  <c r="D167" i="3"/>
  <c r="J167" i="3"/>
  <c r="N167" i="3"/>
  <c r="J134" i="3"/>
  <c r="D134" i="3"/>
  <c r="N134" i="3"/>
  <c r="N8" i="3"/>
  <c r="D8" i="3"/>
  <c r="J8" i="3"/>
  <c r="E164" i="3"/>
  <c r="O164" i="3"/>
  <c r="R164" i="3" s="1"/>
  <c r="J138" i="3"/>
  <c r="D138" i="3"/>
  <c r="N138" i="3"/>
  <c r="D25" i="3"/>
  <c r="J25" i="3"/>
  <c r="N25" i="3"/>
  <c r="E41" i="3"/>
  <c r="O41" i="3"/>
  <c r="R41" i="3" s="1"/>
  <c r="J43" i="3"/>
  <c r="N43" i="3"/>
  <c r="D43" i="3"/>
  <c r="P347" i="3"/>
  <c r="S347" i="3" s="1"/>
  <c r="K347" i="3"/>
  <c r="D347" i="3"/>
  <c r="N347" i="3"/>
  <c r="O347" i="3"/>
  <c r="R347" i="3" s="1"/>
  <c r="E347" i="3"/>
  <c r="J347" i="3"/>
  <c r="AT48" i="2"/>
  <c r="J48" i="2" s="1"/>
  <c r="O24" i="3" s="1"/>
  <c r="R24" i="3" s="1"/>
  <c r="K36" i="3"/>
  <c r="P36" i="3"/>
  <c r="S36" i="3" s="1"/>
  <c r="M60" i="2"/>
  <c r="N60" i="2" s="1"/>
  <c r="K27" i="3"/>
  <c r="P27" i="3"/>
  <c r="S27" i="3" s="1"/>
  <c r="M51" i="2"/>
  <c r="N51" i="2" s="1"/>
  <c r="N155" i="3"/>
  <c r="J155" i="3"/>
  <c r="D155" i="3"/>
  <c r="P223" i="3"/>
  <c r="S223" i="3" s="1"/>
  <c r="D223" i="3"/>
  <c r="J223" i="3"/>
  <c r="E223" i="3"/>
  <c r="N223" i="3"/>
  <c r="K223" i="3"/>
  <c r="O223" i="3"/>
  <c r="R223" i="3" s="1"/>
  <c r="C40" i="10"/>
  <c r="C55" i="10" s="1"/>
  <c r="L20" i="2"/>
  <c r="M20" i="2" s="1"/>
  <c r="N214" i="3"/>
  <c r="O214" i="3"/>
  <c r="R214" i="3" s="1"/>
  <c r="J214" i="3"/>
  <c r="E214" i="3"/>
  <c r="K214" i="3"/>
  <c r="D214" i="3"/>
  <c r="P214" i="3"/>
  <c r="S214" i="3" s="1"/>
  <c r="K122" i="3"/>
  <c r="P122" i="3"/>
  <c r="S122" i="3" s="1"/>
  <c r="M146" i="2"/>
  <c r="N146" i="2" s="1"/>
  <c r="D280" i="3"/>
  <c r="E280" i="3"/>
  <c r="N280" i="3"/>
  <c r="K280" i="3"/>
  <c r="O280" i="3"/>
  <c r="R280" i="3" s="1"/>
  <c r="J280" i="3"/>
  <c r="P280" i="3"/>
  <c r="S280" i="3" s="1"/>
  <c r="K68" i="3"/>
  <c r="P68" i="3"/>
  <c r="S68" i="3" s="1"/>
  <c r="M92" i="2"/>
  <c r="N92" i="2" s="1"/>
  <c r="P348" i="3"/>
  <c r="S348" i="3" s="1"/>
  <c r="N348" i="3"/>
  <c r="J348" i="3"/>
  <c r="E348" i="3"/>
  <c r="D348" i="3"/>
  <c r="K348" i="3"/>
  <c r="O348" i="3"/>
  <c r="R348" i="3" s="1"/>
  <c r="J112" i="3"/>
  <c r="N112" i="3"/>
  <c r="D112" i="3"/>
  <c r="D168" i="3"/>
  <c r="J168" i="3"/>
  <c r="N168" i="3"/>
  <c r="K207" i="3"/>
  <c r="O207" i="3"/>
  <c r="R207" i="3" s="1"/>
  <c r="N207" i="3"/>
  <c r="J207" i="3"/>
  <c r="P207" i="3"/>
  <c r="S207" i="3" s="1"/>
  <c r="E207" i="3"/>
  <c r="D207" i="3"/>
  <c r="K304" i="3"/>
  <c r="E304" i="3"/>
  <c r="D304" i="3"/>
  <c r="N304" i="3"/>
  <c r="P304" i="3"/>
  <c r="S304" i="3" s="1"/>
  <c r="J304" i="3"/>
  <c r="O304" i="3"/>
  <c r="R304" i="3" s="1"/>
  <c r="N350" i="3"/>
  <c r="D350" i="3"/>
  <c r="O350" i="3"/>
  <c r="R350" i="3" s="1"/>
  <c r="J350" i="3"/>
  <c r="E350" i="3"/>
  <c r="P350" i="3"/>
  <c r="S350" i="3" s="1"/>
  <c r="K350" i="3"/>
  <c r="O247" i="3"/>
  <c r="R247" i="3" s="1"/>
  <c r="P247" i="3"/>
  <c r="S247" i="3" s="1"/>
  <c r="J247" i="3"/>
  <c r="D247" i="3"/>
  <c r="E247" i="3"/>
  <c r="K247" i="3"/>
  <c r="N247" i="3"/>
  <c r="N41" i="3"/>
  <c r="D41" i="3"/>
  <c r="J41" i="3"/>
  <c r="AT89" i="2"/>
  <c r="J89" i="2" s="1"/>
  <c r="E65" i="3" s="1"/>
  <c r="K99" i="3"/>
  <c r="P99" i="3"/>
  <c r="S99" i="3" s="1"/>
  <c r="M123" i="2"/>
  <c r="N123" i="2" s="1"/>
  <c r="J28" i="3"/>
  <c r="N28" i="3"/>
  <c r="D28" i="3"/>
  <c r="J151" i="3"/>
  <c r="N151" i="3"/>
  <c r="D151" i="3"/>
  <c r="J315" i="3"/>
  <c r="E315" i="3"/>
  <c r="N315" i="3"/>
  <c r="O315" i="3"/>
  <c r="R315" i="3" s="1"/>
  <c r="P315" i="3"/>
  <c r="S315" i="3" s="1"/>
  <c r="K315" i="3"/>
  <c r="D315" i="3"/>
  <c r="E165" i="3"/>
  <c r="O165" i="3"/>
  <c r="R165" i="3" s="1"/>
  <c r="E155" i="3"/>
  <c r="O155" i="3"/>
  <c r="R155" i="3" s="1"/>
  <c r="N18" i="3"/>
  <c r="D18" i="3"/>
  <c r="J18" i="3"/>
  <c r="J255" i="3"/>
  <c r="E255" i="3"/>
  <c r="N255" i="3"/>
  <c r="K255" i="3"/>
  <c r="O255" i="3"/>
  <c r="R255" i="3" s="1"/>
  <c r="D255" i="3"/>
  <c r="P255" i="3"/>
  <c r="S255" i="3" s="1"/>
  <c r="E122" i="3"/>
  <c r="O122" i="3"/>
  <c r="R122" i="3" s="1"/>
  <c r="P73" i="3"/>
  <c r="S73" i="3" s="1"/>
  <c r="K73" i="3"/>
  <c r="M97" i="2"/>
  <c r="N97" i="2" s="1"/>
  <c r="D40" i="3"/>
  <c r="N40" i="3"/>
  <c r="J40" i="3"/>
  <c r="K32" i="3"/>
  <c r="P32" i="3"/>
  <c r="S32" i="3" s="1"/>
  <c r="M56" i="2"/>
  <c r="N56" i="2" s="1"/>
  <c r="O259" i="3"/>
  <c r="R259" i="3" s="1"/>
  <c r="E259" i="3"/>
  <c r="N259" i="3"/>
  <c r="D259" i="3"/>
  <c r="J259" i="3"/>
  <c r="P259" i="3"/>
  <c r="S259" i="3" s="1"/>
  <c r="K259" i="3"/>
  <c r="AA23" i="2"/>
  <c r="E23" i="2"/>
  <c r="J368" i="3"/>
  <c r="E368" i="3"/>
  <c r="K368" i="3"/>
  <c r="O368" i="3"/>
  <c r="R368" i="3" s="1"/>
  <c r="P368" i="3"/>
  <c r="S368" i="3" s="1"/>
  <c r="N368" i="3"/>
  <c r="D368" i="3"/>
  <c r="P8" i="3"/>
  <c r="S8" i="3" s="1"/>
  <c r="K8" i="3"/>
  <c r="M32" i="2"/>
  <c r="N32" i="2" s="1"/>
  <c r="C67" i="10" s="1"/>
  <c r="AU17" i="2"/>
  <c r="J17" i="2" s="1"/>
  <c r="C22" i="10" s="1"/>
  <c r="B52" i="10" s="1"/>
  <c r="AT158" i="2"/>
  <c r="J158" i="2" s="1"/>
  <c r="E134" i="3" s="1"/>
  <c r="C43" i="10"/>
  <c r="C58" i="10" s="1"/>
  <c r="L23" i="2"/>
  <c r="M23" i="2" s="1"/>
  <c r="P278" i="3"/>
  <c r="S278" i="3" s="1"/>
  <c r="N278" i="3"/>
  <c r="D278" i="3"/>
  <c r="J278" i="3"/>
  <c r="E278" i="3"/>
  <c r="K278" i="3"/>
  <c r="O278" i="3"/>
  <c r="R278" i="3" s="1"/>
  <c r="N59" i="3"/>
  <c r="D59" i="3"/>
  <c r="J59" i="3"/>
  <c r="E36" i="3"/>
  <c r="O36" i="3"/>
  <c r="R36" i="3" s="1"/>
  <c r="D36" i="3"/>
  <c r="J36" i="3"/>
  <c r="N36" i="3"/>
  <c r="AT157" i="2"/>
  <c r="J157" i="2" s="1"/>
  <c r="E133" i="3" s="1"/>
  <c r="E27" i="3"/>
  <c r="O27" i="3"/>
  <c r="R27" i="3" s="1"/>
  <c r="J209" i="3"/>
  <c r="E209" i="3"/>
  <c r="N209" i="3"/>
  <c r="O209" i="3"/>
  <c r="R209" i="3" s="1"/>
  <c r="P209" i="3"/>
  <c r="S209" i="3" s="1"/>
  <c r="D209" i="3"/>
  <c r="K209" i="3"/>
  <c r="P165" i="3"/>
  <c r="S165" i="3" s="1"/>
  <c r="K165" i="3"/>
  <c r="M189" i="2"/>
  <c r="N189" i="2" s="1"/>
  <c r="K155" i="3"/>
  <c r="P155" i="3"/>
  <c r="S155" i="3" s="1"/>
  <c r="M179" i="2"/>
  <c r="N179" i="2" s="1"/>
  <c r="E241" i="3"/>
  <c r="D241" i="3"/>
  <c r="K241" i="3"/>
  <c r="N241" i="3"/>
  <c r="P241" i="3"/>
  <c r="S241" i="3" s="1"/>
  <c r="O241" i="3"/>
  <c r="R241" i="3" s="1"/>
  <c r="J241" i="3"/>
  <c r="O210" i="3"/>
  <c r="R210" i="3" s="1"/>
  <c r="D210" i="3"/>
  <c r="P210" i="3"/>
  <c r="S210" i="3" s="1"/>
  <c r="J210" i="3"/>
  <c r="K210" i="3"/>
  <c r="N210" i="3"/>
  <c r="E210" i="3"/>
  <c r="E349" i="3"/>
  <c r="N349" i="3"/>
  <c r="K349" i="3"/>
  <c r="J349" i="3"/>
  <c r="D349" i="3"/>
  <c r="P349" i="3"/>
  <c r="S349" i="3" s="1"/>
  <c r="O349" i="3"/>
  <c r="R349" i="3" s="1"/>
  <c r="K67" i="3"/>
  <c r="P67" i="3"/>
  <c r="S67" i="3" s="1"/>
  <c r="M91" i="2"/>
  <c r="N91" i="2" s="1"/>
  <c r="O45" i="3"/>
  <c r="R45" i="3" s="1"/>
  <c r="E45" i="3"/>
  <c r="P164" i="3"/>
  <c r="S164" i="3" s="1"/>
  <c r="K164" i="3"/>
  <c r="M188" i="2"/>
  <c r="N188" i="2" s="1"/>
  <c r="D68" i="3"/>
  <c r="J68" i="3"/>
  <c r="N68" i="3"/>
  <c r="K138" i="3"/>
  <c r="P138" i="3"/>
  <c r="S138" i="3" s="1"/>
  <c r="M162" i="2"/>
  <c r="N162" i="2" s="1"/>
  <c r="AT97" i="2"/>
  <c r="J97" i="2" s="1"/>
  <c r="E73" i="3" s="1"/>
  <c r="K20" i="3"/>
  <c r="P20" i="3"/>
  <c r="S20" i="3" s="1"/>
  <c r="M44" i="2"/>
  <c r="N44" i="2" s="1"/>
  <c r="N250" i="3"/>
  <c r="E250" i="3"/>
  <c r="D250" i="3"/>
  <c r="J250" i="3"/>
  <c r="K250" i="3"/>
  <c r="P250" i="3"/>
  <c r="S250" i="3" s="1"/>
  <c r="O250" i="3"/>
  <c r="R250" i="3" s="1"/>
  <c r="AT56" i="2"/>
  <c r="J56" i="2" s="1"/>
  <c r="O32" i="3" s="1"/>
  <c r="R32" i="3" s="1"/>
  <c r="AT49" i="2"/>
  <c r="J49" i="2" s="1"/>
  <c r="O25" i="3" s="1"/>
  <c r="R25" i="3" s="1"/>
  <c r="E186" i="3"/>
  <c r="E187" i="3" s="1"/>
  <c r="O186" i="3"/>
  <c r="P41" i="3"/>
  <c r="S41" i="3" s="1"/>
  <c r="K41" i="3"/>
  <c r="M65" i="2"/>
  <c r="N65" i="2" s="1"/>
  <c r="O218" i="3"/>
  <c r="R218" i="3" s="1"/>
  <c r="E218" i="3"/>
  <c r="N218" i="3"/>
  <c r="J218" i="3"/>
  <c r="K218" i="3"/>
  <c r="D218" i="3"/>
  <c r="P218" i="3"/>
  <c r="S218" i="3" s="1"/>
  <c r="N99" i="3"/>
  <c r="D99" i="3"/>
  <c r="J99" i="3"/>
  <c r="K43" i="3"/>
  <c r="P43" i="3"/>
  <c r="S43" i="3" s="1"/>
  <c r="M67" i="2"/>
  <c r="N67" i="2" s="1"/>
  <c r="K352" i="3"/>
  <c r="O352" i="3"/>
  <c r="R352" i="3" s="1"/>
  <c r="P352" i="3"/>
  <c r="S352" i="3" s="1"/>
  <c r="N352" i="3"/>
  <c r="D352" i="3"/>
  <c r="J352" i="3"/>
  <c r="E352" i="3"/>
  <c r="P206" i="3"/>
  <c r="S206" i="3" s="1"/>
  <c r="K206" i="3"/>
  <c r="O206" i="3"/>
  <c r="R206" i="3" s="1"/>
  <c r="N206" i="3"/>
  <c r="E206" i="3"/>
  <c r="D206" i="3"/>
  <c r="J206" i="3"/>
  <c r="O151" i="3"/>
  <c r="R151" i="3" s="1"/>
  <c r="E151" i="3"/>
  <c r="E285" i="3"/>
  <c r="N285" i="3"/>
  <c r="K285" i="3"/>
  <c r="O285" i="3"/>
  <c r="R285" i="3" s="1"/>
  <c r="J285" i="3"/>
  <c r="P285" i="3"/>
  <c r="S285" i="3" s="1"/>
  <c r="D285" i="3"/>
  <c r="O96" i="3"/>
  <c r="R96" i="3" s="1"/>
  <c r="E96" i="3"/>
  <c r="K96" i="3"/>
  <c r="P96" i="3"/>
  <c r="S96" i="3" s="1"/>
  <c r="M120" i="2"/>
  <c r="N120" i="2" s="1"/>
  <c r="AT191" i="2"/>
  <c r="J191" i="2" s="1"/>
  <c r="O167" i="3" s="1"/>
  <c r="R167" i="3" s="1"/>
  <c r="H19" i="2" l="1"/>
  <c r="I19" i="2" s="1"/>
  <c r="AY19" i="2"/>
  <c r="V19" i="2" s="1"/>
  <c r="Q24" i="10" s="1"/>
  <c r="P54" i="10" s="1"/>
  <c r="O190" i="3"/>
  <c r="R190" i="3" s="1"/>
  <c r="AY17" i="2"/>
  <c r="V17" i="2" s="1"/>
  <c r="Q22" i="10" s="1"/>
  <c r="P52" i="10" s="1"/>
  <c r="R17" i="2"/>
  <c r="Y17" i="2" s="1"/>
  <c r="N182" i="3"/>
  <c r="N65" i="3"/>
  <c r="AA19" i="2"/>
  <c r="AC19" i="2" s="1"/>
  <c r="J182" i="3"/>
  <c r="J67" i="3"/>
  <c r="J65" i="3"/>
  <c r="W67" i="2"/>
  <c r="AX67" i="2" s="1"/>
  <c r="V67" i="2" s="1"/>
  <c r="L206" i="2"/>
  <c r="AT206" i="2" s="1"/>
  <c r="J206" i="2" s="1"/>
  <c r="O182" i="3" s="1"/>
  <c r="R182" i="3" s="1"/>
  <c r="R67" i="2"/>
  <c r="S67" i="2"/>
  <c r="D225" i="3" s="1"/>
  <c r="D67" i="3"/>
  <c r="J316" i="3"/>
  <c r="P40" i="3"/>
  <c r="S40" i="3" s="1"/>
  <c r="E316" i="3"/>
  <c r="K190" i="3"/>
  <c r="O316" i="3"/>
  <c r="R316" i="3" s="1"/>
  <c r="D316" i="3"/>
  <c r="AU19" i="2"/>
  <c r="J19" i="2" s="1"/>
  <c r="C24" i="10" s="1"/>
  <c r="B54" i="10" s="1"/>
  <c r="N190" i="3"/>
  <c r="E40" i="3"/>
  <c r="D77" i="3"/>
  <c r="N77" i="3"/>
  <c r="J166" i="3"/>
  <c r="N186" i="3"/>
  <c r="N187" i="3" s="1"/>
  <c r="D239" i="3"/>
  <c r="K40" i="3"/>
  <c r="O239" i="3"/>
  <c r="R239" i="3" s="1"/>
  <c r="K316" i="3"/>
  <c r="P316" i="3"/>
  <c r="S316" i="3" s="1"/>
  <c r="K239" i="3"/>
  <c r="P112" i="3"/>
  <c r="S112" i="3" s="1"/>
  <c r="D186" i="3"/>
  <c r="D187" i="3" s="1"/>
  <c r="D133" i="3"/>
  <c r="P239" i="3"/>
  <c r="S239" i="3" s="1"/>
  <c r="J239" i="3"/>
  <c r="M64" i="2"/>
  <c r="N64" i="2" s="1"/>
  <c r="J190" i="3"/>
  <c r="O98" i="3"/>
  <c r="R98" i="3" s="1"/>
  <c r="D337" i="3"/>
  <c r="L19" i="2"/>
  <c r="M19" i="2" s="1"/>
  <c r="P190" i="3"/>
  <c r="S190" i="3" s="1"/>
  <c r="E190" i="3"/>
  <c r="AT136" i="2"/>
  <c r="J136" i="2" s="1"/>
  <c r="O112" i="3" s="1"/>
  <c r="R112" i="3" s="1"/>
  <c r="N24" i="3"/>
  <c r="N239" i="3"/>
  <c r="K98" i="3"/>
  <c r="D190" i="3"/>
  <c r="AT42" i="2"/>
  <c r="J42" i="2" s="1"/>
  <c r="O18" i="3" s="1"/>
  <c r="R18" i="3" s="1"/>
  <c r="D85" i="3"/>
  <c r="M42" i="2"/>
  <c r="N42" i="2" s="1"/>
  <c r="P18" i="3"/>
  <c r="S18" i="3" s="1"/>
  <c r="M136" i="2"/>
  <c r="N136" i="2" s="1"/>
  <c r="P337" i="3"/>
  <c r="S337" i="3" s="1"/>
  <c r="J337" i="3"/>
  <c r="J24" i="3"/>
  <c r="E337" i="3"/>
  <c r="P98" i="3"/>
  <c r="S98" i="3" s="1"/>
  <c r="D24" i="3"/>
  <c r="N337" i="3"/>
  <c r="O337" i="3"/>
  <c r="R337" i="3" s="1"/>
  <c r="K59" i="3"/>
  <c r="N281" i="3"/>
  <c r="N333" i="3"/>
  <c r="N32" i="3"/>
  <c r="P267" i="3"/>
  <c r="S267" i="3" s="1"/>
  <c r="D32" i="3"/>
  <c r="J133" i="3"/>
  <c r="K85" i="3"/>
  <c r="E333" i="3"/>
  <c r="K281" i="3"/>
  <c r="P77" i="3"/>
  <c r="S77" i="3" s="1"/>
  <c r="N166" i="3"/>
  <c r="L190" i="2"/>
  <c r="AT190" i="2" s="1"/>
  <c r="J190" i="2" s="1"/>
  <c r="O166" i="3" s="1"/>
  <c r="R166" i="3" s="1"/>
  <c r="N320" i="3"/>
  <c r="AT101" i="2"/>
  <c r="J101" i="2" s="1"/>
  <c r="O77" i="3" s="1"/>
  <c r="R77" i="3" s="1"/>
  <c r="N98" i="3"/>
  <c r="N133" i="3"/>
  <c r="J85" i="3"/>
  <c r="M101" i="2"/>
  <c r="N101" i="2" s="1"/>
  <c r="X17" i="2"/>
  <c r="O168" i="3"/>
  <c r="R168" i="3" s="1"/>
  <c r="H190" i="2"/>
  <c r="P333" i="3"/>
  <c r="S333" i="3" s="1"/>
  <c r="E281" i="3"/>
  <c r="J281" i="3"/>
  <c r="N267" i="3"/>
  <c r="K267" i="3"/>
  <c r="M109" i="2"/>
  <c r="N109" i="2" s="1"/>
  <c r="O333" i="3"/>
  <c r="R333" i="3" s="1"/>
  <c r="D281" i="3"/>
  <c r="J267" i="3"/>
  <c r="J98" i="3"/>
  <c r="N85" i="3"/>
  <c r="P85" i="3"/>
  <c r="S85" i="3" s="1"/>
  <c r="D333" i="3"/>
  <c r="O281" i="3"/>
  <c r="R281" i="3" s="1"/>
  <c r="D267" i="3"/>
  <c r="M122" i="2"/>
  <c r="N122" i="2" s="1"/>
  <c r="P168" i="3"/>
  <c r="S168" i="3" s="1"/>
  <c r="J333" i="3"/>
  <c r="E267" i="3"/>
  <c r="O85" i="3"/>
  <c r="R85" i="3" s="1"/>
  <c r="M192" i="2"/>
  <c r="N192" i="2" s="1"/>
  <c r="E17" i="2"/>
  <c r="N164" i="3"/>
  <c r="P320" i="3"/>
  <c r="S320" i="3" s="1"/>
  <c r="K346" i="3"/>
  <c r="J320" i="3"/>
  <c r="K320" i="3"/>
  <c r="E59" i="3"/>
  <c r="X19" i="2"/>
  <c r="M83" i="2"/>
  <c r="N83" i="2" s="1"/>
  <c r="E320" i="3"/>
  <c r="K57" i="3"/>
  <c r="D164" i="3"/>
  <c r="J164" i="3"/>
  <c r="D320" i="3"/>
  <c r="P59" i="3"/>
  <c r="S59" i="3" s="1"/>
  <c r="L200" i="2"/>
  <c r="H200" i="2"/>
  <c r="D200" i="2"/>
  <c r="J346" i="3"/>
  <c r="D141" i="2"/>
  <c r="N117" i="3" s="1"/>
  <c r="AX172" i="2"/>
  <c r="W172" i="2"/>
  <c r="V172" i="2"/>
  <c r="U172" i="2"/>
  <c r="S172" i="2"/>
  <c r="R172" i="2"/>
  <c r="AX200" i="2"/>
  <c r="U200" i="2"/>
  <c r="R200" i="2"/>
  <c r="V200" i="2"/>
  <c r="W200" i="2"/>
  <c r="S200" i="2"/>
  <c r="L172" i="2"/>
  <c r="AT172" i="2" s="1"/>
  <c r="J172" i="2" s="1"/>
  <c r="D172" i="2"/>
  <c r="H172" i="2"/>
  <c r="K168" i="3"/>
  <c r="P346" i="3"/>
  <c r="S346" i="3" s="1"/>
  <c r="H194" i="2"/>
  <c r="L194" i="2"/>
  <c r="D194" i="2"/>
  <c r="X20" i="2"/>
  <c r="Q40" i="10"/>
  <c r="Q55" i="10" s="1"/>
  <c r="D346" i="3"/>
  <c r="N346" i="3"/>
  <c r="D122" i="3"/>
  <c r="E346" i="3"/>
  <c r="H193" i="2"/>
  <c r="L193" i="2"/>
  <c r="D193" i="2"/>
  <c r="N122" i="3"/>
  <c r="M81" i="2"/>
  <c r="N81" i="2" s="1"/>
  <c r="O57" i="3"/>
  <c r="R57" i="3" s="1"/>
  <c r="P57" i="3"/>
  <c r="S57" i="3" s="1"/>
  <c r="L55" i="2"/>
  <c r="D55" i="2"/>
  <c r="H55" i="2"/>
  <c r="D186" i="2"/>
  <c r="L186" i="2"/>
  <c r="AT186" i="2" s="1"/>
  <c r="J186" i="2" s="1"/>
  <c r="H186" i="2"/>
  <c r="D198" i="2"/>
  <c r="L198" i="2"/>
  <c r="H198" i="2"/>
  <c r="L93" i="2"/>
  <c r="AT93" i="2" s="1"/>
  <c r="J93" i="2" s="1"/>
  <c r="D93" i="2"/>
  <c r="H93" i="2"/>
  <c r="H114" i="2"/>
  <c r="L114" i="2"/>
  <c r="AT114" i="2" s="1"/>
  <c r="J114" i="2" s="1"/>
  <c r="D114" i="2"/>
  <c r="AX148" i="2"/>
  <c r="W148" i="2"/>
  <c r="S148" i="2"/>
  <c r="U148" i="2"/>
  <c r="V148" i="2"/>
  <c r="R148" i="2"/>
  <c r="H166" i="2"/>
  <c r="L166" i="2"/>
  <c r="AT166" i="2" s="1"/>
  <c r="J166" i="2" s="1"/>
  <c r="O142" i="3" s="1"/>
  <c r="R142" i="3" s="1"/>
  <c r="D166" i="2"/>
  <c r="U199" i="2"/>
  <c r="W199" i="2"/>
  <c r="R199" i="2"/>
  <c r="V199" i="2"/>
  <c r="S199" i="2"/>
  <c r="AX199" i="2"/>
  <c r="W111" i="2"/>
  <c r="S111" i="2"/>
  <c r="U111" i="2"/>
  <c r="V111" i="2"/>
  <c r="R111" i="2"/>
  <c r="AX111" i="2"/>
  <c r="D170" i="2"/>
  <c r="L170" i="2"/>
  <c r="H170" i="2"/>
  <c r="R59" i="2"/>
  <c r="S59" i="2"/>
  <c r="W59" i="2"/>
  <c r="AX59" i="2" s="1"/>
  <c r="V59" i="2" s="1"/>
  <c r="U59" i="2"/>
  <c r="S126" i="2"/>
  <c r="W126" i="2"/>
  <c r="R126" i="2"/>
  <c r="U126" i="2"/>
  <c r="AX126" i="2"/>
  <c r="V126" i="2"/>
  <c r="O24" i="2"/>
  <c r="K24" i="2"/>
  <c r="C14" i="10"/>
  <c r="G24" i="2"/>
  <c r="N24" i="2" s="1"/>
  <c r="H24" i="2"/>
  <c r="I24" i="2" s="1"/>
  <c r="D24" i="2"/>
  <c r="L178" i="2"/>
  <c r="D178" i="2"/>
  <c r="H178" i="2"/>
  <c r="H104" i="2"/>
  <c r="L104" i="2"/>
  <c r="D104" i="2"/>
  <c r="R150" i="2"/>
  <c r="S150" i="2"/>
  <c r="U150" i="2"/>
  <c r="AX150" i="2"/>
  <c r="V150" i="2"/>
  <c r="W150" i="2"/>
  <c r="R166" i="2"/>
  <c r="S166" i="2"/>
  <c r="U166" i="2"/>
  <c r="V166" i="2"/>
  <c r="AX166" i="2"/>
  <c r="W166" i="2"/>
  <c r="S104" i="2"/>
  <c r="U104" i="2"/>
  <c r="R104" i="2"/>
  <c r="W104" i="2"/>
  <c r="AX104" i="2" s="1"/>
  <c r="V104" i="2" s="1"/>
  <c r="L50" i="2"/>
  <c r="H50" i="2"/>
  <c r="D50" i="2"/>
  <c r="D116" i="2"/>
  <c r="H116" i="2"/>
  <c r="L116" i="2"/>
  <c r="R33" i="2"/>
  <c r="U33" i="2"/>
  <c r="W33" i="2"/>
  <c r="AX33" i="2" s="1"/>
  <c r="V33" i="2" s="1"/>
  <c r="S33" i="2"/>
  <c r="H176" i="2"/>
  <c r="D176" i="2"/>
  <c r="L176" i="2"/>
  <c r="S165" i="2"/>
  <c r="U165" i="2"/>
  <c r="V165" i="2"/>
  <c r="W165" i="2"/>
  <c r="R165" i="2"/>
  <c r="AX165" i="2"/>
  <c r="U185" i="2"/>
  <c r="AX185" i="2"/>
  <c r="R185" i="2"/>
  <c r="S185" i="2"/>
  <c r="V185" i="2"/>
  <c r="W185" i="2"/>
  <c r="H155" i="2"/>
  <c r="L155" i="2"/>
  <c r="D155" i="2"/>
  <c r="O22" i="2"/>
  <c r="C12" i="10"/>
  <c r="G22" i="2"/>
  <c r="N22" i="2" s="1"/>
  <c r="H22" i="2"/>
  <c r="I22" i="2" s="1"/>
  <c r="K22" i="2"/>
  <c r="D22" i="2"/>
  <c r="S85" i="2"/>
  <c r="R85" i="2"/>
  <c r="U85" i="2"/>
  <c r="W85" i="2"/>
  <c r="AX85" i="2" s="1"/>
  <c r="V85" i="2" s="1"/>
  <c r="L137" i="2"/>
  <c r="D137" i="2"/>
  <c r="H137" i="2"/>
  <c r="AX110" i="2"/>
  <c r="V110" i="2"/>
  <c r="W110" i="2"/>
  <c r="R110" i="2"/>
  <c r="S110" i="2"/>
  <c r="U110" i="2"/>
  <c r="H182" i="2"/>
  <c r="L182" i="2"/>
  <c r="AT182" i="2" s="1"/>
  <c r="J182" i="2" s="1"/>
  <c r="E158" i="3" s="1"/>
  <c r="D182" i="2"/>
  <c r="L61" i="2"/>
  <c r="H61" i="2"/>
  <c r="D61" i="2"/>
  <c r="D140" i="2"/>
  <c r="H140" i="2"/>
  <c r="L140" i="2"/>
  <c r="V142" i="2"/>
  <c r="S142" i="2"/>
  <c r="R142" i="2"/>
  <c r="AX142" i="2"/>
  <c r="W142" i="2"/>
  <c r="U142" i="2"/>
  <c r="W43" i="2"/>
  <c r="AX43" i="2" s="1"/>
  <c r="V43" i="2" s="1"/>
  <c r="U43" i="2"/>
  <c r="R43" i="2"/>
  <c r="S43" i="2"/>
  <c r="H113" i="2"/>
  <c r="L113" i="2"/>
  <c r="D113" i="2"/>
  <c r="W98" i="2"/>
  <c r="AX98" i="2" s="1"/>
  <c r="V98" i="2" s="1"/>
  <c r="R98" i="2"/>
  <c r="U98" i="2"/>
  <c r="S98" i="2"/>
  <c r="D169" i="2"/>
  <c r="H169" i="2"/>
  <c r="L169" i="2"/>
  <c r="W45" i="2"/>
  <c r="AX45" i="2" s="1"/>
  <c r="V45" i="2" s="1"/>
  <c r="U45" i="2"/>
  <c r="R45" i="2"/>
  <c r="S45" i="2"/>
  <c r="W153" i="2"/>
  <c r="U153" i="2"/>
  <c r="V153" i="2"/>
  <c r="R153" i="2"/>
  <c r="S153" i="2"/>
  <c r="AX153" i="2"/>
  <c r="U63" i="2"/>
  <c r="S63" i="2"/>
  <c r="R63" i="2"/>
  <c r="W63" i="2"/>
  <c r="AX63" i="2" s="1"/>
  <c r="V63" i="2" s="1"/>
  <c r="V149" i="2"/>
  <c r="W149" i="2"/>
  <c r="AX149" i="2"/>
  <c r="S149" i="2"/>
  <c r="U149" i="2"/>
  <c r="R149" i="2"/>
  <c r="D160" i="2"/>
  <c r="L160" i="2"/>
  <c r="H160" i="2"/>
  <c r="U96" i="2"/>
  <c r="R96" i="2"/>
  <c r="W96" i="2"/>
  <c r="AX96" i="2" s="1"/>
  <c r="V96" i="2" s="1"/>
  <c r="S96" i="2"/>
  <c r="D181" i="2"/>
  <c r="L181" i="2"/>
  <c r="AT181" i="2" s="1"/>
  <c r="J181" i="2" s="1"/>
  <c r="E157" i="3" s="1"/>
  <c r="H181" i="2"/>
  <c r="S182" i="2"/>
  <c r="U182" i="2"/>
  <c r="V182" i="2"/>
  <c r="W182" i="2"/>
  <c r="AX182" i="2"/>
  <c r="R182" i="2"/>
  <c r="R202" i="2"/>
  <c r="S202" i="2"/>
  <c r="AX202" i="2"/>
  <c r="V202" i="2"/>
  <c r="W202" i="2"/>
  <c r="U202" i="2"/>
  <c r="L43" i="2"/>
  <c r="AT43" i="2" s="1"/>
  <c r="J43" i="2" s="1"/>
  <c r="O19" i="3" s="1"/>
  <c r="R19" i="3" s="1"/>
  <c r="D43" i="2"/>
  <c r="H43" i="2"/>
  <c r="R177" i="2"/>
  <c r="AX177" i="2"/>
  <c r="U177" i="2"/>
  <c r="W177" i="2"/>
  <c r="S177" i="2"/>
  <c r="V177" i="2"/>
  <c r="T24" i="2"/>
  <c r="U24" i="2" s="1"/>
  <c r="R24" i="2"/>
  <c r="Y24" i="2" s="1"/>
  <c r="Q14" i="10"/>
  <c r="Q24" i="2"/>
  <c r="W24" i="2"/>
  <c r="H208" i="2"/>
  <c r="D208" i="2"/>
  <c r="L208" i="2"/>
  <c r="AT208" i="2" s="1"/>
  <c r="J208" i="2" s="1"/>
  <c r="O184" i="3" s="1"/>
  <c r="R184" i="3" s="1"/>
  <c r="AX119" i="2"/>
  <c r="S119" i="2"/>
  <c r="R119" i="2"/>
  <c r="U119" i="2"/>
  <c r="W119" i="2"/>
  <c r="V119" i="2"/>
  <c r="D144" i="2"/>
  <c r="H144" i="2"/>
  <c r="L144" i="2"/>
  <c r="W50" i="2"/>
  <c r="AX50" i="2" s="1"/>
  <c r="V50" i="2" s="1"/>
  <c r="R50" i="2"/>
  <c r="S50" i="2"/>
  <c r="U50" i="2"/>
  <c r="S54" i="2"/>
  <c r="U54" i="2"/>
  <c r="W54" i="2"/>
  <c r="AX54" i="2" s="1"/>
  <c r="V54" i="2" s="1"/>
  <c r="R54" i="2"/>
  <c r="L31" i="2"/>
  <c r="D31" i="2"/>
  <c r="H31" i="2"/>
  <c r="O25" i="2"/>
  <c r="D25" i="2"/>
  <c r="H25" i="2"/>
  <c r="I25" i="2" s="1"/>
  <c r="C15" i="10"/>
  <c r="G25" i="2"/>
  <c r="N25" i="2" s="1"/>
  <c r="K25" i="2"/>
  <c r="D73" i="2"/>
  <c r="L73" i="2"/>
  <c r="H73" i="2"/>
  <c r="H78" i="2"/>
  <c r="D78" i="2"/>
  <c r="L78" i="2"/>
  <c r="AT78" i="2" s="1"/>
  <c r="J78" i="2" s="1"/>
  <c r="O54" i="3" s="1"/>
  <c r="R54" i="3" s="1"/>
  <c r="U208" i="2"/>
  <c r="R208" i="2"/>
  <c r="AX208" i="2"/>
  <c r="S208" i="2"/>
  <c r="W208" i="2"/>
  <c r="V208" i="2"/>
  <c r="V183" i="2"/>
  <c r="S183" i="2"/>
  <c r="W183" i="2"/>
  <c r="R183" i="2"/>
  <c r="AX183" i="2"/>
  <c r="U183" i="2"/>
  <c r="D66" i="2"/>
  <c r="L66" i="2"/>
  <c r="H66" i="2"/>
  <c r="U39" i="2"/>
  <c r="S39" i="2"/>
  <c r="W39" i="2"/>
  <c r="AX39" i="2" s="1"/>
  <c r="V39" i="2" s="1"/>
  <c r="R39" i="2"/>
  <c r="T26" i="2"/>
  <c r="U26" i="2" s="1"/>
  <c r="W26" i="2"/>
  <c r="Q16" i="10"/>
  <c r="R26" i="2"/>
  <c r="Y26" i="2" s="1"/>
  <c r="Q26" i="2"/>
  <c r="AY26" i="2"/>
  <c r="V26" i="2" s="1"/>
  <c r="Q31" i="10" s="1"/>
  <c r="P61" i="10" s="1"/>
  <c r="R114" i="2"/>
  <c r="W114" i="2"/>
  <c r="V114" i="2"/>
  <c r="AX114" i="2"/>
  <c r="U114" i="2"/>
  <c r="S114" i="2"/>
  <c r="R116" i="2"/>
  <c r="V116" i="2"/>
  <c r="W116" i="2"/>
  <c r="AX116" i="2"/>
  <c r="S116" i="2"/>
  <c r="U116" i="2"/>
  <c r="D84" i="2"/>
  <c r="L84" i="2"/>
  <c r="H84" i="2"/>
  <c r="U205" i="2"/>
  <c r="AX205" i="2"/>
  <c r="S205" i="2"/>
  <c r="V205" i="2"/>
  <c r="R205" i="2"/>
  <c r="W205" i="2"/>
  <c r="D39" i="2"/>
  <c r="L39" i="2"/>
  <c r="H39" i="2"/>
  <c r="R100" i="2"/>
  <c r="U100" i="2"/>
  <c r="W100" i="2"/>
  <c r="AX100" i="2" s="1"/>
  <c r="V100" i="2" s="1"/>
  <c r="S100" i="2"/>
  <c r="Q12" i="10"/>
  <c r="T22" i="2"/>
  <c r="U22" i="2" s="1"/>
  <c r="R22" i="2"/>
  <c r="Y22" i="2" s="1"/>
  <c r="W22" i="2"/>
  <c r="AY22" i="2" s="1"/>
  <c r="V22" i="2" s="1"/>
  <c r="Q27" i="10" s="1"/>
  <c r="P57" i="10" s="1"/>
  <c r="Q22" i="2"/>
  <c r="AX112" i="2"/>
  <c r="W112" i="2"/>
  <c r="U112" i="2"/>
  <c r="V112" i="2"/>
  <c r="S112" i="2"/>
  <c r="R112" i="2"/>
  <c r="D119" i="2"/>
  <c r="L119" i="2"/>
  <c r="H119" i="2"/>
  <c r="S121" i="2"/>
  <c r="W121" i="2"/>
  <c r="R121" i="2"/>
  <c r="V121" i="2"/>
  <c r="U121" i="2"/>
  <c r="AX121" i="2"/>
  <c r="L34" i="2"/>
  <c r="D34" i="2"/>
  <c r="H34" i="2"/>
  <c r="H173" i="2"/>
  <c r="D173" i="2"/>
  <c r="L173" i="2"/>
  <c r="V154" i="2"/>
  <c r="U154" i="2"/>
  <c r="AX154" i="2"/>
  <c r="R154" i="2"/>
  <c r="S154" i="2"/>
  <c r="W154" i="2"/>
  <c r="D196" i="2"/>
  <c r="H196" i="2"/>
  <c r="L196" i="2"/>
  <c r="D118" i="2"/>
  <c r="L118" i="2"/>
  <c r="H118" i="2"/>
  <c r="H63" i="2"/>
  <c r="D63" i="2"/>
  <c r="L63" i="2"/>
  <c r="D41" i="2"/>
  <c r="L41" i="2"/>
  <c r="H41" i="2"/>
  <c r="D53" i="2"/>
  <c r="H53" i="2"/>
  <c r="L53" i="2"/>
  <c r="H184" i="2"/>
  <c r="D184" i="2"/>
  <c r="L184" i="2"/>
  <c r="V135" i="2"/>
  <c r="AX135" i="2"/>
  <c r="U135" i="2"/>
  <c r="S135" i="2"/>
  <c r="R135" i="2"/>
  <c r="W135" i="2"/>
  <c r="R66" i="2"/>
  <c r="W66" i="2"/>
  <c r="AX66" i="2" s="1"/>
  <c r="V66" i="2" s="1"/>
  <c r="S66" i="2"/>
  <c r="U66" i="2"/>
  <c r="W35" i="2"/>
  <c r="AX35" i="2" s="1"/>
  <c r="V35" i="2" s="1"/>
  <c r="S35" i="2"/>
  <c r="U35" i="2"/>
  <c r="R35" i="2"/>
  <c r="H115" i="2"/>
  <c r="D115" i="2"/>
  <c r="L115" i="2"/>
  <c r="L177" i="2"/>
  <c r="AT177" i="2" s="1"/>
  <c r="J177" i="2" s="1"/>
  <c r="D177" i="2"/>
  <c r="H177" i="2"/>
  <c r="D85" i="2"/>
  <c r="H85" i="2"/>
  <c r="L85" i="2"/>
  <c r="AT85" i="2" s="1"/>
  <c r="J85" i="2" s="1"/>
  <c r="E61" i="3" s="1"/>
  <c r="AX170" i="2"/>
  <c r="R170" i="2"/>
  <c r="U170" i="2"/>
  <c r="V170" i="2"/>
  <c r="S170" i="2"/>
  <c r="W170" i="2"/>
  <c r="W53" i="2"/>
  <c r="AX53" i="2" s="1"/>
  <c r="V53" i="2" s="1"/>
  <c r="U53" i="2"/>
  <c r="R53" i="2"/>
  <c r="S53" i="2"/>
  <c r="D75" i="2"/>
  <c r="L75" i="2"/>
  <c r="H75" i="2"/>
  <c r="L110" i="2"/>
  <c r="AT110" i="2" s="1"/>
  <c r="J110" i="2" s="1"/>
  <c r="D110" i="2"/>
  <c r="H110" i="2"/>
  <c r="L180" i="2"/>
  <c r="D180" i="2"/>
  <c r="H180" i="2"/>
  <c r="D105" i="2"/>
  <c r="H105" i="2"/>
  <c r="L105" i="2"/>
  <c r="R40" i="2"/>
  <c r="S40" i="2"/>
  <c r="W40" i="2"/>
  <c r="AX40" i="2" s="1"/>
  <c r="V40" i="2" s="1"/>
  <c r="U40" i="2"/>
  <c r="H141" i="2"/>
  <c r="L141" i="2"/>
  <c r="S30" i="2"/>
  <c r="U30" i="2"/>
  <c r="W30" i="2"/>
  <c r="AX30" i="2" s="1"/>
  <c r="V30" i="2" s="1"/>
  <c r="R30" i="2"/>
  <c r="S108" i="2"/>
  <c r="U108" i="2"/>
  <c r="R108" i="2"/>
  <c r="W108" i="2"/>
  <c r="AX108" i="2" s="1"/>
  <c r="V108" i="2" s="1"/>
  <c r="H204" i="2"/>
  <c r="D204" i="2"/>
  <c r="L204" i="2"/>
  <c r="S196" i="2"/>
  <c r="W196" i="2"/>
  <c r="R196" i="2"/>
  <c r="AX196" i="2"/>
  <c r="U196" i="2"/>
  <c r="V196" i="2"/>
  <c r="H79" i="2"/>
  <c r="L79" i="2"/>
  <c r="D79" i="2"/>
  <c r="R139" i="2"/>
  <c r="AX139" i="2"/>
  <c r="V139" i="2"/>
  <c r="W139" i="2"/>
  <c r="S139" i="2"/>
  <c r="U139" i="2"/>
  <c r="U132" i="2"/>
  <c r="R132" i="2"/>
  <c r="S132" i="2"/>
  <c r="W132" i="2"/>
  <c r="AX132" i="2"/>
  <c r="V132" i="2"/>
  <c r="R31" i="2"/>
  <c r="W31" i="2"/>
  <c r="AX31" i="2" s="1"/>
  <c r="V31" i="2" s="1"/>
  <c r="U31" i="2"/>
  <c r="S31" i="2"/>
  <c r="W203" i="2"/>
  <c r="U203" i="2"/>
  <c r="AX203" i="2"/>
  <c r="S203" i="2"/>
  <c r="V203" i="2"/>
  <c r="R203" i="2"/>
  <c r="U141" i="2"/>
  <c r="R141" i="2"/>
  <c r="AX141" i="2"/>
  <c r="W141" i="2"/>
  <c r="V141" i="2"/>
  <c r="S141" i="2"/>
  <c r="Q25" i="2"/>
  <c r="W25" i="2"/>
  <c r="T25" i="2"/>
  <c r="U25" i="2" s="1"/>
  <c r="Q15" i="10"/>
  <c r="R25" i="2"/>
  <c r="Y25" i="2" s="1"/>
  <c r="U62" i="2"/>
  <c r="S62" i="2"/>
  <c r="W62" i="2"/>
  <c r="AX62" i="2" s="1"/>
  <c r="V62" i="2" s="1"/>
  <c r="R62" i="2"/>
  <c r="D150" i="2"/>
  <c r="L150" i="2"/>
  <c r="H150" i="2"/>
  <c r="S78" i="2"/>
  <c r="U78" i="2"/>
  <c r="W78" i="2"/>
  <c r="AX78" i="2" s="1"/>
  <c r="V78" i="2" s="1"/>
  <c r="R78" i="2"/>
  <c r="H142" i="2"/>
  <c r="L142" i="2"/>
  <c r="D142" i="2"/>
  <c r="U68" i="2"/>
  <c r="W68" i="2"/>
  <c r="AX68" i="2" s="1"/>
  <c r="V68" i="2" s="1"/>
  <c r="R68" i="2"/>
  <c r="S68" i="2"/>
  <c r="S204" i="2"/>
  <c r="W204" i="2"/>
  <c r="AX204" i="2"/>
  <c r="R204" i="2"/>
  <c r="V204" i="2"/>
  <c r="U204" i="2"/>
  <c r="W55" i="2"/>
  <c r="AX55" i="2" s="1"/>
  <c r="V55" i="2" s="1"/>
  <c r="R55" i="2"/>
  <c r="S55" i="2"/>
  <c r="U55" i="2"/>
  <c r="R186" i="2"/>
  <c r="U186" i="2"/>
  <c r="AX186" i="2"/>
  <c r="S186" i="2"/>
  <c r="W186" i="2"/>
  <c r="V186" i="2"/>
  <c r="L95" i="2"/>
  <c r="AT95" i="2" s="1"/>
  <c r="J95" i="2" s="1"/>
  <c r="O71" i="3" s="1"/>
  <c r="R71" i="3" s="1"/>
  <c r="H95" i="2"/>
  <c r="D95" i="2"/>
  <c r="H149" i="2"/>
  <c r="D149" i="2"/>
  <c r="L149" i="2"/>
  <c r="H197" i="2"/>
  <c r="D197" i="2"/>
  <c r="L197" i="2"/>
  <c r="H183" i="2"/>
  <c r="L183" i="2"/>
  <c r="D183" i="2"/>
  <c r="H96" i="2"/>
  <c r="D96" i="2"/>
  <c r="L96" i="2"/>
  <c r="AT96" i="2" s="1"/>
  <c r="J96" i="2" s="1"/>
  <c r="E72" i="3" s="1"/>
  <c r="U75" i="2"/>
  <c r="S75" i="2"/>
  <c r="W75" i="2"/>
  <c r="AX75" i="2" s="1"/>
  <c r="V75" i="2" s="1"/>
  <c r="R75" i="2"/>
  <c r="S201" i="2"/>
  <c r="U201" i="2"/>
  <c r="AX201" i="2"/>
  <c r="R201" i="2"/>
  <c r="W201" i="2"/>
  <c r="V201" i="2"/>
  <c r="L207" i="2"/>
  <c r="H207" i="2"/>
  <c r="D207" i="2"/>
  <c r="S180" i="2"/>
  <c r="AX180" i="2"/>
  <c r="V180" i="2"/>
  <c r="R180" i="2"/>
  <c r="U180" i="2"/>
  <c r="W180" i="2"/>
  <c r="D40" i="2"/>
  <c r="H40" i="2"/>
  <c r="L40" i="2"/>
  <c r="S107" i="2"/>
  <c r="R107" i="2"/>
  <c r="W107" i="2"/>
  <c r="AX107" i="2" s="1"/>
  <c r="V107" i="2" s="1"/>
  <c r="U107" i="2"/>
  <c r="S118" i="2"/>
  <c r="W118" i="2"/>
  <c r="U118" i="2"/>
  <c r="V118" i="2"/>
  <c r="R118" i="2"/>
  <c r="AX118" i="2"/>
  <c r="H102" i="2"/>
  <c r="D102" i="2"/>
  <c r="L102" i="2"/>
  <c r="H76" i="2"/>
  <c r="L76" i="2"/>
  <c r="D76" i="2"/>
  <c r="H58" i="2"/>
  <c r="D58" i="2"/>
  <c r="L58" i="2"/>
  <c r="L35" i="2"/>
  <c r="D35" i="2"/>
  <c r="H35" i="2"/>
  <c r="L174" i="2"/>
  <c r="H174" i="2"/>
  <c r="D174" i="2"/>
  <c r="W113" i="2"/>
  <c r="U113" i="2"/>
  <c r="S113" i="2"/>
  <c r="AX113" i="2"/>
  <c r="R113" i="2"/>
  <c r="V113" i="2"/>
  <c r="W129" i="2"/>
  <c r="U129" i="2"/>
  <c r="S129" i="2"/>
  <c r="R129" i="2"/>
  <c r="V129" i="2"/>
  <c r="AX129" i="2"/>
  <c r="W79" i="2"/>
  <c r="AX79" i="2" s="1"/>
  <c r="V79" i="2" s="1"/>
  <c r="R79" i="2"/>
  <c r="U79" i="2"/>
  <c r="S79" i="2"/>
  <c r="S80" i="2"/>
  <c r="W80" i="2"/>
  <c r="AX80" i="2" s="1"/>
  <c r="V80" i="2" s="1"/>
  <c r="U80" i="2"/>
  <c r="R80" i="2"/>
  <c r="H165" i="2"/>
  <c r="L165" i="2"/>
  <c r="D165" i="2"/>
  <c r="W173" i="2"/>
  <c r="R173" i="2"/>
  <c r="V173" i="2"/>
  <c r="AX173" i="2"/>
  <c r="S173" i="2"/>
  <c r="U173" i="2"/>
  <c r="D171" i="2"/>
  <c r="H171" i="2"/>
  <c r="L171" i="2"/>
  <c r="H72" i="2"/>
  <c r="L72" i="2"/>
  <c r="D72" i="2"/>
  <c r="D59" i="2"/>
  <c r="L59" i="2"/>
  <c r="H59" i="2"/>
  <c r="V197" i="2"/>
  <c r="U197" i="2"/>
  <c r="AX197" i="2"/>
  <c r="W197" i="2"/>
  <c r="R197" i="2"/>
  <c r="S197" i="2"/>
  <c r="D99" i="2"/>
  <c r="H99" i="2"/>
  <c r="L99" i="2"/>
  <c r="AT99" i="2" s="1"/>
  <c r="J99" i="2" s="1"/>
  <c r="U137" i="2"/>
  <c r="W137" i="2"/>
  <c r="S137" i="2"/>
  <c r="R137" i="2"/>
  <c r="AX137" i="2"/>
  <c r="V137" i="2"/>
  <c r="L147" i="2"/>
  <c r="AT147" i="2" s="1"/>
  <c r="J147" i="2" s="1"/>
  <c r="H147" i="2"/>
  <c r="D147" i="2"/>
  <c r="AX140" i="2"/>
  <c r="V140" i="2"/>
  <c r="W140" i="2"/>
  <c r="U140" i="2"/>
  <c r="R140" i="2"/>
  <c r="S140" i="2"/>
  <c r="L112" i="2"/>
  <c r="D112" i="2"/>
  <c r="H112" i="2"/>
  <c r="R198" i="2"/>
  <c r="U198" i="2"/>
  <c r="V198" i="2"/>
  <c r="S198" i="2"/>
  <c r="AX198" i="2"/>
  <c r="W198" i="2"/>
  <c r="D132" i="2"/>
  <c r="H132" i="2"/>
  <c r="L132" i="2"/>
  <c r="S124" i="2"/>
  <c r="AX124" i="2"/>
  <c r="W124" i="2"/>
  <c r="V124" i="2"/>
  <c r="U124" i="2"/>
  <c r="R124" i="2"/>
  <c r="U174" i="2"/>
  <c r="V174" i="2"/>
  <c r="W174" i="2"/>
  <c r="S174" i="2"/>
  <c r="R174" i="2"/>
  <c r="AX174" i="2"/>
  <c r="D195" i="2"/>
  <c r="H195" i="2"/>
  <c r="L195" i="2"/>
  <c r="D87" i="2"/>
  <c r="H87" i="2"/>
  <c r="L87" i="2"/>
  <c r="S103" i="2"/>
  <c r="R103" i="2"/>
  <c r="W103" i="2"/>
  <c r="AX103" i="2" s="1"/>
  <c r="V103" i="2" s="1"/>
  <c r="U103" i="2"/>
  <c r="S164" i="2"/>
  <c r="AX164" i="2"/>
  <c r="W164" i="2"/>
  <c r="V164" i="2"/>
  <c r="U164" i="2"/>
  <c r="R164" i="2"/>
  <c r="V168" i="2"/>
  <c r="S168" i="2"/>
  <c r="AX168" i="2"/>
  <c r="R168" i="2"/>
  <c r="U168" i="2"/>
  <c r="W168" i="2"/>
  <c r="H74" i="2"/>
  <c r="L74" i="2"/>
  <c r="D74" i="2"/>
  <c r="S144" i="2"/>
  <c r="AX144" i="2"/>
  <c r="U144" i="2"/>
  <c r="V144" i="2"/>
  <c r="W144" i="2"/>
  <c r="R144" i="2"/>
  <c r="D129" i="2"/>
  <c r="H129" i="2"/>
  <c r="L129" i="2"/>
  <c r="H54" i="2"/>
  <c r="L54" i="2"/>
  <c r="D54" i="2"/>
  <c r="U84" i="2"/>
  <c r="S84" i="2"/>
  <c r="W84" i="2"/>
  <c r="AX84" i="2" s="1"/>
  <c r="V84" i="2" s="1"/>
  <c r="R84" i="2"/>
  <c r="H80" i="2"/>
  <c r="D80" i="2"/>
  <c r="L80" i="2"/>
  <c r="AX131" i="2"/>
  <c r="R131" i="2"/>
  <c r="W131" i="2"/>
  <c r="S131" i="2"/>
  <c r="U131" i="2"/>
  <c r="V131" i="2"/>
  <c r="D88" i="2"/>
  <c r="L88" i="2"/>
  <c r="H88" i="2"/>
  <c r="H30" i="2"/>
  <c r="L30" i="2"/>
  <c r="D30" i="2"/>
  <c r="W46" i="2"/>
  <c r="AX46" i="2" s="1"/>
  <c r="V46" i="2" s="1"/>
  <c r="R46" i="2"/>
  <c r="U46" i="2"/>
  <c r="S46" i="2"/>
  <c r="U195" i="2"/>
  <c r="V195" i="2"/>
  <c r="AX195" i="2"/>
  <c r="R195" i="2"/>
  <c r="W195" i="2"/>
  <c r="S195" i="2"/>
  <c r="L152" i="2"/>
  <c r="D152" i="2"/>
  <c r="H152" i="2"/>
  <c r="R87" i="2"/>
  <c r="S87" i="2"/>
  <c r="W87" i="2"/>
  <c r="AX87" i="2" s="1"/>
  <c r="V87" i="2" s="1"/>
  <c r="U87" i="2"/>
  <c r="D164" i="2"/>
  <c r="H164" i="2"/>
  <c r="L164" i="2"/>
  <c r="D45" i="2"/>
  <c r="H45" i="2"/>
  <c r="L45" i="2"/>
  <c r="L107" i="2"/>
  <c r="H107" i="2"/>
  <c r="D107" i="2"/>
  <c r="V171" i="2"/>
  <c r="S171" i="2"/>
  <c r="U171" i="2"/>
  <c r="AX171" i="2"/>
  <c r="R171" i="2"/>
  <c r="W171" i="2"/>
  <c r="H153" i="2"/>
  <c r="L153" i="2"/>
  <c r="D153" i="2"/>
  <c r="W102" i="2"/>
  <c r="AX102" i="2" s="1"/>
  <c r="V102" i="2" s="1"/>
  <c r="U102" i="2"/>
  <c r="S102" i="2"/>
  <c r="R102" i="2"/>
  <c r="S145" i="2"/>
  <c r="AX145" i="2"/>
  <c r="V145" i="2"/>
  <c r="U145" i="2"/>
  <c r="W145" i="2"/>
  <c r="R145" i="2"/>
  <c r="Q6" i="10"/>
  <c r="T16" i="2"/>
  <c r="U16" i="2" s="1"/>
  <c r="W16" i="2"/>
  <c r="Q16" i="2"/>
  <c r="R16" i="2"/>
  <c r="Y16" i="2" s="1"/>
  <c r="R209" i="2"/>
  <c r="S209" i="2"/>
  <c r="W209" i="2"/>
  <c r="V209" i="2"/>
  <c r="U209" i="2"/>
  <c r="AX209" i="2"/>
  <c r="D138" i="2"/>
  <c r="L138" i="2"/>
  <c r="H138" i="2"/>
  <c r="W94" i="2"/>
  <c r="AX94" i="2" s="1"/>
  <c r="V94" i="2" s="1"/>
  <c r="R94" i="2"/>
  <c r="S94" i="2"/>
  <c r="U94" i="2"/>
  <c r="V160" i="2"/>
  <c r="W160" i="2"/>
  <c r="S160" i="2"/>
  <c r="R160" i="2"/>
  <c r="AX160" i="2"/>
  <c r="U160" i="2"/>
  <c r="R106" i="2"/>
  <c r="U106" i="2"/>
  <c r="W106" i="2"/>
  <c r="AX106" i="2" s="1"/>
  <c r="V106" i="2" s="1"/>
  <c r="S106" i="2"/>
  <c r="R181" i="2"/>
  <c r="W181" i="2"/>
  <c r="U181" i="2"/>
  <c r="S181" i="2"/>
  <c r="V181" i="2"/>
  <c r="AX181" i="2"/>
  <c r="AX187" i="2"/>
  <c r="V187" i="2"/>
  <c r="S187" i="2"/>
  <c r="U187" i="2"/>
  <c r="R187" i="2"/>
  <c r="W187" i="2"/>
  <c r="R38" i="2"/>
  <c r="W38" i="2"/>
  <c r="AX38" i="2" s="1"/>
  <c r="V38" i="2" s="1"/>
  <c r="S38" i="2"/>
  <c r="U38" i="2"/>
  <c r="U47" i="2"/>
  <c r="S47" i="2"/>
  <c r="R47" i="2"/>
  <c r="W47" i="2"/>
  <c r="AX47" i="2" s="1"/>
  <c r="V47" i="2" s="1"/>
  <c r="S163" i="2"/>
  <c r="W163" i="2"/>
  <c r="V163" i="2"/>
  <c r="R163" i="2"/>
  <c r="AX163" i="2"/>
  <c r="U163" i="2"/>
  <c r="W105" i="2"/>
  <c r="R105" i="2"/>
  <c r="AX105" i="2"/>
  <c r="V105" i="2" s="1"/>
  <c r="S105" i="2"/>
  <c r="U105" i="2"/>
  <c r="D154" i="2"/>
  <c r="H154" i="2"/>
  <c r="L154" i="2"/>
  <c r="L156" i="2"/>
  <c r="D156" i="2"/>
  <c r="H156" i="2"/>
  <c r="R159" i="2"/>
  <c r="S159" i="2"/>
  <c r="AX159" i="2"/>
  <c r="U159" i="2"/>
  <c r="W159" i="2"/>
  <c r="V159" i="2"/>
  <c r="D209" i="2"/>
  <c r="L209" i="2"/>
  <c r="H209" i="2"/>
  <c r="AX184" i="2"/>
  <c r="W184" i="2"/>
  <c r="S184" i="2"/>
  <c r="U184" i="2"/>
  <c r="V184" i="2"/>
  <c r="R184" i="2"/>
  <c r="D94" i="2"/>
  <c r="H94" i="2"/>
  <c r="L94" i="2"/>
  <c r="W57" i="2"/>
  <c r="AX57" i="2" s="1"/>
  <c r="V57" i="2" s="1"/>
  <c r="S57" i="2"/>
  <c r="R57" i="2"/>
  <c r="U57" i="2"/>
  <c r="L151" i="2"/>
  <c r="D151" i="2"/>
  <c r="H151" i="2"/>
  <c r="D108" i="2"/>
  <c r="L108" i="2"/>
  <c r="H108" i="2"/>
  <c r="H100" i="2"/>
  <c r="L100" i="2"/>
  <c r="D100" i="2"/>
  <c r="D159" i="2"/>
  <c r="H159" i="2"/>
  <c r="L159" i="2"/>
  <c r="L130" i="2"/>
  <c r="D130" i="2"/>
  <c r="H130" i="2"/>
  <c r="V125" i="2"/>
  <c r="S125" i="2"/>
  <c r="W125" i="2"/>
  <c r="U125" i="2"/>
  <c r="R125" i="2"/>
  <c r="AX125" i="2"/>
  <c r="W93" i="2"/>
  <c r="AX93" i="2" s="1"/>
  <c r="V93" i="2" s="1"/>
  <c r="R93" i="2"/>
  <c r="S93" i="2"/>
  <c r="U93" i="2"/>
  <c r="U74" i="2"/>
  <c r="W74" i="2"/>
  <c r="AX74" i="2" s="1"/>
  <c r="V74" i="2" s="1"/>
  <c r="S74" i="2"/>
  <c r="R74" i="2"/>
  <c r="D148" i="2"/>
  <c r="H148" i="2"/>
  <c r="L148" i="2"/>
  <c r="S82" i="2"/>
  <c r="R82" i="2"/>
  <c r="U82" i="2"/>
  <c r="W82" i="2"/>
  <c r="AX82" i="2" s="1"/>
  <c r="V82" i="2" s="1"/>
  <c r="D33" i="2"/>
  <c r="L33" i="2"/>
  <c r="H33" i="2"/>
  <c r="S86" i="2"/>
  <c r="U86" i="2"/>
  <c r="R86" i="2"/>
  <c r="W86" i="2"/>
  <c r="AX86" i="2" s="1"/>
  <c r="V86" i="2" s="1"/>
  <c r="U176" i="2"/>
  <c r="R176" i="2"/>
  <c r="AX176" i="2"/>
  <c r="S176" i="2"/>
  <c r="W176" i="2"/>
  <c r="V176" i="2"/>
  <c r="S155" i="2"/>
  <c r="W155" i="2"/>
  <c r="R155" i="2"/>
  <c r="U155" i="2"/>
  <c r="V155" i="2"/>
  <c r="AX155" i="2"/>
  <c r="H201" i="2"/>
  <c r="D201" i="2"/>
  <c r="L201" i="2"/>
  <c r="D187" i="2"/>
  <c r="L187" i="2"/>
  <c r="H187" i="2"/>
  <c r="W61" i="2"/>
  <c r="AX61" i="2" s="1"/>
  <c r="V61" i="2" s="1"/>
  <c r="S61" i="2"/>
  <c r="U61" i="2"/>
  <c r="R61" i="2"/>
  <c r="L98" i="2"/>
  <c r="H98" i="2"/>
  <c r="D98" i="2"/>
  <c r="H168" i="2"/>
  <c r="D168" i="2"/>
  <c r="L168" i="2"/>
  <c r="H134" i="2"/>
  <c r="L134" i="2"/>
  <c r="D134" i="2"/>
  <c r="U90" i="2"/>
  <c r="W90" i="2"/>
  <c r="AX90" i="2" s="1"/>
  <c r="V90" i="2" s="1"/>
  <c r="R90" i="2"/>
  <c r="S90" i="2"/>
  <c r="H203" i="2"/>
  <c r="L203" i="2"/>
  <c r="D203" i="2"/>
  <c r="D62" i="2"/>
  <c r="L62" i="2"/>
  <c r="H62" i="2"/>
  <c r="S88" i="2"/>
  <c r="W88" i="2"/>
  <c r="AX88" i="2" s="1"/>
  <c r="V88" i="2" s="1"/>
  <c r="U88" i="2"/>
  <c r="R88" i="2"/>
  <c r="D202" i="2"/>
  <c r="L202" i="2"/>
  <c r="H202" i="2"/>
  <c r="L117" i="2"/>
  <c r="D117" i="2"/>
  <c r="H117" i="2"/>
  <c r="AX152" i="2"/>
  <c r="U152" i="2"/>
  <c r="R152" i="2"/>
  <c r="S152" i="2"/>
  <c r="V152" i="2"/>
  <c r="W152" i="2"/>
  <c r="L128" i="2"/>
  <c r="H128" i="2"/>
  <c r="D128" i="2"/>
  <c r="O26" i="2"/>
  <c r="C16" i="10"/>
  <c r="G26" i="2"/>
  <c r="N26" i="2" s="1"/>
  <c r="D26" i="2"/>
  <c r="K26" i="2"/>
  <c r="H26" i="2"/>
  <c r="I26" i="2" s="1"/>
  <c r="U143" i="2"/>
  <c r="S143" i="2"/>
  <c r="V143" i="2"/>
  <c r="W143" i="2"/>
  <c r="R143" i="2"/>
  <c r="AX143" i="2"/>
  <c r="L37" i="2"/>
  <c r="D37" i="2"/>
  <c r="H37" i="2"/>
  <c r="S134" i="2"/>
  <c r="AX134" i="2"/>
  <c r="W134" i="2"/>
  <c r="V134" i="2"/>
  <c r="U134" i="2"/>
  <c r="R134" i="2"/>
  <c r="O18" i="2"/>
  <c r="K18" i="2"/>
  <c r="C8" i="10"/>
  <c r="G18" i="2"/>
  <c r="N18" i="2" s="1"/>
  <c r="H18" i="2"/>
  <c r="I18" i="2" s="1"/>
  <c r="D18" i="2"/>
  <c r="L90" i="2"/>
  <c r="D90" i="2"/>
  <c r="H90" i="2"/>
  <c r="D161" i="2"/>
  <c r="L161" i="2"/>
  <c r="H161" i="2"/>
  <c r="D82" i="2"/>
  <c r="H82" i="2"/>
  <c r="L82" i="2"/>
  <c r="D86" i="2"/>
  <c r="H86" i="2"/>
  <c r="L86" i="2"/>
  <c r="U133" i="2"/>
  <c r="S133" i="2"/>
  <c r="V133" i="2"/>
  <c r="W133" i="2"/>
  <c r="R133" i="2"/>
  <c r="AX133" i="2"/>
  <c r="D124" i="2"/>
  <c r="H124" i="2"/>
  <c r="L124" i="2"/>
  <c r="W77" i="2"/>
  <c r="AX77" i="2" s="1"/>
  <c r="V77" i="2" s="1"/>
  <c r="S77" i="2"/>
  <c r="U77" i="2"/>
  <c r="R77" i="2"/>
  <c r="W73" i="2"/>
  <c r="AX73" i="2" s="1"/>
  <c r="V73" i="2" s="1"/>
  <c r="S73" i="2"/>
  <c r="U73" i="2"/>
  <c r="R73" i="2"/>
  <c r="AX167" i="2"/>
  <c r="V167" i="2"/>
  <c r="W167" i="2"/>
  <c r="U167" i="2"/>
  <c r="S167" i="2"/>
  <c r="R167" i="2"/>
  <c r="D71" i="2"/>
  <c r="L71" i="2"/>
  <c r="H71" i="2"/>
  <c r="R70" i="2"/>
  <c r="W70" i="2"/>
  <c r="AX70" i="2" s="1"/>
  <c r="V70" i="2" s="1"/>
  <c r="U70" i="2"/>
  <c r="S70" i="2"/>
  <c r="H205" i="2"/>
  <c r="D205" i="2"/>
  <c r="L205" i="2"/>
  <c r="V115" i="2"/>
  <c r="R115" i="2"/>
  <c r="U115" i="2"/>
  <c r="S115" i="2"/>
  <c r="W115" i="2"/>
  <c r="AX115" i="2"/>
  <c r="V117" i="2"/>
  <c r="AX117" i="2"/>
  <c r="U117" i="2"/>
  <c r="S117" i="2"/>
  <c r="R117" i="2"/>
  <c r="W117" i="2"/>
  <c r="D103" i="2"/>
  <c r="H103" i="2"/>
  <c r="L103" i="2"/>
  <c r="V128" i="2"/>
  <c r="W128" i="2"/>
  <c r="U128" i="2"/>
  <c r="R128" i="2"/>
  <c r="S128" i="2"/>
  <c r="AX128" i="2"/>
  <c r="R72" i="2"/>
  <c r="S72" i="2"/>
  <c r="W72" i="2"/>
  <c r="AX72" i="2" s="1"/>
  <c r="V72" i="2" s="1"/>
  <c r="U72" i="2"/>
  <c r="S76" i="2"/>
  <c r="W76" i="2"/>
  <c r="AX76" i="2" s="1"/>
  <c r="V76" i="2" s="1"/>
  <c r="U76" i="2"/>
  <c r="R76" i="2"/>
  <c r="U36" i="2"/>
  <c r="W36" i="2"/>
  <c r="AX36" i="2" s="1"/>
  <c r="V36" i="2" s="1"/>
  <c r="S36" i="2"/>
  <c r="R36" i="2"/>
  <c r="W178" i="2"/>
  <c r="AX178" i="2"/>
  <c r="V178" i="2"/>
  <c r="S178" i="2"/>
  <c r="U178" i="2"/>
  <c r="R178" i="2"/>
  <c r="L57" i="2"/>
  <c r="D57" i="2"/>
  <c r="H57" i="2"/>
  <c r="S99" i="2"/>
  <c r="R99" i="2"/>
  <c r="U99" i="2"/>
  <c r="W99" i="2"/>
  <c r="AX99" i="2" s="1"/>
  <c r="V99" i="2" s="1"/>
  <c r="R151" i="2"/>
  <c r="U151" i="2"/>
  <c r="W151" i="2"/>
  <c r="AX151" i="2"/>
  <c r="S151" i="2"/>
  <c r="V151" i="2"/>
  <c r="S58" i="2"/>
  <c r="U58" i="2"/>
  <c r="R58" i="2"/>
  <c r="W58" i="2"/>
  <c r="AX58" i="2" s="1"/>
  <c r="V58" i="2" s="1"/>
  <c r="S147" i="2"/>
  <c r="U147" i="2"/>
  <c r="AX147" i="2"/>
  <c r="V147" i="2"/>
  <c r="W147" i="2"/>
  <c r="R147" i="2"/>
  <c r="H68" i="2"/>
  <c r="L68" i="2"/>
  <c r="D68" i="2"/>
  <c r="O21" i="2"/>
  <c r="C11" i="10"/>
  <c r="H21" i="2"/>
  <c r="I21" i="2" s="1"/>
  <c r="D21" i="2"/>
  <c r="K21" i="2"/>
  <c r="G21" i="2"/>
  <c r="N21" i="2" s="1"/>
  <c r="U130" i="2"/>
  <c r="R130" i="2"/>
  <c r="V130" i="2"/>
  <c r="W130" i="2"/>
  <c r="S130" i="2"/>
  <c r="AX130" i="2"/>
  <c r="H125" i="2"/>
  <c r="D125" i="2"/>
  <c r="L125" i="2"/>
  <c r="U95" i="2"/>
  <c r="W95" i="2"/>
  <c r="AX95" i="2" s="1"/>
  <c r="V95" i="2" s="1"/>
  <c r="S95" i="2"/>
  <c r="R95" i="2"/>
  <c r="D145" i="2"/>
  <c r="L145" i="2"/>
  <c r="H145" i="2"/>
  <c r="H36" i="2"/>
  <c r="L36" i="2"/>
  <c r="D36" i="2"/>
  <c r="L126" i="2"/>
  <c r="H126" i="2"/>
  <c r="D126" i="2"/>
  <c r="H106" i="2"/>
  <c r="D106" i="2"/>
  <c r="L106" i="2"/>
  <c r="R207" i="2"/>
  <c r="U207" i="2"/>
  <c r="AX207" i="2"/>
  <c r="W207" i="2"/>
  <c r="V207" i="2"/>
  <c r="S207" i="2"/>
  <c r="L38" i="2"/>
  <c r="D38" i="2"/>
  <c r="H38" i="2"/>
  <c r="H163" i="2"/>
  <c r="D163" i="2"/>
  <c r="L163" i="2"/>
  <c r="V156" i="2"/>
  <c r="W156" i="2"/>
  <c r="S156" i="2"/>
  <c r="R156" i="2"/>
  <c r="U156" i="2"/>
  <c r="AX156" i="2"/>
  <c r="R21" i="2"/>
  <c r="Y21" i="2" s="1"/>
  <c r="Q11" i="10"/>
  <c r="T21" i="2"/>
  <c r="U21" i="2" s="1"/>
  <c r="Q21" i="2"/>
  <c r="W21" i="2"/>
  <c r="AY21" i="2" s="1"/>
  <c r="V21" i="2" s="1"/>
  <c r="Q26" i="10" s="1"/>
  <c r="P56" i="10" s="1"/>
  <c r="H143" i="2"/>
  <c r="L143" i="2"/>
  <c r="D143" i="2"/>
  <c r="D121" i="2"/>
  <c r="H121" i="2"/>
  <c r="L121" i="2"/>
  <c r="Q8" i="10"/>
  <c r="W18" i="2"/>
  <c r="AY18" i="2" s="1"/>
  <c r="V18" i="2" s="1"/>
  <c r="Q23" i="10" s="1"/>
  <c r="P53" i="10" s="1"/>
  <c r="T18" i="2"/>
  <c r="U18" i="2" s="1"/>
  <c r="Q18" i="2"/>
  <c r="R18" i="2"/>
  <c r="Y18" i="2" s="1"/>
  <c r="D139" i="2"/>
  <c r="L139" i="2"/>
  <c r="H139" i="2"/>
  <c r="D131" i="2"/>
  <c r="H131" i="2"/>
  <c r="L131" i="2"/>
  <c r="H185" i="2"/>
  <c r="L185" i="2"/>
  <c r="D185" i="2"/>
  <c r="L167" i="2"/>
  <c r="D167" i="2"/>
  <c r="H167" i="2"/>
  <c r="S34" i="2"/>
  <c r="W34" i="2"/>
  <c r="AX34" i="2" s="1"/>
  <c r="V34" i="2" s="1"/>
  <c r="U34" i="2"/>
  <c r="R34" i="2"/>
  <c r="D70" i="2"/>
  <c r="H70" i="2"/>
  <c r="L70" i="2"/>
  <c r="H46" i="2"/>
  <c r="L46" i="2"/>
  <c r="D46" i="2"/>
  <c r="D199" i="2"/>
  <c r="H199" i="2"/>
  <c r="L199" i="2"/>
  <c r="D111" i="2"/>
  <c r="H111" i="2"/>
  <c r="L111" i="2"/>
  <c r="W41" i="2"/>
  <c r="AX41" i="2" s="1"/>
  <c r="V41" i="2" s="1"/>
  <c r="U41" i="2"/>
  <c r="R41" i="2"/>
  <c r="S41" i="2"/>
  <c r="B3" i="20"/>
  <c r="H16" i="2"/>
  <c r="I16" i="2" s="1"/>
  <c r="K16" i="2"/>
  <c r="G16" i="2"/>
  <c r="N16" i="2" s="1"/>
  <c r="C6" i="10"/>
  <c r="O16" i="2"/>
  <c r="D16" i="2"/>
  <c r="U138" i="2"/>
  <c r="V138" i="2"/>
  <c r="W138" i="2"/>
  <c r="R138" i="2"/>
  <c r="S138" i="2"/>
  <c r="AX138" i="2"/>
  <c r="L135" i="2"/>
  <c r="H135" i="2"/>
  <c r="D135" i="2"/>
  <c r="H47" i="2"/>
  <c r="D47" i="2"/>
  <c r="L47" i="2"/>
  <c r="W169" i="2"/>
  <c r="U169" i="2"/>
  <c r="R169" i="2"/>
  <c r="S169" i="2"/>
  <c r="AX169" i="2"/>
  <c r="V169" i="2"/>
  <c r="R37" i="2"/>
  <c r="S37" i="2"/>
  <c r="U37" i="2"/>
  <c r="W37" i="2"/>
  <c r="AX37" i="2" s="1"/>
  <c r="V37" i="2" s="1"/>
  <c r="R161" i="2"/>
  <c r="W161" i="2"/>
  <c r="S161" i="2"/>
  <c r="U161" i="2"/>
  <c r="AX161" i="2"/>
  <c r="V161" i="2"/>
  <c r="L133" i="2"/>
  <c r="D133" i="2"/>
  <c r="H133" i="2"/>
  <c r="H77" i="2"/>
  <c r="D77" i="2"/>
  <c r="L77" i="2"/>
  <c r="R71" i="2"/>
  <c r="W71" i="2"/>
  <c r="AX71" i="2" s="1"/>
  <c r="V71" i="2" s="1"/>
  <c r="U71" i="2"/>
  <c r="S71" i="2"/>
  <c r="O133" i="3"/>
  <c r="R133" i="3" s="1"/>
  <c r="O73" i="3"/>
  <c r="R73" i="3" s="1"/>
  <c r="O65" i="3"/>
  <c r="R65" i="3" s="1"/>
  <c r="E167" i="3"/>
  <c r="E32" i="3"/>
  <c r="E24" i="3"/>
  <c r="E25" i="3"/>
  <c r="O134" i="3"/>
  <c r="R134" i="3" s="1"/>
  <c r="AB17" i="2"/>
  <c r="AD17" i="2" s="1"/>
  <c r="AC17" i="2"/>
  <c r="AB20" i="2"/>
  <c r="AD20" i="2" s="1"/>
  <c r="AC20" i="2"/>
  <c r="R186" i="3"/>
  <c r="O187" i="3"/>
  <c r="R187" i="3" s="1"/>
  <c r="AB23" i="2"/>
  <c r="AD23" i="2" s="1"/>
  <c r="AC23" i="2"/>
  <c r="S186" i="3"/>
  <c r="P187" i="3"/>
  <c r="S187" i="3" s="1"/>
  <c r="AB19" i="2" l="1"/>
  <c r="AD19" i="2" s="1"/>
  <c r="E182" i="3"/>
  <c r="M190" i="2"/>
  <c r="N190" i="2" s="1"/>
  <c r="K182" i="3"/>
  <c r="P225" i="3"/>
  <c r="S225" i="3" s="1"/>
  <c r="N225" i="3"/>
  <c r="J225" i="3"/>
  <c r="O225" i="3"/>
  <c r="R225" i="3" s="1"/>
  <c r="K225" i="3"/>
  <c r="M206" i="2"/>
  <c r="N206" i="2" s="1"/>
  <c r="P182" i="3"/>
  <c r="S182" i="3" s="1"/>
  <c r="E225" i="3"/>
  <c r="E112" i="3"/>
  <c r="C67" i="3"/>
  <c r="I67" i="3" s="1"/>
  <c r="C133" i="3"/>
  <c r="I133" i="3" s="1"/>
  <c r="C77" i="3"/>
  <c r="I77" i="3" s="1"/>
  <c r="C186" i="3"/>
  <c r="I186" i="3" s="1"/>
  <c r="C32" i="3"/>
  <c r="I32" i="3" s="1"/>
  <c r="C96" i="3"/>
  <c r="I96" i="3" s="1"/>
  <c r="C45" i="3"/>
  <c r="I45" i="3" s="1"/>
  <c r="C8" i="3"/>
  <c r="I8" i="3" s="1"/>
  <c r="C155" i="3"/>
  <c r="I155" i="3" s="1"/>
  <c r="C112" i="3"/>
  <c r="I112" i="3" s="1"/>
  <c r="C168" i="3"/>
  <c r="I168" i="3" s="1"/>
  <c r="C28" i="3"/>
  <c r="I28" i="3" s="1"/>
  <c r="C151" i="3"/>
  <c r="I151" i="3" s="1"/>
  <c r="C59" i="3"/>
  <c r="I59" i="3" s="1"/>
  <c r="C68" i="3"/>
  <c r="I68" i="3" s="1"/>
  <c r="C165" i="3"/>
  <c r="I165" i="3" s="1"/>
  <c r="C73" i="3"/>
  <c r="I73" i="3" s="1"/>
  <c r="C167" i="3"/>
  <c r="I167" i="3" s="1"/>
  <c r="C134" i="3"/>
  <c r="I134" i="3" s="1"/>
  <c r="C43" i="3"/>
  <c r="I43" i="3" s="1"/>
  <c r="C65" i="3"/>
  <c r="I65" i="3" s="1"/>
  <c r="C36" i="3"/>
  <c r="I36" i="3" s="1"/>
  <c r="C182" i="3"/>
  <c r="I182" i="3" s="1"/>
  <c r="C57" i="3"/>
  <c r="I57" i="3" s="1"/>
  <c r="C138" i="3"/>
  <c r="I138" i="3" s="1"/>
  <c r="C18" i="3"/>
  <c r="I18" i="3" s="1"/>
  <c r="C99" i="3"/>
  <c r="I99" i="3" s="1"/>
  <c r="C20" i="3"/>
  <c r="I20" i="3" s="1"/>
  <c r="C27" i="3"/>
  <c r="I27" i="3" s="1"/>
  <c r="C41" i="3"/>
  <c r="I41" i="3" s="1"/>
  <c r="C103" i="3"/>
  <c r="I103" i="3" s="1"/>
  <c r="C25" i="3"/>
  <c r="I25" i="3" s="1"/>
  <c r="C40" i="3"/>
  <c r="I40" i="3" s="1"/>
  <c r="C122" i="3"/>
  <c r="I122" i="3" s="1"/>
  <c r="C98" i="3"/>
  <c r="I98" i="3" s="1"/>
  <c r="C164" i="3"/>
  <c r="I164" i="3" s="1"/>
  <c r="C166" i="3"/>
  <c r="I166" i="3" s="1"/>
  <c r="C24" i="3"/>
  <c r="I24" i="3" s="1"/>
  <c r="C85" i="3"/>
  <c r="I85" i="3" s="1"/>
  <c r="E18" i="3"/>
  <c r="K166" i="3"/>
  <c r="P166" i="3"/>
  <c r="S166" i="3" s="1"/>
  <c r="D117" i="3"/>
  <c r="E166" i="3"/>
  <c r="E77" i="3"/>
  <c r="J117" i="3"/>
  <c r="C117" i="3"/>
  <c r="I117" i="3" s="1"/>
  <c r="O148" i="3"/>
  <c r="R148" i="3" s="1"/>
  <c r="E148" i="3"/>
  <c r="N170" i="3"/>
  <c r="C170" i="3"/>
  <c r="I170" i="3" s="1"/>
  <c r="D170" i="3"/>
  <c r="J170" i="3"/>
  <c r="C148" i="3"/>
  <c r="I148" i="3" s="1"/>
  <c r="J148" i="3"/>
  <c r="N148" i="3"/>
  <c r="D148" i="3"/>
  <c r="C176" i="3"/>
  <c r="I176" i="3" s="1"/>
  <c r="J176" i="3"/>
  <c r="N176" i="3"/>
  <c r="D176" i="3"/>
  <c r="AT194" i="2"/>
  <c r="J194" i="2" s="1"/>
  <c r="P170" i="3"/>
  <c r="S170" i="3" s="1"/>
  <c r="K170" i="3"/>
  <c r="M194" i="2"/>
  <c r="N194" i="2" s="1"/>
  <c r="K148" i="3"/>
  <c r="P148" i="3"/>
  <c r="S148" i="3" s="1"/>
  <c r="M172" i="2"/>
  <c r="N172" i="2" s="1"/>
  <c r="E330" i="3"/>
  <c r="K330" i="3"/>
  <c r="P330" i="3"/>
  <c r="S330" i="3" s="1"/>
  <c r="D330" i="3"/>
  <c r="J330" i="3"/>
  <c r="N330" i="3"/>
  <c r="O330" i="3"/>
  <c r="R330" i="3" s="1"/>
  <c r="K358" i="3"/>
  <c r="J358" i="3"/>
  <c r="O358" i="3"/>
  <c r="R358" i="3" s="1"/>
  <c r="E358" i="3"/>
  <c r="D358" i="3"/>
  <c r="P358" i="3"/>
  <c r="S358" i="3" s="1"/>
  <c r="N358" i="3"/>
  <c r="AT200" i="2"/>
  <c r="J200" i="2" s="1"/>
  <c r="P176" i="3"/>
  <c r="S176" i="3" s="1"/>
  <c r="M200" i="2"/>
  <c r="N200" i="2" s="1"/>
  <c r="K176" i="3"/>
  <c r="O153" i="3"/>
  <c r="R153" i="3" s="1"/>
  <c r="E153" i="3"/>
  <c r="AT193" i="2"/>
  <c r="J193" i="2" s="1"/>
  <c r="M193" i="2"/>
  <c r="N193" i="2" s="1"/>
  <c r="P169" i="3"/>
  <c r="S169" i="3" s="1"/>
  <c r="K169" i="3"/>
  <c r="N169" i="3"/>
  <c r="C169" i="3"/>
  <c r="I169" i="3" s="1"/>
  <c r="D169" i="3"/>
  <c r="J169" i="3"/>
  <c r="O162" i="3"/>
  <c r="R162" i="3" s="1"/>
  <c r="E162" i="3"/>
  <c r="E142" i="3"/>
  <c r="O61" i="3"/>
  <c r="R61" i="3" s="1"/>
  <c r="O86" i="3"/>
  <c r="R86" i="3" s="1"/>
  <c r="E86" i="3"/>
  <c r="E90" i="3"/>
  <c r="O90" i="3"/>
  <c r="R90" i="3" s="1"/>
  <c r="O69" i="3"/>
  <c r="R69" i="3" s="1"/>
  <c r="E69" i="3"/>
  <c r="O75" i="3"/>
  <c r="R75" i="3" s="1"/>
  <c r="E75" i="3"/>
  <c r="E123" i="3"/>
  <c r="O123" i="3"/>
  <c r="R123" i="3" s="1"/>
  <c r="J229" i="3"/>
  <c r="E229" i="3"/>
  <c r="K229" i="3"/>
  <c r="C229" i="3"/>
  <c r="I229" i="3" s="1"/>
  <c r="P229" i="3"/>
  <c r="S229" i="3" s="1"/>
  <c r="O229" i="3"/>
  <c r="R229" i="3" s="1"/>
  <c r="D229" i="3"/>
  <c r="N229" i="3"/>
  <c r="P53" i="3"/>
  <c r="S53" i="3" s="1"/>
  <c r="AT77" i="2"/>
  <c r="J77" i="2" s="1"/>
  <c r="M77" i="2"/>
  <c r="N77" i="2" s="1"/>
  <c r="K53" i="3"/>
  <c r="C9" i="20"/>
  <c r="B6" i="20"/>
  <c r="B7" i="20" s="1"/>
  <c r="B8" i="20" s="1"/>
  <c r="B9" i="20" s="1"/>
  <c r="P22" i="3"/>
  <c r="S22" i="3" s="1"/>
  <c r="M46" i="2"/>
  <c r="N46" i="2" s="1"/>
  <c r="AT46" i="2"/>
  <c r="J46" i="2" s="1"/>
  <c r="K22" i="3"/>
  <c r="J161" i="3"/>
  <c r="C161" i="3"/>
  <c r="I161" i="3" s="1"/>
  <c r="D161" i="3"/>
  <c r="N161" i="3"/>
  <c r="J97" i="3"/>
  <c r="N97" i="3"/>
  <c r="D97" i="3"/>
  <c r="C97" i="3"/>
  <c r="I97" i="3" s="1"/>
  <c r="N139" i="3"/>
  <c r="C139" i="3"/>
  <c r="I139" i="3" s="1"/>
  <c r="D139" i="3"/>
  <c r="J139" i="3"/>
  <c r="AT126" i="2"/>
  <c r="J126" i="2" s="1"/>
  <c r="M126" i="2"/>
  <c r="N126" i="2" s="1"/>
  <c r="K102" i="3"/>
  <c r="P102" i="3"/>
  <c r="S102" i="3" s="1"/>
  <c r="N253" i="3"/>
  <c r="D253" i="3"/>
  <c r="O253" i="3"/>
  <c r="R253" i="3" s="1"/>
  <c r="K253" i="3"/>
  <c r="C253" i="3"/>
  <c r="I253" i="3" s="1"/>
  <c r="J253" i="3"/>
  <c r="E253" i="3"/>
  <c r="P253" i="3"/>
  <c r="S253" i="3" s="1"/>
  <c r="E257" i="3"/>
  <c r="P257" i="3"/>
  <c r="S257" i="3" s="1"/>
  <c r="N257" i="3"/>
  <c r="K257" i="3"/>
  <c r="D257" i="3"/>
  <c r="J257" i="3"/>
  <c r="C257" i="3"/>
  <c r="I257" i="3" s="1"/>
  <c r="O257" i="3"/>
  <c r="R257" i="3" s="1"/>
  <c r="AT103" i="2"/>
  <c r="J103" i="2" s="1"/>
  <c r="P79" i="3"/>
  <c r="S79" i="3" s="1"/>
  <c r="M103" i="2"/>
  <c r="N103" i="2" s="1"/>
  <c r="K79" i="3"/>
  <c r="N137" i="3"/>
  <c r="J137" i="3"/>
  <c r="D137" i="3"/>
  <c r="C137" i="3"/>
  <c r="I137" i="3" s="1"/>
  <c r="P310" i="3"/>
  <c r="S310" i="3" s="1"/>
  <c r="E310" i="3"/>
  <c r="D310" i="3"/>
  <c r="J310" i="3"/>
  <c r="O310" i="3"/>
  <c r="R310" i="3" s="1"/>
  <c r="N310" i="3"/>
  <c r="K310" i="3"/>
  <c r="C310" i="3"/>
  <c r="I310" i="3" s="1"/>
  <c r="C144" i="3"/>
  <c r="I144" i="3" s="1"/>
  <c r="N144" i="3"/>
  <c r="J144" i="3"/>
  <c r="D144" i="3"/>
  <c r="K74" i="3"/>
  <c r="P74" i="3"/>
  <c r="S74" i="3" s="1"/>
  <c r="AT98" i="2"/>
  <c r="J98" i="2" s="1"/>
  <c r="M98" i="2"/>
  <c r="N98" i="2" s="1"/>
  <c r="AT201" i="2"/>
  <c r="J201" i="2" s="1"/>
  <c r="P177" i="3"/>
  <c r="S177" i="3" s="1"/>
  <c r="M201" i="2"/>
  <c r="N201" i="2" s="1"/>
  <c r="K177" i="3"/>
  <c r="AT33" i="2"/>
  <c r="J33" i="2" s="1"/>
  <c r="M33" i="2"/>
  <c r="N33" i="2" s="1"/>
  <c r="C68" i="10" s="1"/>
  <c r="P9" i="3"/>
  <c r="S9" i="3" s="1"/>
  <c r="K9" i="3"/>
  <c r="C135" i="3"/>
  <c r="I135" i="3" s="1"/>
  <c r="N135" i="3"/>
  <c r="D135" i="3"/>
  <c r="J135" i="3"/>
  <c r="J70" i="3"/>
  <c r="N70" i="3"/>
  <c r="D70" i="3"/>
  <c r="C70" i="3"/>
  <c r="I70" i="3" s="1"/>
  <c r="E318" i="3"/>
  <c r="J318" i="3"/>
  <c r="P318" i="3"/>
  <c r="S318" i="3" s="1"/>
  <c r="D318" i="3"/>
  <c r="N318" i="3"/>
  <c r="O318" i="3"/>
  <c r="R318" i="3" s="1"/>
  <c r="C318" i="3"/>
  <c r="I318" i="3" s="1"/>
  <c r="K318" i="3"/>
  <c r="M138" i="2"/>
  <c r="N138" i="2" s="1"/>
  <c r="K114" i="3"/>
  <c r="AT138" i="2"/>
  <c r="J138" i="2" s="1"/>
  <c r="P114" i="3"/>
  <c r="S114" i="3" s="1"/>
  <c r="N260" i="3"/>
  <c r="O260" i="3"/>
  <c r="R260" i="3" s="1"/>
  <c r="K260" i="3"/>
  <c r="D260" i="3"/>
  <c r="E260" i="3"/>
  <c r="J260" i="3"/>
  <c r="C260" i="3"/>
  <c r="I260" i="3" s="1"/>
  <c r="P260" i="3"/>
  <c r="S260" i="3" s="1"/>
  <c r="K88" i="3"/>
  <c r="P88" i="3"/>
  <c r="S88" i="3" s="1"/>
  <c r="M112" i="2"/>
  <c r="N112" i="2" s="1"/>
  <c r="C141" i="3"/>
  <c r="I141" i="3" s="1"/>
  <c r="D141" i="3"/>
  <c r="J141" i="3"/>
  <c r="N141" i="3"/>
  <c r="C52" i="3"/>
  <c r="I52" i="3" s="1"/>
  <c r="D52" i="3"/>
  <c r="J52" i="3"/>
  <c r="N52" i="3"/>
  <c r="AT197" i="2"/>
  <c r="J197" i="2" s="1"/>
  <c r="M197" i="2"/>
  <c r="N197" i="2" s="1"/>
  <c r="P173" i="3"/>
  <c r="S173" i="3" s="1"/>
  <c r="K173" i="3"/>
  <c r="N344" i="3"/>
  <c r="P344" i="3"/>
  <c r="S344" i="3" s="1"/>
  <c r="E344" i="3"/>
  <c r="K344" i="3"/>
  <c r="D344" i="3"/>
  <c r="C344" i="3"/>
  <c r="I344" i="3" s="1"/>
  <c r="O344" i="3"/>
  <c r="R344" i="3" s="1"/>
  <c r="J344" i="3"/>
  <c r="E297" i="3"/>
  <c r="C297" i="3"/>
  <c r="I297" i="3" s="1"/>
  <c r="J297" i="3"/>
  <c r="K297" i="3"/>
  <c r="N297" i="3"/>
  <c r="D297" i="3"/>
  <c r="P297" i="3"/>
  <c r="S297" i="3" s="1"/>
  <c r="O297" i="3"/>
  <c r="R297" i="3" s="1"/>
  <c r="C351" i="3"/>
  <c r="I351" i="3" s="1"/>
  <c r="C346" i="3"/>
  <c r="I346" i="3" s="1"/>
  <c r="C364" i="3"/>
  <c r="I364" i="3" s="1"/>
  <c r="C200" i="3"/>
  <c r="I200" i="3" s="1"/>
  <c r="C304" i="3"/>
  <c r="I304" i="3" s="1"/>
  <c r="C350" i="3"/>
  <c r="I350" i="3" s="1"/>
  <c r="C267" i="3"/>
  <c r="I267" i="3" s="1"/>
  <c r="C255" i="3"/>
  <c r="I255" i="3" s="1"/>
  <c r="C347" i="3"/>
  <c r="I347" i="3" s="1"/>
  <c r="C337" i="3"/>
  <c r="I337" i="3" s="1"/>
  <c r="C316" i="3"/>
  <c r="I316" i="3" s="1"/>
  <c r="C358" i="3"/>
  <c r="I358" i="3" s="1"/>
  <c r="C214" i="3"/>
  <c r="I214" i="3" s="1"/>
  <c r="C348" i="3"/>
  <c r="I348" i="3" s="1"/>
  <c r="C247" i="3"/>
  <c r="I247" i="3" s="1"/>
  <c r="C281" i="3"/>
  <c r="I281" i="3" s="1"/>
  <c r="C278" i="3"/>
  <c r="I278" i="3" s="1"/>
  <c r="C209" i="3"/>
  <c r="I209" i="3" s="1"/>
  <c r="C210" i="3"/>
  <c r="I210" i="3" s="1"/>
  <c r="N188" i="3"/>
  <c r="J188" i="3"/>
  <c r="C349" i="3"/>
  <c r="I349" i="3" s="1"/>
  <c r="P188" i="3"/>
  <c r="S188" i="3" s="1"/>
  <c r="K188" i="3"/>
  <c r="C218" i="3"/>
  <c r="I218" i="3" s="1"/>
  <c r="C222" i="3"/>
  <c r="I222" i="3" s="1"/>
  <c r="C202" i="3"/>
  <c r="I202" i="3" s="1"/>
  <c r="C239" i="3"/>
  <c r="I239" i="3" s="1"/>
  <c r="C225" i="3"/>
  <c r="I225" i="3" s="1"/>
  <c r="C223" i="3"/>
  <c r="I223" i="3" s="1"/>
  <c r="C207" i="3"/>
  <c r="I207" i="3" s="1"/>
  <c r="C330" i="3"/>
  <c r="I330" i="3" s="1"/>
  <c r="C315" i="3"/>
  <c r="I315" i="3" s="1"/>
  <c r="C368" i="3"/>
  <c r="I368" i="3" s="1"/>
  <c r="C259" i="3"/>
  <c r="I259" i="3" s="1"/>
  <c r="C333" i="3"/>
  <c r="I333" i="3" s="1"/>
  <c r="C188" i="3"/>
  <c r="C250" i="3"/>
  <c r="I250" i="3" s="1"/>
  <c r="C249" i="3"/>
  <c r="I249" i="3" s="1"/>
  <c r="C190" i="3"/>
  <c r="I190" i="3" s="1"/>
  <c r="C280" i="3"/>
  <c r="I280" i="3" s="1"/>
  <c r="C241" i="3"/>
  <c r="I241" i="3" s="1"/>
  <c r="E188" i="3"/>
  <c r="O188" i="3"/>
  <c r="R188" i="3" s="1"/>
  <c r="C320" i="3"/>
  <c r="I320" i="3" s="1"/>
  <c r="C352" i="3"/>
  <c r="I352" i="3" s="1"/>
  <c r="C206" i="3"/>
  <c r="I206" i="3" s="1"/>
  <c r="C285" i="3"/>
  <c r="I285" i="3" s="1"/>
  <c r="C294" i="3"/>
  <c r="I294" i="3" s="1"/>
  <c r="C227" i="3"/>
  <c r="I227" i="3" s="1"/>
  <c r="D188" i="3"/>
  <c r="D156" i="3"/>
  <c r="J156" i="3"/>
  <c r="N156" i="3"/>
  <c r="C156" i="3"/>
  <c r="I156" i="3" s="1"/>
  <c r="N94" i="3"/>
  <c r="D94" i="3"/>
  <c r="J94" i="3"/>
  <c r="C94" i="3"/>
  <c r="I94" i="3" s="1"/>
  <c r="Q42" i="10"/>
  <c r="Q57" i="10" s="1"/>
  <c r="X22" i="2"/>
  <c r="D258" i="3"/>
  <c r="K258" i="3"/>
  <c r="N258" i="3"/>
  <c r="C258" i="3"/>
  <c r="I258" i="3" s="1"/>
  <c r="E258" i="3"/>
  <c r="O258" i="3"/>
  <c r="R258" i="3" s="1"/>
  <c r="P258" i="3"/>
  <c r="S258" i="3" s="1"/>
  <c r="J258" i="3"/>
  <c r="E341" i="3"/>
  <c r="C341" i="3"/>
  <c r="I341" i="3" s="1"/>
  <c r="P341" i="3"/>
  <c r="S341" i="3" s="1"/>
  <c r="K341" i="3"/>
  <c r="D341" i="3"/>
  <c r="N341" i="3"/>
  <c r="J341" i="3"/>
  <c r="O341" i="3"/>
  <c r="R341" i="3" s="1"/>
  <c r="K366" i="3"/>
  <c r="N366" i="3"/>
  <c r="J366" i="3"/>
  <c r="E366" i="3"/>
  <c r="P366" i="3"/>
  <c r="S366" i="3" s="1"/>
  <c r="C366" i="3"/>
  <c r="I366" i="3" s="1"/>
  <c r="O366" i="3"/>
  <c r="R366" i="3" s="1"/>
  <c r="D366" i="3"/>
  <c r="P360" i="3"/>
  <c r="S360" i="3" s="1"/>
  <c r="K360" i="3"/>
  <c r="E360" i="3"/>
  <c r="C360" i="3"/>
  <c r="I360" i="3" s="1"/>
  <c r="N360" i="3"/>
  <c r="O360" i="3"/>
  <c r="R360" i="3" s="1"/>
  <c r="D360" i="3"/>
  <c r="J360" i="3"/>
  <c r="N254" i="3"/>
  <c r="C254" i="3"/>
  <c r="I254" i="3" s="1"/>
  <c r="K254" i="3"/>
  <c r="D254" i="3"/>
  <c r="O254" i="3"/>
  <c r="R254" i="3" s="1"/>
  <c r="P254" i="3"/>
  <c r="S254" i="3" s="1"/>
  <c r="J254" i="3"/>
  <c r="E254" i="3"/>
  <c r="AT61" i="2"/>
  <c r="J61" i="2" s="1"/>
  <c r="P37" i="3"/>
  <c r="S37" i="3" s="1"/>
  <c r="K37" i="3"/>
  <c r="M61" i="2"/>
  <c r="N61" i="2" s="1"/>
  <c r="D92" i="3"/>
  <c r="J92" i="3"/>
  <c r="N92" i="3"/>
  <c r="C92" i="3"/>
  <c r="I92" i="3" s="1"/>
  <c r="C162" i="3"/>
  <c r="I162" i="3" s="1"/>
  <c r="J162" i="3"/>
  <c r="D162" i="3"/>
  <c r="N162" i="3"/>
  <c r="N111" i="3"/>
  <c r="D111" i="3"/>
  <c r="J111" i="3"/>
  <c r="C111" i="3"/>
  <c r="I111" i="3" s="1"/>
  <c r="AT185" i="2"/>
  <c r="J185" i="2" s="1"/>
  <c r="P161" i="3"/>
  <c r="S161" i="3" s="1"/>
  <c r="K161" i="3"/>
  <c r="M185" i="2"/>
  <c r="N185" i="2" s="1"/>
  <c r="J119" i="3"/>
  <c r="C119" i="3"/>
  <c r="I119" i="3" s="1"/>
  <c r="N119" i="3"/>
  <c r="D119" i="3"/>
  <c r="K365" i="3"/>
  <c r="C365" i="3"/>
  <c r="I365" i="3" s="1"/>
  <c r="N365" i="3"/>
  <c r="D365" i="3"/>
  <c r="J365" i="3"/>
  <c r="P365" i="3"/>
  <c r="S365" i="3" s="1"/>
  <c r="O365" i="3"/>
  <c r="R365" i="3" s="1"/>
  <c r="E365" i="3"/>
  <c r="M145" i="2"/>
  <c r="N145" i="2" s="1"/>
  <c r="AT145" i="2"/>
  <c r="J145" i="2" s="1"/>
  <c r="P121" i="3"/>
  <c r="S121" i="3" s="1"/>
  <c r="K121" i="3"/>
  <c r="C275" i="3"/>
  <c r="I275" i="3" s="1"/>
  <c r="J275" i="3"/>
  <c r="E275" i="3"/>
  <c r="K275" i="3"/>
  <c r="N275" i="3"/>
  <c r="P275" i="3"/>
  <c r="S275" i="3" s="1"/>
  <c r="O275" i="3"/>
  <c r="R275" i="3" s="1"/>
  <c r="D275" i="3"/>
  <c r="N100" i="3"/>
  <c r="D100" i="3"/>
  <c r="J100" i="3"/>
  <c r="C100" i="3"/>
  <c r="I100" i="3" s="1"/>
  <c r="C179" i="3"/>
  <c r="I179" i="3" s="1"/>
  <c r="N179" i="3"/>
  <c r="J179" i="3"/>
  <c r="D179" i="3"/>
  <c r="C177" i="3"/>
  <c r="I177" i="3" s="1"/>
  <c r="D177" i="3"/>
  <c r="J177" i="3"/>
  <c r="N177" i="3"/>
  <c r="O283" i="3"/>
  <c r="R283" i="3" s="1"/>
  <c r="C283" i="3"/>
  <c r="I283" i="3" s="1"/>
  <c r="D283" i="3"/>
  <c r="P283" i="3"/>
  <c r="S283" i="3" s="1"/>
  <c r="K283" i="3"/>
  <c r="N283" i="3"/>
  <c r="J283" i="3"/>
  <c r="E283" i="3"/>
  <c r="N132" i="3"/>
  <c r="D132" i="3"/>
  <c r="J132" i="3"/>
  <c r="C132" i="3"/>
  <c r="I132" i="3" s="1"/>
  <c r="C114" i="3"/>
  <c r="I114" i="3" s="1"/>
  <c r="N114" i="3"/>
  <c r="J114" i="3"/>
  <c r="D114" i="3"/>
  <c r="J21" i="3"/>
  <c r="C21" i="3"/>
  <c r="I21" i="3" s="1"/>
  <c r="N21" i="3"/>
  <c r="D21" i="3"/>
  <c r="C30" i="3"/>
  <c r="I30" i="3" s="1"/>
  <c r="N30" i="3"/>
  <c r="J30" i="3"/>
  <c r="D30" i="3"/>
  <c r="J171" i="3"/>
  <c r="N171" i="3"/>
  <c r="D171" i="3"/>
  <c r="C171" i="3"/>
  <c r="I171" i="3" s="1"/>
  <c r="AT132" i="2"/>
  <c r="J132" i="2" s="1"/>
  <c r="M132" i="2"/>
  <c r="N132" i="2" s="1"/>
  <c r="K108" i="3"/>
  <c r="P108" i="3"/>
  <c r="S108" i="3" s="1"/>
  <c r="AT72" i="2"/>
  <c r="J72" i="2" s="1"/>
  <c r="P48" i="3"/>
  <c r="S48" i="3" s="1"/>
  <c r="K48" i="3"/>
  <c r="M72" i="2"/>
  <c r="N72" i="2" s="1"/>
  <c r="D173" i="3"/>
  <c r="J173" i="3"/>
  <c r="N173" i="3"/>
  <c r="C173" i="3"/>
  <c r="I173" i="3" s="1"/>
  <c r="P71" i="3"/>
  <c r="S71" i="3" s="1"/>
  <c r="K71" i="3"/>
  <c r="M95" i="2"/>
  <c r="N95" i="2" s="1"/>
  <c r="N361" i="3"/>
  <c r="O361" i="3"/>
  <c r="R361" i="3" s="1"/>
  <c r="K361" i="3"/>
  <c r="C361" i="3"/>
  <c r="I361" i="3" s="1"/>
  <c r="E361" i="3"/>
  <c r="J361" i="3"/>
  <c r="D361" i="3"/>
  <c r="P361" i="3"/>
  <c r="S361" i="3" s="1"/>
  <c r="AT141" i="2"/>
  <c r="J141" i="2" s="1"/>
  <c r="M141" i="2"/>
  <c r="N141" i="2" s="1"/>
  <c r="K117" i="3"/>
  <c r="P117" i="3"/>
  <c r="S117" i="3" s="1"/>
  <c r="O198" i="3"/>
  <c r="R198" i="3" s="1"/>
  <c r="C198" i="3"/>
  <c r="I198" i="3" s="1"/>
  <c r="P198" i="3"/>
  <c r="S198" i="3" s="1"/>
  <c r="N198" i="3"/>
  <c r="J198" i="3"/>
  <c r="D198" i="3"/>
  <c r="E198" i="3"/>
  <c r="K198" i="3"/>
  <c r="K156" i="3"/>
  <c r="M180" i="2"/>
  <c r="N180" i="2" s="1"/>
  <c r="P156" i="3"/>
  <c r="S156" i="3" s="1"/>
  <c r="O208" i="3"/>
  <c r="R208" i="3" s="1"/>
  <c r="D208" i="3"/>
  <c r="P208" i="3"/>
  <c r="S208" i="3" s="1"/>
  <c r="J208" i="3"/>
  <c r="E208" i="3"/>
  <c r="N208" i="3"/>
  <c r="C208" i="3"/>
  <c r="I208" i="3" s="1"/>
  <c r="K208" i="3"/>
  <c r="AY24" i="2"/>
  <c r="V24" i="2" s="1"/>
  <c r="Q29" i="10" s="1"/>
  <c r="P59" i="10" s="1"/>
  <c r="Q44" i="10"/>
  <c r="Q59" i="10" s="1"/>
  <c r="X24" i="2"/>
  <c r="C116" i="3"/>
  <c r="I116" i="3" s="1"/>
  <c r="N116" i="3"/>
  <c r="J116" i="3"/>
  <c r="D116" i="3"/>
  <c r="K195" i="3"/>
  <c r="O195" i="3"/>
  <c r="R195" i="3" s="1"/>
  <c r="N195" i="3"/>
  <c r="J195" i="3"/>
  <c r="P195" i="3"/>
  <c r="S195" i="3" s="1"/>
  <c r="C195" i="3"/>
  <c r="I195" i="3" s="1"/>
  <c r="E195" i="3"/>
  <c r="D195" i="3"/>
  <c r="C175" i="3"/>
  <c r="I175" i="3" s="1"/>
  <c r="N175" i="3"/>
  <c r="D175" i="3"/>
  <c r="J175" i="3"/>
  <c r="K97" i="3"/>
  <c r="M121" i="2"/>
  <c r="N121" i="2" s="1"/>
  <c r="AT121" i="2"/>
  <c r="J121" i="2" s="1"/>
  <c r="P97" i="3"/>
  <c r="S97" i="3" s="1"/>
  <c r="AT143" i="2"/>
  <c r="J143" i="2" s="1"/>
  <c r="P119" i="3"/>
  <c r="S119" i="3" s="1"/>
  <c r="K119" i="3"/>
  <c r="M143" i="2"/>
  <c r="N143" i="2" s="1"/>
  <c r="J121" i="3"/>
  <c r="C121" i="3"/>
  <c r="I121" i="3" s="1"/>
  <c r="N121" i="3"/>
  <c r="D121" i="3"/>
  <c r="AA21" i="2"/>
  <c r="E21" i="2"/>
  <c r="C33" i="3"/>
  <c r="I33" i="3" s="1"/>
  <c r="N33" i="3"/>
  <c r="D33" i="3"/>
  <c r="J33" i="3"/>
  <c r="D291" i="3"/>
  <c r="J291" i="3"/>
  <c r="K291" i="3"/>
  <c r="E291" i="3"/>
  <c r="N291" i="3"/>
  <c r="P291" i="3"/>
  <c r="S291" i="3" s="1"/>
  <c r="C291" i="3"/>
  <c r="I291" i="3" s="1"/>
  <c r="O291" i="3"/>
  <c r="R291" i="3" s="1"/>
  <c r="N66" i="3"/>
  <c r="D66" i="3"/>
  <c r="C66" i="3"/>
  <c r="I66" i="3" s="1"/>
  <c r="J66" i="3"/>
  <c r="AT37" i="2"/>
  <c r="J37" i="2" s="1"/>
  <c r="P13" i="3"/>
  <c r="S13" i="3" s="1"/>
  <c r="K13" i="3"/>
  <c r="M37" i="2"/>
  <c r="N37" i="2" s="1"/>
  <c r="C72" i="10" s="1"/>
  <c r="N74" i="3"/>
  <c r="J74" i="3"/>
  <c r="C74" i="3"/>
  <c r="I74" i="3" s="1"/>
  <c r="D74" i="3"/>
  <c r="M187" i="2"/>
  <c r="N187" i="2" s="1"/>
  <c r="K163" i="3"/>
  <c r="AT187" i="2"/>
  <c r="J187" i="2" s="1"/>
  <c r="P163" i="3"/>
  <c r="S163" i="3" s="1"/>
  <c r="E244" i="3"/>
  <c r="J244" i="3"/>
  <c r="K244" i="3"/>
  <c r="D244" i="3"/>
  <c r="N244" i="3"/>
  <c r="O244" i="3"/>
  <c r="R244" i="3" s="1"/>
  <c r="C244" i="3"/>
  <c r="I244" i="3" s="1"/>
  <c r="P244" i="3"/>
  <c r="S244" i="3" s="1"/>
  <c r="K124" i="3"/>
  <c r="P124" i="3"/>
  <c r="S124" i="3" s="1"/>
  <c r="AT148" i="2"/>
  <c r="J148" i="2" s="1"/>
  <c r="M148" i="2"/>
  <c r="N148" i="2" s="1"/>
  <c r="C84" i="3"/>
  <c r="I84" i="3" s="1"/>
  <c r="J84" i="3"/>
  <c r="D84" i="3"/>
  <c r="N84" i="3"/>
  <c r="AT94" i="2"/>
  <c r="J94" i="2" s="1"/>
  <c r="P70" i="3"/>
  <c r="S70" i="3" s="1"/>
  <c r="K70" i="3"/>
  <c r="M94" i="2"/>
  <c r="N94" i="2" s="1"/>
  <c r="AT156" i="2"/>
  <c r="J156" i="2" s="1"/>
  <c r="K132" i="3"/>
  <c r="M156" i="2"/>
  <c r="N156" i="2" s="1"/>
  <c r="P132" i="3"/>
  <c r="S132" i="3" s="1"/>
  <c r="C196" i="3"/>
  <c r="I196" i="3" s="1"/>
  <c r="J196" i="3"/>
  <c r="P196" i="3"/>
  <c r="S196" i="3" s="1"/>
  <c r="E196" i="3"/>
  <c r="D196" i="3"/>
  <c r="O196" i="3"/>
  <c r="R196" i="3" s="1"/>
  <c r="N196" i="3"/>
  <c r="K196" i="3"/>
  <c r="D367" i="3"/>
  <c r="O367" i="3"/>
  <c r="R367" i="3" s="1"/>
  <c r="N367" i="3"/>
  <c r="C367" i="3"/>
  <c r="I367" i="3" s="1"/>
  <c r="E367" i="3"/>
  <c r="K367" i="3"/>
  <c r="J367" i="3"/>
  <c r="P367" i="3"/>
  <c r="S367" i="3" s="1"/>
  <c r="AY16" i="2"/>
  <c r="V16" i="2" s="1"/>
  <c r="Q21" i="10" s="1"/>
  <c r="P51" i="10" s="1"/>
  <c r="Q36" i="10"/>
  <c r="Q51" i="10" s="1"/>
  <c r="X16" i="2"/>
  <c r="N303" i="3"/>
  <c r="C303" i="3"/>
  <c r="I303" i="3" s="1"/>
  <c r="K303" i="3"/>
  <c r="J303" i="3"/>
  <c r="E303" i="3"/>
  <c r="P303" i="3"/>
  <c r="S303" i="3" s="1"/>
  <c r="O303" i="3"/>
  <c r="R303" i="3" s="1"/>
  <c r="D303" i="3"/>
  <c r="K329" i="3"/>
  <c r="C329" i="3"/>
  <c r="I329" i="3" s="1"/>
  <c r="J329" i="3"/>
  <c r="P329" i="3"/>
  <c r="S329" i="3" s="1"/>
  <c r="E329" i="3"/>
  <c r="O329" i="3"/>
  <c r="R329" i="3" s="1"/>
  <c r="N329" i="3"/>
  <c r="D329" i="3"/>
  <c r="AT107" i="2"/>
  <c r="J107" i="2" s="1"/>
  <c r="P83" i="3"/>
  <c r="S83" i="3" s="1"/>
  <c r="K83" i="3"/>
  <c r="M107" i="2"/>
  <c r="N107" i="2" s="1"/>
  <c r="M164" i="2"/>
  <c r="N164" i="2" s="1"/>
  <c r="K140" i="3"/>
  <c r="AT164" i="2"/>
  <c r="J164" i="2" s="1"/>
  <c r="P140" i="3"/>
  <c r="S140" i="3" s="1"/>
  <c r="J128" i="3"/>
  <c r="C128" i="3"/>
  <c r="I128" i="3" s="1"/>
  <c r="N128" i="3"/>
  <c r="D128" i="3"/>
  <c r="K204" i="3"/>
  <c r="P204" i="3"/>
  <c r="S204" i="3" s="1"/>
  <c r="J204" i="3"/>
  <c r="C204" i="3"/>
  <c r="I204" i="3" s="1"/>
  <c r="N204" i="3"/>
  <c r="O204" i="3"/>
  <c r="R204" i="3" s="1"/>
  <c r="D204" i="3"/>
  <c r="E204" i="3"/>
  <c r="C6" i="3"/>
  <c r="I6" i="3" s="1"/>
  <c r="D6" i="3"/>
  <c r="J6" i="3"/>
  <c r="N6" i="3"/>
  <c r="AT88" i="2"/>
  <c r="J88" i="2" s="1"/>
  <c r="K64" i="3"/>
  <c r="P64" i="3"/>
  <c r="S64" i="3" s="1"/>
  <c r="M88" i="2"/>
  <c r="N88" i="2" s="1"/>
  <c r="E289" i="3"/>
  <c r="P289" i="3"/>
  <c r="S289" i="3" s="1"/>
  <c r="N289" i="3"/>
  <c r="C289" i="3"/>
  <c r="I289" i="3" s="1"/>
  <c r="O289" i="3"/>
  <c r="R289" i="3" s="1"/>
  <c r="D289" i="3"/>
  <c r="J289" i="3"/>
  <c r="K289" i="3"/>
  <c r="M80" i="2"/>
  <c r="N80" i="2" s="1"/>
  <c r="P56" i="3"/>
  <c r="S56" i="3" s="1"/>
  <c r="AT80" i="2"/>
  <c r="J80" i="2" s="1"/>
  <c r="K56" i="3"/>
  <c r="P30" i="3"/>
  <c r="S30" i="3" s="1"/>
  <c r="K30" i="3"/>
  <c r="M54" i="2"/>
  <c r="N54" i="2" s="1"/>
  <c r="AT54" i="2"/>
  <c r="J54" i="2" s="1"/>
  <c r="D105" i="3"/>
  <c r="C105" i="3"/>
  <c r="I105" i="3" s="1"/>
  <c r="N105" i="3"/>
  <c r="J105" i="3"/>
  <c r="AT74" i="2"/>
  <c r="J74" i="2" s="1"/>
  <c r="P50" i="3"/>
  <c r="S50" i="3" s="1"/>
  <c r="K50" i="3"/>
  <c r="M74" i="2"/>
  <c r="N74" i="2" s="1"/>
  <c r="N63" i="3"/>
  <c r="C63" i="3"/>
  <c r="I63" i="3" s="1"/>
  <c r="D63" i="3"/>
  <c r="J63" i="3"/>
  <c r="AT112" i="2"/>
  <c r="J112" i="2" s="1"/>
  <c r="O356" i="3"/>
  <c r="R356" i="3" s="1"/>
  <c r="D356" i="3"/>
  <c r="E356" i="3"/>
  <c r="C356" i="3"/>
  <c r="I356" i="3" s="1"/>
  <c r="J356" i="3"/>
  <c r="P356" i="3"/>
  <c r="S356" i="3" s="1"/>
  <c r="K356" i="3"/>
  <c r="N356" i="3"/>
  <c r="D75" i="3"/>
  <c r="C75" i="3"/>
  <c r="I75" i="3" s="1"/>
  <c r="N75" i="3"/>
  <c r="J75" i="3"/>
  <c r="P35" i="3"/>
  <c r="S35" i="3" s="1"/>
  <c r="K35" i="3"/>
  <c r="M59" i="2"/>
  <c r="N59" i="2" s="1"/>
  <c r="AT59" i="2"/>
  <c r="J59" i="2" s="1"/>
  <c r="E238" i="3"/>
  <c r="P238" i="3"/>
  <c r="S238" i="3" s="1"/>
  <c r="K238" i="3"/>
  <c r="C238" i="3"/>
  <c r="I238" i="3" s="1"/>
  <c r="O238" i="3"/>
  <c r="R238" i="3" s="1"/>
  <c r="J238" i="3"/>
  <c r="N238" i="3"/>
  <c r="D238" i="3"/>
  <c r="P287" i="3"/>
  <c r="S287" i="3" s="1"/>
  <c r="J287" i="3"/>
  <c r="N287" i="3"/>
  <c r="K287" i="3"/>
  <c r="D287" i="3"/>
  <c r="C287" i="3"/>
  <c r="I287" i="3" s="1"/>
  <c r="E287" i="3"/>
  <c r="O287" i="3"/>
  <c r="R287" i="3" s="1"/>
  <c r="J34" i="3"/>
  <c r="D34" i="3"/>
  <c r="N34" i="3"/>
  <c r="C34" i="3"/>
  <c r="I34" i="3" s="1"/>
  <c r="N16" i="3"/>
  <c r="C16" i="3"/>
  <c r="I16" i="3" s="1"/>
  <c r="J16" i="3"/>
  <c r="D16" i="3"/>
  <c r="P72" i="3"/>
  <c r="S72" i="3" s="1"/>
  <c r="M96" i="2"/>
  <c r="N96" i="2" s="1"/>
  <c r="K72" i="3"/>
  <c r="AT183" i="2"/>
  <c r="J183" i="2" s="1"/>
  <c r="M183" i="2"/>
  <c r="N183" i="2" s="1"/>
  <c r="P159" i="3"/>
  <c r="S159" i="3" s="1"/>
  <c r="K159" i="3"/>
  <c r="E226" i="3"/>
  <c r="P226" i="3"/>
  <c r="S226" i="3" s="1"/>
  <c r="N226" i="3"/>
  <c r="C226" i="3"/>
  <c r="I226" i="3" s="1"/>
  <c r="D226" i="3"/>
  <c r="K226" i="3"/>
  <c r="J226" i="3"/>
  <c r="O226" i="3"/>
  <c r="R226" i="3" s="1"/>
  <c r="C118" i="3"/>
  <c r="I118" i="3" s="1"/>
  <c r="N118" i="3"/>
  <c r="D118" i="3"/>
  <c r="J118" i="3"/>
  <c r="P126" i="3"/>
  <c r="S126" i="3" s="1"/>
  <c r="K126" i="3"/>
  <c r="M150" i="2"/>
  <c r="N150" i="2" s="1"/>
  <c r="AT150" i="2"/>
  <c r="J150" i="2" s="1"/>
  <c r="P220" i="3"/>
  <c r="S220" i="3" s="1"/>
  <c r="K220" i="3"/>
  <c r="D220" i="3"/>
  <c r="N220" i="3"/>
  <c r="E220" i="3"/>
  <c r="O220" i="3"/>
  <c r="R220" i="3" s="1"/>
  <c r="J220" i="3"/>
  <c r="C220" i="3"/>
  <c r="I220" i="3" s="1"/>
  <c r="AT79" i="2"/>
  <c r="J79" i="2" s="1"/>
  <c r="M79" i="2"/>
  <c r="N79" i="2" s="1"/>
  <c r="K55" i="3"/>
  <c r="P55" i="3"/>
  <c r="S55" i="3" s="1"/>
  <c r="AT204" i="2"/>
  <c r="J204" i="2" s="1"/>
  <c r="P180" i="3"/>
  <c r="S180" i="3" s="1"/>
  <c r="K180" i="3"/>
  <c r="M204" i="2"/>
  <c r="N204" i="2" s="1"/>
  <c r="AT180" i="2"/>
  <c r="J180" i="2" s="1"/>
  <c r="D328" i="3"/>
  <c r="C328" i="3"/>
  <c r="I328" i="3" s="1"/>
  <c r="J328" i="3"/>
  <c r="E328" i="3"/>
  <c r="K328" i="3"/>
  <c r="P328" i="3"/>
  <c r="S328" i="3" s="1"/>
  <c r="N328" i="3"/>
  <c r="O328" i="3"/>
  <c r="R328" i="3" s="1"/>
  <c r="D91" i="3"/>
  <c r="J91" i="3"/>
  <c r="N91" i="3"/>
  <c r="C91" i="3"/>
  <c r="I91" i="3" s="1"/>
  <c r="E193" i="3"/>
  <c r="K193" i="3"/>
  <c r="J193" i="3"/>
  <c r="N193" i="3"/>
  <c r="O193" i="3"/>
  <c r="R193" i="3" s="1"/>
  <c r="C193" i="3"/>
  <c r="I193" i="3" s="1"/>
  <c r="P193" i="3"/>
  <c r="S193" i="3" s="1"/>
  <c r="D193" i="3"/>
  <c r="J293" i="3"/>
  <c r="D293" i="3"/>
  <c r="E293" i="3"/>
  <c r="P293" i="3"/>
  <c r="S293" i="3" s="1"/>
  <c r="K293" i="3"/>
  <c r="C293" i="3"/>
  <c r="I293" i="3" s="1"/>
  <c r="N293" i="3"/>
  <c r="O293" i="3"/>
  <c r="R293" i="3" s="1"/>
  <c r="K160" i="3"/>
  <c r="M184" i="2"/>
  <c r="N184" i="2" s="1"/>
  <c r="P160" i="3"/>
  <c r="S160" i="3" s="1"/>
  <c r="AT184" i="2"/>
  <c r="J184" i="2" s="1"/>
  <c r="N17" i="3"/>
  <c r="C17" i="3"/>
  <c r="I17" i="3" s="1"/>
  <c r="D17" i="3"/>
  <c r="J17" i="3"/>
  <c r="AT173" i="2"/>
  <c r="J173" i="2" s="1"/>
  <c r="P149" i="3"/>
  <c r="S149" i="3" s="1"/>
  <c r="K149" i="3"/>
  <c r="M173" i="2"/>
  <c r="N173" i="2" s="1"/>
  <c r="N10" i="3"/>
  <c r="C10" i="3"/>
  <c r="I10" i="3" s="1"/>
  <c r="J10" i="3"/>
  <c r="D10" i="3"/>
  <c r="K270" i="3"/>
  <c r="C270" i="3"/>
  <c r="I270" i="3" s="1"/>
  <c r="J270" i="3"/>
  <c r="O270" i="3"/>
  <c r="R270" i="3" s="1"/>
  <c r="N270" i="3"/>
  <c r="E270" i="3"/>
  <c r="P270" i="3"/>
  <c r="S270" i="3" s="1"/>
  <c r="D270" i="3"/>
  <c r="N15" i="3"/>
  <c r="C15" i="3"/>
  <c r="I15" i="3" s="1"/>
  <c r="D15" i="3"/>
  <c r="J15" i="3"/>
  <c r="J60" i="3"/>
  <c r="D60" i="3"/>
  <c r="N60" i="3"/>
  <c r="C60" i="3"/>
  <c r="I60" i="3" s="1"/>
  <c r="AT66" i="2"/>
  <c r="J66" i="2" s="1"/>
  <c r="K42" i="3"/>
  <c r="P42" i="3"/>
  <c r="S42" i="3" s="1"/>
  <c r="M66" i="2"/>
  <c r="N66" i="2" s="1"/>
  <c r="N54" i="3"/>
  <c r="D54" i="3"/>
  <c r="C54" i="3"/>
  <c r="I54" i="3" s="1"/>
  <c r="J54" i="3"/>
  <c r="D49" i="3"/>
  <c r="C49" i="3"/>
  <c r="I49" i="3" s="1"/>
  <c r="J49" i="3"/>
  <c r="N49" i="3"/>
  <c r="J7" i="3"/>
  <c r="D7" i="3"/>
  <c r="N7" i="3"/>
  <c r="C7" i="3"/>
  <c r="I7" i="3" s="1"/>
  <c r="C120" i="3"/>
  <c r="I120" i="3" s="1"/>
  <c r="D120" i="3"/>
  <c r="J120" i="3"/>
  <c r="N120" i="3"/>
  <c r="M208" i="2"/>
  <c r="N208" i="2" s="1"/>
  <c r="P184" i="3"/>
  <c r="S184" i="3" s="1"/>
  <c r="K184" i="3"/>
  <c r="C19" i="3"/>
  <c r="I19" i="3" s="1"/>
  <c r="J19" i="3"/>
  <c r="N19" i="3"/>
  <c r="D19" i="3"/>
  <c r="M181" i="2"/>
  <c r="N181" i="2" s="1"/>
  <c r="K157" i="3"/>
  <c r="P157" i="3"/>
  <c r="S157" i="3" s="1"/>
  <c r="C136" i="3"/>
  <c r="I136" i="3" s="1"/>
  <c r="J136" i="3"/>
  <c r="D136" i="3"/>
  <c r="N136" i="3"/>
  <c r="O311" i="3"/>
  <c r="R311" i="3" s="1"/>
  <c r="P311" i="3"/>
  <c r="S311" i="3" s="1"/>
  <c r="J311" i="3"/>
  <c r="D311" i="3"/>
  <c r="E311" i="3"/>
  <c r="C311" i="3"/>
  <c r="I311" i="3" s="1"/>
  <c r="K311" i="3"/>
  <c r="N311" i="3"/>
  <c r="J256" i="3"/>
  <c r="P256" i="3"/>
  <c r="S256" i="3" s="1"/>
  <c r="O256" i="3"/>
  <c r="R256" i="3" s="1"/>
  <c r="C256" i="3"/>
  <c r="I256" i="3" s="1"/>
  <c r="K256" i="3"/>
  <c r="E256" i="3"/>
  <c r="N256" i="3"/>
  <c r="D256" i="3"/>
  <c r="N89" i="3"/>
  <c r="D89" i="3"/>
  <c r="C89" i="3"/>
  <c r="I89" i="3" s="1"/>
  <c r="J89" i="3"/>
  <c r="N37" i="3"/>
  <c r="C37" i="3"/>
  <c r="I37" i="3" s="1"/>
  <c r="D37" i="3"/>
  <c r="J37" i="3"/>
  <c r="N158" i="3"/>
  <c r="J158" i="3"/>
  <c r="C158" i="3"/>
  <c r="I158" i="3" s="1"/>
  <c r="D158" i="3"/>
  <c r="K268" i="3"/>
  <c r="C268" i="3"/>
  <c r="I268" i="3" s="1"/>
  <c r="D268" i="3"/>
  <c r="E268" i="3"/>
  <c r="O268" i="3"/>
  <c r="R268" i="3" s="1"/>
  <c r="J268" i="3"/>
  <c r="N268" i="3"/>
  <c r="P268" i="3"/>
  <c r="S268" i="3" s="1"/>
  <c r="E22" i="2"/>
  <c r="AA22" i="2"/>
  <c r="E323" i="3"/>
  <c r="P323" i="3"/>
  <c r="S323" i="3" s="1"/>
  <c r="N323" i="3"/>
  <c r="K323" i="3"/>
  <c r="C323" i="3"/>
  <c r="I323" i="3" s="1"/>
  <c r="O323" i="3"/>
  <c r="R323" i="3" s="1"/>
  <c r="D323" i="3"/>
  <c r="J323" i="3"/>
  <c r="J191" i="3"/>
  <c r="C191" i="3"/>
  <c r="I191" i="3" s="1"/>
  <c r="K191" i="3"/>
  <c r="E191" i="3"/>
  <c r="O191" i="3"/>
  <c r="R191" i="3" s="1"/>
  <c r="D191" i="3"/>
  <c r="P191" i="3"/>
  <c r="S191" i="3" s="1"/>
  <c r="N191" i="3"/>
  <c r="AT116" i="2"/>
  <c r="J116" i="2" s="1"/>
  <c r="K92" i="3"/>
  <c r="P92" i="3"/>
  <c r="S92" i="3" s="1"/>
  <c r="M116" i="2"/>
  <c r="N116" i="2" s="1"/>
  <c r="O308" i="3"/>
  <c r="R308" i="3" s="1"/>
  <c r="N308" i="3"/>
  <c r="D308" i="3"/>
  <c r="E308" i="3"/>
  <c r="K308" i="3"/>
  <c r="J308" i="3"/>
  <c r="P308" i="3"/>
  <c r="S308" i="3" s="1"/>
  <c r="C308" i="3"/>
  <c r="I308" i="3" s="1"/>
  <c r="AA24" i="2"/>
  <c r="E24" i="2"/>
  <c r="AU24" i="2"/>
  <c r="J24" i="2" s="1"/>
  <c r="C29" i="10" s="1"/>
  <c r="B59" i="10" s="1"/>
  <c r="C44" i="10"/>
  <c r="C59" i="10" s="1"/>
  <c r="L24" i="2"/>
  <c r="M24" i="2" s="1"/>
  <c r="M166" i="2"/>
  <c r="N166" i="2" s="1"/>
  <c r="K142" i="3"/>
  <c r="P142" i="3"/>
  <c r="S142" i="3" s="1"/>
  <c r="N109" i="3"/>
  <c r="D109" i="3"/>
  <c r="J109" i="3"/>
  <c r="C109" i="3"/>
  <c r="I109" i="3" s="1"/>
  <c r="K175" i="3"/>
  <c r="P175" i="3"/>
  <c r="S175" i="3" s="1"/>
  <c r="AT199" i="2"/>
  <c r="J199" i="2" s="1"/>
  <c r="M199" i="2"/>
  <c r="N199" i="2" s="1"/>
  <c r="C46" i="3"/>
  <c r="I46" i="3" s="1"/>
  <c r="N46" i="3"/>
  <c r="J46" i="3"/>
  <c r="D46" i="3"/>
  <c r="P192" i="3"/>
  <c r="S192" i="3" s="1"/>
  <c r="J192" i="3"/>
  <c r="E192" i="3"/>
  <c r="C192" i="3"/>
  <c r="I192" i="3" s="1"/>
  <c r="D192" i="3"/>
  <c r="O192" i="3"/>
  <c r="R192" i="3" s="1"/>
  <c r="N192" i="3"/>
  <c r="K192" i="3"/>
  <c r="N115" i="3"/>
  <c r="D115" i="3"/>
  <c r="J115" i="3"/>
  <c r="C115" i="3"/>
  <c r="I115" i="3" s="1"/>
  <c r="Q38" i="10"/>
  <c r="Q53" i="10" s="1"/>
  <c r="X18" i="2"/>
  <c r="X21" i="2"/>
  <c r="Q41" i="10"/>
  <c r="Q56" i="10" s="1"/>
  <c r="N314" i="3"/>
  <c r="D314" i="3"/>
  <c r="K314" i="3"/>
  <c r="J314" i="3"/>
  <c r="P314" i="3"/>
  <c r="S314" i="3" s="1"/>
  <c r="C314" i="3"/>
  <c r="I314" i="3" s="1"/>
  <c r="E314" i="3"/>
  <c r="O314" i="3"/>
  <c r="R314" i="3" s="1"/>
  <c r="K14" i="3"/>
  <c r="M38" i="2"/>
  <c r="N38" i="2" s="1"/>
  <c r="C73" i="10" s="1"/>
  <c r="AT38" i="2"/>
  <c r="J38" i="2" s="1"/>
  <c r="P14" i="3"/>
  <c r="S14" i="3" s="1"/>
  <c r="D82" i="3"/>
  <c r="J82" i="3"/>
  <c r="N82" i="3"/>
  <c r="C82" i="3"/>
  <c r="I82" i="3" s="1"/>
  <c r="J101" i="3"/>
  <c r="C101" i="3"/>
  <c r="I101" i="3" s="1"/>
  <c r="N101" i="3"/>
  <c r="D101" i="3"/>
  <c r="D309" i="3"/>
  <c r="C309" i="3"/>
  <c r="I309" i="3" s="1"/>
  <c r="K309" i="3"/>
  <c r="O309" i="3"/>
  <c r="R309" i="3" s="1"/>
  <c r="J309" i="3"/>
  <c r="E309" i="3"/>
  <c r="P309" i="3"/>
  <c r="S309" i="3" s="1"/>
  <c r="N309" i="3"/>
  <c r="K230" i="3"/>
  <c r="D230" i="3"/>
  <c r="O230" i="3"/>
  <c r="R230" i="3" s="1"/>
  <c r="E230" i="3"/>
  <c r="N230" i="3"/>
  <c r="J230" i="3"/>
  <c r="C230" i="3"/>
  <c r="I230" i="3" s="1"/>
  <c r="P230" i="3"/>
  <c r="S230" i="3" s="1"/>
  <c r="C181" i="3"/>
  <c r="I181" i="3" s="1"/>
  <c r="J181" i="3"/>
  <c r="D181" i="3"/>
  <c r="N181" i="3"/>
  <c r="N47" i="3"/>
  <c r="D47" i="3"/>
  <c r="C47" i="3"/>
  <c r="I47" i="3" s="1"/>
  <c r="J47" i="3"/>
  <c r="AT86" i="2"/>
  <c r="J86" i="2" s="1"/>
  <c r="K62" i="3"/>
  <c r="P62" i="3"/>
  <c r="S62" i="3" s="1"/>
  <c r="M86" i="2"/>
  <c r="N86" i="2" s="1"/>
  <c r="AA18" i="2"/>
  <c r="E18" i="2"/>
  <c r="L18" i="2"/>
  <c r="M18" i="2" s="1"/>
  <c r="C38" i="10"/>
  <c r="C53" i="10" s="1"/>
  <c r="AU18" i="2"/>
  <c r="J18" i="2" s="1"/>
  <c r="C23" i="10" s="1"/>
  <c r="B53" i="10" s="1"/>
  <c r="AT202" i="2"/>
  <c r="J202" i="2" s="1"/>
  <c r="P178" i="3"/>
  <c r="S178" i="3" s="1"/>
  <c r="M202" i="2"/>
  <c r="N202" i="2" s="1"/>
  <c r="K178" i="3"/>
  <c r="D38" i="3"/>
  <c r="J38" i="3"/>
  <c r="N38" i="3"/>
  <c r="C38" i="3"/>
  <c r="I38" i="3" s="1"/>
  <c r="O248" i="3"/>
  <c r="R248" i="3" s="1"/>
  <c r="D248" i="3"/>
  <c r="J248" i="3"/>
  <c r="E248" i="3"/>
  <c r="K248" i="3"/>
  <c r="C248" i="3"/>
  <c r="I248" i="3" s="1"/>
  <c r="N248" i="3"/>
  <c r="P248" i="3"/>
  <c r="S248" i="3" s="1"/>
  <c r="N110" i="3"/>
  <c r="D110" i="3"/>
  <c r="C110" i="3"/>
  <c r="I110" i="3" s="1"/>
  <c r="J110" i="3"/>
  <c r="J313" i="3"/>
  <c r="O313" i="3"/>
  <c r="R313" i="3" s="1"/>
  <c r="D313" i="3"/>
  <c r="E313" i="3"/>
  <c r="K313" i="3"/>
  <c r="C313" i="3"/>
  <c r="I313" i="3" s="1"/>
  <c r="N313" i="3"/>
  <c r="P313" i="3"/>
  <c r="S313" i="3" s="1"/>
  <c r="C124" i="3"/>
  <c r="I124" i="3" s="1"/>
  <c r="D124" i="3"/>
  <c r="J124" i="3"/>
  <c r="N124" i="3"/>
  <c r="C106" i="3"/>
  <c r="I106" i="3" s="1"/>
  <c r="N106" i="3"/>
  <c r="J106" i="3"/>
  <c r="D106" i="3"/>
  <c r="C127" i="3"/>
  <c r="I127" i="3" s="1"/>
  <c r="J127" i="3"/>
  <c r="N127" i="3"/>
  <c r="D127" i="3"/>
  <c r="D215" i="3"/>
  <c r="E215" i="3"/>
  <c r="N215" i="3"/>
  <c r="O215" i="3"/>
  <c r="R215" i="3" s="1"/>
  <c r="K215" i="3"/>
  <c r="P215" i="3"/>
  <c r="S215" i="3" s="1"/>
  <c r="C215" i="3"/>
  <c r="I215" i="3" s="1"/>
  <c r="J215" i="3"/>
  <c r="D342" i="3"/>
  <c r="K342" i="3"/>
  <c r="N342" i="3"/>
  <c r="O342" i="3"/>
  <c r="R342" i="3" s="1"/>
  <c r="J342" i="3"/>
  <c r="C342" i="3"/>
  <c r="I342" i="3" s="1"/>
  <c r="E342" i="3"/>
  <c r="P342" i="3"/>
  <c r="S342" i="3" s="1"/>
  <c r="K185" i="3"/>
  <c r="M209" i="2"/>
  <c r="N209" i="2" s="1"/>
  <c r="AT209" i="2"/>
  <c r="J209" i="2" s="1"/>
  <c r="P185" i="3"/>
  <c r="S185" i="3" s="1"/>
  <c r="O321" i="3"/>
  <c r="R321" i="3" s="1"/>
  <c r="D321" i="3"/>
  <c r="N321" i="3"/>
  <c r="P321" i="3"/>
  <c r="S321" i="3" s="1"/>
  <c r="K321" i="3"/>
  <c r="J321" i="3"/>
  <c r="C321" i="3"/>
  <c r="I321" i="3" s="1"/>
  <c r="E321" i="3"/>
  <c r="E345" i="3"/>
  <c r="C345" i="3"/>
  <c r="I345" i="3" s="1"/>
  <c r="O345" i="3"/>
  <c r="R345" i="3" s="1"/>
  <c r="N345" i="3"/>
  <c r="P345" i="3"/>
  <c r="S345" i="3" s="1"/>
  <c r="K345" i="3"/>
  <c r="D345" i="3"/>
  <c r="J345" i="3"/>
  <c r="N252" i="3"/>
  <c r="P252" i="3"/>
  <c r="S252" i="3" s="1"/>
  <c r="K252" i="3"/>
  <c r="O252" i="3"/>
  <c r="R252" i="3" s="1"/>
  <c r="C252" i="3"/>
  <c r="I252" i="3" s="1"/>
  <c r="D252" i="3"/>
  <c r="E252" i="3"/>
  <c r="J252" i="3"/>
  <c r="AT153" i="2"/>
  <c r="J153" i="2" s="1"/>
  <c r="M153" i="2"/>
  <c r="N153" i="2" s="1"/>
  <c r="P129" i="3"/>
  <c r="S129" i="3" s="1"/>
  <c r="K129" i="3"/>
  <c r="J83" i="3"/>
  <c r="N83" i="3"/>
  <c r="D83" i="3"/>
  <c r="C83" i="3"/>
  <c r="I83" i="3" s="1"/>
  <c r="N140" i="3"/>
  <c r="C140" i="3"/>
  <c r="I140" i="3" s="1"/>
  <c r="D140" i="3"/>
  <c r="J140" i="3"/>
  <c r="K353" i="3"/>
  <c r="C353" i="3"/>
  <c r="I353" i="3" s="1"/>
  <c r="E353" i="3"/>
  <c r="D353" i="3"/>
  <c r="N353" i="3"/>
  <c r="J353" i="3"/>
  <c r="O353" i="3"/>
  <c r="R353" i="3" s="1"/>
  <c r="P353" i="3"/>
  <c r="S353" i="3" s="1"/>
  <c r="AT129" i="2"/>
  <c r="J129" i="2" s="1"/>
  <c r="P105" i="3"/>
  <c r="S105" i="3" s="1"/>
  <c r="M129" i="2"/>
  <c r="N129" i="2" s="1"/>
  <c r="K105" i="3"/>
  <c r="K302" i="3"/>
  <c r="O302" i="3"/>
  <c r="R302" i="3" s="1"/>
  <c r="D302" i="3"/>
  <c r="C302" i="3"/>
  <c r="I302" i="3" s="1"/>
  <c r="J302" i="3"/>
  <c r="N302" i="3"/>
  <c r="P302" i="3"/>
  <c r="S302" i="3" s="1"/>
  <c r="E302" i="3"/>
  <c r="K326" i="3"/>
  <c r="N326" i="3"/>
  <c r="D326" i="3"/>
  <c r="C326" i="3"/>
  <c r="I326" i="3" s="1"/>
  <c r="E326" i="3"/>
  <c r="O326" i="3"/>
  <c r="R326" i="3" s="1"/>
  <c r="P326" i="3"/>
  <c r="S326" i="3" s="1"/>
  <c r="J326" i="3"/>
  <c r="K63" i="3"/>
  <c r="P63" i="3"/>
  <c r="S63" i="3" s="1"/>
  <c r="M87" i="2"/>
  <c r="N87" i="2" s="1"/>
  <c r="AT87" i="2"/>
  <c r="J87" i="2" s="1"/>
  <c r="O332" i="3"/>
  <c r="R332" i="3" s="1"/>
  <c r="E332" i="3"/>
  <c r="P332" i="3"/>
  <c r="S332" i="3" s="1"/>
  <c r="N332" i="3"/>
  <c r="K332" i="3"/>
  <c r="J332" i="3"/>
  <c r="D332" i="3"/>
  <c r="C332" i="3"/>
  <c r="I332" i="3" s="1"/>
  <c r="J282" i="3"/>
  <c r="N282" i="3"/>
  <c r="P282" i="3"/>
  <c r="S282" i="3" s="1"/>
  <c r="C282" i="3"/>
  <c r="I282" i="3" s="1"/>
  <c r="E282" i="3"/>
  <c r="K282" i="3"/>
  <c r="O282" i="3"/>
  <c r="R282" i="3" s="1"/>
  <c r="D282" i="3"/>
  <c r="P75" i="3"/>
  <c r="S75" i="3" s="1"/>
  <c r="K75" i="3"/>
  <c r="M99" i="2"/>
  <c r="N99" i="2" s="1"/>
  <c r="C48" i="3"/>
  <c r="I48" i="3" s="1"/>
  <c r="J48" i="3"/>
  <c r="N48" i="3"/>
  <c r="D48" i="3"/>
  <c r="N271" i="3"/>
  <c r="K271" i="3"/>
  <c r="O271" i="3"/>
  <c r="R271" i="3" s="1"/>
  <c r="E271" i="3"/>
  <c r="P271" i="3"/>
  <c r="S271" i="3" s="1"/>
  <c r="D271" i="3"/>
  <c r="C271" i="3"/>
  <c r="I271" i="3" s="1"/>
  <c r="J271" i="3"/>
  <c r="AT35" i="2"/>
  <c r="J35" i="2" s="1"/>
  <c r="M35" i="2"/>
  <c r="N35" i="2" s="1"/>
  <c r="C70" i="10" s="1"/>
  <c r="K11" i="3"/>
  <c r="P11" i="3"/>
  <c r="S11" i="3" s="1"/>
  <c r="D78" i="3"/>
  <c r="N78" i="3"/>
  <c r="J78" i="3"/>
  <c r="C78" i="3"/>
  <c r="I78" i="3" s="1"/>
  <c r="AT40" i="2"/>
  <c r="J40" i="2" s="1"/>
  <c r="P16" i="3"/>
  <c r="S16" i="3" s="1"/>
  <c r="K16" i="3"/>
  <c r="M40" i="2"/>
  <c r="N40" i="2" s="1"/>
  <c r="C75" i="10" s="1"/>
  <c r="P338" i="3"/>
  <c r="S338" i="3" s="1"/>
  <c r="N338" i="3"/>
  <c r="O338" i="3"/>
  <c r="R338" i="3" s="1"/>
  <c r="K338" i="3"/>
  <c r="E338" i="3"/>
  <c r="D338" i="3"/>
  <c r="C338" i="3"/>
  <c r="I338" i="3" s="1"/>
  <c r="J338" i="3"/>
  <c r="K233" i="3"/>
  <c r="J233" i="3"/>
  <c r="O233" i="3"/>
  <c r="R233" i="3" s="1"/>
  <c r="E233" i="3"/>
  <c r="C233" i="3"/>
  <c r="I233" i="3" s="1"/>
  <c r="P233" i="3"/>
  <c r="S233" i="3" s="1"/>
  <c r="D233" i="3"/>
  <c r="N233" i="3"/>
  <c r="K125" i="3"/>
  <c r="P125" i="3"/>
  <c r="S125" i="3" s="1"/>
  <c r="M149" i="2"/>
  <c r="N149" i="2" s="1"/>
  <c r="O236" i="3"/>
  <c r="R236" i="3" s="1"/>
  <c r="J236" i="3"/>
  <c r="D236" i="3"/>
  <c r="C236" i="3"/>
  <c r="I236" i="3" s="1"/>
  <c r="N236" i="3"/>
  <c r="K236" i="3"/>
  <c r="P236" i="3"/>
  <c r="S236" i="3" s="1"/>
  <c r="E236" i="3"/>
  <c r="N290" i="3"/>
  <c r="K290" i="3"/>
  <c r="D290" i="3"/>
  <c r="O290" i="3"/>
  <c r="R290" i="3" s="1"/>
  <c r="E290" i="3"/>
  <c r="P290" i="3"/>
  <c r="S290" i="3" s="1"/>
  <c r="J290" i="3"/>
  <c r="C290" i="3"/>
  <c r="I290" i="3" s="1"/>
  <c r="E266" i="3"/>
  <c r="J266" i="3"/>
  <c r="D266" i="3"/>
  <c r="O266" i="3"/>
  <c r="R266" i="3" s="1"/>
  <c r="P266" i="3"/>
  <c r="S266" i="3" s="1"/>
  <c r="N266" i="3"/>
  <c r="K266" i="3"/>
  <c r="C266" i="3"/>
  <c r="I266" i="3" s="1"/>
  <c r="J86" i="3"/>
  <c r="C86" i="3"/>
  <c r="I86" i="3" s="1"/>
  <c r="D86" i="3"/>
  <c r="N86" i="3"/>
  <c r="D51" i="3"/>
  <c r="J51" i="3"/>
  <c r="N51" i="3"/>
  <c r="C51" i="3"/>
  <c r="I51" i="3" s="1"/>
  <c r="P153" i="3"/>
  <c r="S153" i="3" s="1"/>
  <c r="M177" i="2"/>
  <c r="N177" i="2" s="1"/>
  <c r="K153" i="3"/>
  <c r="D39" i="3"/>
  <c r="J39" i="3"/>
  <c r="C39" i="3"/>
  <c r="I39" i="3" s="1"/>
  <c r="N39" i="3"/>
  <c r="C95" i="3"/>
  <c r="I95" i="3" s="1"/>
  <c r="J95" i="3"/>
  <c r="N95" i="3"/>
  <c r="D95" i="3"/>
  <c r="D274" i="3"/>
  <c r="O274" i="3"/>
  <c r="R274" i="3" s="1"/>
  <c r="P274" i="3"/>
  <c r="S274" i="3" s="1"/>
  <c r="N274" i="3"/>
  <c r="J274" i="3"/>
  <c r="K274" i="3"/>
  <c r="C274" i="3"/>
  <c r="I274" i="3" s="1"/>
  <c r="E274" i="3"/>
  <c r="AT144" i="2"/>
  <c r="J144" i="2" s="1"/>
  <c r="M144" i="2"/>
  <c r="N144" i="2" s="1"/>
  <c r="K120" i="3"/>
  <c r="P120" i="3"/>
  <c r="S120" i="3" s="1"/>
  <c r="C113" i="3"/>
  <c r="I113" i="3" s="1"/>
  <c r="J113" i="3"/>
  <c r="N113" i="3"/>
  <c r="D113" i="3"/>
  <c r="J131" i="3"/>
  <c r="D131" i="3"/>
  <c r="N131" i="3"/>
  <c r="C131" i="3"/>
  <c r="I131" i="3" s="1"/>
  <c r="J152" i="3"/>
  <c r="C152" i="3"/>
  <c r="I152" i="3" s="1"/>
  <c r="N152" i="3"/>
  <c r="D152" i="3"/>
  <c r="D324" i="3"/>
  <c r="N324" i="3"/>
  <c r="E324" i="3"/>
  <c r="C324" i="3"/>
  <c r="I324" i="3" s="1"/>
  <c r="O324" i="3"/>
  <c r="R324" i="3" s="1"/>
  <c r="K324" i="3"/>
  <c r="J324" i="3"/>
  <c r="P324" i="3"/>
  <c r="S324" i="3" s="1"/>
  <c r="J80" i="3"/>
  <c r="C80" i="3"/>
  <c r="I80" i="3" s="1"/>
  <c r="N80" i="3"/>
  <c r="D80" i="3"/>
  <c r="J154" i="3"/>
  <c r="N154" i="3"/>
  <c r="D154" i="3"/>
  <c r="C154" i="3"/>
  <c r="I154" i="3" s="1"/>
  <c r="O217" i="3"/>
  <c r="R217" i="3" s="1"/>
  <c r="D217" i="3"/>
  <c r="J217" i="3"/>
  <c r="C217" i="3"/>
  <c r="I217" i="3" s="1"/>
  <c r="P217" i="3"/>
  <c r="S217" i="3" s="1"/>
  <c r="N217" i="3"/>
  <c r="E217" i="3"/>
  <c r="K217" i="3"/>
  <c r="N146" i="3"/>
  <c r="J146" i="3"/>
  <c r="D146" i="3"/>
  <c r="C146" i="3"/>
  <c r="I146" i="3" s="1"/>
  <c r="N357" i="3"/>
  <c r="P357" i="3"/>
  <c r="S357" i="3" s="1"/>
  <c r="K357" i="3"/>
  <c r="J357" i="3"/>
  <c r="D357" i="3"/>
  <c r="E357" i="3"/>
  <c r="O357" i="3"/>
  <c r="R357" i="3" s="1"/>
  <c r="C357" i="3"/>
  <c r="I357" i="3" s="1"/>
  <c r="K90" i="3"/>
  <c r="M114" i="2"/>
  <c r="N114" i="2" s="1"/>
  <c r="P90" i="3"/>
  <c r="S90" i="3" s="1"/>
  <c r="D69" i="3"/>
  <c r="N69" i="3"/>
  <c r="C69" i="3"/>
  <c r="I69" i="3" s="1"/>
  <c r="J69" i="3"/>
  <c r="N174" i="3"/>
  <c r="C174" i="3"/>
  <c r="I174" i="3" s="1"/>
  <c r="D174" i="3"/>
  <c r="J174" i="3"/>
  <c r="M55" i="2"/>
  <c r="N55" i="2" s="1"/>
  <c r="P31" i="3"/>
  <c r="S31" i="3" s="1"/>
  <c r="K31" i="3"/>
  <c r="O157" i="3"/>
  <c r="R157" i="3" s="1"/>
  <c r="C53" i="3"/>
  <c r="I53" i="3" s="1"/>
  <c r="J53" i="3"/>
  <c r="N53" i="3"/>
  <c r="D53" i="3"/>
  <c r="AT133" i="2"/>
  <c r="J133" i="2" s="1"/>
  <c r="P109" i="3"/>
  <c r="S109" i="3" s="1"/>
  <c r="K109" i="3"/>
  <c r="M133" i="2"/>
  <c r="N133" i="2" s="1"/>
  <c r="E319" i="3"/>
  <c r="J319" i="3"/>
  <c r="C319" i="3"/>
  <c r="I319" i="3" s="1"/>
  <c r="N319" i="3"/>
  <c r="D319" i="3"/>
  <c r="P319" i="3"/>
  <c r="S319" i="3" s="1"/>
  <c r="K319" i="3"/>
  <c r="O319" i="3"/>
  <c r="R319" i="3" s="1"/>
  <c r="J296" i="3"/>
  <c r="C296" i="3"/>
  <c r="I296" i="3" s="1"/>
  <c r="P296" i="3"/>
  <c r="S296" i="3" s="1"/>
  <c r="K296" i="3"/>
  <c r="O296" i="3"/>
  <c r="R296" i="3" s="1"/>
  <c r="D296" i="3"/>
  <c r="N296" i="3"/>
  <c r="E296" i="3"/>
  <c r="O199" i="3"/>
  <c r="R199" i="3" s="1"/>
  <c r="J199" i="3"/>
  <c r="K199" i="3"/>
  <c r="P199" i="3"/>
  <c r="S199" i="3" s="1"/>
  <c r="C199" i="3"/>
  <c r="I199" i="3" s="1"/>
  <c r="E199" i="3"/>
  <c r="D199" i="3"/>
  <c r="N199" i="3"/>
  <c r="AT111" i="2"/>
  <c r="J111" i="2" s="1"/>
  <c r="P87" i="3"/>
  <c r="S87" i="3" s="1"/>
  <c r="M111" i="2"/>
  <c r="N111" i="2" s="1"/>
  <c r="K87" i="3"/>
  <c r="C107" i="3"/>
  <c r="I107" i="3" s="1"/>
  <c r="J107" i="3"/>
  <c r="D107" i="3"/>
  <c r="N107" i="3"/>
  <c r="N12" i="3"/>
  <c r="J12" i="3"/>
  <c r="C12" i="3"/>
  <c r="I12" i="3" s="1"/>
  <c r="D12" i="3"/>
  <c r="C41" i="10"/>
  <c r="C56" i="10" s="1"/>
  <c r="L21" i="2"/>
  <c r="M21" i="2" s="1"/>
  <c r="AU21" i="2"/>
  <c r="J21" i="2" s="1"/>
  <c r="C26" i="10" s="1"/>
  <c r="B56" i="10" s="1"/>
  <c r="O234" i="3"/>
  <c r="R234" i="3" s="1"/>
  <c r="D234" i="3"/>
  <c r="J234" i="3"/>
  <c r="E234" i="3"/>
  <c r="K234" i="3"/>
  <c r="C234" i="3"/>
  <c r="I234" i="3" s="1"/>
  <c r="N234" i="3"/>
  <c r="P234" i="3"/>
  <c r="S234" i="3" s="1"/>
  <c r="C231" i="3"/>
  <c r="I231" i="3" s="1"/>
  <c r="N231" i="3"/>
  <c r="O231" i="3"/>
  <c r="R231" i="3" s="1"/>
  <c r="P231" i="3"/>
  <c r="S231" i="3" s="1"/>
  <c r="E231" i="3"/>
  <c r="K231" i="3"/>
  <c r="J231" i="3"/>
  <c r="D231" i="3"/>
  <c r="D235" i="3"/>
  <c r="K235" i="3"/>
  <c r="O235" i="3"/>
  <c r="R235" i="3" s="1"/>
  <c r="P235" i="3"/>
  <c r="S235" i="3" s="1"/>
  <c r="N235" i="3"/>
  <c r="J235" i="3"/>
  <c r="C235" i="3"/>
  <c r="I235" i="3" s="1"/>
  <c r="E235" i="3"/>
  <c r="C58" i="3"/>
  <c r="I58" i="3" s="1"/>
  <c r="D58" i="3"/>
  <c r="J58" i="3"/>
  <c r="N58" i="3"/>
  <c r="N13" i="3"/>
  <c r="C13" i="3"/>
  <c r="I13" i="3" s="1"/>
  <c r="J13" i="3"/>
  <c r="D13" i="3"/>
  <c r="AT128" i="2"/>
  <c r="J128" i="2" s="1"/>
  <c r="P104" i="3"/>
  <c r="S104" i="3" s="1"/>
  <c r="K104" i="3"/>
  <c r="M128" i="2"/>
  <c r="N128" i="2" s="1"/>
  <c r="C93" i="3"/>
  <c r="I93" i="3" s="1"/>
  <c r="J93" i="3"/>
  <c r="N93" i="3"/>
  <c r="D93" i="3"/>
  <c r="C178" i="3"/>
  <c r="I178" i="3" s="1"/>
  <c r="N178" i="3"/>
  <c r="D178" i="3"/>
  <c r="J178" i="3"/>
  <c r="J246" i="3"/>
  <c r="P246" i="3"/>
  <c r="S246" i="3" s="1"/>
  <c r="E246" i="3"/>
  <c r="C246" i="3"/>
  <c r="I246" i="3" s="1"/>
  <c r="D246" i="3"/>
  <c r="O246" i="3"/>
  <c r="R246" i="3" s="1"/>
  <c r="N246" i="3"/>
  <c r="K246" i="3"/>
  <c r="AT134" i="2"/>
  <c r="J134" i="2" s="1"/>
  <c r="K110" i="3"/>
  <c r="M134" i="2"/>
  <c r="N134" i="2" s="1"/>
  <c r="P110" i="3"/>
  <c r="S110" i="3" s="1"/>
  <c r="D9" i="3"/>
  <c r="N9" i="3"/>
  <c r="J9" i="3"/>
  <c r="C9" i="3"/>
  <c r="I9" i="3" s="1"/>
  <c r="E240" i="3"/>
  <c r="P240" i="3"/>
  <c r="S240" i="3" s="1"/>
  <c r="D240" i="3"/>
  <c r="O240" i="3"/>
  <c r="R240" i="3" s="1"/>
  <c r="N240" i="3"/>
  <c r="J240" i="3"/>
  <c r="K240" i="3"/>
  <c r="C240" i="3"/>
  <c r="I240" i="3" s="1"/>
  <c r="AT130" i="2"/>
  <c r="J130" i="2" s="1"/>
  <c r="M130" i="2"/>
  <c r="N130" i="2" s="1"/>
  <c r="P106" i="3"/>
  <c r="S106" i="3" s="1"/>
  <c r="K106" i="3"/>
  <c r="J76" i="3"/>
  <c r="C76" i="3"/>
  <c r="I76" i="3" s="1"/>
  <c r="N76" i="3"/>
  <c r="D76" i="3"/>
  <c r="AT108" i="2"/>
  <c r="J108" i="2" s="1"/>
  <c r="M108" i="2"/>
  <c r="N108" i="2" s="1"/>
  <c r="K84" i="3"/>
  <c r="P84" i="3"/>
  <c r="S84" i="3" s="1"/>
  <c r="P127" i="3"/>
  <c r="S127" i="3" s="1"/>
  <c r="AT151" i="2"/>
  <c r="J151" i="2" s="1"/>
  <c r="M151" i="2"/>
  <c r="N151" i="2" s="1"/>
  <c r="K127" i="3"/>
  <c r="N185" i="3"/>
  <c r="J185" i="3"/>
  <c r="D185" i="3"/>
  <c r="C185" i="3"/>
  <c r="I185" i="3" s="1"/>
  <c r="D130" i="3"/>
  <c r="N130" i="3"/>
  <c r="J130" i="3"/>
  <c r="C130" i="3"/>
  <c r="I130" i="3" s="1"/>
  <c r="C339" i="3"/>
  <c r="I339" i="3" s="1"/>
  <c r="E339" i="3"/>
  <c r="N339" i="3"/>
  <c r="O339" i="3"/>
  <c r="R339" i="3" s="1"/>
  <c r="K339" i="3"/>
  <c r="P339" i="3"/>
  <c r="S339" i="3" s="1"/>
  <c r="J339" i="3"/>
  <c r="D339" i="3"/>
  <c r="D264" i="3"/>
  <c r="C264" i="3"/>
  <c r="I264" i="3" s="1"/>
  <c r="O264" i="3"/>
  <c r="R264" i="3" s="1"/>
  <c r="N264" i="3"/>
  <c r="E264" i="3"/>
  <c r="P264" i="3"/>
  <c r="S264" i="3" s="1"/>
  <c r="J264" i="3"/>
  <c r="K264" i="3"/>
  <c r="D50" i="3"/>
  <c r="N50" i="3"/>
  <c r="C50" i="3"/>
  <c r="I50" i="3" s="1"/>
  <c r="J50" i="3"/>
  <c r="E298" i="3"/>
  <c r="J298" i="3"/>
  <c r="K298" i="3"/>
  <c r="P298" i="3"/>
  <c r="S298" i="3" s="1"/>
  <c r="N298" i="3"/>
  <c r="D298" i="3"/>
  <c r="O298" i="3"/>
  <c r="R298" i="3" s="1"/>
  <c r="C298" i="3"/>
  <c r="I298" i="3" s="1"/>
  <c r="P123" i="3"/>
  <c r="S123" i="3" s="1"/>
  <c r="M147" i="2"/>
  <c r="N147" i="2" s="1"/>
  <c r="K123" i="3"/>
  <c r="J295" i="3"/>
  <c r="C295" i="3"/>
  <c r="I295" i="3" s="1"/>
  <c r="P295" i="3"/>
  <c r="S295" i="3" s="1"/>
  <c r="D295" i="3"/>
  <c r="O295" i="3"/>
  <c r="R295" i="3" s="1"/>
  <c r="N295" i="3"/>
  <c r="E295" i="3"/>
  <c r="K295" i="3"/>
  <c r="D147" i="3"/>
  <c r="N147" i="3"/>
  <c r="C147" i="3"/>
  <c r="I147" i="3" s="1"/>
  <c r="J147" i="3"/>
  <c r="K141" i="3"/>
  <c r="P141" i="3"/>
  <c r="S141" i="3" s="1"/>
  <c r="M165" i="2"/>
  <c r="N165" i="2" s="1"/>
  <c r="K150" i="3"/>
  <c r="P150" i="3"/>
  <c r="S150" i="3" s="1"/>
  <c r="M174" i="2"/>
  <c r="N174" i="2" s="1"/>
  <c r="AT174" i="2"/>
  <c r="J174" i="2" s="1"/>
  <c r="AT58" i="2"/>
  <c r="J58" i="2" s="1"/>
  <c r="M58" i="2"/>
  <c r="N58" i="2" s="1"/>
  <c r="K34" i="3"/>
  <c r="P34" i="3"/>
  <c r="S34" i="3" s="1"/>
  <c r="AT76" i="2"/>
  <c r="J76" i="2" s="1"/>
  <c r="M76" i="2"/>
  <c r="N76" i="2" s="1"/>
  <c r="K52" i="3"/>
  <c r="P52" i="3"/>
  <c r="S52" i="3" s="1"/>
  <c r="N183" i="3"/>
  <c r="D183" i="3"/>
  <c r="J183" i="3"/>
  <c r="C183" i="3"/>
  <c r="I183" i="3" s="1"/>
  <c r="O359" i="3"/>
  <c r="R359" i="3" s="1"/>
  <c r="K359" i="3"/>
  <c r="P359" i="3"/>
  <c r="S359" i="3" s="1"/>
  <c r="C359" i="3"/>
  <c r="I359" i="3" s="1"/>
  <c r="N359" i="3"/>
  <c r="J359" i="3"/>
  <c r="E359" i="3"/>
  <c r="D359" i="3"/>
  <c r="J159" i="3"/>
  <c r="N159" i="3"/>
  <c r="D159" i="3"/>
  <c r="C159" i="3"/>
  <c r="I159" i="3" s="1"/>
  <c r="N125" i="3"/>
  <c r="C125" i="3"/>
  <c r="I125" i="3" s="1"/>
  <c r="D125" i="3"/>
  <c r="J125" i="3"/>
  <c r="J213" i="3"/>
  <c r="O213" i="3"/>
  <c r="R213" i="3" s="1"/>
  <c r="P213" i="3"/>
  <c r="S213" i="3" s="1"/>
  <c r="E213" i="3"/>
  <c r="K213" i="3"/>
  <c r="D213" i="3"/>
  <c r="N213" i="3"/>
  <c r="C213" i="3"/>
  <c r="I213" i="3" s="1"/>
  <c r="P362" i="3"/>
  <c r="S362" i="3" s="1"/>
  <c r="D362" i="3"/>
  <c r="K362" i="3"/>
  <c r="O362" i="3"/>
  <c r="R362" i="3" s="1"/>
  <c r="E362" i="3"/>
  <c r="C362" i="3"/>
  <c r="I362" i="3" s="1"/>
  <c r="J362" i="3"/>
  <c r="N362" i="3"/>
  <c r="K299" i="3"/>
  <c r="O299" i="3"/>
  <c r="R299" i="3" s="1"/>
  <c r="D299" i="3"/>
  <c r="J299" i="3"/>
  <c r="N299" i="3"/>
  <c r="E299" i="3"/>
  <c r="P299" i="3"/>
  <c r="S299" i="3" s="1"/>
  <c r="C299" i="3"/>
  <c r="I299" i="3" s="1"/>
  <c r="O189" i="3"/>
  <c r="R189" i="3" s="1"/>
  <c r="J189" i="3"/>
  <c r="C189" i="3"/>
  <c r="I189" i="3" s="1"/>
  <c r="N189" i="3"/>
  <c r="K189" i="3"/>
  <c r="D189" i="3"/>
  <c r="P189" i="3"/>
  <c r="S189" i="3" s="1"/>
  <c r="E189" i="3"/>
  <c r="J55" i="3"/>
  <c r="D55" i="3"/>
  <c r="N55" i="3"/>
  <c r="C55" i="3"/>
  <c r="I55" i="3" s="1"/>
  <c r="O354" i="3"/>
  <c r="R354" i="3" s="1"/>
  <c r="D354" i="3"/>
  <c r="N354" i="3"/>
  <c r="J354" i="3"/>
  <c r="K354" i="3"/>
  <c r="P354" i="3"/>
  <c r="S354" i="3" s="1"/>
  <c r="E354" i="3"/>
  <c r="C354" i="3"/>
  <c r="I354" i="3" s="1"/>
  <c r="N81" i="3"/>
  <c r="D81" i="3"/>
  <c r="C81" i="3"/>
  <c r="I81" i="3" s="1"/>
  <c r="J81" i="3"/>
  <c r="P86" i="3"/>
  <c r="S86" i="3" s="1"/>
  <c r="M110" i="2"/>
  <c r="N110" i="2" s="1"/>
  <c r="K86" i="3"/>
  <c r="O211" i="3"/>
  <c r="R211" i="3" s="1"/>
  <c r="N211" i="3"/>
  <c r="K211" i="3"/>
  <c r="D211" i="3"/>
  <c r="J211" i="3"/>
  <c r="P211" i="3"/>
  <c r="S211" i="3" s="1"/>
  <c r="E211" i="3"/>
  <c r="C211" i="3"/>
  <c r="I211" i="3" s="1"/>
  <c r="N61" i="3"/>
  <c r="D61" i="3"/>
  <c r="J61" i="3"/>
  <c r="C61" i="3"/>
  <c r="I61" i="3" s="1"/>
  <c r="AT115" i="2"/>
  <c r="J115" i="2" s="1"/>
  <c r="K91" i="3"/>
  <c r="P91" i="3"/>
  <c r="S91" i="3" s="1"/>
  <c r="M115" i="2"/>
  <c r="N115" i="2" s="1"/>
  <c r="D224" i="3"/>
  <c r="J224" i="3"/>
  <c r="K224" i="3"/>
  <c r="O224" i="3"/>
  <c r="R224" i="3" s="1"/>
  <c r="P224" i="3"/>
  <c r="S224" i="3" s="1"/>
  <c r="C224" i="3"/>
  <c r="I224" i="3" s="1"/>
  <c r="E224" i="3"/>
  <c r="N224" i="3"/>
  <c r="P29" i="3"/>
  <c r="S29" i="3" s="1"/>
  <c r="M53" i="2"/>
  <c r="N53" i="2" s="1"/>
  <c r="K29" i="3"/>
  <c r="AT53" i="2"/>
  <c r="J53" i="2" s="1"/>
  <c r="AT41" i="2"/>
  <c r="J41" i="2" s="1"/>
  <c r="P17" i="3"/>
  <c r="S17" i="3" s="1"/>
  <c r="K17" i="3"/>
  <c r="M41" i="2"/>
  <c r="N41" i="2" s="1"/>
  <c r="AT196" i="2"/>
  <c r="J196" i="2" s="1"/>
  <c r="K172" i="3"/>
  <c r="M196" i="2"/>
  <c r="N196" i="2" s="1"/>
  <c r="P172" i="3"/>
  <c r="S172" i="3" s="1"/>
  <c r="N312" i="3"/>
  <c r="D312" i="3"/>
  <c r="K312" i="3"/>
  <c r="C312" i="3"/>
  <c r="I312" i="3" s="1"/>
  <c r="E312" i="3"/>
  <c r="O312" i="3"/>
  <c r="R312" i="3" s="1"/>
  <c r="J312" i="3"/>
  <c r="P312" i="3"/>
  <c r="S312" i="3" s="1"/>
  <c r="O279" i="3"/>
  <c r="R279" i="3" s="1"/>
  <c r="P279" i="3"/>
  <c r="S279" i="3" s="1"/>
  <c r="N279" i="3"/>
  <c r="D279" i="3"/>
  <c r="C279" i="3"/>
  <c r="I279" i="3" s="1"/>
  <c r="E279" i="3"/>
  <c r="J279" i="3"/>
  <c r="K279" i="3"/>
  <c r="AT39" i="2"/>
  <c r="J39" i="2" s="1"/>
  <c r="P15" i="3"/>
  <c r="S15" i="3" s="1"/>
  <c r="M39" i="2"/>
  <c r="N39" i="2" s="1"/>
  <c r="C74" i="10" s="1"/>
  <c r="K15" i="3"/>
  <c r="O363" i="3"/>
  <c r="R363" i="3" s="1"/>
  <c r="C363" i="3"/>
  <c r="I363" i="3" s="1"/>
  <c r="J363" i="3"/>
  <c r="P363" i="3"/>
  <c r="S363" i="3" s="1"/>
  <c r="E363" i="3"/>
  <c r="N363" i="3"/>
  <c r="D363" i="3"/>
  <c r="K363" i="3"/>
  <c r="AT84" i="2"/>
  <c r="J84" i="2" s="1"/>
  <c r="K60" i="3"/>
  <c r="P60" i="3"/>
  <c r="S60" i="3" s="1"/>
  <c r="M84" i="2"/>
  <c r="N84" i="2" s="1"/>
  <c r="N272" i="3"/>
  <c r="K272" i="3"/>
  <c r="O272" i="3"/>
  <c r="R272" i="3" s="1"/>
  <c r="D272" i="3"/>
  <c r="J272" i="3"/>
  <c r="C272" i="3"/>
  <c r="I272" i="3" s="1"/>
  <c r="P272" i="3"/>
  <c r="S272" i="3" s="1"/>
  <c r="E272" i="3"/>
  <c r="K54" i="3"/>
  <c r="P54" i="3"/>
  <c r="S54" i="3" s="1"/>
  <c r="M78" i="2"/>
  <c r="N78" i="2" s="1"/>
  <c r="M73" i="2"/>
  <c r="N73" i="2" s="1"/>
  <c r="K49" i="3"/>
  <c r="P49" i="3"/>
  <c r="S49" i="3" s="1"/>
  <c r="AT160" i="2"/>
  <c r="J160" i="2" s="1"/>
  <c r="P136" i="3"/>
  <c r="S136" i="3" s="1"/>
  <c r="M160" i="2"/>
  <c r="N160" i="2" s="1"/>
  <c r="K136" i="3"/>
  <c r="J307" i="3"/>
  <c r="D307" i="3"/>
  <c r="E307" i="3"/>
  <c r="O307" i="3"/>
  <c r="R307" i="3" s="1"/>
  <c r="K307" i="3"/>
  <c r="N307" i="3"/>
  <c r="C307" i="3"/>
  <c r="I307" i="3" s="1"/>
  <c r="P307" i="3"/>
  <c r="S307" i="3" s="1"/>
  <c r="N145" i="3"/>
  <c r="D145" i="3"/>
  <c r="C145" i="3"/>
  <c r="I145" i="3" s="1"/>
  <c r="J145" i="3"/>
  <c r="J201" i="3"/>
  <c r="E201" i="3"/>
  <c r="O201" i="3"/>
  <c r="R201" i="3" s="1"/>
  <c r="C201" i="3"/>
  <c r="I201" i="3" s="1"/>
  <c r="K201" i="3"/>
  <c r="D201" i="3"/>
  <c r="N201" i="3"/>
  <c r="P201" i="3"/>
  <c r="S201" i="3" s="1"/>
  <c r="O300" i="3"/>
  <c r="R300" i="3" s="1"/>
  <c r="C300" i="3"/>
  <c r="I300" i="3" s="1"/>
  <c r="J300" i="3"/>
  <c r="P300" i="3"/>
  <c r="S300" i="3" s="1"/>
  <c r="N300" i="3"/>
  <c r="E300" i="3"/>
  <c r="D300" i="3"/>
  <c r="K300" i="3"/>
  <c r="AT137" i="2"/>
  <c r="J137" i="2" s="1"/>
  <c r="M137" i="2"/>
  <c r="N137" i="2" s="1"/>
  <c r="P113" i="3"/>
  <c r="S113" i="3" s="1"/>
  <c r="K113" i="3"/>
  <c r="J243" i="3"/>
  <c r="N243" i="3"/>
  <c r="E243" i="3"/>
  <c r="P243" i="3"/>
  <c r="S243" i="3" s="1"/>
  <c r="K243" i="3"/>
  <c r="C243" i="3"/>
  <c r="I243" i="3" s="1"/>
  <c r="D243" i="3"/>
  <c r="O243" i="3"/>
  <c r="R243" i="3" s="1"/>
  <c r="AT155" i="2"/>
  <c r="J155" i="2" s="1"/>
  <c r="K131" i="3"/>
  <c r="M155" i="2"/>
  <c r="N155" i="2" s="1"/>
  <c r="P131" i="3"/>
  <c r="S131" i="3" s="1"/>
  <c r="D343" i="3"/>
  <c r="N343" i="3"/>
  <c r="O343" i="3"/>
  <c r="R343" i="3" s="1"/>
  <c r="E343" i="3"/>
  <c r="C343" i="3"/>
  <c r="I343" i="3" s="1"/>
  <c r="K343" i="3"/>
  <c r="P343" i="3"/>
  <c r="S343" i="3" s="1"/>
  <c r="J343" i="3"/>
  <c r="J26" i="3"/>
  <c r="N26" i="3"/>
  <c r="C26" i="3"/>
  <c r="I26" i="3" s="1"/>
  <c r="D26" i="3"/>
  <c r="AT104" i="2"/>
  <c r="J104" i="2" s="1"/>
  <c r="K80" i="3"/>
  <c r="P80" i="3"/>
  <c r="S80" i="3" s="1"/>
  <c r="M104" i="2"/>
  <c r="N104" i="2" s="1"/>
  <c r="AT178" i="2"/>
  <c r="J178" i="2" s="1"/>
  <c r="K154" i="3"/>
  <c r="M178" i="2"/>
  <c r="N178" i="2" s="1"/>
  <c r="P154" i="3"/>
  <c r="S154" i="3" s="1"/>
  <c r="P284" i="3"/>
  <c r="S284" i="3" s="1"/>
  <c r="N284" i="3"/>
  <c r="O284" i="3"/>
  <c r="R284" i="3" s="1"/>
  <c r="K284" i="3"/>
  <c r="J284" i="3"/>
  <c r="D284" i="3"/>
  <c r="C284" i="3"/>
  <c r="I284" i="3" s="1"/>
  <c r="E284" i="3"/>
  <c r="O269" i="3"/>
  <c r="R269" i="3" s="1"/>
  <c r="K269" i="3"/>
  <c r="D269" i="3"/>
  <c r="J269" i="3"/>
  <c r="P269" i="3"/>
  <c r="S269" i="3" s="1"/>
  <c r="N269" i="3"/>
  <c r="C269" i="3"/>
  <c r="I269" i="3" s="1"/>
  <c r="E269" i="3"/>
  <c r="N142" i="3"/>
  <c r="D142" i="3"/>
  <c r="C142" i="3"/>
  <c r="I142" i="3" s="1"/>
  <c r="J142" i="3"/>
  <c r="P69" i="3"/>
  <c r="S69" i="3" s="1"/>
  <c r="K69" i="3"/>
  <c r="M93" i="2"/>
  <c r="N93" i="2" s="1"/>
  <c r="AT55" i="2"/>
  <c r="J55" i="2" s="1"/>
  <c r="E19" i="3"/>
  <c r="E184" i="3"/>
  <c r="O327" i="3"/>
  <c r="R327" i="3" s="1"/>
  <c r="C327" i="3"/>
  <c r="I327" i="3" s="1"/>
  <c r="K327" i="3"/>
  <c r="J327" i="3"/>
  <c r="D327" i="3"/>
  <c r="E327" i="3"/>
  <c r="N327" i="3"/>
  <c r="P327" i="3"/>
  <c r="S327" i="3" s="1"/>
  <c r="AT47" i="2"/>
  <c r="J47" i="2" s="1"/>
  <c r="P23" i="3"/>
  <c r="S23" i="3" s="1"/>
  <c r="K23" i="3"/>
  <c r="M47" i="2"/>
  <c r="N47" i="2" s="1"/>
  <c r="E16" i="2"/>
  <c r="AA16" i="2"/>
  <c r="AU16" i="2"/>
  <c r="J16" i="2" s="1"/>
  <c r="C21" i="10" s="1"/>
  <c r="B51" i="10" s="1"/>
  <c r="L16" i="2"/>
  <c r="M16" i="2" s="1"/>
  <c r="B3" i="21"/>
  <c r="B6" i="21" s="1"/>
  <c r="B7" i="21" s="1"/>
  <c r="B8" i="21" s="1"/>
  <c r="B9" i="21" s="1"/>
  <c r="C36" i="10"/>
  <c r="C51" i="10" s="1"/>
  <c r="AT70" i="2"/>
  <c r="J70" i="2" s="1"/>
  <c r="M70" i="2"/>
  <c r="N70" i="2" s="1"/>
  <c r="K46" i="3"/>
  <c r="P46" i="3"/>
  <c r="S46" i="3" s="1"/>
  <c r="D143" i="3"/>
  <c r="J143" i="3"/>
  <c r="C143" i="3"/>
  <c r="I143" i="3" s="1"/>
  <c r="N143" i="3"/>
  <c r="N102" i="3"/>
  <c r="J102" i="3"/>
  <c r="D102" i="3"/>
  <c r="C102" i="3"/>
  <c r="I102" i="3" s="1"/>
  <c r="K12" i="3"/>
  <c r="P12" i="3"/>
  <c r="S12" i="3" s="1"/>
  <c r="AT36" i="2"/>
  <c r="J36" i="2" s="1"/>
  <c r="M36" i="2"/>
  <c r="N36" i="2" s="1"/>
  <c r="C71" i="10" s="1"/>
  <c r="C44" i="3"/>
  <c r="I44" i="3" s="1"/>
  <c r="N44" i="3"/>
  <c r="D44" i="3"/>
  <c r="J44" i="3"/>
  <c r="O305" i="3"/>
  <c r="R305" i="3" s="1"/>
  <c r="D305" i="3"/>
  <c r="K305" i="3"/>
  <c r="J305" i="3"/>
  <c r="P305" i="3"/>
  <c r="S305" i="3" s="1"/>
  <c r="E305" i="3"/>
  <c r="N305" i="3"/>
  <c r="C305" i="3"/>
  <c r="I305" i="3" s="1"/>
  <c r="C216" i="3"/>
  <c r="I216" i="3" s="1"/>
  <c r="E216" i="3"/>
  <c r="N216" i="3"/>
  <c r="K216" i="3"/>
  <c r="O216" i="3"/>
  <c r="R216" i="3" s="1"/>
  <c r="P216" i="3"/>
  <c r="S216" i="3" s="1"/>
  <c r="J216" i="3"/>
  <c r="D216" i="3"/>
  <c r="J336" i="3"/>
  <c r="C336" i="3"/>
  <c r="I336" i="3" s="1"/>
  <c r="E336" i="3"/>
  <c r="P336" i="3"/>
  <c r="S336" i="3" s="1"/>
  <c r="K336" i="3"/>
  <c r="D336" i="3"/>
  <c r="O336" i="3"/>
  <c r="R336" i="3" s="1"/>
  <c r="N336" i="3"/>
  <c r="N79" i="3"/>
  <c r="C79" i="3"/>
  <c r="I79" i="3" s="1"/>
  <c r="D79" i="3"/>
  <c r="J79" i="3"/>
  <c r="O228" i="3"/>
  <c r="R228" i="3" s="1"/>
  <c r="K228" i="3"/>
  <c r="J228" i="3"/>
  <c r="N228" i="3"/>
  <c r="D228" i="3"/>
  <c r="C228" i="3"/>
  <c r="I228" i="3" s="1"/>
  <c r="E228" i="3"/>
  <c r="P228" i="3"/>
  <c r="S228" i="3" s="1"/>
  <c r="J325" i="3"/>
  <c r="D325" i="3"/>
  <c r="P325" i="3"/>
  <c r="S325" i="3" s="1"/>
  <c r="E325" i="3"/>
  <c r="C325" i="3"/>
  <c r="I325" i="3" s="1"/>
  <c r="O325" i="3"/>
  <c r="R325" i="3" s="1"/>
  <c r="N325" i="3"/>
  <c r="K325" i="3"/>
  <c r="N62" i="3"/>
  <c r="D62" i="3"/>
  <c r="J62" i="3"/>
  <c r="C62" i="3"/>
  <c r="I62" i="3" s="1"/>
  <c r="AU26" i="2"/>
  <c r="J26" i="2" s="1"/>
  <c r="C31" i="10" s="1"/>
  <c r="B61" i="10" s="1"/>
  <c r="L26" i="2"/>
  <c r="M26" i="2" s="1"/>
  <c r="C46" i="10"/>
  <c r="C61" i="10" s="1"/>
  <c r="AT117" i="2"/>
  <c r="J117" i="2" s="1"/>
  <c r="K93" i="3"/>
  <c r="M117" i="2"/>
  <c r="N117" i="2" s="1"/>
  <c r="P93" i="3"/>
  <c r="S93" i="3" s="1"/>
  <c r="AT203" i="2"/>
  <c r="J203" i="2" s="1"/>
  <c r="K179" i="3"/>
  <c r="P179" i="3"/>
  <c r="S179" i="3" s="1"/>
  <c r="M203" i="2"/>
  <c r="N203" i="2" s="1"/>
  <c r="P232" i="3"/>
  <c r="S232" i="3" s="1"/>
  <c r="J232" i="3"/>
  <c r="C232" i="3"/>
  <c r="I232" i="3" s="1"/>
  <c r="D232" i="3"/>
  <c r="K232" i="3"/>
  <c r="N232" i="3"/>
  <c r="O232" i="3"/>
  <c r="R232" i="3" s="1"/>
  <c r="E232" i="3"/>
  <c r="N251" i="3"/>
  <c r="O251" i="3"/>
  <c r="R251" i="3" s="1"/>
  <c r="J251" i="3"/>
  <c r="K251" i="3"/>
  <c r="P251" i="3"/>
  <c r="S251" i="3" s="1"/>
  <c r="C251" i="3"/>
  <c r="I251" i="3" s="1"/>
  <c r="D251" i="3"/>
  <c r="E251" i="3"/>
  <c r="K135" i="3"/>
  <c r="P135" i="3"/>
  <c r="S135" i="3" s="1"/>
  <c r="M159" i="2"/>
  <c r="N159" i="2" s="1"/>
  <c r="AT159" i="2"/>
  <c r="J159" i="2" s="1"/>
  <c r="K76" i="3"/>
  <c r="P76" i="3"/>
  <c r="S76" i="3" s="1"/>
  <c r="M100" i="2"/>
  <c r="N100" i="2" s="1"/>
  <c r="AT100" i="2"/>
  <c r="J100" i="2" s="1"/>
  <c r="E317" i="3"/>
  <c r="N317" i="3"/>
  <c r="K317" i="3"/>
  <c r="C317" i="3"/>
  <c r="I317" i="3" s="1"/>
  <c r="J317" i="3"/>
  <c r="D317" i="3"/>
  <c r="O317" i="3"/>
  <c r="R317" i="3" s="1"/>
  <c r="P317" i="3"/>
  <c r="S317" i="3" s="1"/>
  <c r="E71" i="3"/>
  <c r="O158" i="3"/>
  <c r="R158" i="3" s="1"/>
  <c r="E54" i="3"/>
  <c r="O72" i="3"/>
  <c r="R72" i="3" s="1"/>
  <c r="C23" i="3"/>
  <c r="I23" i="3" s="1"/>
  <c r="D23" i="3"/>
  <c r="J23" i="3"/>
  <c r="N23" i="3"/>
  <c r="AT135" i="2"/>
  <c r="J135" i="2" s="1"/>
  <c r="P111" i="3"/>
  <c r="S111" i="3" s="1"/>
  <c r="M135" i="2"/>
  <c r="N135" i="2" s="1"/>
  <c r="K111" i="3"/>
  <c r="C87" i="3"/>
  <c r="I87" i="3" s="1"/>
  <c r="N87" i="3"/>
  <c r="D87" i="3"/>
  <c r="J87" i="3"/>
  <c r="J22" i="3"/>
  <c r="C22" i="3"/>
  <c r="I22" i="3" s="1"/>
  <c r="N22" i="3"/>
  <c r="D22" i="3"/>
  <c r="K143" i="3"/>
  <c r="P143" i="3"/>
  <c r="S143" i="3" s="1"/>
  <c r="M167" i="2"/>
  <c r="N167" i="2" s="1"/>
  <c r="AT167" i="2"/>
  <c r="J167" i="2" s="1"/>
  <c r="AT131" i="2"/>
  <c r="J131" i="2" s="1"/>
  <c r="M131" i="2"/>
  <c r="N131" i="2" s="1"/>
  <c r="P107" i="3"/>
  <c r="S107" i="3" s="1"/>
  <c r="K107" i="3"/>
  <c r="P115" i="3"/>
  <c r="S115" i="3" s="1"/>
  <c r="K115" i="3"/>
  <c r="AT139" i="2"/>
  <c r="J139" i="2" s="1"/>
  <c r="M139" i="2"/>
  <c r="N139" i="2" s="1"/>
  <c r="K139" i="3"/>
  <c r="M163" i="2"/>
  <c r="N163" i="2" s="1"/>
  <c r="AT163" i="2"/>
  <c r="J163" i="2" s="1"/>
  <c r="P139" i="3"/>
  <c r="S139" i="3" s="1"/>
  <c r="D14" i="3"/>
  <c r="C14" i="3"/>
  <c r="I14" i="3" s="1"/>
  <c r="N14" i="3"/>
  <c r="J14" i="3"/>
  <c r="AT106" i="2"/>
  <c r="J106" i="2" s="1"/>
  <c r="M106" i="2"/>
  <c r="N106" i="2" s="1"/>
  <c r="P82" i="3"/>
  <c r="S82" i="3" s="1"/>
  <c r="K82" i="3"/>
  <c r="AT125" i="2"/>
  <c r="J125" i="2" s="1"/>
  <c r="K101" i="3"/>
  <c r="M125" i="2"/>
  <c r="N125" i="2" s="1"/>
  <c r="P101" i="3"/>
  <c r="S101" i="3" s="1"/>
  <c r="N288" i="3"/>
  <c r="E288" i="3"/>
  <c r="K288" i="3"/>
  <c r="O288" i="3"/>
  <c r="R288" i="3" s="1"/>
  <c r="C288" i="3"/>
  <c r="I288" i="3" s="1"/>
  <c r="P288" i="3"/>
  <c r="S288" i="3" s="1"/>
  <c r="J288" i="3"/>
  <c r="D288" i="3"/>
  <c r="AT68" i="2"/>
  <c r="J68" i="2" s="1"/>
  <c r="P44" i="3"/>
  <c r="S44" i="3" s="1"/>
  <c r="K44" i="3"/>
  <c r="M68" i="2"/>
  <c r="N68" i="2" s="1"/>
  <c r="AT57" i="2"/>
  <c r="J57" i="2" s="1"/>
  <c r="P33" i="3"/>
  <c r="S33" i="3" s="1"/>
  <c r="K33" i="3"/>
  <c r="M57" i="2"/>
  <c r="N57" i="2" s="1"/>
  <c r="D194" i="3"/>
  <c r="N194" i="3"/>
  <c r="O194" i="3"/>
  <c r="R194" i="3" s="1"/>
  <c r="J194" i="3"/>
  <c r="C194" i="3"/>
  <c r="I194" i="3" s="1"/>
  <c r="K194" i="3"/>
  <c r="E194" i="3"/>
  <c r="P194" i="3"/>
  <c r="S194" i="3" s="1"/>
  <c r="C286" i="3"/>
  <c r="I286" i="3" s="1"/>
  <c r="K286" i="3"/>
  <c r="N286" i="3"/>
  <c r="E286" i="3"/>
  <c r="D286" i="3"/>
  <c r="J286" i="3"/>
  <c r="P286" i="3"/>
  <c r="S286" i="3" s="1"/>
  <c r="O286" i="3"/>
  <c r="R286" i="3" s="1"/>
  <c r="O273" i="3"/>
  <c r="R273" i="3" s="1"/>
  <c r="C273" i="3"/>
  <c r="I273" i="3" s="1"/>
  <c r="D273" i="3"/>
  <c r="P273" i="3"/>
  <c r="S273" i="3" s="1"/>
  <c r="N273" i="3"/>
  <c r="K273" i="3"/>
  <c r="J273" i="3"/>
  <c r="E273" i="3"/>
  <c r="K181" i="3"/>
  <c r="M205" i="2"/>
  <c r="N205" i="2" s="1"/>
  <c r="P181" i="3"/>
  <c r="S181" i="3" s="1"/>
  <c r="AT205" i="2"/>
  <c r="J205" i="2" s="1"/>
  <c r="AT71" i="2"/>
  <c r="J71" i="2" s="1"/>
  <c r="K47" i="3"/>
  <c r="P47" i="3"/>
  <c r="S47" i="3" s="1"/>
  <c r="M71" i="2"/>
  <c r="N71" i="2" s="1"/>
  <c r="AT124" i="2"/>
  <c r="J124" i="2" s="1"/>
  <c r="K100" i="3"/>
  <c r="M124" i="2"/>
  <c r="N124" i="2" s="1"/>
  <c r="P100" i="3"/>
  <c r="S100" i="3" s="1"/>
  <c r="K58" i="3"/>
  <c r="M82" i="2"/>
  <c r="N82" i="2" s="1"/>
  <c r="AT82" i="2"/>
  <c r="J82" i="2" s="1"/>
  <c r="P58" i="3"/>
  <c r="S58" i="3" s="1"/>
  <c r="P137" i="3"/>
  <c r="S137" i="3" s="1"/>
  <c r="M161" i="2"/>
  <c r="N161" i="2" s="1"/>
  <c r="AT161" i="2"/>
  <c r="J161" i="2" s="1"/>
  <c r="K137" i="3"/>
  <c r="AT90" i="2"/>
  <c r="J90" i="2" s="1"/>
  <c r="K66" i="3"/>
  <c r="P66" i="3"/>
  <c r="S66" i="3" s="1"/>
  <c r="M90" i="2"/>
  <c r="N90" i="2" s="1"/>
  <c r="P292" i="3"/>
  <c r="S292" i="3" s="1"/>
  <c r="E292" i="3"/>
  <c r="D292" i="3"/>
  <c r="N292" i="3"/>
  <c r="C292" i="3"/>
  <c r="I292" i="3" s="1"/>
  <c r="K292" i="3"/>
  <c r="J292" i="3"/>
  <c r="O292" i="3"/>
  <c r="R292" i="3" s="1"/>
  <c r="E301" i="3"/>
  <c r="J301" i="3"/>
  <c r="N301" i="3"/>
  <c r="P301" i="3"/>
  <c r="S301" i="3" s="1"/>
  <c r="K301" i="3"/>
  <c r="D301" i="3"/>
  <c r="C301" i="3"/>
  <c r="I301" i="3" s="1"/>
  <c r="O301" i="3"/>
  <c r="R301" i="3" s="1"/>
  <c r="AA26" i="2"/>
  <c r="E26" i="2"/>
  <c r="N104" i="3"/>
  <c r="C104" i="3"/>
  <c r="I104" i="3" s="1"/>
  <c r="J104" i="3"/>
  <c r="D104" i="3"/>
  <c r="P38" i="3"/>
  <c r="S38" i="3" s="1"/>
  <c r="K38" i="3"/>
  <c r="M62" i="2"/>
  <c r="N62" i="2" s="1"/>
  <c r="AT62" i="2"/>
  <c r="J62" i="2" s="1"/>
  <c r="AT168" i="2"/>
  <c r="J168" i="2" s="1"/>
  <c r="K144" i="3"/>
  <c r="P144" i="3"/>
  <c r="S144" i="3" s="1"/>
  <c r="M168" i="2"/>
  <c r="N168" i="2" s="1"/>
  <c r="N219" i="3"/>
  <c r="K219" i="3"/>
  <c r="P219" i="3"/>
  <c r="S219" i="3" s="1"/>
  <c r="C219" i="3"/>
  <c r="I219" i="3" s="1"/>
  <c r="O219" i="3"/>
  <c r="R219" i="3" s="1"/>
  <c r="J219" i="3"/>
  <c r="D219" i="3"/>
  <c r="E219" i="3"/>
  <c r="J163" i="3"/>
  <c r="C163" i="3"/>
  <c r="I163" i="3" s="1"/>
  <c r="D163" i="3"/>
  <c r="N163" i="3"/>
  <c r="K334" i="3"/>
  <c r="E334" i="3"/>
  <c r="D334" i="3"/>
  <c r="C334" i="3"/>
  <c r="I334" i="3" s="1"/>
  <c r="O334" i="3"/>
  <c r="R334" i="3" s="1"/>
  <c r="P334" i="3"/>
  <c r="S334" i="3" s="1"/>
  <c r="J334" i="3"/>
  <c r="N334" i="3"/>
  <c r="K130" i="3"/>
  <c r="P130" i="3"/>
  <c r="S130" i="3" s="1"/>
  <c r="AT154" i="2"/>
  <c r="J154" i="2" s="1"/>
  <c r="M154" i="2"/>
  <c r="N154" i="2" s="1"/>
  <c r="P263" i="3"/>
  <c r="S263" i="3" s="1"/>
  <c r="N263" i="3"/>
  <c r="K263" i="3"/>
  <c r="J263" i="3"/>
  <c r="O263" i="3"/>
  <c r="R263" i="3" s="1"/>
  <c r="C263" i="3"/>
  <c r="I263" i="3" s="1"/>
  <c r="D263" i="3"/>
  <c r="E263" i="3"/>
  <c r="J205" i="3"/>
  <c r="C205" i="3"/>
  <c r="I205" i="3" s="1"/>
  <c r="E205" i="3"/>
  <c r="P205" i="3"/>
  <c r="S205" i="3" s="1"/>
  <c r="K205" i="3"/>
  <c r="N205" i="3"/>
  <c r="D205" i="3"/>
  <c r="O205" i="3"/>
  <c r="R205" i="3" s="1"/>
  <c r="D129" i="3"/>
  <c r="J129" i="3"/>
  <c r="C129" i="3"/>
  <c r="I129" i="3" s="1"/>
  <c r="N129" i="3"/>
  <c r="P21" i="3"/>
  <c r="S21" i="3" s="1"/>
  <c r="K21" i="3"/>
  <c r="M45" i="2"/>
  <c r="N45" i="2" s="1"/>
  <c r="AT45" i="2"/>
  <c r="J45" i="2" s="1"/>
  <c r="J245" i="3"/>
  <c r="N245" i="3"/>
  <c r="K245" i="3"/>
  <c r="E245" i="3"/>
  <c r="O245" i="3"/>
  <c r="R245" i="3" s="1"/>
  <c r="C245" i="3"/>
  <c r="I245" i="3" s="1"/>
  <c r="P245" i="3"/>
  <c r="S245" i="3" s="1"/>
  <c r="D245" i="3"/>
  <c r="AT152" i="2"/>
  <c r="J152" i="2" s="1"/>
  <c r="K128" i="3"/>
  <c r="M152" i="2"/>
  <c r="N152" i="2" s="1"/>
  <c r="P128" i="3"/>
  <c r="S128" i="3" s="1"/>
  <c r="AT30" i="2"/>
  <c r="J30" i="2" s="1"/>
  <c r="P6" i="3"/>
  <c r="S6" i="3" s="1"/>
  <c r="M30" i="2"/>
  <c r="N30" i="2" s="1"/>
  <c r="C65" i="10" s="1"/>
  <c r="K6" i="3"/>
  <c r="D64" i="3"/>
  <c r="N64" i="3"/>
  <c r="C64" i="3"/>
  <c r="I64" i="3" s="1"/>
  <c r="J64" i="3"/>
  <c r="J56" i="3"/>
  <c r="N56" i="3"/>
  <c r="D56" i="3"/>
  <c r="C56" i="3"/>
  <c r="I56" i="3" s="1"/>
  <c r="O242" i="3"/>
  <c r="R242" i="3" s="1"/>
  <c r="J242" i="3"/>
  <c r="P242" i="3"/>
  <c r="S242" i="3" s="1"/>
  <c r="N242" i="3"/>
  <c r="E242" i="3"/>
  <c r="C242" i="3"/>
  <c r="I242" i="3" s="1"/>
  <c r="K242" i="3"/>
  <c r="D242" i="3"/>
  <c r="O322" i="3"/>
  <c r="R322" i="3" s="1"/>
  <c r="P322" i="3"/>
  <c r="S322" i="3" s="1"/>
  <c r="C322" i="3"/>
  <c r="I322" i="3" s="1"/>
  <c r="J322" i="3"/>
  <c r="D322" i="3"/>
  <c r="K322" i="3"/>
  <c r="N322" i="3"/>
  <c r="E322" i="3"/>
  <c r="E261" i="3"/>
  <c r="J261" i="3"/>
  <c r="P261" i="3"/>
  <c r="S261" i="3" s="1"/>
  <c r="K261" i="3"/>
  <c r="C261" i="3"/>
  <c r="I261" i="3" s="1"/>
  <c r="N261" i="3"/>
  <c r="D261" i="3"/>
  <c r="O261" i="3"/>
  <c r="R261" i="3" s="1"/>
  <c r="AT195" i="2"/>
  <c r="J195" i="2" s="1"/>
  <c r="K171" i="3"/>
  <c r="P171" i="3"/>
  <c r="S171" i="3" s="1"/>
  <c r="M195" i="2"/>
  <c r="N195" i="2" s="1"/>
  <c r="AT165" i="2"/>
  <c r="J165" i="2" s="1"/>
  <c r="J108" i="3"/>
  <c r="N108" i="3"/>
  <c r="D108" i="3"/>
  <c r="C108" i="3"/>
  <c r="I108" i="3" s="1"/>
  <c r="N88" i="3"/>
  <c r="C88" i="3"/>
  <c r="I88" i="3" s="1"/>
  <c r="D88" i="3"/>
  <c r="J88" i="3"/>
  <c r="N123" i="3"/>
  <c r="C123" i="3"/>
  <c r="I123" i="3" s="1"/>
  <c r="J123" i="3"/>
  <c r="D123" i="3"/>
  <c r="E355" i="3"/>
  <c r="D355" i="3"/>
  <c r="K355" i="3"/>
  <c r="P355" i="3"/>
  <c r="S355" i="3" s="1"/>
  <c r="J355" i="3"/>
  <c r="C355" i="3"/>
  <c r="I355" i="3" s="1"/>
  <c r="O355" i="3"/>
  <c r="R355" i="3" s="1"/>
  <c r="N355" i="3"/>
  <c r="D35" i="3"/>
  <c r="J35" i="3"/>
  <c r="N35" i="3"/>
  <c r="C35" i="3"/>
  <c r="I35" i="3" s="1"/>
  <c r="AT171" i="2"/>
  <c r="J171" i="2" s="1"/>
  <c r="P147" i="3"/>
  <c r="S147" i="3" s="1"/>
  <c r="M171" i="2"/>
  <c r="N171" i="2" s="1"/>
  <c r="K147" i="3"/>
  <c r="K331" i="3"/>
  <c r="O331" i="3"/>
  <c r="R331" i="3" s="1"/>
  <c r="N331" i="3"/>
  <c r="D331" i="3"/>
  <c r="J331" i="3"/>
  <c r="C331" i="3"/>
  <c r="I331" i="3" s="1"/>
  <c r="P331" i="3"/>
  <c r="S331" i="3" s="1"/>
  <c r="E331" i="3"/>
  <c r="O237" i="3"/>
  <c r="R237" i="3" s="1"/>
  <c r="J237" i="3"/>
  <c r="P237" i="3"/>
  <c r="S237" i="3" s="1"/>
  <c r="C237" i="3"/>
  <c r="I237" i="3" s="1"/>
  <c r="D237" i="3"/>
  <c r="N237" i="3"/>
  <c r="E237" i="3"/>
  <c r="K237" i="3"/>
  <c r="C150" i="3"/>
  <c r="I150" i="3" s="1"/>
  <c r="D150" i="3"/>
  <c r="N150" i="3"/>
  <c r="J150" i="3"/>
  <c r="J11" i="3"/>
  <c r="D11" i="3"/>
  <c r="C11" i="3"/>
  <c r="I11" i="3" s="1"/>
  <c r="N11" i="3"/>
  <c r="AT102" i="2"/>
  <c r="J102" i="2" s="1"/>
  <c r="M102" i="2"/>
  <c r="N102" i="2" s="1"/>
  <c r="K78" i="3"/>
  <c r="P78" i="3"/>
  <c r="S78" i="3" s="1"/>
  <c r="E276" i="3"/>
  <c r="C276" i="3"/>
  <c r="I276" i="3" s="1"/>
  <c r="N276" i="3"/>
  <c r="K276" i="3"/>
  <c r="O276" i="3"/>
  <c r="R276" i="3" s="1"/>
  <c r="P276" i="3"/>
  <c r="S276" i="3" s="1"/>
  <c r="D276" i="3"/>
  <c r="J276" i="3"/>
  <c r="N265" i="3"/>
  <c r="O265" i="3"/>
  <c r="R265" i="3" s="1"/>
  <c r="E265" i="3"/>
  <c r="C265" i="3"/>
  <c r="I265" i="3" s="1"/>
  <c r="J265" i="3"/>
  <c r="P265" i="3"/>
  <c r="S265" i="3" s="1"/>
  <c r="D265" i="3"/>
  <c r="K265" i="3"/>
  <c r="P183" i="3"/>
  <c r="S183" i="3" s="1"/>
  <c r="K183" i="3"/>
  <c r="M207" i="2"/>
  <c r="N207" i="2" s="1"/>
  <c r="AT207" i="2"/>
  <c r="J207" i="2" s="1"/>
  <c r="J72" i="3"/>
  <c r="C72" i="3"/>
  <c r="I72" i="3" s="1"/>
  <c r="N72" i="3"/>
  <c r="D72" i="3"/>
  <c r="AT149" i="2"/>
  <c r="J149" i="2" s="1"/>
  <c r="C71" i="3"/>
  <c r="I71" i="3" s="1"/>
  <c r="N71" i="3"/>
  <c r="D71" i="3"/>
  <c r="J71" i="3"/>
  <c r="AT142" i="2"/>
  <c r="J142" i="2" s="1"/>
  <c r="P118" i="3"/>
  <c r="S118" i="3" s="1"/>
  <c r="K118" i="3"/>
  <c r="M142" i="2"/>
  <c r="N142" i="2" s="1"/>
  <c r="J126" i="3"/>
  <c r="D126" i="3"/>
  <c r="C126" i="3"/>
  <c r="I126" i="3" s="1"/>
  <c r="N126" i="3"/>
  <c r="AY25" i="2"/>
  <c r="V25" i="2" s="1"/>
  <c r="Q30" i="10" s="1"/>
  <c r="P60" i="10" s="1"/>
  <c r="Q45" i="10"/>
  <c r="Q60" i="10" s="1"/>
  <c r="X25" i="2"/>
  <c r="D180" i="3"/>
  <c r="J180" i="3"/>
  <c r="N180" i="3"/>
  <c r="C180" i="3"/>
  <c r="I180" i="3" s="1"/>
  <c r="AT105" i="2"/>
  <c r="J105" i="2" s="1"/>
  <c r="P81" i="3"/>
  <c r="S81" i="3" s="1"/>
  <c r="M105" i="2"/>
  <c r="N105" i="2" s="1"/>
  <c r="K81" i="3"/>
  <c r="AT75" i="2"/>
  <c r="J75" i="2" s="1"/>
  <c r="M75" i="2"/>
  <c r="N75" i="2" s="1"/>
  <c r="P51" i="3"/>
  <c r="S51" i="3" s="1"/>
  <c r="K51" i="3"/>
  <c r="P61" i="3"/>
  <c r="S61" i="3" s="1"/>
  <c r="K61" i="3"/>
  <c r="M85" i="2"/>
  <c r="N85" i="2" s="1"/>
  <c r="C153" i="3"/>
  <c r="I153" i="3" s="1"/>
  <c r="J153" i="3"/>
  <c r="N153" i="3"/>
  <c r="D153" i="3"/>
  <c r="N160" i="3"/>
  <c r="C160" i="3"/>
  <c r="I160" i="3" s="1"/>
  <c r="J160" i="3"/>
  <c r="D160" i="3"/>
  <c r="D29" i="3"/>
  <c r="J29" i="3"/>
  <c r="C29" i="3"/>
  <c r="I29" i="3" s="1"/>
  <c r="N29" i="3"/>
  <c r="M63" i="2"/>
  <c r="N63" i="2" s="1"/>
  <c r="P39" i="3"/>
  <c r="S39" i="3" s="1"/>
  <c r="AT63" i="2"/>
  <c r="J63" i="2" s="1"/>
  <c r="K39" i="3"/>
  <c r="AT118" i="2"/>
  <c r="J118" i="2" s="1"/>
  <c r="P94" i="3"/>
  <c r="S94" i="3" s="1"/>
  <c r="M118" i="2"/>
  <c r="N118" i="2" s="1"/>
  <c r="K94" i="3"/>
  <c r="D172" i="3"/>
  <c r="N172" i="3"/>
  <c r="J172" i="3"/>
  <c r="C172" i="3"/>
  <c r="I172" i="3" s="1"/>
  <c r="J149" i="3"/>
  <c r="D149" i="3"/>
  <c r="C149" i="3"/>
  <c r="I149" i="3" s="1"/>
  <c r="N149" i="3"/>
  <c r="AT34" i="2"/>
  <c r="J34" i="2" s="1"/>
  <c r="M34" i="2"/>
  <c r="N34" i="2" s="1"/>
  <c r="C69" i="10" s="1"/>
  <c r="K10" i="3"/>
  <c r="P10" i="3"/>
  <c r="S10" i="3" s="1"/>
  <c r="AT119" i="2"/>
  <c r="J119" i="2" s="1"/>
  <c r="P95" i="3"/>
  <c r="S95" i="3" s="1"/>
  <c r="M119" i="2"/>
  <c r="N119" i="2" s="1"/>
  <c r="K95" i="3"/>
  <c r="AT73" i="2"/>
  <c r="J73" i="2" s="1"/>
  <c r="Q46" i="10"/>
  <c r="Q61" i="10" s="1"/>
  <c r="X26" i="2"/>
  <c r="N197" i="3"/>
  <c r="O197" i="3"/>
  <c r="R197" i="3" s="1"/>
  <c r="E197" i="3"/>
  <c r="C197" i="3"/>
  <c r="I197" i="3" s="1"/>
  <c r="P197" i="3"/>
  <c r="S197" i="3" s="1"/>
  <c r="J197" i="3"/>
  <c r="K197" i="3"/>
  <c r="D197" i="3"/>
  <c r="J42" i="3"/>
  <c r="C42" i="3"/>
  <c r="I42" i="3" s="1"/>
  <c r="N42" i="3"/>
  <c r="D42" i="3"/>
  <c r="AU25" i="2"/>
  <c r="J25" i="2" s="1"/>
  <c r="C30" i="10" s="1"/>
  <c r="B60" i="10" s="1"/>
  <c r="L25" i="2"/>
  <c r="M25" i="2" s="1"/>
  <c r="C45" i="10"/>
  <c r="C60" i="10" s="1"/>
  <c r="E25" i="2"/>
  <c r="AA25" i="2"/>
  <c r="AT31" i="2"/>
  <c r="J31" i="2" s="1"/>
  <c r="P7" i="3"/>
  <c r="S7" i="3" s="1"/>
  <c r="M31" i="2"/>
  <c r="N31" i="2" s="1"/>
  <c r="C66" i="10" s="1"/>
  <c r="K7" i="3"/>
  <c r="N212" i="3"/>
  <c r="O212" i="3"/>
  <c r="R212" i="3" s="1"/>
  <c r="C212" i="3"/>
  <c r="I212" i="3" s="1"/>
  <c r="K212" i="3"/>
  <c r="D212" i="3"/>
  <c r="J212" i="3"/>
  <c r="E212" i="3"/>
  <c r="P212" i="3"/>
  <c r="S212" i="3" s="1"/>
  <c r="E277" i="3"/>
  <c r="J277" i="3"/>
  <c r="P277" i="3"/>
  <c r="S277" i="3" s="1"/>
  <c r="N277" i="3"/>
  <c r="K277" i="3"/>
  <c r="D277" i="3"/>
  <c r="O277" i="3"/>
  <c r="R277" i="3" s="1"/>
  <c r="C277" i="3"/>
  <c r="I277" i="3" s="1"/>
  <c r="N184" i="3"/>
  <c r="J184" i="3"/>
  <c r="C184" i="3"/>
  <c r="I184" i="3" s="1"/>
  <c r="D184" i="3"/>
  <c r="N335" i="3"/>
  <c r="K335" i="3"/>
  <c r="E335" i="3"/>
  <c r="P335" i="3"/>
  <c r="S335" i="3" s="1"/>
  <c r="O335" i="3"/>
  <c r="R335" i="3" s="1"/>
  <c r="D335" i="3"/>
  <c r="J335" i="3"/>
  <c r="C335" i="3"/>
  <c r="I335" i="3" s="1"/>
  <c r="P19" i="3"/>
  <c r="S19" i="3" s="1"/>
  <c r="M43" i="2"/>
  <c r="N43" i="2" s="1"/>
  <c r="K19" i="3"/>
  <c r="D340" i="3"/>
  <c r="J340" i="3"/>
  <c r="E340" i="3"/>
  <c r="P340" i="3"/>
  <c r="S340" i="3" s="1"/>
  <c r="N340" i="3"/>
  <c r="K340" i="3"/>
  <c r="O340" i="3"/>
  <c r="R340" i="3" s="1"/>
  <c r="C340" i="3"/>
  <c r="I340" i="3" s="1"/>
  <c r="J157" i="3"/>
  <c r="N157" i="3"/>
  <c r="D157" i="3"/>
  <c r="C157" i="3"/>
  <c r="I157" i="3" s="1"/>
  <c r="E221" i="3"/>
  <c r="O221" i="3"/>
  <c r="R221" i="3" s="1"/>
  <c r="P221" i="3"/>
  <c r="S221" i="3" s="1"/>
  <c r="K221" i="3"/>
  <c r="N221" i="3"/>
  <c r="C221" i="3"/>
  <c r="I221" i="3" s="1"/>
  <c r="D221" i="3"/>
  <c r="J221" i="3"/>
  <c r="D203" i="3"/>
  <c r="C203" i="3"/>
  <c r="I203" i="3" s="1"/>
  <c r="P203" i="3"/>
  <c r="S203" i="3" s="1"/>
  <c r="E203" i="3"/>
  <c r="K203" i="3"/>
  <c r="J203" i="3"/>
  <c r="N203" i="3"/>
  <c r="O203" i="3"/>
  <c r="R203" i="3" s="1"/>
  <c r="AT169" i="2"/>
  <c r="J169" i="2" s="1"/>
  <c r="K145" i="3"/>
  <c r="M169" i="2"/>
  <c r="N169" i="2" s="1"/>
  <c r="P145" i="3"/>
  <c r="S145" i="3" s="1"/>
  <c r="AT113" i="2"/>
  <c r="J113" i="2" s="1"/>
  <c r="M113" i="2"/>
  <c r="N113" i="2" s="1"/>
  <c r="P89" i="3"/>
  <c r="S89" i="3" s="1"/>
  <c r="K89" i="3"/>
  <c r="AT140" i="2"/>
  <c r="J140" i="2" s="1"/>
  <c r="K116" i="3"/>
  <c r="P116" i="3"/>
  <c r="S116" i="3" s="1"/>
  <c r="M140" i="2"/>
  <c r="N140" i="2" s="1"/>
  <c r="K158" i="3"/>
  <c r="P158" i="3"/>
  <c r="S158" i="3" s="1"/>
  <c r="M182" i="2"/>
  <c r="N182" i="2" s="1"/>
  <c r="AU22" i="2"/>
  <c r="J22" i="2" s="1"/>
  <c r="C27" i="10" s="1"/>
  <c r="B57" i="10" s="1"/>
  <c r="C42" i="10"/>
  <c r="C57" i="10" s="1"/>
  <c r="L22" i="2"/>
  <c r="M22" i="2" s="1"/>
  <c r="AT176" i="2"/>
  <c r="J176" i="2" s="1"/>
  <c r="K152" i="3"/>
  <c r="M176" i="2"/>
  <c r="N176" i="2" s="1"/>
  <c r="P152" i="3"/>
  <c r="S152" i="3" s="1"/>
  <c r="AT50" i="2"/>
  <c r="J50" i="2" s="1"/>
  <c r="K26" i="3"/>
  <c r="M50" i="2"/>
  <c r="N50" i="2" s="1"/>
  <c r="P26" i="3"/>
  <c r="S26" i="3" s="1"/>
  <c r="P262" i="3"/>
  <c r="S262" i="3" s="1"/>
  <c r="E262" i="3"/>
  <c r="N262" i="3"/>
  <c r="K262" i="3"/>
  <c r="C262" i="3"/>
  <c r="I262" i="3" s="1"/>
  <c r="D262" i="3"/>
  <c r="O262" i="3"/>
  <c r="R262" i="3" s="1"/>
  <c r="J262" i="3"/>
  <c r="AT170" i="2"/>
  <c r="J170" i="2" s="1"/>
  <c r="P146" i="3"/>
  <c r="S146" i="3" s="1"/>
  <c r="M170" i="2"/>
  <c r="N170" i="2" s="1"/>
  <c r="K146" i="3"/>
  <c r="E306" i="3"/>
  <c r="J306" i="3"/>
  <c r="N306" i="3"/>
  <c r="C306" i="3"/>
  <c r="I306" i="3" s="1"/>
  <c r="K306" i="3"/>
  <c r="D306" i="3"/>
  <c r="O306" i="3"/>
  <c r="R306" i="3" s="1"/>
  <c r="P306" i="3"/>
  <c r="S306" i="3" s="1"/>
  <c r="J90" i="3"/>
  <c r="N90" i="3"/>
  <c r="C90" i="3"/>
  <c r="I90" i="3" s="1"/>
  <c r="D90" i="3"/>
  <c r="AT198" i="2"/>
  <c r="J198" i="2" s="1"/>
  <c r="M198" i="2"/>
  <c r="N198" i="2" s="1"/>
  <c r="P174" i="3"/>
  <c r="S174" i="3" s="1"/>
  <c r="K174" i="3"/>
  <c r="M186" i="2"/>
  <c r="N186" i="2" s="1"/>
  <c r="K162" i="3"/>
  <c r="P162" i="3"/>
  <c r="S162" i="3" s="1"/>
  <c r="D31" i="3"/>
  <c r="N31" i="3"/>
  <c r="C31" i="3"/>
  <c r="I31" i="3" s="1"/>
  <c r="J31" i="3"/>
  <c r="M39" i="21" l="1"/>
  <c r="N39" i="21" s="1"/>
  <c r="M35" i="21"/>
  <c r="N35" i="21" s="1"/>
  <c r="M31" i="21"/>
  <c r="N31" i="21" s="1"/>
  <c r="M27" i="21"/>
  <c r="N27" i="21" s="1"/>
  <c r="M23" i="21"/>
  <c r="N23" i="21" s="1"/>
  <c r="M38" i="21"/>
  <c r="N38" i="21" s="1"/>
  <c r="M34" i="21"/>
  <c r="N34" i="21" s="1"/>
  <c r="M30" i="21"/>
  <c r="N30" i="21" s="1"/>
  <c r="M26" i="21"/>
  <c r="N26" i="21" s="1"/>
  <c r="M37" i="21"/>
  <c r="N37" i="21" s="1"/>
  <c r="M33" i="21"/>
  <c r="N33" i="21" s="1"/>
  <c r="M29" i="21"/>
  <c r="N29" i="21" s="1"/>
  <c r="M25" i="21"/>
  <c r="N25" i="21" s="1"/>
  <c r="M40" i="21"/>
  <c r="N40" i="21" s="1"/>
  <c r="M36" i="21"/>
  <c r="N36" i="21" s="1"/>
  <c r="M32" i="21"/>
  <c r="N32" i="21" s="1"/>
  <c r="M28" i="21"/>
  <c r="N28" i="21" s="1"/>
  <c r="M24" i="21"/>
  <c r="N24" i="21" s="1"/>
  <c r="O35" i="21"/>
  <c r="M22" i="21"/>
  <c r="N22" i="21" s="1"/>
  <c r="M22" i="20"/>
  <c r="O22" i="20" s="1"/>
  <c r="M40" i="20"/>
  <c r="O40" i="20" s="1"/>
  <c r="M36" i="20"/>
  <c r="O36" i="20" s="1"/>
  <c r="M32" i="20"/>
  <c r="O32" i="20" s="1"/>
  <c r="M28" i="20"/>
  <c r="O28" i="20" s="1"/>
  <c r="M24" i="20"/>
  <c r="O24" i="20" s="1"/>
  <c r="M39" i="20"/>
  <c r="O39" i="20" s="1"/>
  <c r="M35" i="20"/>
  <c r="O35" i="20" s="1"/>
  <c r="M31" i="20"/>
  <c r="O31" i="20" s="1"/>
  <c r="M27" i="20"/>
  <c r="O27" i="20" s="1"/>
  <c r="M23" i="20"/>
  <c r="O23" i="20" s="1"/>
  <c r="M38" i="20"/>
  <c r="O38" i="20" s="1"/>
  <c r="M34" i="20"/>
  <c r="O34" i="20" s="1"/>
  <c r="M30" i="20"/>
  <c r="O30" i="20" s="1"/>
  <c r="M26" i="20"/>
  <c r="O26" i="20" s="1"/>
  <c r="M37" i="20"/>
  <c r="O37" i="20" s="1"/>
  <c r="M33" i="20"/>
  <c r="O33" i="20" s="1"/>
  <c r="M29" i="20"/>
  <c r="O29" i="20" s="1"/>
  <c r="M25" i="20"/>
  <c r="O25" i="20" s="1"/>
  <c r="N22" i="20"/>
  <c r="N40" i="20"/>
  <c r="N36" i="20"/>
  <c r="N32" i="20"/>
  <c r="N28" i="20"/>
  <c r="N24" i="20"/>
  <c r="N34" i="20"/>
  <c r="N26" i="20"/>
  <c r="N33" i="20"/>
  <c r="N25" i="20"/>
  <c r="N39" i="20"/>
  <c r="N35" i="20"/>
  <c r="N31" i="20"/>
  <c r="N27" i="20"/>
  <c r="N23" i="20"/>
  <c r="N38" i="20"/>
  <c r="N30" i="20"/>
  <c r="N37" i="20"/>
  <c r="N29" i="20"/>
  <c r="M109" i="3"/>
  <c r="M44" i="3"/>
  <c r="M127" i="3"/>
  <c r="M156" i="3"/>
  <c r="M69" i="3"/>
  <c r="M89" i="3"/>
  <c r="M172" i="3"/>
  <c r="M55" i="3"/>
  <c r="M114" i="3"/>
  <c r="M9" i="3"/>
  <c r="M107" i="3"/>
  <c r="M115" i="3"/>
  <c r="M180" i="3"/>
  <c r="M64" i="3"/>
  <c r="M14" i="3"/>
  <c r="M19" i="3"/>
  <c r="M118" i="3"/>
  <c r="M128" i="3"/>
  <c r="M33" i="3"/>
  <c r="M169" i="3"/>
  <c r="M116" i="3"/>
  <c r="M49" i="3"/>
  <c r="M17" i="3"/>
  <c r="M150" i="3"/>
  <c r="M108" i="3"/>
  <c r="M144" i="3"/>
  <c r="M16" i="3"/>
  <c r="M159" i="3"/>
  <c r="M66" i="3"/>
  <c r="M12" i="3"/>
  <c r="M178" i="3"/>
  <c r="M81" i="3"/>
  <c r="M93" i="3"/>
  <c r="M100" i="3"/>
  <c r="M145" i="3"/>
  <c r="M132" i="3"/>
  <c r="M111" i="3"/>
  <c r="M152" i="3"/>
  <c r="M92" i="3"/>
  <c r="M97" i="3"/>
  <c r="M117" i="3"/>
  <c r="M170" i="3"/>
  <c r="M136" i="3"/>
  <c r="M29" i="3"/>
  <c r="M52" i="3"/>
  <c r="M130" i="3"/>
  <c r="M177" i="3"/>
  <c r="M110" i="3"/>
  <c r="M126" i="3"/>
  <c r="M129" i="3"/>
  <c r="M22" i="3"/>
  <c r="M42" i="3"/>
  <c r="M173" i="3"/>
  <c r="M74" i="3"/>
  <c r="M121" i="3"/>
  <c r="M174" i="3"/>
  <c r="M184" i="3"/>
  <c r="M54" i="3"/>
  <c r="M91" i="3"/>
  <c r="M35" i="3"/>
  <c r="M140" i="3"/>
  <c r="M38" i="3"/>
  <c r="M75" i="3"/>
  <c r="M131" i="3"/>
  <c r="M63" i="3"/>
  <c r="M83" i="3"/>
  <c r="M53" i="3"/>
  <c r="M162" i="3"/>
  <c r="M102" i="3"/>
  <c r="M137" i="3"/>
  <c r="M179" i="3"/>
  <c r="M101" i="3"/>
  <c r="M30" i="3"/>
  <c r="M171" i="3"/>
  <c r="M26" i="3"/>
  <c r="M113" i="3"/>
  <c r="M51" i="3"/>
  <c r="M70" i="3"/>
  <c r="M154" i="3"/>
  <c r="M142" i="3"/>
  <c r="M161" i="3"/>
  <c r="M31" i="3"/>
  <c r="M60" i="3"/>
  <c r="M160" i="3"/>
  <c r="M141" i="3"/>
  <c r="M185" i="3"/>
  <c r="M13" i="3"/>
  <c r="M181" i="3"/>
  <c r="M71" i="3"/>
  <c r="M163" i="3"/>
  <c r="M23" i="3"/>
  <c r="M146" i="3"/>
  <c r="M94" i="3"/>
  <c r="M183" i="3"/>
  <c r="M62" i="3"/>
  <c r="M143" i="3"/>
  <c r="M176" i="3"/>
  <c r="M90" i="3"/>
  <c r="M120" i="3"/>
  <c r="M15" i="3"/>
  <c r="M72" i="3"/>
  <c r="M123" i="3"/>
  <c r="M106" i="3"/>
  <c r="M47" i="3"/>
  <c r="M56" i="3"/>
  <c r="M95" i="3"/>
  <c r="M105" i="3"/>
  <c r="M147" i="3"/>
  <c r="M50" i="3"/>
  <c r="M78" i="3"/>
  <c r="M139" i="3"/>
  <c r="M80" i="3"/>
  <c r="M48" i="3"/>
  <c r="M125" i="3"/>
  <c r="M58" i="3"/>
  <c r="M186" i="3"/>
  <c r="M43" i="3"/>
  <c r="M45" i="3"/>
  <c r="M99" i="3"/>
  <c r="M138" i="3"/>
  <c r="M133" i="3"/>
  <c r="M166" i="3"/>
  <c r="M151" i="3"/>
  <c r="M112" i="3"/>
  <c r="M103" i="3"/>
  <c r="M164" i="3"/>
  <c r="M122" i="3"/>
  <c r="M25" i="3"/>
  <c r="M68" i="3"/>
  <c r="M28" i="3"/>
  <c r="M96" i="3"/>
  <c r="M77" i="3"/>
  <c r="M57" i="3"/>
  <c r="M65" i="3"/>
  <c r="M167" i="3"/>
  <c r="M165" i="3"/>
  <c r="M41" i="3"/>
  <c r="M73" i="3"/>
  <c r="M36" i="3"/>
  <c r="M32" i="3"/>
  <c r="M40" i="3"/>
  <c r="M67" i="3"/>
  <c r="M134" i="3"/>
  <c r="M59" i="3"/>
  <c r="M24" i="3"/>
  <c r="M8" i="3"/>
  <c r="M182" i="3"/>
  <c r="M85" i="3"/>
  <c r="M155" i="3"/>
  <c r="M18" i="3"/>
  <c r="M168" i="3"/>
  <c r="M20" i="3"/>
  <c r="M98" i="3"/>
  <c r="M27" i="3"/>
  <c r="M135" i="3"/>
  <c r="M37" i="3"/>
  <c r="M149" i="3"/>
  <c r="M153" i="3"/>
  <c r="M21" i="3"/>
  <c r="M76" i="3"/>
  <c r="M119" i="3"/>
  <c r="M82" i="3"/>
  <c r="M61" i="3"/>
  <c r="M34" i="3"/>
  <c r="M104" i="3"/>
  <c r="M157" i="3"/>
  <c r="M86" i="3"/>
  <c r="M6" i="3"/>
  <c r="M79" i="3"/>
  <c r="M148" i="3"/>
  <c r="M158" i="3"/>
  <c r="M7" i="3"/>
  <c r="M10" i="3"/>
  <c r="M11" i="3"/>
  <c r="M88" i="3"/>
  <c r="M124" i="3"/>
  <c r="M46" i="3"/>
  <c r="M87" i="3"/>
  <c r="M39" i="3"/>
  <c r="M84" i="3"/>
  <c r="M175" i="3"/>
  <c r="F33" i="20"/>
  <c r="W33" i="20" s="1"/>
  <c r="F23" i="20"/>
  <c r="W23" i="20" s="1"/>
  <c r="F31" i="21"/>
  <c r="G31" i="21" s="1"/>
  <c r="R31" i="21" s="1"/>
  <c r="H38" i="21"/>
  <c r="I38" i="21" s="1"/>
  <c r="O31" i="21"/>
  <c r="F32" i="20"/>
  <c r="W32" i="20" s="1"/>
  <c r="F23" i="21"/>
  <c r="G23" i="21" s="1"/>
  <c r="P23" i="21" s="1"/>
  <c r="E170" i="3"/>
  <c r="O170" i="3"/>
  <c r="R170" i="3" s="1"/>
  <c r="P26" i="20"/>
  <c r="F35" i="21"/>
  <c r="G35" i="21" s="1"/>
  <c r="J35" i="21" s="1"/>
  <c r="O176" i="3"/>
  <c r="R176" i="3" s="1"/>
  <c r="E176" i="3"/>
  <c r="F37" i="20"/>
  <c r="W37" i="20" s="1"/>
  <c r="F36" i="20"/>
  <c r="W36" i="20" s="1"/>
  <c r="H40" i="21"/>
  <c r="I40" i="21" s="1"/>
  <c r="H27" i="21"/>
  <c r="I27" i="21" s="1"/>
  <c r="F27" i="21"/>
  <c r="G27" i="21" s="1"/>
  <c r="P27" i="21" s="1"/>
  <c r="P32" i="20"/>
  <c r="H39" i="21"/>
  <c r="I39" i="21" s="1"/>
  <c r="H28" i="21"/>
  <c r="I28" i="21" s="1"/>
  <c r="O26" i="21"/>
  <c r="F24" i="21"/>
  <c r="G24" i="21" s="1"/>
  <c r="J24" i="21" s="1"/>
  <c r="E169" i="3"/>
  <c r="O169" i="3"/>
  <c r="R169" i="3" s="1"/>
  <c r="H40" i="20"/>
  <c r="I40" i="20" s="1"/>
  <c r="R19" i="20"/>
  <c r="R22" i="20" s="1"/>
  <c r="H22" i="20"/>
  <c r="I22" i="20" s="1"/>
  <c r="F24" i="20"/>
  <c r="W24" i="20" s="1"/>
  <c r="P22" i="20"/>
  <c r="F27" i="20"/>
  <c r="G27" i="20" s="1"/>
  <c r="H33" i="20"/>
  <c r="I33" i="20" s="1"/>
  <c r="H35" i="20"/>
  <c r="I35" i="20" s="1"/>
  <c r="F40" i="21"/>
  <c r="G40" i="21" s="1"/>
  <c r="P40" i="21" s="1"/>
  <c r="O40" i="21"/>
  <c r="O38" i="21"/>
  <c r="O37" i="21"/>
  <c r="H26" i="21"/>
  <c r="I26" i="21" s="1"/>
  <c r="O27" i="21"/>
  <c r="H30" i="21"/>
  <c r="I30" i="21" s="1"/>
  <c r="O22" i="21"/>
  <c r="O36" i="21"/>
  <c r="F25" i="21"/>
  <c r="G25" i="21" s="1"/>
  <c r="P25" i="21" s="1"/>
  <c r="M332" i="3"/>
  <c r="M279" i="3"/>
  <c r="P36" i="20"/>
  <c r="F39" i="20"/>
  <c r="W39" i="20" s="1"/>
  <c r="P31" i="20"/>
  <c r="H25" i="20"/>
  <c r="I25" i="20" s="1"/>
  <c r="H39" i="20"/>
  <c r="I39" i="20" s="1"/>
  <c r="P33" i="20"/>
  <c r="H37" i="20"/>
  <c r="I37" i="20" s="1"/>
  <c r="H36" i="20"/>
  <c r="I36" i="20" s="1"/>
  <c r="F38" i="21"/>
  <c r="G38" i="21" s="1"/>
  <c r="R38" i="21" s="1"/>
  <c r="F37" i="21"/>
  <c r="G37" i="21" s="1"/>
  <c r="J37" i="21" s="1"/>
  <c r="O32" i="21"/>
  <c r="H25" i="21"/>
  <c r="I25" i="21" s="1"/>
  <c r="F30" i="21"/>
  <c r="G30" i="21" s="1"/>
  <c r="J30" i="21" s="1"/>
  <c r="O23" i="21"/>
  <c r="F29" i="21"/>
  <c r="G29" i="21" s="1"/>
  <c r="J29" i="21" s="1"/>
  <c r="F34" i="21"/>
  <c r="G34" i="21" s="1"/>
  <c r="R34" i="21" s="1"/>
  <c r="O33" i="21"/>
  <c r="F28" i="21"/>
  <c r="G28" i="21" s="1"/>
  <c r="R28" i="21" s="1"/>
  <c r="P28" i="20"/>
  <c r="P27" i="20"/>
  <c r="H34" i="20"/>
  <c r="I34" i="20" s="1"/>
  <c r="P38" i="20"/>
  <c r="H27" i="20"/>
  <c r="I27" i="20" s="1"/>
  <c r="F30" i="20"/>
  <c r="W30" i="20" s="1"/>
  <c r="P29" i="20"/>
  <c r="F28" i="20"/>
  <c r="G28" i="20" s="1"/>
  <c r="P39" i="20"/>
  <c r="O39" i="21"/>
  <c r="F36" i="21"/>
  <c r="G36" i="21" s="1"/>
  <c r="J36" i="21" s="1"/>
  <c r="O24" i="21"/>
  <c r="Q19" i="21"/>
  <c r="Q40" i="21" s="1"/>
  <c r="H32" i="21"/>
  <c r="I32" i="21" s="1"/>
  <c r="O34" i="21"/>
  <c r="F26" i="21"/>
  <c r="G26" i="21" s="1"/>
  <c r="P26" i="21" s="1"/>
  <c r="H29" i="21"/>
  <c r="I29" i="21" s="1"/>
  <c r="O29" i="21"/>
  <c r="H33" i="21"/>
  <c r="I33" i="21" s="1"/>
  <c r="E89" i="3"/>
  <c r="O89" i="3"/>
  <c r="R89" i="3" s="1"/>
  <c r="AC25" i="2"/>
  <c r="AB25" i="2"/>
  <c r="AD25" i="2" s="1"/>
  <c r="M363" i="3"/>
  <c r="O46" i="3"/>
  <c r="R46" i="3" s="1"/>
  <c r="E46" i="3"/>
  <c r="M297" i="3"/>
  <c r="M275" i="3"/>
  <c r="M257" i="3"/>
  <c r="E52" i="3"/>
  <c r="O52" i="3"/>
  <c r="R52" i="3" s="1"/>
  <c r="M326" i="3"/>
  <c r="O11" i="3"/>
  <c r="R11" i="3" s="1"/>
  <c r="E11" i="3"/>
  <c r="E62" i="3"/>
  <c r="O62" i="3"/>
  <c r="R62" i="3" s="1"/>
  <c r="AB24" i="2"/>
  <c r="AD24" i="2" s="1"/>
  <c r="AC24" i="2"/>
  <c r="O132" i="3"/>
  <c r="R132" i="3" s="1"/>
  <c r="E132" i="3"/>
  <c r="E13" i="3"/>
  <c r="O13" i="3"/>
  <c r="R13" i="3" s="1"/>
  <c r="M341" i="3"/>
  <c r="O9" i="3"/>
  <c r="R9" i="3" s="1"/>
  <c r="E9" i="3"/>
  <c r="E39" i="3"/>
  <c r="O39" i="3"/>
  <c r="R39" i="3" s="1"/>
  <c r="AB26" i="2"/>
  <c r="AD26" i="2" s="1"/>
  <c r="AC26" i="2"/>
  <c r="E100" i="3"/>
  <c r="O100" i="3"/>
  <c r="R100" i="3" s="1"/>
  <c r="E33" i="3"/>
  <c r="O33" i="3"/>
  <c r="R33" i="3" s="1"/>
  <c r="O101" i="3"/>
  <c r="R101" i="3" s="1"/>
  <c r="E101" i="3"/>
  <c r="E111" i="3"/>
  <c r="O111" i="3"/>
  <c r="R111" i="3" s="1"/>
  <c r="M325" i="3"/>
  <c r="M324" i="3"/>
  <c r="M240" i="3"/>
  <c r="O93" i="3"/>
  <c r="R93" i="3" s="1"/>
  <c r="E93" i="3"/>
  <c r="M236" i="3"/>
  <c r="E17" i="3"/>
  <c r="O17" i="3"/>
  <c r="R17" i="3" s="1"/>
  <c r="E109" i="3"/>
  <c r="O109" i="3"/>
  <c r="R109" i="3" s="1"/>
  <c r="M366" i="3"/>
  <c r="O55" i="3"/>
  <c r="R55" i="3" s="1"/>
  <c r="E55" i="3"/>
  <c r="E88" i="3"/>
  <c r="O88" i="3"/>
  <c r="R88" i="3" s="1"/>
  <c r="O83" i="3"/>
  <c r="R83" i="3" s="1"/>
  <c r="E83" i="3"/>
  <c r="F40" i="20"/>
  <c r="G40" i="20" s="1"/>
  <c r="H26" i="20"/>
  <c r="I26" i="20" s="1"/>
  <c r="H32" i="20"/>
  <c r="I32" i="20" s="1"/>
  <c r="H28" i="20"/>
  <c r="I28" i="20" s="1"/>
  <c r="P35" i="20"/>
  <c r="F26" i="20"/>
  <c r="W26" i="20" s="1"/>
  <c r="O152" i="3"/>
  <c r="R152" i="3" s="1"/>
  <c r="E152" i="3"/>
  <c r="O81" i="3"/>
  <c r="R81" i="3" s="1"/>
  <c r="E81" i="3"/>
  <c r="O76" i="3"/>
  <c r="R76" i="3" s="1"/>
  <c r="E76" i="3"/>
  <c r="M282" i="3"/>
  <c r="O84" i="3"/>
  <c r="R84" i="3" s="1"/>
  <c r="E84" i="3"/>
  <c r="E106" i="3"/>
  <c r="O106" i="3"/>
  <c r="R106" i="3" s="1"/>
  <c r="O110" i="3"/>
  <c r="R110" i="3" s="1"/>
  <c r="E110" i="3"/>
  <c r="E104" i="3"/>
  <c r="O104" i="3"/>
  <c r="R104" i="3" s="1"/>
  <c r="M254" i="3"/>
  <c r="E120" i="3"/>
  <c r="O120" i="3"/>
  <c r="R120" i="3" s="1"/>
  <c r="O14" i="3"/>
  <c r="R14" i="3" s="1"/>
  <c r="E14" i="3"/>
  <c r="E175" i="3"/>
  <c r="O175" i="3"/>
  <c r="R175" i="3" s="1"/>
  <c r="E126" i="3"/>
  <c r="O126" i="3"/>
  <c r="R126" i="3" s="1"/>
  <c r="E30" i="3"/>
  <c r="O30" i="3"/>
  <c r="R30" i="3" s="1"/>
  <c r="E124" i="3"/>
  <c r="O124" i="3"/>
  <c r="R124" i="3" s="1"/>
  <c r="O163" i="3"/>
  <c r="R163" i="3" s="1"/>
  <c r="E163" i="3"/>
  <c r="AB21" i="2"/>
  <c r="AD21" i="2" s="1"/>
  <c r="AC21" i="2"/>
  <c r="E119" i="3"/>
  <c r="O119" i="3"/>
  <c r="R119" i="3" s="1"/>
  <c r="O48" i="3"/>
  <c r="R48" i="3" s="1"/>
  <c r="E48" i="3"/>
  <c r="E108" i="3"/>
  <c r="O108" i="3"/>
  <c r="R108" i="3" s="1"/>
  <c r="O161" i="3"/>
  <c r="R161" i="3" s="1"/>
  <c r="E161" i="3"/>
  <c r="E114" i="3"/>
  <c r="O114" i="3"/>
  <c r="R114" i="3" s="1"/>
  <c r="E74" i="3"/>
  <c r="O74" i="3"/>
  <c r="R74" i="3" s="1"/>
  <c r="O22" i="3"/>
  <c r="R22" i="3" s="1"/>
  <c r="E22" i="3"/>
  <c r="M271" i="3"/>
  <c r="E116" i="3"/>
  <c r="O116" i="3"/>
  <c r="R116" i="3" s="1"/>
  <c r="E145" i="3"/>
  <c r="O145" i="3"/>
  <c r="R145" i="3" s="1"/>
  <c r="E21" i="3"/>
  <c r="O21" i="3"/>
  <c r="R21" i="3" s="1"/>
  <c r="O38" i="3"/>
  <c r="R38" i="3" s="1"/>
  <c r="E38" i="3"/>
  <c r="M199" i="3"/>
  <c r="M232" i="3"/>
  <c r="M354" i="3"/>
  <c r="M310" i="3"/>
  <c r="M302" i="3"/>
  <c r="E31" i="3"/>
  <c r="O31" i="3"/>
  <c r="R31" i="3" s="1"/>
  <c r="O34" i="3"/>
  <c r="R34" i="3" s="1"/>
  <c r="E34" i="3"/>
  <c r="E16" i="3"/>
  <c r="O16" i="3"/>
  <c r="R16" i="3" s="1"/>
  <c r="O63" i="3"/>
  <c r="R63" i="3" s="1"/>
  <c r="E63" i="3"/>
  <c r="AB18" i="2"/>
  <c r="AD18" i="2" s="1"/>
  <c r="AC18" i="2"/>
  <c r="E92" i="3"/>
  <c r="O92" i="3"/>
  <c r="R92" i="3" s="1"/>
  <c r="O42" i="3"/>
  <c r="R42" i="3" s="1"/>
  <c r="E42" i="3"/>
  <c r="E149" i="3"/>
  <c r="O149" i="3"/>
  <c r="R149" i="3" s="1"/>
  <c r="M193" i="3"/>
  <c r="M191" i="3"/>
  <c r="M218" i="3"/>
  <c r="M209" i="3"/>
  <c r="M286" i="3"/>
  <c r="M316" i="3"/>
  <c r="M333" i="3"/>
  <c r="M328" i="3"/>
  <c r="M220" i="3"/>
  <c r="M227" i="3"/>
  <c r="M262" i="3"/>
  <c r="M204" i="3"/>
  <c r="M273" i="3"/>
  <c r="M245" i="3"/>
  <c r="M348" i="3"/>
  <c r="M221" i="3"/>
  <c r="M239" i="3"/>
  <c r="M205" i="3"/>
  <c r="M265" i="3"/>
  <c r="M222" i="3"/>
  <c r="M315" i="3"/>
  <c r="M329" i="3"/>
  <c r="M214" i="3"/>
  <c r="M330" i="3"/>
  <c r="M356" i="3"/>
  <c r="M196" i="3"/>
  <c r="M250" i="3"/>
  <c r="M349" i="3"/>
  <c r="M247" i="3"/>
  <c r="M337" i="3"/>
  <c r="M249" i="3"/>
  <c r="M285" i="3"/>
  <c r="M287" i="3"/>
  <c r="M306" i="3"/>
  <c r="M261" i="3"/>
  <c r="M244" i="3"/>
  <c r="M207" i="3"/>
  <c r="M320" i="3"/>
  <c r="M216" i="3"/>
  <c r="M367" i="3"/>
  <c r="M237" i="3"/>
  <c r="M242" i="3"/>
  <c r="M340" i="3"/>
  <c r="M335" i="3"/>
  <c r="M292" i="3"/>
  <c r="M351" i="3"/>
  <c r="M194" i="3"/>
  <c r="M190" i="3"/>
  <c r="M331" i="3"/>
  <c r="M231" i="3"/>
  <c r="M206" i="3"/>
  <c r="M210" i="3"/>
  <c r="M263" i="3"/>
  <c r="M267" i="3"/>
  <c r="M355" i="3"/>
  <c r="M201" i="3"/>
  <c r="M277" i="3"/>
  <c r="M226" i="3"/>
  <c r="M228" i="3"/>
  <c r="M256" i="3"/>
  <c r="M212" i="3"/>
  <c r="M339" i="3"/>
  <c r="M365" i="3"/>
  <c r="M368" i="3"/>
  <c r="M299" i="3"/>
  <c r="M224" i="3"/>
  <c r="M243" i="3"/>
  <c r="M304" i="3"/>
  <c r="M294" i="3"/>
  <c r="M358" i="3"/>
  <c r="M197" i="3"/>
  <c r="M188" i="3"/>
  <c r="M342" i="3"/>
  <c r="M327" i="3"/>
  <c r="M284" i="3"/>
  <c r="M225" i="3"/>
  <c r="M293" i="3"/>
  <c r="M217" i="3"/>
  <c r="M238" i="3"/>
  <c r="M314" i="3"/>
  <c r="M253" i="3"/>
  <c r="M281" i="3"/>
  <c r="M308" i="3"/>
  <c r="M288" i="3"/>
  <c r="M234" i="3"/>
  <c r="M322" i="3"/>
  <c r="M211" i="3"/>
  <c r="M364" i="3"/>
  <c r="M268" i="3"/>
  <c r="M338" i="3"/>
  <c r="M241" i="3"/>
  <c r="M219" i="3"/>
  <c r="M291" i="3"/>
  <c r="M362" i="3"/>
  <c r="M276" i="3"/>
  <c r="M202" i="3"/>
  <c r="M303" i="3"/>
  <c r="M255" i="3"/>
  <c r="M278" i="3"/>
  <c r="M223" i="3"/>
  <c r="M203" i="3"/>
  <c r="M195" i="3"/>
  <c r="M246" i="3"/>
  <c r="M350" i="3"/>
  <c r="M347" i="3"/>
  <c r="M305" i="3"/>
  <c r="M317" i="3"/>
  <c r="M352" i="3"/>
  <c r="M259" i="3"/>
  <c r="M311" i="3"/>
  <c r="M343" i="3"/>
  <c r="M270" i="3"/>
  <c r="M307" i="3"/>
  <c r="M200" i="3"/>
  <c r="M334" i="3"/>
  <c r="M298" i="3"/>
  <c r="M336" i="3"/>
  <c r="M301" i="3"/>
  <c r="M215" i="3"/>
  <c r="M318" i="3"/>
  <c r="M280" i="3"/>
  <c r="M323" i="3"/>
  <c r="M290" i="3"/>
  <c r="M289" i="3"/>
  <c r="M300" i="3"/>
  <c r="M233" i="3"/>
  <c r="M346" i="3"/>
  <c r="E70" i="3"/>
  <c r="O70" i="3"/>
  <c r="R70" i="3" s="1"/>
  <c r="E97" i="3"/>
  <c r="O97" i="3"/>
  <c r="R97" i="3" s="1"/>
  <c r="M208" i="3"/>
  <c r="E37" i="3"/>
  <c r="O37" i="3"/>
  <c r="R37" i="3" s="1"/>
  <c r="E177" i="3"/>
  <c r="O177" i="3"/>
  <c r="R177" i="3" s="1"/>
  <c r="E79" i="3"/>
  <c r="O79" i="3"/>
  <c r="R79" i="3" s="1"/>
  <c r="E102" i="3"/>
  <c r="O102" i="3"/>
  <c r="R102" i="3" s="1"/>
  <c r="M252" i="3"/>
  <c r="M269" i="3"/>
  <c r="E118" i="3"/>
  <c r="O118" i="3"/>
  <c r="R118" i="3" s="1"/>
  <c r="O130" i="3"/>
  <c r="R130" i="3" s="1"/>
  <c r="E130" i="3"/>
  <c r="O66" i="3"/>
  <c r="R66" i="3" s="1"/>
  <c r="E66" i="3"/>
  <c r="E47" i="3"/>
  <c r="O47" i="3"/>
  <c r="R47" i="3" s="1"/>
  <c r="E44" i="3"/>
  <c r="O44" i="3"/>
  <c r="R44" i="3" s="1"/>
  <c r="E82" i="3"/>
  <c r="O82" i="3"/>
  <c r="R82" i="3" s="1"/>
  <c r="O107" i="3"/>
  <c r="R107" i="3" s="1"/>
  <c r="E107" i="3"/>
  <c r="M309" i="3"/>
  <c r="M258" i="3"/>
  <c r="M229" i="3"/>
  <c r="E179" i="3"/>
  <c r="O179" i="3"/>
  <c r="R179" i="3" s="1"/>
  <c r="AB16" i="2"/>
  <c r="AD16" i="2" s="1"/>
  <c r="AC16" i="2"/>
  <c r="M189" i="3"/>
  <c r="M235" i="3"/>
  <c r="E60" i="3"/>
  <c r="O60" i="3"/>
  <c r="R60" i="3" s="1"/>
  <c r="E15" i="3"/>
  <c r="O15" i="3"/>
  <c r="R15" i="3" s="1"/>
  <c r="O172" i="3"/>
  <c r="R172" i="3" s="1"/>
  <c r="E172" i="3"/>
  <c r="E91" i="3"/>
  <c r="O91" i="3"/>
  <c r="R91" i="3" s="1"/>
  <c r="E150" i="3"/>
  <c r="O150" i="3"/>
  <c r="R150" i="3" s="1"/>
  <c r="E127" i="3"/>
  <c r="O127" i="3"/>
  <c r="R127" i="3" s="1"/>
  <c r="E87" i="3"/>
  <c r="O87" i="3"/>
  <c r="R87" i="3" s="1"/>
  <c r="M353" i="3"/>
  <c r="O185" i="3"/>
  <c r="R185" i="3" s="1"/>
  <c r="E185" i="3"/>
  <c r="AC22" i="2"/>
  <c r="AB22" i="2"/>
  <c r="AD22" i="2" s="1"/>
  <c r="E160" i="3"/>
  <c r="O160" i="3"/>
  <c r="R160" i="3" s="1"/>
  <c r="E156" i="3"/>
  <c r="O156" i="3"/>
  <c r="R156" i="3" s="1"/>
  <c r="E180" i="3"/>
  <c r="O180" i="3"/>
  <c r="R180" i="3" s="1"/>
  <c r="E159" i="3"/>
  <c r="O159" i="3"/>
  <c r="R159" i="3" s="1"/>
  <c r="O35" i="3"/>
  <c r="R35" i="3" s="1"/>
  <c r="E35" i="3"/>
  <c r="O50" i="3"/>
  <c r="R50" i="3" s="1"/>
  <c r="E50" i="3"/>
  <c r="O64" i="3"/>
  <c r="R64" i="3" s="1"/>
  <c r="E64" i="3"/>
  <c r="E121" i="3"/>
  <c r="O121" i="3"/>
  <c r="R121" i="3" s="1"/>
  <c r="C187" i="3"/>
  <c r="I188" i="3"/>
  <c r="I187" i="3" s="1"/>
  <c r="O173" i="3"/>
  <c r="R173" i="3" s="1"/>
  <c r="E173" i="3"/>
  <c r="O53" i="3"/>
  <c r="R53" i="3" s="1"/>
  <c r="E53" i="3"/>
  <c r="M248" i="3"/>
  <c r="M213" i="3"/>
  <c r="M319" i="3"/>
  <c r="P24" i="20"/>
  <c r="P23" i="20"/>
  <c r="H24" i="20"/>
  <c r="I24" i="20" s="1"/>
  <c r="P34" i="20"/>
  <c r="F29" i="20"/>
  <c r="W29" i="20" s="1"/>
  <c r="P25" i="20"/>
  <c r="F22" i="20"/>
  <c r="G22" i="20" s="1"/>
  <c r="O174" i="3"/>
  <c r="R174" i="3" s="1"/>
  <c r="E174" i="3"/>
  <c r="E146" i="3"/>
  <c r="O146" i="3"/>
  <c r="R146" i="3" s="1"/>
  <c r="O26" i="3"/>
  <c r="R26" i="3" s="1"/>
  <c r="E26" i="3"/>
  <c r="E51" i="3"/>
  <c r="O51" i="3"/>
  <c r="R51" i="3" s="1"/>
  <c r="O125" i="3"/>
  <c r="R125" i="3" s="1"/>
  <c r="E125" i="3"/>
  <c r="O78" i="3"/>
  <c r="R78" i="3" s="1"/>
  <c r="E78" i="3"/>
  <c r="O147" i="3"/>
  <c r="R147" i="3" s="1"/>
  <c r="E147" i="3"/>
  <c r="E181" i="3"/>
  <c r="O181" i="3"/>
  <c r="R181" i="3" s="1"/>
  <c r="E143" i="3"/>
  <c r="O143" i="3"/>
  <c r="R143" i="3" s="1"/>
  <c r="M251" i="3"/>
  <c r="M274" i="3"/>
  <c r="M283" i="3"/>
  <c r="M260" i="3"/>
  <c r="M272" i="3"/>
  <c r="M345" i="3"/>
  <c r="E135" i="3"/>
  <c r="O135" i="3"/>
  <c r="R135" i="3" s="1"/>
  <c r="E12" i="3"/>
  <c r="O12" i="3"/>
  <c r="R12" i="3" s="1"/>
  <c r="E23" i="3"/>
  <c r="O23" i="3"/>
  <c r="R23" i="3" s="1"/>
  <c r="M198" i="3"/>
  <c r="M359" i="3"/>
  <c r="M312" i="3"/>
  <c r="E29" i="3"/>
  <c r="O29" i="3"/>
  <c r="R29" i="3" s="1"/>
  <c r="H29" i="20"/>
  <c r="I29" i="20" s="1"/>
  <c r="H31" i="20"/>
  <c r="I31" i="20" s="1"/>
  <c r="F38" i="20"/>
  <c r="W38" i="20" s="1"/>
  <c r="H30" i="20"/>
  <c r="I30" i="20" s="1"/>
  <c r="F31" i="20"/>
  <c r="G31" i="20" s="1"/>
  <c r="F35" i="20"/>
  <c r="G35" i="20" s="1"/>
  <c r="F34" i="20"/>
  <c r="G34" i="20" s="1"/>
  <c r="P30" i="20"/>
  <c r="H38" i="20"/>
  <c r="I38" i="20" s="1"/>
  <c r="H23" i="20"/>
  <c r="I23" i="20" s="1"/>
  <c r="P40" i="20"/>
  <c r="P37" i="20"/>
  <c r="F25" i="20"/>
  <c r="W25" i="20" s="1"/>
  <c r="F39" i="21"/>
  <c r="G39" i="21" s="1"/>
  <c r="P39" i="21" s="1"/>
  <c r="H37" i="21"/>
  <c r="I37" i="21" s="1"/>
  <c r="H36" i="21"/>
  <c r="I36" i="21" s="1"/>
  <c r="O28" i="21"/>
  <c r="H35" i="21"/>
  <c r="I35" i="21" s="1"/>
  <c r="F32" i="21"/>
  <c r="G32" i="21" s="1"/>
  <c r="J32" i="21" s="1"/>
  <c r="F33" i="21"/>
  <c r="G33" i="21" s="1"/>
  <c r="R33" i="21" s="1"/>
  <c r="H23" i="21"/>
  <c r="I23" i="21" s="1"/>
  <c r="H34" i="21"/>
  <c r="I34" i="21" s="1"/>
  <c r="O30" i="21"/>
  <c r="H24" i="21"/>
  <c r="I24" i="21" s="1"/>
  <c r="H31" i="21"/>
  <c r="I31" i="21" s="1"/>
  <c r="O25" i="21"/>
  <c r="H22" i="21"/>
  <c r="I22" i="21" s="1"/>
  <c r="F22" i="21"/>
  <c r="G22" i="21" s="1"/>
  <c r="J22" i="21" s="1"/>
  <c r="E7" i="3"/>
  <c r="O7" i="3"/>
  <c r="R7" i="3" s="1"/>
  <c r="E49" i="3"/>
  <c r="O49" i="3"/>
  <c r="R49" i="3" s="1"/>
  <c r="E95" i="3"/>
  <c r="O95" i="3"/>
  <c r="R95" i="3" s="1"/>
  <c r="O10" i="3"/>
  <c r="R10" i="3" s="1"/>
  <c r="E10" i="3"/>
  <c r="O94" i="3"/>
  <c r="R94" i="3" s="1"/>
  <c r="E94" i="3"/>
  <c r="E183" i="3"/>
  <c r="O183" i="3"/>
  <c r="R183" i="3" s="1"/>
  <c r="E141" i="3"/>
  <c r="O141" i="3"/>
  <c r="R141" i="3" s="1"/>
  <c r="E171" i="3"/>
  <c r="O171" i="3"/>
  <c r="R171" i="3" s="1"/>
  <c r="E6" i="3"/>
  <c r="O6" i="3"/>
  <c r="R6" i="3" s="1"/>
  <c r="E128" i="3"/>
  <c r="O128" i="3"/>
  <c r="R128" i="3" s="1"/>
  <c r="E144" i="3"/>
  <c r="O144" i="3"/>
  <c r="R144" i="3" s="1"/>
  <c r="O137" i="3"/>
  <c r="R137" i="3" s="1"/>
  <c r="E137" i="3"/>
  <c r="O58" i="3"/>
  <c r="R58" i="3" s="1"/>
  <c r="E58" i="3"/>
  <c r="E139" i="3"/>
  <c r="O139" i="3"/>
  <c r="R139" i="3" s="1"/>
  <c r="O115" i="3"/>
  <c r="R115" i="3" s="1"/>
  <c r="E115" i="3"/>
  <c r="M192" i="3"/>
  <c r="M361" i="3"/>
  <c r="M321" i="3"/>
  <c r="M230" i="3"/>
  <c r="M313" i="3"/>
  <c r="M296" i="3"/>
  <c r="M295" i="3"/>
  <c r="M266" i="3"/>
  <c r="M264" i="3"/>
  <c r="E154" i="3"/>
  <c r="O154" i="3"/>
  <c r="R154" i="3" s="1"/>
  <c r="O80" i="3"/>
  <c r="R80" i="3" s="1"/>
  <c r="E80" i="3"/>
  <c r="E131" i="3"/>
  <c r="O131" i="3"/>
  <c r="R131" i="3" s="1"/>
  <c r="E113" i="3"/>
  <c r="O113" i="3"/>
  <c r="R113" i="3" s="1"/>
  <c r="O136" i="3"/>
  <c r="R136" i="3" s="1"/>
  <c r="E136" i="3"/>
  <c r="M360" i="3"/>
  <c r="M344" i="3"/>
  <c r="O105" i="3"/>
  <c r="R105" i="3" s="1"/>
  <c r="E105" i="3"/>
  <c r="E129" i="3"/>
  <c r="O129" i="3"/>
  <c r="R129" i="3" s="1"/>
  <c r="E178" i="3"/>
  <c r="O178" i="3"/>
  <c r="R178" i="3" s="1"/>
  <c r="E56" i="3"/>
  <c r="O56" i="3"/>
  <c r="R56" i="3" s="1"/>
  <c r="E140" i="3"/>
  <c r="O140" i="3"/>
  <c r="R140" i="3" s="1"/>
  <c r="O117" i="3"/>
  <c r="R117" i="3" s="1"/>
  <c r="E117" i="3"/>
  <c r="M357" i="3"/>
  <c r="J23" i="21" l="1"/>
  <c r="G23" i="20"/>
  <c r="Q23" i="20" s="1"/>
  <c r="W34" i="20"/>
  <c r="G30" i="20"/>
  <c r="J30" i="20" s="1"/>
  <c r="P22" i="21"/>
  <c r="Q30" i="21"/>
  <c r="W40" i="20"/>
  <c r="G26" i="20"/>
  <c r="S26" i="20" s="1"/>
  <c r="G24" i="20"/>
  <c r="Q24" i="20" s="1"/>
  <c r="Q24" i="21"/>
  <c r="G33" i="20"/>
  <c r="S33" i="20" s="1"/>
  <c r="G37" i="20"/>
  <c r="S37" i="20" s="1"/>
  <c r="R24" i="21"/>
  <c r="J31" i="21"/>
  <c r="Q25" i="21"/>
  <c r="Q28" i="21"/>
  <c r="P31" i="21"/>
  <c r="R23" i="21"/>
  <c r="P38" i="21"/>
  <c r="P24" i="21"/>
  <c r="R27" i="21"/>
  <c r="P29" i="21"/>
  <c r="G36" i="20"/>
  <c r="J36" i="20" s="1"/>
  <c r="J39" i="21"/>
  <c r="W27" i="20"/>
  <c r="G39" i="20"/>
  <c r="J39" i="20" s="1"/>
  <c r="W35" i="20"/>
  <c r="R35" i="21"/>
  <c r="U26" i="20"/>
  <c r="V26" i="20" s="1"/>
  <c r="P35" i="21"/>
  <c r="J27" i="21"/>
  <c r="P34" i="21"/>
  <c r="R35" i="20"/>
  <c r="W31" i="20"/>
  <c r="U38" i="20"/>
  <c r="V38" i="20" s="1"/>
  <c r="J26" i="21"/>
  <c r="G32" i="20"/>
  <c r="S32" i="20" s="1"/>
  <c r="Q32" i="21"/>
  <c r="R29" i="21"/>
  <c r="Q22" i="21"/>
  <c r="P28" i="21"/>
  <c r="Q38" i="21"/>
  <c r="Q39" i="21"/>
  <c r="Q27" i="21"/>
  <c r="U30" i="20"/>
  <c r="V30" i="20" s="1"/>
  <c r="U37" i="20"/>
  <c r="V37" i="20" s="1"/>
  <c r="G25" i="20"/>
  <c r="S25" i="20" s="1"/>
  <c r="U31" i="20"/>
  <c r="V31" i="20" s="1"/>
  <c r="Q37" i="21"/>
  <c r="Q23" i="21"/>
  <c r="J28" i="21"/>
  <c r="Q26" i="21"/>
  <c r="P33" i="21"/>
  <c r="Q35" i="21"/>
  <c r="Q36" i="21"/>
  <c r="U33" i="20"/>
  <c r="V33" i="20" s="1"/>
  <c r="Q31" i="21"/>
  <c r="Q29" i="21"/>
  <c r="Q34" i="21"/>
  <c r="J33" i="21"/>
  <c r="Q33" i="21"/>
  <c r="U29" i="20"/>
  <c r="V29" i="20" s="1"/>
  <c r="R25" i="20"/>
  <c r="U39" i="20"/>
  <c r="V39" i="20" s="1"/>
  <c r="J25" i="21"/>
  <c r="J38" i="21"/>
  <c r="R30" i="21"/>
  <c r="R29" i="20"/>
  <c r="R40" i="20"/>
  <c r="U22" i="20"/>
  <c r="V22" i="20" s="1"/>
  <c r="R26" i="21"/>
  <c r="P37" i="21"/>
  <c r="R26" i="20"/>
  <c r="U36" i="20"/>
  <c r="V36" i="20" s="1"/>
  <c r="W22" i="20"/>
  <c r="R36" i="21"/>
  <c r="R40" i="21"/>
  <c r="R39" i="21"/>
  <c r="P30" i="21"/>
  <c r="R27" i="20"/>
  <c r="R34" i="20"/>
  <c r="W28" i="20"/>
  <c r="R36" i="20"/>
  <c r="R39" i="20"/>
  <c r="R23" i="20"/>
  <c r="R37" i="20"/>
  <c r="J34" i="21"/>
  <c r="R37" i="21"/>
  <c r="J40" i="21"/>
  <c r="R31" i="20"/>
  <c r="R32" i="20"/>
  <c r="R33" i="20"/>
  <c r="U23" i="20"/>
  <c r="V23" i="20" s="1"/>
  <c r="P36" i="21"/>
  <c r="R25" i="21"/>
  <c r="R32" i="21"/>
  <c r="R24" i="20"/>
  <c r="R28" i="20"/>
  <c r="R30" i="20"/>
  <c r="R38" i="20"/>
  <c r="U27" i="20"/>
  <c r="V27" i="20" s="1"/>
  <c r="G38" i="20"/>
  <c r="J38" i="20" s="1"/>
  <c r="U40" i="20"/>
  <c r="V40" i="20" s="1"/>
  <c r="R22" i="21"/>
  <c r="U24" i="20"/>
  <c r="V24" i="20" s="1"/>
  <c r="U25" i="20"/>
  <c r="V25" i="20" s="1"/>
  <c r="U35" i="20"/>
  <c r="V35" i="20" s="1"/>
  <c r="U32" i="20"/>
  <c r="V32" i="20" s="1"/>
  <c r="U34" i="20"/>
  <c r="V34" i="20" s="1"/>
  <c r="G29" i="20"/>
  <c r="J29" i="20" s="1"/>
  <c r="P32" i="21"/>
  <c r="U28" i="20"/>
  <c r="V28" i="20" s="1"/>
  <c r="S34" i="20"/>
  <c r="J34" i="20"/>
  <c r="Q34" i="20"/>
  <c r="J35" i="20"/>
  <c r="Q35" i="20"/>
  <c r="S35" i="20"/>
  <c r="Q22" i="20"/>
  <c r="S22" i="20"/>
  <c r="J22" i="20"/>
  <c r="Q28" i="20"/>
  <c r="S28" i="20"/>
  <c r="J28" i="20"/>
  <c r="Q31" i="20"/>
  <c r="S31" i="20"/>
  <c r="J31" i="20"/>
  <c r="J27" i="20"/>
  <c r="S27" i="20"/>
  <c r="Q27" i="20"/>
  <c r="Q40" i="20"/>
  <c r="S40" i="20"/>
  <c r="J40" i="20"/>
  <c r="S23" i="20" l="1"/>
  <c r="J23" i="20"/>
  <c r="J24" i="20"/>
  <c r="S30" i="20"/>
  <c r="Q30" i="20"/>
  <c r="S24" i="20"/>
  <c r="Q26" i="20"/>
  <c r="J26" i="20"/>
  <c r="Q37" i="20"/>
  <c r="J37" i="20"/>
  <c r="Q33" i="20"/>
  <c r="J33" i="20"/>
  <c r="J32" i="20"/>
  <c r="S39" i="20"/>
  <c r="Q39" i="20"/>
  <c r="Q36" i="20"/>
  <c r="Q38" i="20"/>
  <c r="Q32" i="20"/>
  <c r="S36" i="20"/>
  <c r="Q25" i="20"/>
  <c r="S29" i="20"/>
  <c r="J25" i="20"/>
  <c r="Q29" i="20"/>
  <c r="S38" i="20"/>
</calcChain>
</file>

<file path=xl/sharedStrings.xml><?xml version="1.0" encoding="utf-8"?>
<sst xmlns="http://schemas.openxmlformats.org/spreadsheetml/2006/main" count="9056" uniqueCount="1665">
  <si>
    <t>Li</t>
  </si>
  <si>
    <t>Be</t>
  </si>
  <si>
    <t>be</t>
  </si>
  <si>
    <t>B</t>
  </si>
  <si>
    <t>C</t>
  </si>
  <si>
    <t>N</t>
  </si>
  <si>
    <t>O</t>
  </si>
  <si>
    <t>F</t>
  </si>
  <si>
    <t>Ne</t>
  </si>
  <si>
    <t>Na</t>
  </si>
  <si>
    <t>Mg</t>
  </si>
  <si>
    <t>Al</t>
  </si>
  <si>
    <t>Si</t>
  </si>
  <si>
    <t>P</t>
  </si>
  <si>
    <t>S</t>
  </si>
  <si>
    <t>Cl</t>
  </si>
  <si>
    <t>Ar</t>
  </si>
  <si>
    <t>K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</si>
  <si>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</si>
  <si>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</si>
  <si>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</si>
  <si>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</si>
  <si>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</si>
  <si>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</si>
  <si>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</si>
  <si>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</si>
  <si>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</si>
  <si>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</si>
  <si>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</si>
  <si>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</si>
  <si>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</si>
  <si>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</si>
  <si>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</si>
  <si>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Br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</si>
  <si>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</si>
  <si>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</si>
  <si>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</si>
  <si>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</si>
  <si>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</si>
  <si>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</si>
  <si>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</si>
  <si>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</si>
  <si>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</si>
  <si>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</si>
  <si>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</si>
  <si>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</si>
  <si>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</si>
  <si>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</si>
  <si>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</si>
  <si>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</si>
  <si>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</si>
  <si>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I</t>
  </si>
  <si>
    <t>Xe</t>
  </si>
  <si>
    <t>Cs</t>
  </si>
  <si>
    <t>Ba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</si>
  <si>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</si>
  <si>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</si>
  <si>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</si>
  <si>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</si>
  <si>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</si>
  <si>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</si>
  <si>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</si>
  <si>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</si>
  <si>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</si>
  <si>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</si>
  <si>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</si>
  <si>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</si>
  <si>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</si>
  <si>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</si>
  <si>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</si>
  <si>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</si>
  <si>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</si>
  <si>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</si>
  <si>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</si>
  <si>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</si>
  <si>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</si>
  <si>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</si>
  <si>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</si>
  <si>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</si>
  <si>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</si>
  <si>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</si>
  <si>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</si>
  <si>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</si>
  <si>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</si>
  <si>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</si>
  <si>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</si>
  <si>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</si>
  <si>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Ac</t>
  </si>
  <si>
    <t>Th</t>
  </si>
  <si>
    <t>Pa</t>
  </si>
  <si>
    <t>U</t>
  </si>
  <si>
    <t>Z=</t>
  </si>
  <si>
    <t>nn</t>
  </si>
  <si>
    <t>A=</t>
  </si>
  <si>
    <t>H</t>
  </si>
  <si>
    <t>h</t>
  </si>
  <si>
    <t>He</t>
  </si>
  <si>
    <t>he</t>
  </si>
  <si>
    <t>Beam</t>
  </si>
  <si>
    <t>Target</t>
  </si>
  <si>
    <t>Ejectile</t>
  </si>
  <si>
    <t>Recoil</t>
  </si>
  <si>
    <t>symbol</t>
  </si>
  <si>
    <t>mass</t>
  </si>
  <si>
    <t>Energy</t>
  </si>
  <si>
    <t>Excitation</t>
  </si>
  <si>
    <t>Z value</t>
  </si>
  <si>
    <t>Reaction</t>
  </si>
  <si>
    <t>Q-value</t>
  </si>
  <si>
    <t>Mass</t>
  </si>
  <si>
    <t>excess</t>
  </si>
  <si>
    <t>Lab</t>
  </si>
  <si>
    <t>angle</t>
  </si>
  <si>
    <t>c.m.</t>
  </si>
  <si>
    <t>energy</t>
  </si>
  <si>
    <t>cm/lab</t>
  </si>
  <si>
    <t>ratio</t>
  </si>
  <si>
    <t>(MeV)</t>
  </si>
  <si>
    <r>
      <t>D (</t>
    </r>
    <r>
      <rPr>
        <sz val="10"/>
        <rFont val="Arial"/>
        <family val="2"/>
      </rPr>
      <t>MeV</t>
    </r>
    <r>
      <rPr>
        <sz val="10"/>
        <rFont val="Symbol"/>
        <family val="1"/>
        <charset val="2"/>
      </rPr>
      <t>)</t>
    </r>
  </si>
  <si>
    <t>(amu)</t>
  </si>
  <si>
    <t>g.s.</t>
  </si>
  <si>
    <t>M(a.m.u.)</t>
  </si>
  <si>
    <t>one amu=</t>
  </si>
  <si>
    <t>E(c.m.)</t>
  </si>
  <si>
    <t>threshold</t>
  </si>
  <si>
    <t>energy is</t>
  </si>
  <si>
    <t>final state</t>
  </si>
  <si>
    <t>y</t>
  </si>
  <si>
    <t>betac</t>
  </si>
  <si>
    <t>ecmi</t>
  </si>
  <si>
    <t>ecmf</t>
  </si>
  <si>
    <t>beta3c</t>
  </si>
  <si>
    <t>b</t>
  </si>
  <si>
    <t>a</t>
  </si>
  <si>
    <t>c</t>
  </si>
  <si>
    <t>e3cm</t>
  </si>
  <si>
    <t>y_new</t>
  </si>
  <si>
    <t>cosagl</t>
  </si>
  <si>
    <t>Second Solution</t>
  </si>
  <si>
    <t>b3L1</t>
  </si>
  <si>
    <t>y_loop</t>
  </si>
  <si>
    <t>y_adj</t>
  </si>
  <si>
    <t>angl4</t>
  </si>
  <si>
    <t>b3L2</t>
  </si>
  <si>
    <t>y_loop2</t>
  </si>
  <si>
    <t>y_adj2</t>
  </si>
  <si>
    <t>angl4_2</t>
  </si>
  <si>
    <t>step</t>
  </si>
  <si>
    <t>d**2</t>
  </si>
  <si>
    <t>cm angle</t>
  </si>
  <si>
    <t>solution 1</t>
  </si>
  <si>
    <t>solution 2</t>
  </si>
  <si>
    <t>ejectile</t>
  </si>
  <si>
    <t>recoil</t>
  </si>
  <si>
    <t>lab angle vs centre of mass angle</t>
  </si>
  <si>
    <t>lab energies vs centre of mass angle</t>
  </si>
  <si>
    <t>link point</t>
  </si>
  <si>
    <t>ejectile lab energy</t>
  </si>
  <si>
    <t>recoil angle</t>
  </si>
  <si>
    <t>This spreadsheet</t>
  </si>
  <si>
    <t>for relativistic kinematics</t>
  </si>
  <si>
    <t>Wilton Catford</t>
  </si>
  <si>
    <t>was written by</t>
  </si>
  <si>
    <t>w.catford@surrey.ac.uk</t>
  </si>
  <si>
    <t>recoil energy</t>
  </si>
  <si>
    <t>e vs. angle for recoil</t>
  </si>
  <si>
    <t>Mass Value</t>
  </si>
  <si>
    <t>Separation Energy</t>
  </si>
  <si>
    <r>
      <t>D</t>
    </r>
    <r>
      <rPr>
        <sz val="10"/>
        <rFont val="Arial"/>
        <family val="2"/>
      </rPr>
      <t xml:space="preserve"> (MeV)</t>
    </r>
  </si>
  <si>
    <t>amu</t>
  </si>
  <si>
    <t>MeV</t>
  </si>
  <si>
    <t>kg</t>
  </si>
  <si>
    <t>remove</t>
  </si>
  <si>
    <t>add</t>
  </si>
  <si>
    <t>(neutron=nn)</t>
  </si>
  <si>
    <t>Reaction Q-value</t>
  </si>
  <si>
    <t xml:space="preserve"> (Two body)</t>
  </si>
  <si>
    <r>
      <t>D</t>
    </r>
    <r>
      <rPr>
        <sz val="10"/>
        <rFont val="Arial"/>
        <family val="2"/>
      </rPr>
      <t xml:space="preserve"> </t>
    </r>
  </si>
  <si>
    <r>
      <t>E</t>
    </r>
    <r>
      <rPr>
        <i/>
        <sz val="8"/>
        <rFont val="Arial"/>
        <family val="2"/>
      </rPr>
      <t xml:space="preserve">sep </t>
    </r>
    <r>
      <rPr>
        <sz val="10"/>
        <rFont val="Arial"/>
        <family val="2"/>
      </rPr>
      <t>(MeV)</t>
    </r>
  </si>
  <si>
    <t>MeV to effect separation</t>
  </si>
  <si>
    <t>target</t>
  </si>
  <si>
    <t>beam</t>
  </si>
  <si>
    <t>Q-value=</t>
  </si>
  <si>
    <r>
      <t xml:space="preserve">D </t>
    </r>
    <r>
      <rPr>
        <sz val="10"/>
        <rFont val="Arial"/>
        <family val="2"/>
      </rPr>
      <t>(MeV)</t>
    </r>
  </si>
  <si>
    <t>A</t>
  </si>
  <si>
    <t>q</t>
  </si>
  <si>
    <t>E/A</t>
  </si>
  <si>
    <t>B rho</t>
  </si>
  <si>
    <t>%</t>
  </si>
  <si>
    <t>ns</t>
  </si>
  <si>
    <t>Flight path (m)</t>
  </si>
  <si>
    <t>from B-Rho</t>
  </si>
  <si>
    <r>
      <t xml:space="preserve">E/A and TOF and </t>
    </r>
    <r>
      <rPr>
        <sz val="10"/>
        <rFont val="Symbol"/>
        <family val="1"/>
        <charset val="2"/>
      </rPr>
      <t>b</t>
    </r>
  </si>
  <si>
    <t>rec ang</t>
  </si>
  <si>
    <t>rec energy</t>
  </si>
  <si>
    <t>sorted</t>
  </si>
  <si>
    <t>data</t>
  </si>
  <si>
    <t>400#</t>
  </si>
  <si>
    <t>997#</t>
  </si>
  <si>
    <t>401#</t>
  </si>
  <si>
    <t>801#</t>
  </si>
  <si>
    <t>503#</t>
  </si>
  <si>
    <t>298#</t>
  </si>
  <si>
    <t>93#</t>
  </si>
  <si>
    <t>200#</t>
  </si>
  <si>
    <t>708#</t>
  </si>
  <si>
    <t>196#</t>
  </si>
  <si>
    <t>10973#</t>
  </si>
  <si>
    <t>203#</t>
  </si>
  <si>
    <t>4443#</t>
  </si>
  <si>
    <t>438#</t>
  </si>
  <si>
    <t>596#</t>
  </si>
  <si>
    <t>699#</t>
  </si>
  <si>
    <t>233#</t>
  </si>
  <si>
    <t>130#</t>
  </si>
  <si>
    <t>102#</t>
  </si>
  <si>
    <t>112#</t>
  </si>
  <si>
    <t>354#</t>
  </si>
  <si>
    <t>158#</t>
  </si>
  <si>
    <t>71#</t>
  </si>
  <si>
    <t>168#</t>
  </si>
  <si>
    <t>149#</t>
  </si>
  <si>
    <t>140#</t>
  </si>
  <si>
    <t>931#</t>
  </si>
  <si>
    <t>143#</t>
  </si>
  <si>
    <t>900#</t>
  </si>
  <si>
    <t>279#</t>
  </si>
  <si>
    <t>-33729#</t>
  </si>
  <si>
    <t>358#</t>
  </si>
  <si>
    <t>391#</t>
  </si>
  <si>
    <t>202#</t>
  </si>
  <si>
    <t>-46491#</t>
  </si>
  <si>
    <t>-54148#</t>
  </si>
  <si>
    <t>314#</t>
  </si>
  <si>
    <t>364#</t>
  </si>
  <si>
    <t>300#</t>
  </si>
  <si>
    <t>-43808#</t>
  </si>
  <si>
    <t>-59597#</t>
  </si>
  <si>
    <t>-53002#</t>
  </si>
  <si>
    <t>-59699#</t>
  </si>
  <si>
    <t>-46370#</t>
  </si>
  <si>
    <t>-64916#</t>
  </si>
  <si>
    <t>359#</t>
  </si>
  <si>
    <t>201#</t>
  </si>
  <si>
    <t>302#</t>
  </si>
  <si>
    <t>500#</t>
  </si>
  <si>
    <t>361#</t>
  </si>
  <si>
    <t>301#</t>
  </si>
  <si>
    <t>-72796#</t>
  </si>
  <si>
    <t>207#</t>
  </si>
  <si>
    <t>305#</t>
  </si>
  <si>
    <t>-64543#</t>
  </si>
  <si>
    <t>-47599#</t>
  </si>
  <si>
    <t>-45047#</t>
  </si>
  <si>
    <t>-49090#</t>
  </si>
  <si>
    <t>-44600#</t>
  </si>
  <si>
    <t>-43771#</t>
  </si>
  <si>
    <t>-44106#</t>
  </si>
  <si>
    <t>-38480#</t>
  </si>
  <si>
    <t>-55899#</t>
  </si>
  <si>
    <t>-25821#</t>
  </si>
  <si>
    <t>-43249#</t>
  </si>
  <si>
    <t>-51661#</t>
  </si>
  <si>
    <t>-48102#</t>
  </si>
  <si>
    <t>-47236#</t>
  </si>
  <si>
    <t>-53654#</t>
  </si>
  <si>
    <t>-52490#</t>
  </si>
  <si>
    <t>-47469#</t>
  </si>
  <si>
    <t>-36170#</t>
  </si>
  <si>
    <t>-44116#</t>
  </si>
  <si>
    <t>-41601#</t>
  </si>
  <si>
    <t>-14876#</t>
  </si>
  <si>
    <t>Np</t>
  </si>
  <si>
    <t>Pu</t>
  </si>
  <si>
    <t>Am</t>
  </si>
  <si>
    <t>Cm</t>
  </si>
  <si>
    <t>47320#</t>
  </si>
  <si>
    <t>Bk</t>
  </si>
  <si>
    <t>52704#</t>
  </si>
  <si>
    <t>Cf</t>
  </si>
  <si>
    <t>Es</t>
  </si>
  <si>
    <t>64199#</t>
  </si>
  <si>
    <t>56197#</t>
  </si>
  <si>
    <t>Fm</t>
  </si>
  <si>
    <t>68400#</t>
  </si>
  <si>
    <t>63202#</t>
  </si>
  <si>
    <t>Md</t>
  </si>
  <si>
    <t>73104#</t>
  </si>
  <si>
    <t>No</t>
  </si>
  <si>
    <t>Lr</t>
  </si>
  <si>
    <t>79056#</t>
  </si>
  <si>
    <t>80929#</t>
  </si>
  <si>
    <t>Db</t>
  </si>
  <si>
    <t>84393#</t>
  </si>
  <si>
    <t>Jl</t>
  </si>
  <si>
    <t>89403#</t>
  </si>
  <si>
    <t>Rf</t>
  </si>
  <si>
    <t>Bh</t>
  </si>
  <si>
    <t>Hn</t>
  </si>
  <si>
    <t>Mt</t>
  </si>
  <si>
    <t>Xa</t>
  </si>
  <si>
    <t>Xb</t>
  </si>
  <si>
    <t>Z</t>
  </si>
  <si>
    <t>dD</t>
  </si>
  <si>
    <r>
      <t>D</t>
    </r>
    <r>
      <rPr>
        <sz val="10"/>
        <rFont val="Arial"/>
        <family val="2"/>
      </rPr>
      <t xml:space="preserve"> as read</t>
    </r>
  </si>
  <si>
    <r>
      <t>D</t>
    </r>
    <r>
      <rPr>
        <sz val="10"/>
        <rFont val="Arial"/>
        <family val="2"/>
      </rPr>
      <t xml:space="preserve"> to use</t>
    </r>
  </si>
  <si>
    <t>recoil breaks up into</t>
  </si>
  <si>
    <t xml:space="preserve"> (Three body:)</t>
  </si>
  <si>
    <t>E/A (MeV)</t>
  </si>
  <si>
    <t>B rho (T.m)</t>
  </si>
  <si>
    <t>p=</t>
  </si>
  <si>
    <t>GeV/c</t>
  </si>
  <si>
    <t>B-rho / momentum calculator</t>
  </si>
  <si>
    <t>Ion=</t>
  </si>
  <si>
    <t>KE=</t>
  </si>
  <si>
    <t>cm/ns</t>
  </si>
  <si>
    <t>beta=</t>
  </si>
  <si>
    <t>v=</t>
  </si>
  <si>
    <t>gamma=</t>
  </si>
  <si>
    <t>TOF=</t>
  </si>
  <si>
    <t>v  =</t>
  </si>
  <si>
    <t>gamma =</t>
  </si>
  <si>
    <t>Quick E/A calculator</t>
  </si>
  <si>
    <t>E/A=</t>
  </si>
  <si>
    <t>MeV/u</t>
  </si>
  <si>
    <t>g/cm2</t>
  </si>
  <si>
    <t>mg/cm2</t>
  </si>
  <si>
    <t>barns</t>
  </si>
  <si>
    <t>pps</t>
  </si>
  <si>
    <r>
      <t>m</t>
    </r>
    <r>
      <rPr>
        <sz val="10"/>
        <rFont val="Arial"/>
        <family val="2"/>
      </rPr>
      <t>A</t>
    </r>
  </si>
  <si>
    <t>mC</t>
  </si>
  <si>
    <t>A(tgt)</t>
  </si>
  <si>
    <t>Prob(int)</t>
  </si>
  <si>
    <r>
      <t>m</t>
    </r>
    <r>
      <rPr>
        <sz val="10"/>
        <rFont val="Arial Black"/>
        <family val="2"/>
      </rPr>
      <t>b/sr</t>
    </r>
  </si>
  <si>
    <t>msr</t>
  </si>
  <si>
    <t>yield / s</t>
  </si>
  <si>
    <t>yield / hr</t>
  </si>
  <si>
    <t>(a)</t>
  </si>
  <si>
    <t>(b)</t>
  </si>
  <si>
    <t>(c)</t>
  </si>
  <si>
    <t>(d)</t>
  </si>
  <si>
    <t>Cross sections and counting rates</t>
  </si>
  <si>
    <t>integrated yield</t>
  </si>
  <si>
    <t>valence</t>
  </si>
  <si>
    <t>L(cluster) in projectile</t>
  </si>
  <si>
    <t>Cluster =</t>
  </si>
  <si>
    <t>Z change</t>
  </si>
  <si>
    <t>A change</t>
  </si>
  <si>
    <t>consistent</t>
  </si>
  <si>
    <t>r_0 value =</t>
  </si>
  <si>
    <t>fm</t>
  </si>
  <si>
    <t>r_1 =</t>
  </si>
  <si>
    <t>r_2 =</t>
  </si>
  <si>
    <t>r_total =</t>
  </si>
  <si>
    <r>
      <t>b</t>
    </r>
    <r>
      <rPr>
        <sz val="10"/>
        <rFont val="Arial"/>
        <family val="2"/>
      </rPr>
      <t xml:space="preserve"> (beam) = v/c =</t>
    </r>
  </si>
  <si>
    <t>E_x (max) =</t>
  </si>
  <si>
    <t>For E_x =</t>
  </si>
  <si>
    <t>(as specified above)</t>
  </si>
  <si>
    <t>lambda_1</t>
  </si>
  <si>
    <r>
      <t>l</t>
    </r>
    <r>
      <rPr>
        <sz val="10"/>
        <rFont val="Arial"/>
        <family val="2"/>
      </rPr>
      <t>_2 (opt)</t>
    </r>
  </si>
  <si>
    <t>(L match)</t>
  </si>
  <si>
    <t>(k match)</t>
  </si>
  <si>
    <t>E_x</t>
  </si>
  <si>
    <r>
      <t>hc/2</t>
    </r>
    <r>
      <rPr>
        <sz val="10"/>
        <rFont val="Symbol"/>
        <family val="1"/>
        <charset val="2"/>
      </rPr>
      <t>p</t>
    </r>
    <r>
      <rPr>
        <sz val="10"/>
        <rFont val="Arial"/>
        <family val="2"/>
      </rPr>
      <t xml:space="preserve"> =</t>
    </r>
  </si>
  <si>
    <t>QeffR =</t>
  </si>
  <si>
    <t>QeffR(E_x)</t>
  </si>
  <si>
    <t>these columns should</t>
  </si>
  <si>
    <r>
      <t>Dl</t>
    </r>
    <r>
      <rPr>
        <sz val="10"/>
        <rFont val="Arial"/>
        <family val="2"/>
      </rPr>
      <t xml:space="preserve"> (L-k)</t>
    </r>
  </si>
  <si>
    <t>(mismatch)</t>
  </si>
  <si>
    <t>zero here</t>
  </si>
  <si>
    <t>be close, for optimum</t>
  </si>
  <si>
    <t>i.e.   near</t>
  </si>
  <si>
    <t>Choose the best value of lambda_1 according to the above, to be</t>
  </si>
  <si>
    <t>used below:</t>
  </si>
  <si>
    <t>lambda_1(opt)  =</t>
  </si>
  <si>
    <t>Matching for  E_x  between 0 and max allowed, with given lambda_1</t>
  </si>
  <si>
    <t>step =</t>
  </si>
  <si>
    <t>E_x (MeV)</t>
  </si>
  <si>
    <t>start =</t>
  </si>
  <si>
    <t>Matching for  E_x  in detailed range of interest, with given lambda_1</t>
  </si>
  <si>
    <t>Interpretation:</t>
  </si>
  <si>
    <t>Given the initial L of the transferred nucleon/cluster in the projectile/target,</t>
  </si>
  <si>
    <t>the upper table calulates (for one particular excitation energy) the matching for the different</t>
  </si>
  <si>
    <t>projections of L in the initial system, and by choosing the minimum mismatch this</t>
  </si>
  <si>
    <t>indicates the preferred initial projection (lambda_1) and the preferred final projection (lambda_2)</t>
  </si>
  <si>
    <t>and lambda_2 may be taken as a measure of the preferred final state spin</t>
  </si>
  <si>
    <t>The lower tables take the preferred lambda_1 from the upper table,</t>
  </si>
  <si>
    <t>and investigate the dependence of the matchng over a range of excitation energies</t>
  </si>
  <si>
    <t>(note: strictly speaking, the optimum lambda_1 may be a function of excitation in some cases)</t>
  </si>
  <si>
    <t>Brink Matching Conditions for Transfer</t>
  </si>
  <si>
    <t>If used correctly, the tables below will determine whether transfer is stripping or pickup, plus the preferred lambda_1 value and final spin, for a given recoil excitation energy</t>
  </si>
  <si>
    <t>Adapted from semiclassical formulae derived by David Brink:       D.M. Brink, Phys. Lett. 40B (1972) 37</t>
  </si>
  <si>
    <t>o</t>
  </si>
  <si>
    <t>E sep</t>
  </si>
  <si>
    <t>B-rho</t>
  </si>
  <si>
    <t>sigma</t>
  </si>
  <si>
    <t>Brink</t>
  </si>
  <si>
    <t>Multiple Scattering from Marion &amp; Young</t>
  </si>
  <si>
    <t>Incident particle =</t>
  </si>
  <si>
    <t>Target material =</t>
  </si>
  <si>
    <t>au</t>
  </si>
  <si>
    <t>mass (u)</t>
  </si>
  <si>
    <t>Thickness</t>
  </si>
  <si>
    <r>
      <t>m</t>
    </r>
    <r>
      <rPr>
        <sz val="10"/>
        <rFont val="Arial"/>
        <family val="2"/>
      </rPr>
      <t>g/cm2</t>
    </r>
  </si>
  <si>
    <t>=</t>
  </si>
  <si>
    <r>
      <t>b</t>
    </r>
    <r>
      <rPr>
        <sz val="10"/>
        <rFont val="Arial"/>
        <family val="2"/>
      </rPr>
      <t xml:space="preserve"> = v/c</t>
    </r>
  </si>
  <si>
    <t>b=</t>
  </si>
  <si>
    <t>B=</t>
  </si>
  <si>
    <t>(1) select cell  containing goal value</t>
  </si>
  <si>
    <t>(2) select 'goal seek' from Tools menu on top bar</t>
  </si>
  <si>
    <t>goal =</t>
  </si>
  <si>
    <t>Units</t>
  </si>
  <si>
    <t>mrad</t>
  </si>
  <si>
    <t>degrees</t>
  </si>
  <si>
    <t>fwhm</t>
  </si>
  <si>
    <t>10%to90%</t>
  </si>
  <si>
    <t>1/e</t>
  </si>
  <si>
    <t>Chi-C</t>
  </si>
  <si>
    <t xml:space="preserve">MARION &amp; YOUNG, Nuclear Reaction Analysis, page 31 and NIM 51(1967)93 </t>
  </si>
  <si>
    <t>(3) type in a value of zero for "To value" and press tab key</t>
  </si>
  <si>
    <t>(5) click on cell containing B value</t>
  </si>
  <si>
    <t>(8) click OK again</t>
  </si>
  <si>
    <t>(10) result appears below, assuming B value is valid</t>
  </si>
  <si>
    <t>(4) click on the coloured square in "By changing cell" line</t>
  </si>
  <si>
    <t>(6) click on the coloured square in "By changing cell"</t>
  </si>
  <si>
    <t>(7) click OK to initiate the solving process</t>
  </si>
  <si>
    <t>(9) check final value of B in the cell on the sheet</t>
  </si>
  <si>
    <t>(9) Solutions 4 &lt; B &lt; 15 satisfy all assumptions in theory</t>
  </si>
  <si>
    <t>M/Scatt</t>
  </si>
  <si>
    <r>
      <t>Ó</t>
    </r>
    <r>
      <rPr>
        <sz val="10"/>
        <rFont val="Arial"/>
        <family val="2"/>
      </rPr>
      <t>1998,2002 W.N. Catford</t>
    </r>
  </si>
  <si>
    <t>Breakup cones (non-relativistic)</t>
  </si>
  <si>
    <t>Emitted particle =</t>
  </si>
  <si>
    <t>Remaining particle =</t>
  </si>
  <si>
    <t>Excitation energy =</t>
  </si>
  <si>
    <t>Particle</t>
  </si>
  <si>
    <t>E_rel</t>
  </si>
  <si>
    <t>Kinetic energy =</t>
  </si>
  <si>
    <r>
      <t>b</t>
    </r>
    <r>
      <rPr>
        <sz val="10"/>
        <rFont val="Arial"/>
        <family val="2"/>
      </rPr>
      <t>_rel</t>
    </r>
  </si>
  <si>
    <t>(=v_rel/c)</t>
  </si>
  <si>
    <t>cone size (half-angle)</t>
  </si>
  <si>
    <t>Kinematic focussing of breakup particles at non-relativistic velocities</t>
  </si>
  <si>
    <t>Conesize</t>
  </si>
  <si>
    <t>Barrier</t>
  </si>
  <si>
    <t>Coulomb barriers and safe energies</t>
  </si>
  <si>
    <t>radius =</t>
  </si>
  <si>
    <t>times A^(1/3)</t>
  </si>
  <si>
    <t>Target particle =</t>
  </si>
  <si>
    <t>barrier =</t>
  </si>
  <si>
    <t>ni</t>
  </si>
  <si>
    <t>pb</t>
  </si>
  <si>
    <t>theta</t>
  </si>
  <si>
    <t>E(safe)</t>
  </si>
  <si>
    <t>E/A (safe)</t>
  </si>
  <si>
    <t>(degrees)</t>
  </si>
  <si>
    <t>or</t>
  </si>
  <si>
    <t>Incident energy =</t>
  </si>
  <si>
    <t>d (closest)</t>
  </si>
  <si>
    <t>(fm)</t>
  </si>
  <si>
    <t>Sum of radii =</t>
  </si>
  <si>
    <t>Safe means 5 fm minimum between nuclear surfaces or as specified below</t>
  </si>
  <si>
    <r>
      <t>separation</t>
    </r>
    <r>
      <rPr>
        <sz val="10"/>
        <rFont val="Arial"/>
        <family val="2"/>
      </rPr>
      <t>=</t>
    </r>
  </si>
  <si>
    <t>fm  = minimum surface separation required</t>
  </si>
  <si>
    <t>kr</t>
  </si>
  <si>
    <t>MeV/A</t>
  </si>
  <si>
    <t>(Mev/A)</t>
  </si>
  <si>
    <t>Table shows width parameters</t>
  </si>
  <si>
    <t>for the presumed gaussian</t>
  </si>
  <si>
    <t>angular distribution existing</t>
  </si>
  <si>
    <t>after multiple scattering</t>
  </si>
  <si>
    <t>suggest1.4</t>
  </si>
  <si>
    <t>n</t>
  </si>
  <si>
    <t>ne</t>
  </si>
  <si>
    <t>to TOP</t>
  </si>
  <si>
    <t>or else simply press</t>
  </si>
  <si>
    <t>ctl-m</t>
  </si>
  <si>
    <t>to calculate</t>
  </si>
  <si>
    <t>steps (1)-(10)</t>
  </si>
  <si>
    <t>using a macro</t>
  </si>
  <si>
    <t>Mom. Transfer</t>
  </si>
  <si>
    <t>MeV/c</t>
  </si>
  <si>
    <t>1/fm</t>
  </si>
  <si>
    <t>mom. Transfer</t>
  </si>
  <si>
    <t>lab angle</t>
  </si>
  <si>
    <t>kf/ki</t>
  </si>
  <si>
    <t>Mom</t>
  </si>
  <si>
    <t>Ben</t>
  </si>
  <si>
    <t>Nucleus:</t>
  </si>
  <si>
    <t>T:</t>
  </si>
  <si>
    <t>Excitation energy</t>
  </si>
  <si>
    <t xml:space="preserve"> </t>
  </si>
  <si>
    <t>restmass</t>
  </si>
  <si>
    <t>eff mass</t>
  </si>
  <si>
    <t>E</t>
  </si>
  <si>
    <t>p</t>
  </si>
  <si>
    <t>beta</t>
  </si>
  <si>
    <t>gamma</t>
  </si>
  <si>
    <t>Decay by</t>
  </si>
  <si>
    <t>For decay</t>
  </si>
  <si>
    <t>To:</t>
  </si>
  <si>
    <t>In rest frame:</t>
  </si>
  <si>
    <t>E1</t>
  </si>
  <si>
    <t>E2</t>
  </si>
  <si>
    <t>T1</t>
  </si>
  <si>
    <t>T2</t>
  </si>
  <si>
    <t>p1</t>
  </si>
  <si>
    <t>p2</t>
  </si>
  <si>
    <t>In lab frame</t>
  </si>
  <si>
    <t>theta 1</t>
  </si>
  <si>
    <t>theta2</t>
  </si>
  <si>
    <t>E1'</t>
  </si>
  <si>
    <t>p1//</t>
  </si>
  <si>
    <t>p1t</t>
  </si>
  <si>
    <t>T1'</t>
  </si>
  <si>
    <t>theta 1'</t>
  </si>
  <si>
    <t>p2//</t>
  </si>
  <si>
    <t>E2'</t>
  </si>
  <si>
    <t>T2'</t>
  </si>
  <si>
    <t>dW</t>
  </si>
  <si>
    <t>b1</t>
  </si>
  <si>
    <t>T1'-T</t>
  </si>
  <si>
    <t>p2t</t>
  </si>
  <si>
    <t>"CatKIN" ver.2.01</t>
  </si>
  <si>
    <t>Modified by R.G.T. Zegers -2008</t>
  </si>
  <si>
    <t>x</t>
  </si>
  <si>
    <t>gammac</t>
  </si>
  <si>
    <t>Ecm</t>
  </si>
  <si>
    <t>Ticm</t>
  </si>
  <si>
    <t>Tfcm</t>
  </si>
  <si>
    <t>T3cm</t>
  </si>
  <si>
    <t>T4cm</t>
  </si>
  <si>
    <t>Ecm check</t>
  </si>
  <si>
    <t>E3cm</t>
  </si>
  <si>
    <t>E4cm</t>
  </si>
  <si>
    <t>beta4c</t>
  </si>
  <si>
    <t>x3</t>
  </si>
  <si>
    <t>x4</t>
  </si>
  <si>
    <t>thetacm3</t>
  </si>
  <si>
    <t>thetacm4</t>
  </si>
  <si>
    <t>pi</t>
  </si>
  <si>
    <t>lab/cm</t>
  </si>
  <si>
    <t>inv. Cm</t>
  </si>
  <si>
    <t>dOlab/dOcm 3</t>
  </si>
  <si>
    <t>dOlab/dOcm4</t>
  </si>
  <si>
    <t>pcm</t>
  </si>
  <si>
    <t>T1cm</t>
  </si>
  <si>
    <t>T2cm</t>
  </si>
  <si>
    <t>E1cm</t>
  </si>
  <si>
    <t>E2cm</t>
  </si>
  <si>
    <t>p1cm</t>
  </si>
  <si>
    <t>p2cm</t>
  </si>
  <si>
    <t>beta1c</t>
  </si>
  <si>
    <t>beta2c</t>
  </si>
  <si>
    <t>gamma1c</t>
  </si>
  <si>
    <t>kA</t>
  </si>
  <si>
    <t>tau</t>
  </si>
  <si>
    <t>Love real</t>
  </si>
  <si>
    <t>SE</t>
  </si>
  <si>
    <t>TE</t>
  </si>
  <si>
    <t>SO</t>
  </si>
  <si>
    <t>TO</t>
  </si>
  <si>
    <t>tau-exch</t>
  </si>
  <si>
    <t>old exch</t>
  </si>
  <si>
    <t>Vol tau</t>
  </si>
  <si>
    <t>J</t>
  </si>
  <si>
    <t>Jold</t>
  </si>
  <si>
    <t>Love Imag</t>
  </si>
  <si>
    <t>sigmatau</t>
  </si>
  <si>
    <t>Sigtau-exch</t>
  </si>
  <si>
    <t>Vol ST</t>
  </si>
  <si>
    <t>E/nucleon</t>
  </si>
  <si>
    <t>alpha</t>
  </si>
  <si>
    <t>kA2</t>
  </si>
  <si>
    <t xml:space="preserve">kA </t>
  </si>
  <si>
    <t>e02</t>
  </si>
  <si>
    <t>ep2</t>
  </si>
  <si>
    <t>et2</t>
  </si>
  <si>
    <t>nA</t>
  </si>
  <si>
    <t>NA</t>
  </si>
  <si>
    <t>MeV^2/c^2</t>
  </si>
  <si>
    <t>from Love-Franey '85</t>
  </si>
  <si>
    <t>Q^2 in V(Q)</t>
  </si>
  <si>
    <t>Q</t>
  </si>
  <si>
    <t>Q in V(Q) as used in FOLD</t>
  </si>
  <si>
    <t>Normalization to NN FRAME as used in fold</t>
  </si>
  <si>
    <t>Kinematic factor in unit cross section</t>
  </si>
  <si>
    <t>ki</t>
  </si>
  <si>
    <t>norm</t>
  </si>
  <si>
    <t>JD</t>
  </si>
  <si>
    <t>JDE</t>
  </si>
  <si>
    <t>beta1</t>
  </si>
  <si>
    <t>LOVE-FRANEY 140 MeV</t>
  </si>
  <si>
    <t>LOVE-FRANEY 100 MeV</t>
  </si>
  <si>
    <t>p3cm</t>
  </si>
  <si>
    <t>p4cm</t>
  </si>
  <si>
    <t>bhro</t>
  </si>
  <si>
    <t>E1'+E2'</t>
  </si>
  <si>
    <t>E1'+E2'-Ei</t>
  </si>
  <si>
    <t>M(amu)</t>
  </si>
  <si>
    <t>M(GeV)</t>
  </si>
  <si>
    <t>M_nuclear(MeV)</t>
  </si>
  <si>
    <t>Lab Angle</t>
  </si>
  <si>
    <t>radians</t>
  </si>
  <si>
    <t>c.m./Lab</t>
  </si>
  <si>
    <t>28667#</t>
  </si>
  <si>
    <t>2000#</t>
  </si>
  <si>
    <t>37139#</t>
  </si>
  <si>
    <t>2003#</t>
  </si>
  <si>
    <t>49135#</t>
  </si>
  <si>
    <t>1004#</t>
  </si>
  <si>
    <t>C  2</t>
  </si>
  <si>
    <t>N  p</t>
  </si>
  <si>
    <t>68450#</t>
  </si>
  <si>
    <t>800#</t>
  </si>
  <si>
    <t>77330#</t>
  </si>
  <si>
    <t>45643#</t>
  </si>
  <si>
    <t>26990#</t>
  </si>
  <si>
    <t>18201#</t>
  </si>
  <si>
    <t>33338#</t>
  </si>
  <si>
    <t>64171#</t>
  </si>
  <si>
    <t>23697#</t>
  </si>
  <si>
    <t>46938#</t>
  </si>
  <si>
    <t>33320#</t>
  </si>
  <si>
    <t>55983#</t>
  </si>
  <si>
    <t>19738#</t>
  </si>
  <si>
    <t>27079#</t>
  </si>
  <si>
    <t>44670#</t>
  </si>
  <si>
    <t>17028#</t>
  </si>
  <si>
    <t>52080#</t>
  </si>
  <si>
    <t>27516#</t>
  </si>
  <si>
    <t>48112#</t>
  </si>
  <si>
    <t>56143#</t>
  </si>
  <si>
    <t>546#</t>
  </si>
  <si>
    <t>11325#</t>
  </si>
  <si>
    <t>36999#</t>
  </si>
  <si>
    <t>21098#</t>
  </si>
  <si>
    <t>45997#</t>
  </si>
  <si>
    <t>7042#</t>
  </si>
  <si>
    <t>52842#</t>
  </si>
  <si>
    <t>513#</t>
  </si>
  <si>
    <t>-1220#</t>
  </si>
  <si>
    <t>13851#</t>
  </si>
  <si>
    <t>38231#</t>
  </si>
  <si>
    <t>670#</t>
  </si>
  <si>
    <t>Si 2</t>
  </si>
  <si>
    <t>4788#</t>
  </si>
  <si>
    <t>46303#</t>
  </si>
  <si>
    <t>678#</t>
  </si>
  <si>
    <t>15351#</t>
  </si>
  <si>
    <t>53534#</t>
  </si>
  <si>
    <t>687#</t>
  </si>
  <si>
    <t>P  p</t>
  </si>
  <si>
    <t>3520#</t>
  </si>
  <si>
    <t>34074#</t>
  </si>
  <si>
    <t>-4249#</t>
  </si>
  <si>
    <t>10870#</t>
  </si>
  <si>
    <t>42275#</t>
  </si>
  <si>
    <t>20650#</t>
  </si>
  <si>
    <t>S  2</t>
  </si>
  <si>
    <t>Sc 2</t>
  </si>
  <si>
    <t>2200#</t>
  </si>
  <si>
    <t>48350#</t>
  </si>
  <si>
    <t>27590#</t>
  </si>
  <si>
    <t>12170#</t>
  </si>
  <si>
    <t>33420#</t>
  </si>
  <si>
    <t>320#</t>
  </si>
  <si>
    <t>40100#</t>
  </si>
  <si>
    <t>600#</t>
  </si>
  <si>
    <t>16470#</t>
  </si>
  <si>
    <t>-7620#</t>
  </si>
  <si>
    <t>6730#</t>
  </si>
  <si>
    <t>47020#</t>
  </si>
  <si>
    <t>23101#</t>
  </si>
  <si>
    <t>Ti -</t>
  </si>
  <si>
    <t>-1970#</t>
  </si>
  <si>
    <t>28513#</t>
  </si>
  <si>
    <t>10450#</t>
  </si>
  <si>
    <t>-13360#</t>
  </si>
  <si>
    <t>7030#</t>
  </si>
  <si>
    <t>37490#</t>
  </si>
  <si>
    <t>700#</t>
  </si>
  <si>
    <t>15600#</t>
  </si>
  <si>
    <t>-5250#</t>
  </si>
  <si>
    <t>13762#</t>
  </si>
  <si>
    <t>22970#</t>
  </si>
  <si>
    <t>340#</t>
  </si>
  <si>
    <t>-12570#</t>
  </si>
  <si>
    <t>910#</t>
  </si>
  <si>
    <t>29710#</t>
  </si>
  <si>
    <t>7370#</t>
  </si>
  <si>
    <t>-9780#</t>
  </si>
  <si>
    <t>-6870#</t>
  </si>
  <si>
    <t>10370#</t>
  </si>
  <si>
    <t>12761#</t>
  </si>
  <si>
    <t>-4280#</t>
  </si>
  <si>
    <t>-18000#</t>
  </si>
  <si>
    <t>1500#</t>
  </si>
  <si>
    <t>16793#</t>
  </si>
  <si>
    <t>502#</t>
  </si>
  <si>
    <t>21093#</t>
  </si>
  <si>
    <t>667#</t>
  </si>
  <si>
    <t>940#</t>
  </si>
  <si>
    <t>-17190#</t>
  </si>
  <si>
    <t>-9880#</t>
  </si>
  <si>
    <t>8200#</t>
  </si>
  <si>
    <t>7740#</t>
  </si>
  <si>
    <t>-13330#</t>
  </si>
  <si>
    <t>-17630#</t>
  </si>
  <si>
    <t>-4120#</t>
  </si>
  <si>
    <t>14290#</t>
  </si>
  <si>
    <t>-6690#</t>
  </si>
  <si>
    <t>Sc -</t>
  </si>
  <si>
    <t>-11900#</t>
  </si>
  <si>
    <t>-1280#</t>
  </si>
  <si>
    <t>-22330#</t>
  </si>
  <si>
    <t>-2280#</t>
  </si>
  <si>
    <t>6791#</t>
  </si>
  <si>
    <t>-13270#</t>
  </si>
  <si>
    <t>-5002#</t>
  </si>
  <si>
    <t>-21410#</t>
  </si>
  <si>
    <t>-6272#</t>
  </si>
  <si>
    <t>-18350#</t>
  </si>
  <si>
    <t>-14570#</t>
  </si>
  <si>
    <t>7927#</t>
  </si>
  <si>
    <t>-13898#</t>
  </si>
  <si>
    <t>-25390#</t>
  </si>
  <si>
    <t>-3390#</t>
  </si>
  <si>
    <t>-6874#</t>
  </si>
  <si>
    <t>-32550#</t>
  </si>
  <si>
    <t>-15010#</t>
  </si>
  <si>
    <t>-1919#</t>
  </si>
  <si>
    <t>-31110#</t>
  </si>
  <si>
    <t>-23540#</t>
  </si>
  <si>
    <t>-7080#</t>
  </si>
  <si>
    <t>-10302#</t>
  </si>
  <si>
    <t>-25510#</t>
  </si>
  <si>
    <t>-33760#</t>
  </si>
  <si>
    <t>170#</t>
  </si>
  <si>
    <t>-15870#</t>
  </si>
  <si>
    <t>-4052#</t>
  </si>
  <si>
    <t>-39590#</t>
  </si>
  <si>
    <t>-27090#</t>
  </si>
  <si>
    <t>-5470#</t>
  </si>
  <si>
    <t>-16350#</t>
  </si>
  <si>
    <t>-33360#</t>
  </si>
  <si>
    <t>-16900#</t>
  </si>
  <si>
    <t>-12500#</t>
  </si>
  <si>
    <t>-25476#</t>
  </si>
  <si>
    <t>-41740#</t>
  </si>
  <si>
    <t>-24320#</t>
  </si>
  <si>
    <t>-5750#</t>
  </si>
  <si>
    <t>-21890#</t>
  </si>
  <si>
    <t>-33500#</t>
  </si>
  <si>
    <t>-1025#</t>
  </si>
  <si>
    <t>-16320#</t>
  </si>
  <si>
    <t>-39532#</t>
  </si>
  <si>
    <t>-26700#</t>
  </si>
  <si>
    <t>-11780#</t>
  </si>
  <si>
    <t>-28220#</t>
  </si>
  <si>
    <t>-33020#</t>
  </si>
  <si>
    <t>-5610#</t>
  </si>
  <si>
    <t>-24720#</t>
  </si>
  <si>
    <t>-41660#</t>
  </si>
  <si>
    <t>-650#</t>
  </si>
  <si>
    <t>-18680#</t>
  </si>
  <si>
    <t>-33460#</t>
  </si>
  <si>
    <t>Ge -</t>
  </si>
  <si>
    <t>-32790#</t>
  </si>
  <si>
    <t>-14800#</t>
  </si>
  <si>
    <t>-28380#</t>
  </si>
  <si>
    <t>-38791#</t>
  </si>
  <si>
    <t>259#</t>
  </si>
  <si>
    <t>-8580#</t>
  </si>
  <si>
    <t>-24770#</t>
  </si>
  <si>
    <t>-39030#</t>
  </si>
  <si>
    <t>-32435#</t>
  </si>
  <si>
    <t>-4480#</t>
  </si>
  <si>
    <t>-19500#</t>
  </si>
  <si>
    <t>-36510#</t>
  </si>
  <si>
    <t>-46630#</t>
  </si>
  <si>
    <t>-41100#</t>
  </si>
  <si>
    <t>-15570#</t>
  </si>
  <si>
    <t>-31430#</t>
  </si>
  <si>
    <t>-32060#</t>
  </si>
  <si>
    <t>-9900#</t>
  </si>
  <si>
    <t>-28430#</t>
  </si>
  <si>
    <t>-40200#</t>
  </si>
  <si>
    <t>-38330#</t>
  </si>
  <si>
    <t>-22900#</t>
  </si>
  <si>
    <t>-37418#</t>
  </si>
  <si>
    <t>-46082#</t>
  </si>
  <si>
    <t>-31950#</t>
  </si>
  <si>
    <t>-19590#</t>
  </si>
  <si>
    <t>-32820#</t>
  </si>
  <si>
    <t>-48456#</t>
  </si>
  <si>
    <t>-40827#</t>
  </si>
  <si>
    <t>100#</t>
  </si>
  <si>
    <t>-13640#</t>
  </si>
  <si>
    <t>-29649#</t>
  </si>
  <si>
    <t>-44030#</t>
  </si>
  <si>
    <t>-31820#</t>
  </si>
  <si>
    <t>-24510#</t>
  </si>
  <si>
    <t>-41630#</t>
  </si>
  <si>
    <t>-21015#</t>
  </si>
  <si>
    <t>-36800#</t>
  </si>
  <si>
    <t>-48624#</t>
  </si>
  <si>
    <t>-46439#</t>
  </si>
  <si>
    <t>-32040#</t>
  </si>
  <si>
    <t>-33890#</t>
  </si>
  <si>
    <t>-52173#</t>
  </si>
  <si>
    <t>-40850#</t>
  </si>
  <si>
    <t>-27570#</t>
  </si>
  <si>
    <t>-46770#</t>
  </si>
  <si>
    <t>-31650#</t>
  </si>
  <si>
    <t>-22630#</t>
  </si>
  <si>
    <t>-36200#</t>
  </si>
  <si>
    <t>-54360#</t>
  </si>
  <si>
    <t>-38420#</t>
  </si>
  <si>
    <t>-31420#</t>
  </si>
  <si>
    <t>-46360#</t>
  </si>
  <si>
    <t>-31750#</t>
  </si>
  <si>
    <t>-25320#</t>
  </si>
  <si>
    <t>-52090#</t>
  </si>
  <si>
    <t>-40370#</t>
  </si>
  <si>
    <t>-36290#</t>
  </si>
  <si>
    <t>-46340#</t>
  </si>
  <si>
    <t>-31320#</t>
  </si>
  <si>
    <t>-31930#</t>
  </si>
  <si>
    <t>-44088#</t>
  </si>
  <si>
    <t>-54170#</t>
  </si>
  <si>
    <t>-37700#</t>
  </si>
  <si>
    <t>-25230#</t>
  </si>
  <si>
    <t>-39849#</t>
  </si>
  <si>
    <t>Br +</t>
  </si>
  <si>
    <t>-45850#</t>
  </si>
  <si>
    <t>-30950#</t>
  </si>
  <si>
    <t>-34080#</t>
  </si>
  <si>
    <t>-51570#</t>
  </si>
  <si>
    <t>-39770#</t>
  </si>
  <si>
    <t>-29250#</t>
  </si>
  <si>
    <t>-44078#</t>
  </si>
  <si>
    <t>Br 2</t>
  </si>
  <si>
    <t>-45520#</t>
  </si>
  <si>
    <t>-40138#</t>
  </si>
  <si>
    <t>-50720#</t>
  </si>
  <si>
    <t>-54340#</t>
  </si>
  <si>
    <t>-36860#</t>
  </si>
  <si>
    <t>-46798#</t>
  </si>
  <si>
    <t>-58260#</t>
  </si>
  <si>
    <t>-45861#</t>
  </si>
  <si>
    <t>-29221#</t>
  </si>
  <si>
    <t>-41330#</t>
  </si>
  <si>
    <t>-51700#</t>
  </si>
  <si>
    <t>-39710#</t>
  </si>
  <si>
    <t>-36896#</t>
  </si>
  <si>
    <t>Br -</t>
  </si>
  <si>
    <t>-58570#</t>
  </si>
  <si>
    <t>-45930#</t>
  </si>
  <si>
    <t>-30981#</t>
  </si>
  <si>
    <t>-46724#</t>
  </si>
  <si>
    <t>-54580#</t>
  </si>
  <si>
    <t>-37130#</t>
  </si>
  <si>
    <t>-40716#</t>
  </si>
  <si>
    <t>-59001#</t>
  </si>
  <si>
    <t>-46267#</t>
  </si>
  <si>
    <t>-36803#</t>
  </si>
  <si>
    <t>-47400#</t>
  </si>
  <si>
    <t>-52410#</t>
  </si>
  <si>
    <t>-40140#</t>
  </si>
  <si>
    <t>-30460#</t>
  </si>
  <si>
    <t>-46631#</t>
  </si>
  <si>
    <t>-38163#</t>
  </si>
  <si>
    <t>-55573#</t>
  </si>
  <si>
    <t>-37890#</t>
  </si>
  <si>
    <t>-34055#</t>
  </si>
  <si>
    <t>-60454#</t>
  </si>
  <si>
    <t>-47189#</t>
  </si>
  <si>
    <t>-28250#</t>
  </si>
  <si>
    <t>-44311#</t>
  </si>
  <si>
    <t>Y  p</t>
  </si>
  <si>
    <t>-53896#</t>
  </si>
  <si>
    <t>-38759#</t>
  </si>
  <si>
    <t>-61376#</t>
  </si>
  <si>
    <t>-47944#</t>
  </si>
  <si>
    <t>-35052#</t>
  </si>
  <si>
    <t>-29128#</t>
  </si>
  <si>
    <t>-42845#</t>
  </si>
  <si>
    <t>-68614#</t>
  </si>
  <si>
    <t>-37707#</t>
  </si>
  <si>
    <t>-33608#</t>
  </si>
  <si>
    <t>-47422#</t>
  </si>
  <si>
    <t>-56178#</t>
  </si>
  <si>
    <t>-54064#</t>
  </si>
  <si>
    <t>-38610#</t>
  </si>
  <si>
    <t>-34790#</t>
  </si>
  <si>
    <t>-46053#</t>
  </si>
  <si>
    <t>-28900#</t>
  </si>
  <si>
    <t>-42364#</t>
  </si>
  <si>
    <t>-49430#</t>
  </si>
  <si>
    <t>-37297#</t>
  </si>
  <si>
    <t>-51353#</t>
  </si>
  <si>
    <t>-33200#</t>
  </si>
  <si>
    <t>-46193#</t>
  </si>
  <si>
    <t>-42886#</t>
  </si>
  <si>
    <t>-37560#</t>
  </si>
  <si>
    <t>-48875#</t>
  </si>
  <si>
    <t>-42821#</t>
  </si>
  <si>
    <t>-33810#</t>
  </si>
  <si>
    <t>-44274#</t>
  </si>
  <si>
    <t>-57464#</t>
  </si>
  <si>
    <t>-40511#</t>
  </si>
  <si>
    <t>-39784#</t>
  </si>
  <si>
    <t>-35387#</t>
  </si>
  <si>
    <t>-49807#</t>
  </si>
  <si>
    <t>-31354#</t>
  </si>
  <si>
    <t>-44749#</t>
  </si>
  <si>
    <t>-49020#</t>
  </si>
  <si>
    <t>-41500#</t>
  </si>
  <si>
    <t>-51456#</t>
  </si>
  <si>
    <t>-62043#</t>
  </si>
  <si>
    <t>-40645#</t>
  </si>
  <si>
    <t>312#</t>
  </si>
  <si>
    <t>-48382#</t>
  </si>
  <si>
    <t>-46471#</t>
  </si>
  <si>
    <t>-32630#</t>
  </si>
  <si>
    <t>-43790#</t>
  </si>
  <si>
    <t>-57260#</t>
  </si>
  <si>
    <t>-62354#</t>
  </si>
  <si>
    <t>-49560#</t>
  </si>
  <si>
    <t>-40371#</t>
  </si>
  <si>
    <t>-52564#</t>
  </si>
  <si>
    <t>-54790#</t>
  </si>
  <si>
    <t>-43940#</t>
  </si>
  <si>
    <t>-35518#</t>
  </si>
  <si>
    <t>-50012#</t>
  </si>
  <si>
    <t>-58815#</t>
  </si>
  <si>
    <t>-57570#</t>
  </si>
  <si>
    <t>-49600#</t>
  </si>
  <si>
    <t>-31780#</t>
  </si>
  <si>
    <t>-62190#</t>
  </si>
  <si>
    <t>-52690#</t>
  </si>
  <si>
    <t>-41422#</t>
  </si>
  <si>
    <t>-42150#</t>
  </si>
  <si>
    <t>-52080#</t>
  </si>
  <si>
    <t>-57874#</t>
  </si>
  <si>
    <t>-44780#</t>
  </si>
  <si>
    <t>-37080#</t>
  </si>
  <si>
    <t>-49360#</t>
  </si>
  <si>
    <t>-68651#</t>
  </si>
  <si>
    <t>-60286#</t>
  </si>
  <si>
    <t>-50230#</t>
  </si>
  <si>
    <t>-33960#</t>
  </si>
  <si>
    <t>-44890#</t>
  </si>
  <si>
    <t>-58390#</t>
  </si>
  <si>
    <t>-53151#</t>
  </si>
  <si>
    <t>-44525#</t>
  </si>
  <si>
    <t>-42000#</t>
  </si>
  <si>
    <t>-54120#</t>
  </si>
  <si>
    <t>-66658#</t>
  </si>
  <si>
    <t>-57940#</t>
  </si>
  <si>
    <t>-37300#</t>
  </si>
  <si>
    <t>-51860#</t>
  </si>
  <si>
    <t>-60680#</t>
  </si>
  <si>
    <t>-60324#</t>
  </si>
  <si>
    <t>-52993#</t>
  </si>
  <si>
    <t>-39350#</t>
  </si>
  <si>
    <t>-34030#</t>
  </si>
  <si>
    <t>-47180#</t>
  </si>
  <si>
    <t>-58440#</t>
  </si>
  <si>
    <t>-55536#</t>
  </si>
  <si>
    <t>-44786#</t>
  </si>
  <si>
    <t>-44490#</t>
  </si>
  <si>
    <t>-54620#</t>
  </si>
  <si>
    <t>-60314#</t>
  </si>
  <si>
    <t>-47786#</t>
  </si>
  <si>
    <t>-38670#</t>
  </si>
  <si>
    <t>-37610#</t>
  </si>
  <si>
    <t>-51980#</t>
  </si>
  <si>
    <t>-62315#</t>
  </si>
  <si>
    <t>-52881#</t>
  </si>
  <si>
    <t>-45697#</t>
  </si>
  <si>
    <t>-55396#</t>
  </si>
  <si>
    <t>-47506#</t>
  </si>
  <si>
    <t>-33683#</t>
  </si>
  <si>
    <t>-40380#</t>
  </si>
  <si>
    <t>-59660#</t>
  </si>
  <si>
    <t>-50133#</t>
  </si>
  <si>
    <t>-39270#</t>
  </si>
  <si>
    <t>-33790#</t>
  </si>
  <si>
    <t>-50263#</t>
  </si>
  <si>
    <t>-61628#</t>
  </si>
  <si>
    <t>-55079#</t>
  </si>
  <si>
    <t>-42200#</t>
  </si>
  <si>
    <t>-43920#</t>
  </si>
  <si>
    <t>-57231#</t>
  </si>
  <si>
    <t>-35860#</t>
  </si>
  <si>
    <t>-38920#</t>
  </si>
  <si>
    <t>-49928#</t>
  </si>
  <si>
    <t>-41302#</t>
  </si>
  <si>
    <t>-46528#</t>
  </si>
  <si>
    <t>-44390#</t>
  </si>
  <si>
    <t>-32825#</t>
  </si>
  <si>
    <t>-40510#</t>
  </si>
  <si>
    <t>-56244#</t>
  </si>
  <si>
    <t>-36130#</t>
  </si>
  <si>
    <t>-35040#</t>
  </si>
  <si>
    <t>-49788#</t>
  </si>
  <si>
    <t>I  p</t>
  </si>
  <si>
    <t>-51214#</t>
  </si>
  <si>
    <t>-40967#</t>
  </si>
  <si>
    <t>-44861#</t>
  </si>
  <si>
    <t>-55800#</t>
  </si>
  <si>
    <t>-43668#</t>
  </si>
  <si>
    <t>-34931#</t>
  </si>
  <si>
    <t>-38440#</t>
  </si>
  <si>
    <t>-57632#</t>
  </si>
  <si>
    <t>-48130#</t>
  </si>
  <si>
    <t>-37642#</t>
  </si>
  <si>
    <t>-43939#</t>
  </si>
  <si>
    <t>-42830#</t>
  </si>
  <si>
    <t>-29259#</t>
  </si>
  <si>
    <t>-39110#</t>
  </si>
  <si>
    <t>-50487#</t>
  </si>
  <si>
    <t>-45382#</t>
  </si>
  <si>
    <t>-34364#</t>
  </si>
  <si>
    <t>-50120#</t>
  </si>
  <si>
    <t>729#</t>
  </si>
  <si>
    <t>-37250#</t>
  </si>
  <si>
    <t>-28030#</t>
  </si>
  <si>
    <t>-40278#</t>
  </si>
  <si>
    <t>-50630#</t>
  </si>
  <si>
    <t>-42048#</t>
  </si>
  <si>
    <t>-31260#</t>
  </si>
  <si>
    <t>-45280#</t>
  </si>
  <si>
    <t>-36608#</t>
  </si>
  <si>
    <t>-22259#</t>
  </si>
  <si>
    <t>-40939#</t>
  </si>
  <si>
    <t>-39240#</t>
  </si>
  <si>
    <t>-27583#</t>
  </si>
  <si>
    <t>-31055#</t>
  </si>
  <si>
    <t>-42360#</t>
  </si>
  <si>
    <t>-38600#</t>
  </si>
  <si>
    <t>-30330#</t>
  </si>
  <si>
    <t>-43250#</t>
  </si>
  <si>
    <t>-43883#</t>
  </si>
  <si>
    <t>-33198#</t>
  </si>
  <si>
    <t>-38170#</t>
  </si>
  <si>
    <t>-49900#</t>
  </si>
  <si>
    <t>-38638#</t>
  </si>
  <si>
    <t>-24640#</t>
  </si>
  <si>
    <t>-34230#</t>
  </si>
  <si>
    <t>-44940#</t>
  </si>
  <si>
    <t>-30108#</t>
  </si>
  <si>
    <t>-28930#</t>
  </si>
  <si>
    <t>-41710#</t>
  </si>
  <si>
    <t>-49290#</t>
  </si>
  <si>
    <t>-58980#</t>
  </si>
  <si>
    <t>-33422#</t>
  </si>
  <si>
    <t>-36470#</t>
  </si>
  <si>
    <t>-46060#</t>
  </si>
  <si>
    <t>-54910#</t>
  </si>
  <si>
    <t>-47208#</t>
  </si>
  <si>
    <t>-27300#</t>
  </si>
  <si>
    <t>-41530#</t>
  </si>
  <si>
    <t>-52220#</t>
  </si>
  <si>
    <t>-39715#</t>
  </si>
  <si>
    <t>-32670#</t>
  </si>
  <si>
    <t>-37930#</t>
  </si>
  <si>
    <t>-47780#</t>
  </si>
  <si>
    <t>-34170#</t>
  </si>
  <si>
    <t>-23928#</t>
  </si>
  <si>
    <t>-33050#</t>
  </si>
  <si>
    <t>-44820#</t>
  </si>
  <si>
    <t>-51568#</t>
  </si>
  <si>
    <t>-25861#</t>
  </si>
  <si>
    <t>-39930#</t>
  </si>
  <si>
    <t>-48540#</t>
  </si>
  <si>
    <t>-38903#</t>
  </si>
  <si>
    <t>-19470#</t>
  </si>
  <si>
    <t>-36660#</t>
  </si>
  <si>
    <t>-44330#</t>
  </si>
  <si>
    <t>-54055#</t>
  </si>
  <si>
    <t>-31167#</t>
  </si>
  <si>
    <t>-23633#</t>
  </si>
  <si>
    <t>-41088#</t>
  </si>
  <si>
    <t>-25295#</t>
  </si>
  <si>
    <t>-14745#</t>
  </si>
  <si>
    <t>-36520#</t>
  </si>
  <si>
    <t>-47134#</t>
  </si>
  <si>
    <t>-16739#</t>
  </si>
  <si>
    <t>-42588#</t>
  </si>
  <si>
    <t>-50235#</t>
  </si>
  <si>
    <t>-30555#</t>
  </si>
  <si>
    <t>-9979#</t>
  </si>
  <si>
    <t>-39550#</t>
  </si>
  <si>
    <t>-54530#</t>
  </si>
  <si>
    <t>-22501#</t>
  </si>
  <si>
    <t>-14440#</t>
  </si>
  <si>
    <t>-16192#</t>
  </si>
  <si>
    <t>-38870#</t>
  </si>
  <si>
    <t>-53381#</t>
  </si>
  <si>
    <t>114#</t>
  </si>
  <si>
    <t>-59774#</t>
  </si>
  <si>
    <t>-7344#</t>
  </si>
  <si>
    <t>-50724#</t>
  </si>
  <si>
    <t>138#</t>
  </si>
  <si>
    <t>-56453#</t>
  </si>
  <si>
    <t>121#</t>
  </si>
  <si>
    <t>-60566#</t>
  </si>
  <si>
    <t>-21795#</t>
  </si>
  <si>
    <t>-11593#</t>
  </si>
  <si>
    <t>-40730#</t>
  </si>
  <si>
    <t>-13354#</t>
  </si>
  <si>
    <t>-4730#</t>
  </si>
  <si>
    <t>-44010#</t>
  </si>
  <si>
    <t>-50813#</t>
  </si>
  <si>
    <t>-55927#</t>
  </si>
  <si>
    <t>-34831#</t>
  </si>
  <si>
    <t>40#</t>
  </si>
  <si>
    <t>-6612#</t>
  </si>
  <si>
    <t>-39740#</t>
  </si>
  <si>
    <t>-48363#</t>
  </si>
  <si>
    <t>-52723#</t>
  </si>
  <si>
    <t>-44153#</t>
  </si>
  <si>
    <t>-50329#</t>
  </si>
  <si>
    <t>-12512#</t>
  </si>
  <si>
    <t>-1788#</t>
  </si>
  <si>
    <t>-41380#</t>
  </si>
  <si>
    <t>-53663#</t>
  </si>
  <si>
    <t>-23360#</t>
  </si>
  <si>
    <t>89#</t>
  </si>
  <si>
    <t>-3752#</t>
  </si>
  <si>
    <t>-44032#</t>
  </si>
  <si>
    <t>-50189#</t>
  </si>
  <si>
    <t>3480#</t>
  </si>
  <si>
    <t>303#</t>
  </si>
  <si>
    <t>-39850#</t>
  </si>
  <si>
    <t>-48009#</t>
  </si>
  <si>
    <t>-51484#</t>
  </si>
  <si>
    <t>-49351#</t>
  </si>
  <si>
    <t>-2710#</t>
  </si>
  <si>
    <t>-41370#</t>
  </si>
  <si>
    <t>-45690#</t>
  </si>
  <si>
    <t>-51949#</t>
  </si>
  <si>
    <t>-14235#</t>
  </si>
  <si>
    <t>-43203#</t>
  </si>
  <si>
    <t>-48652#</t>
  </si>
  <si>
    <t>-39290#</t>
  </si>
  <si>
    <t>-42858#</t>
  </si>
  <si>
    <t>-40260#</t>
  </si>
  <si>
    <t>-50598#</t>
  </si>
  <si>
    <t>52#</t>
  </si>
  <si>
    <t>-4790#</t>
  </si>
  <si>
    <t>-46537#</t>
  </si>
  <si>
    <t>-37920#</t>
  </si>
  <si>
    <t>-35170#</t>
  </si>
  <si>
    <t>-38820#</t>
  </si>
  <si>
    <t>-41880#</t>
  </si>
  <si>
    <t>-35100#</t>
  </si>
  <si>
    <t>-32540#</t>
  </si>
  <si>
    <t>-36412#</t>
  </si>
  <si>
    <t>-28500#</t>
  </si>
  <si>
    <t>-33888#</t>
  </si>
  <si>
    <t>-2236#</t>
  </si>
  <si>
    <t>81#</t>
  </si>
  <si>
    <t>-30210#</t>
  </si>
  <si>
    <t>-27580#</t>
  </si>
  <si>
    <t>-32817#</t>
  </si>
  <si>
    <t>-23790#</t>
  </si>
  <si>
    <t>-30879#</t>
  </si>
  <si>
    <t>-27162#</t>
  </si>
  <si>
    <t>-31829#</t>
  </si>
  <si>
    <t>-25030#</t>
  </si>
  <si>
    <t>-28513#</t>
  </si>
  <si>
    <t>-26492#</t>
  </si>
  <si>
    <t>-23064#</t>
  </si>
  <si>
    <t>-20870#</t>
  </si>
  <si>
    <t>-26287#</t>
  </si>
  <si>
    <t>-17300#</t>
  </si>
  <si>
    <t>-24526#</t>
  </si>
  <si>
    <t>-27237#</t>
  </si>
  <si>
    <t>-21010#</t>
  </si>
  <si>
    <t>-25579#</t>
  </si>
  <si>
    <t>-18880#</t>
  </si>
  <si>
    <t>-22542#</t>
  </si>
  <si>
    <t>-15140#</t>
  </si>
  <si>
    <t>-20502#</t>
  </si>
  <si>
    <t>-25309#</t>
  </si>
  <si>
    <t>-17139#</t>
  </si>
  <si>
    <t>-23837#</t>
  </si>
  <si>
    <t>-14860#</t>
  </si>
  <si>
    <t>-20484#</t>
  </si>
  <si>
    <t>Ir p</t>
  </si>
  <si>
    <t>-18779#</t>
  </si>
  <si>
    <t>-21611#</t>
  </si>
  <si>
    <t>-15239#</t>
  </si>
  <si>
    <t>-19897#</t>
  </si>
  <si>
    <t>-13087#</t>
  </si>
  <si>
    <t>-16776#</t>
  </si>
  <si>
    <t>-7640#</t>
  </si>
  <si>
    <t>-14690#</t>
  </si>
  <si>
    <t>-19627#</t>
  </si>
  <si>
    <t>-9688#</t>
  </si>
  <si>
    <t>-17922#</t>
  </si>
  <si>
    <t>-20650#</t>
  </si>
  <si>
    <t>-5960#</t>
  </si>
  <si>
    <t>-12966#</t>
  </si>
  <si>
    <t>-18770#</t>
  </si>
  <si>
    <t>-9632#</t>
  </si>
  <si>
    <t>-14215#</t>
  </si>
  <si>
    <t>-4540#</t>
  </si>
  <si>
    <t>-10810#</t>
  </si>
  <si>
    <t>-990#</t>
  </si>
  <si>
    <t>-6101#</t>
  </si>
  <si>
    <t>-2540#</t>
  </si>
  <si>
    <t>-8644#</t>
  </si>
  <si>
    <t>16367#</t>
  </si>
  <si>
    <t>2329#</t>
  </si>
  <si>
    <t>-5365#</t>
  </si>
  <si>
    <t>-624#</t>
  </si>
  <si>
    <t>22080#</t>
  </si>
  <si>
    <t>2757#</t>
  </si>
  <si>
    <t>-1551#</t>
  </si>
  <si>
    <t>7666#</t>
  </si>
  <si>
    <t>11178#</t>
  </si>
  <si>
    <t>6465#</t>
  </si>
  <si>
    <t>16208#</t>
  </si>
  <si>
    <t>9911#</t>
  </si>
  <si>
    <t>19859#</t>
  </si>
  <si>
    <t>14718#</t>
  </si>
  <si>
    <t>7480#</t>
  </si>
  <si>
    <t>18313#</t>
  </si>
  <si>
    <t>12240#</t>
  </si>
  <si>
    <t>22973#</t>
  </si>
  <si>
    <t>23180#</t>
  </si>
  <si>
    <t>15453#</t>
  </si>
  <si>
    <t>20279#</t>
  </si>
  <si>
    <t>16283#</t>
  </si>
  <si>
    <t>23669#</t>
  </si>
  <si>
    <t>20819#</t>
  </si>
  <si>
    <t>20218#</t>
  </si>
  <si>
    <t>51#</t>
  </si>
  <si>
    <t>22933#</t>
  </si>
  <si>
    <t>101#</t>
  </si>
  <si>
    <t>30311#</t>
  </si>
  <si>
    <t>24098#</t>
  </si>
  <si>
    <t>29850#</t>
  </si>
  <si>
    <t>28729#</t>
  </si>
  <si>
    <t>22155#</t>
  </si>
  <si>
    <t>72#</t>
  </si>
  <si>
    <t>31019#</t>
  </si>
  <si>
    <t>32137#</t>
  </si>
  <si>
    <t>30600#</t>
  </si>
  <si>
    <t>36830#</t>
  </si>
  <si>
    <t>29910#</t>
  </si>
  <si>
    <t>31876#</t>
  </si>
  <si>
    <t>34530#</t>
  </si>
  <si>
    <t>30395#</t>
  </si>
  <si>
    <t>37549#</t>
  </si>
  <si>
    <t>34614#</t>
  </si>
  <si>
    <t>32777#</t>
  </si>
  <si>
    <t>88#</t>
  </si>
  <si>
    <t>42281#</t>
  </si>
  <si>
    <t>37483#</t>
  </si>
  <si>
    <t>36770#</t>
  </si>
  <si>
    <t>41684#</t>
  </si>
  <si>
    <t>44823#</t>
  </si>
  <si>
    <t>42048#</t>
  </si>
  <si>
    <t>42932#</t>
  </si>
  <si>
    <t>133#</t>
  </si>
  <si>
    <t>46454#</t>
  </si>
  <si>
    <t>42410#</t>
  </si>
  <si>
    <t>47270#</t>
  </si>
  <si>
    <t>37360#</t>
  </si>
  <si>
    <t>43340#</t>
  </si>
  <si>
    <t>46312#</t>
  </si>
  <si>
    <t>43263#</t>
  </si>
  <si>
    <t>52861#</t>
  </si>
  <si>
    <t>224#</t>
  </si>
  <si>
    <t>44461#</t>
  </si>
  <si>
    <t>159#</t>
  </si>
  <si>
    <t>53455#</t>
  </si>
  <si>
    <t>142#</t>
  </si>
  <si>
    <t>51130#</t>
  </si>
  <si>
    <t>48034#</t>
  </si>
  <si>
    <t>46041#</t>
  </si>
  <si>
    <t>53542#</t>
  </si>
  <si>
    <t>54020#</t>
  </si>
  <si>
    <t>46570#</t>
  </si>
  <si>
    <t>59#</t>
  </si>
  <si>
    <t>53188#</t>
  </si>
  <si>
    <t>52525#</t>
  </si>
  <si>
    <t>283#</t>
  </si>
  <si>
    <t>54216#</t>
  </si>
  <si>
    <t>255#</t>
  </si>
  <si>
    <t>57278#</t>
  </si>
  <si>
    <t>56450#</t>
  </si>
  <si>
    <t>53337#</t>
  </si>
  <si>
    <t>54250#</t>
  </si>
  <si>
    <t>58269#</t>
  </si>
  <si>
    <t>209#</t>
  </si>
  <si>
    <t>63556#</t>
  </si>
  <si>
    <t>56910#</t>
  </si>
  <si>
    <t>55664#</t>
  </si>
  <si>
    <t>150#</t>
  </si>
  <si>
    <t>59640#</t>
  </si>
  <si>
    <t>56032#</t>
  </si>
  <si>
    <t>59327#</t>
  </si>
  <si>
    <t>166#</t>
  </si>
  <si>
    <t>63863#</t>
  </si>
  <si>
    <t>225#</t>
  </si>
  <si>
    <t>69126#</t>
  </si>
  <si>
    <t>58620#</t>
  </si>
  <si>
    <t>57734#</t>
  </si>
  <si>
    <t>64801#</t>
  </si>
  <si>
    <t>256#</t>
  </si>
  <si>
    <t>62360#</t>
  </si>
  <si>
    <t>59876#</t>
  </si>
  <si>
    <t>32#</t>
  </si>
  <si>
    <t>60990#</t>
  </si>
  <si>
    <t>64747#</t>
  </si>
  <si>
    <t>69387#</t>
  </si>
  <si>
    <t>215#</t>
  </si>
  <si>
    <t>66026#</t>
  </si>
  <si>
    <t>181#</t>
  </si>
  <si>
    <t>68966#</t>
  </si>
  <si>
    <t>65890#</t>
  </si>
  <si>
    <t>66366#</t>
  </si>
  <si>
    <t>70187#</t>
  </si>
  <si>
    <t>195#</t>
  </si>
  <si>
    <t>75272#</t>
  </si>
  <si>
    <t>64994#</t>
  </si>
  <si>
    <t>18#</t>
  </si>
  <si>
    <t>67901#</t>
  </si>
  <si>
    <t>76115#</t>
  </si>
  <si>
    <t>69108#</t>
  </si>
  <si>
    <t>67153#</t>
  </si>
  <si>
    <t>71673#</t>
  </si>
  <si>
    <t>115#</t>
  </si>
  <si>
    <t>75937#</t>
  </si>
  <si>
    <t>70563#</t>
  </si>
  <si>
    <t>68080#</t>
  </si>
  <si>
    <t>70299#</t>
  </si>
  <si>
    <t>77148#</t>
  </si>
  <si>
    <t>237#</t>
  </si>
  <si>
    <t>80621#</t>
  </si>
  <si>
    <t>71175#</t>
  </si>
  <si>
    <t>30#</t>
  </si>
  <si>
    <t>77232#</t>
  </si>
  <si>
    <t>81782#</t>
  </si>
  <si>
    <t>73225#</t>
  </si>
  <si>
    <t>78630#</t>
  </si>
  <si>
    <t>81564#</t>
  </si>
  <si>
    <t>82849#</t>
  </si>
  <si>
    <t>87728#</t>
  </si>
  <si>
    <t>78535#</t>
  </si>
  <si>
    <t>80510#</t>
  </si>
  <si>
    <t>88737#</t>
  </si>
  <si>
    <t>238#</t>
  </si>
  <si>
    <t>81173#</t>
  </si>
  <si>
    <t>31#</t>
  </si>
  <si>
    <t>88575#</t>
  </si>
  <si>
    <t>93557#</t>
  </si>
  <si>
    <t>410#</t>
  </si>
  <si>
    <t>83453#</t>
  </si>
  <si>
    <t>89871#</t>
  </si>
  <si>
    <t>93199#</t>
  </si>
  <si>
    <t>84809#</t>
  </si>
  <si>
    <t>94330#</t>
  </si>
  <si>
    <t>99593#</t>
  </si>
  <si>
    <t>87041#</t>
  </si>
  <si>
    <t>87187#</t>
  </si>
  <si>
    <t>87456#</t>
  </si>
  <si>
    <t>122#</t>
  </si>
  <si>
    <t>100498#</t>
  </si>
  <si>
    <t>240#</t>
  </si>
  <si>
    <t>411#</t>
  </si>
  <si>
    <t>92665#</t>
  </si>
  <si>
    <t>44#</t>
  </si>
  <si>
    <t>100207#</t>
  </si>
  <si>
    <t>92702#</t>
  </si>
  <si>
    <t>90426#</t>
  </si>
  <si>
    <t>91478#</t>
  </si>
  <si>
    <t>94782#</t>
  </si>
  <si>
    <t>101797#</t>
  </si>
  <si>
    <t>Sg</t>
  </si>
  <si>
    <t>105244#</t>
  </si>
  <si>
    <t>413#</t>
  </si>
  <si>
    <t>93704#</t>
  </si>
  <si>
    <t>93624#</t>
  </si>
  <si>
    <t>95852#</t>
  </si>
  <si>
    <t>98362#</t>
  </si>
  <si>
    <t>106520#</t>
  </si>
  <si>
    <t>95766#</t>
  </si>
  <si>
    <t>435#</t>
  </si>
  <si>
    <t>96552#</t>
  </si>
  <si>
    <t>316#</t>
  </si>
  <si>
    <t>95612#</t>
  </si>
  <si>
    <t>98277#</t>
  </si>
  <si>
    <t>124#</t>
  </si>
  <si>
    <t>99147#</t>
  </si>
  <si>
    <t>103673#</t>
  </si>
  <si>
    <t>113323#</t>
  </si>
  <si>
    <t>245#</t>
  </si>
  <si>
    <t>98578#</t>
  </si>
  <si>
    <t>509#</t>
  </si>
  <si>
    <t>98455#</t>
  </si>
  <si>
    <t>99558#</t>
  </si>
  <si>
    <t>104308#</t>
  </si>
  <si>
    <t>110#</t>
  </si>
  <si>
    <t>113133#</t>
  </si>
  <si>
    <t>101627#</t>
  </si>
  <si>
    <t>100101#</t>
  </si>
  <si>
    <t>102102#</t>
  </si>
  <si>
    <t>102393#</t>
  </si>
  <si>
    <t>106253#</t>
  </si>
  <si>
    <t>114541#</t>
  </si>
  <si>
    <t>306#</t>
  </si>
  <si>
    <t>103129#</t>
  </si>
  <si>
    <t>490#</t>
  </si>
  <si>
    <t>103729#</t>
  </si>
  <si>
    <t>104756#</t>
  </si>
  <si>
    <t>153#</t>
  </si>
  <si>
    <t>107111#</t>
  </si>
  <si>
    <t>110190#</t>
  </si>
  <si>
    <t>95#</t>
  </si>
  <si>
    <t>114496#</t>
  </si>
  <si>
    <t>Hs</t>
  </si>
  <si>
    <t>119678#</t>
  </si>
  <si>
    <t>125#</t>
  </si>
  <si>
    <t>105011#</t>
  </si>
  <si>
    <t>591#</t>
  </si>
  <si>
    <t>106377#</t>
  </si>
  <si>
    <t>436#</t>
  </si>
  <si>
    <t>106077#</t>
  </si>
  <si>
    <t>109362#</t>
  </si>
  <si>
    <t>235#</t>
  </si>
  <si>
    <t>110782#</t>
  </si>
  <si>
    <t>116058#</t>
  </si>
  <si>
    <t>177#</t>
  </si>
  <si>
    <t>108233#</t>
  </si>
  <si>
    <t>547#</t>
  </si>
  <si>
    <t>108690#</t>
  </si>
  <si>
    <t>110483#</t>
  </si>
  <si>
    <t>112794#</t>
  </si>
  <si>
    <t>123#</t>
  </si>
  <si>
    <t>116415#</t>
  </si>
  <si>
    <t>234#</t>
  </si>
  <si>
    <t>126678#</t>
  </si>
  <si>
    <t>451#</t>
  </si>
  <si>
    <t>111622#</t>
  </si>
  <si>
    <t>583#</t>
  </si>
  <si>
    <t>110076#</t>
  </si>
  <si>
    <t>469#</t>
  </si>
  <si>
    <t>112737#</t>
  </si>
  <si>
    <t>113618#</t>
  </si>
  <si>
    <t>118104#</t>
  </si>
  <si>
    <t>163#</t>
  </si>
  <si>
    <t>127962#</t>
  </si>
  <si>
    <t>307#</t>
  </si>
  <si>
    <t>113444#</t>
  </si>
  <si>
    <t>575#</t>
  </si>
  <si>
    <t>114074#</t>
  </si>
  <si>
    <t>412#</t>
  </si>
  <si>
    <t>115806#</t>
  </si>
  <si>
    <t>257#</t>
  </si>
  <si>
    <t>118766#</t>
  </si>
  <si>
    <t>263#</t>
  </si>
  <si>
    <t>122653#</t>
  </si>
  <si>
    <t>96#</t>
  </si>
  <si>
    <t>127791#</t>
  </si>
  <si>
    <t>Ds</t>
  </si>
  <si>
    <t>133880#</t>
  </si>
  <si>
    <t>135#</t>
  </si>
  <si>
    <t>115476#</t>
  </si>
  <si>
    <t>662#</t>
  </si>
  <si>
    <t>117062#</t>
  </si>
  <si>
    <t>529#</t>
  </si>
  <si>
    <t>116802#</t>
  </si>
  <si>
    <t>120807#</t>
  </si>
  <si>
    <t>381#</t>
  </si>
  <si>
    <t>122830#</t>
  </si>
  <si>
    <t>129151#</t>
  </si>
  <si>
    <t>133648#</t>
  </si>
  <si>
    <t>119148#</t>
  </si>
  <si>
    <t>624#</t>
  </si>
  <si>
    <t>119763#</t>
  </si>
  <si>
    <t>121478#</t>
  </si>
  <si>
    <t>374#</t>
  </si>
  <si>
    <t>124564#</t>
  </si>
  <si>
    <t>129370#</t>
  </si>
  <si>
    <t>463#</t>
  </si>
  <si>
    <t>122307#</t>
  </si>
  <si>
    <t>617#</t>
  </si>
  <si>
    <t>121491#</t>
  </si>
  <si>
    <t>557#</t>
  </si>
  <si>
    <t>124226#</t>
  </si>
  <si>
    <t>287#</t>
  </si>
  <si>
    <t>125112#</t>
  </si>
  <si>
    <t>248#</t>
  </si>
  <si>
    <t>130710#</t>
  </si>
  <si>
    <t>124757#</t>
  </si>
  <si>
    <t>585#</t>
  </si>
  <si>
    <t>125921#</t>
  </si>
  <si>
    <t>415#</t>
  </si>
  <si>
    <t>127740#</t>
  </si>
  <si>
    <t>280#</t>
  </si>
  <si>
    <t>131101#</t>
  </si>
  <si>
    <t>330#</t>
  </si>
  <si>
    <t>135948#</t>
  </si>
  <si>
    <t>97#</t>
  </si>
  <si>
    <t>126580#</t>
  </si>
  <si>
    <t>727#</t>
  </si>
  <si>
    <t>128789#</t>
  </si>
  <si>
    <t>532#</t>
  </si>
  <si>
    <t>129006#</t>
  </si>
  <si>
    <t>510#</t>
  </si>
  <si>
    <t>133581#</t>
  </si>
  <si>
    <t>485#</t>
  </si>
  <si>
    <t>136015#</t>
  </si>
  <si>
    <t>Rg</t>
  </si>
  <si>
    <t>142773#</t>
  </si>
  <si>
    <t>130018#</t>
  </si>
  <si>
    <t>130633#</t>
  </si>
  <si>
    <t>692#</t>
  </si>
  <si>
    <t>131890#</t>
  </si>
  <si>
    <t>367#</t>
  </si>
  <si>
    <t>134713#</t>
  </si>
  <si>
    <t>424#</t>
  </si>
  <si>
    <t>138356#</t>
  </si>
  <si>
    <t>134#</t>
  </si>
  <si>
    <t>142695#</t>
  </si>
  <si>
    <t>526#</t>
  </si>
  <si>
    <t>133682#</t>
  </si>
  <si>
    <t>619#</t>
  </si>
  <si>
    <t>133486#</t>
  </si>
  <si>
    <t>592#</t>
  </si>
  <si>
    <t>137246#</t>
  </si>
  <si>
    <t>139197#</t>
  </si>
  <si>
    <t>389#</t>
  </si>
  <si>
    <t>144613#</t>
  </si>
  <si>
    <t>135691#</t>
  </si>
  <si>
    <t>136620#</t>
  </si>
  <si>
    <t>587#</t>
  </si>
  <si>
    <t>138829#</t>
  </si>
  <si>
    <t>418#</t>
  </si>
  <si>
    <t>141565#</t>
  </si>
  <si>
    <t>145296#</t>
  </si>
  <si>
    <t>519#</t>
  </si>
  <si>
    <t>138285#</t>
  </si>
  <si>
    <t>754#</t>
  </si>
  <si>
    <t>141315#</t>
  </si>
  <si>
    <t>142541#</t>
  </si>
  <si>
    <t>548#</t>
  </si>
  <si>
    <t>147486#</t>
  </si>
  <si>
    <t>629#</t>
  </si>
  <si>
    <t>Cn</t>
  </si>
  <si>
    <t>150352#</t>
  </si>
  <si>
    <t>141493#</t>
  </si>
  <si>
    <t>541#</t>
  </si>
  <si>
    <t>142968#</t>
  </si>
  <si>
    <t>145140#</t>
  </si>
  <si>
    <t>384#</t>
  </si>
  <si>
    <t>148338#</t>
  </si>
  <si>
    <t>520#</t>
  </si>
  <si>
    <t>152403#</t>
  </si>
  <si>
    <t>145736#</t>
  </si>
  <si>
    <t>621#</t>
  </si>
  <si>
    <t>146381#</t>
  </si>
  <si>
    <t>625#</t>
  </si>
  <si>
    <t>150517#</t>
  </si>
  <si>
    <t>357#</t>
  </si>
  <si>
    <t>152932#</t>
  </si>
  <si>
    <t>Ed</t>
  </si>
  <si>
    <t>158889#</t>
  </si>
  <si>
    <t>184#</t>
  </si>
  <si>
    <t>147496#</t>
  </si>
  <si>
    <t>149126#</t>
  </si>
  <si>
    <t>598#</t>
  </si>
  <si>
    <t>151775#</t>
  </si>
  <si>
    <t>421#</t>
  </si>
  <si>
    <t>155030#</t>
  </si>
  <si>
    <t>456#</t>
  </si>
  <si>
    <t>159239#</t>
  </si>
  <si>
    <t>150520#</t>
  </si>
  <si>
    <t>780#</t>
  </si>
  <si>
    <t>153886#</t>
  </si>
  <si>
    <t>155696#</t>
  </si>
  <si>
    <t>161140#</t>
  </si>
  <si>
    <t>153431#</t>
  </si>
  <si>
    <t>579#</t>
  </si>
  <si>
    <t>155297#</t>
  </si>
  <si>
    <t>806#</t>
  </si>
  <si>
    <t>158019#</t>
  </si>
  <si>
    <t>387#</t>
  </si>
  <si>
    <t>161810#</t>
  </si>
  <si>
    <t>157800#</t>
  </si>
  <si>
    <t>654#</t>
  </si>
  <si>
    <t>158976#</t>
  </si>
  <si>
    <t>656#</t>
  </si>
  <si>
    <t>163725#</t>
  </si>
  <si>
    <t>159281#</t>
  </si>
  <si>
    <t>697#</t>
  </si>
  <si>
    <t>161486#</t>
  </si>
  <si>
    <t>608#</t>
  </si>
  <si>
    <t>164707#</t>
  </si>
  <si>
    <t>162545#</t>
  </si>
  <si>
    <t>166591#</t>
  </si>
  <si>
    <t>534#</t>
  </si>
  <si>
    <t>Fl</t>
  </si>
  <si>
    <t>168921#</t>
  </si>
  <si>
    <t>165173#</t>
  </si>
  <si>
    <t>581#</t>
  </si>
  <si>
    <t>167731#</t>
  </si>
  <si>
    <t>807#</t>
  </si>
  <si>
    <t>171003#</t>
  </si>
  <si>
    <t>170014#</t>
  </si>
  <si>
    <t>171773#</t>
  </si>
  <si>
    <t>657#</t>
  </si>
  <si>
    <t>171245#</t>
  </si>
  <si>
    <t>725#</t>
  </si>
  <si>
    <t>174073#</t>
  </si>
  <si>
    <t>610#</t>
  </si>
  <si>
    <t>Ef</t>
  </si>
  <si>
    <t>177895#</t>
  </si>
  <si>
    <t>439#</t>
  </si>
  <si>
    <t>175042#</t>
  </si>
  <si>
    <t>179771#</t>
  </si>
  <si>
    <t>536#</t>
  </si>
  <si>
    <t>177564#</t>
  </si>
  <si>
    <t>584#</t>
  </si>
  <si>
    <t>180666#</t>
  </si>
  <si>
    <t>809#</t>
  </si>
  <si>
    <t>Lv</t>
  </si>
  <si>
    <t>184528#</t>
  </si>
  <si>
    <t>492#</t>
  </si>
  <si>
    <t>182894#</t>
  </si>
  <si>
    <t>658#</t>
  </si>
  <si>
    <t>185198#</t>
  </si>
  <si>
    <t>660#</t>
  </si>
  <si>
    <t>183990#</t>
  </si>
  <si>
    <t>784#</t>
  </si>
  <si>
    <t>187387#</t>
  </si>
  <si>
    <t>612#</t>
  </si>
  <si>
    <t>Eh</t>
  </si>
  <si>
    <t>191800#</t>
  </si>
  <si>
    <t>594#</t>
  </si>
  <si>
    <t>188242#</t>
  </si>
  <si>
    <t>193576#</t>
  </si>
  <si>
    <t>669#</t>
  </si>
  <si>
    <t>190669#</t>
  </si>
  <si>
    <t>586#</t>
  </si>
  <si>
    <t>194385#</t>
  </si>
  <si>
    <t>810#</t>
  </si>
  <si>
    <t>Ei</t>
  </si>
  <si>
    <t>198873#</t>
  </si>
  <si>
    <t>702#</t>
  </si>
  <si>
    <t>196521#</t>
  </si>
  <si>
    <t>199463#</t>
  </si>
  <si>
    <t>663#</t>
  </si>
  <si>
    <t>201512#</t>
  </si>
  <si>
    <t>644#</t>
  </si>
  <si>
    <t>1000*N+Z</t>
  </si>
  <si>
    <t>1 deg in rad</t>
  </si>
  <si>
    <t>For recoil decay</t>
  </si>
  <si>
    <t>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</si>
</sst>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00"/>
    <numFmt numFmtId="166" formatCode="0.0"/>
    <numFmt numFmtId="167" formatCode="0.00000"/>
    <numFmt numFmtId="168" formatCode="0.000000"/>
    <numFmt numFmtId="169" formatCode="0.00E+00;\㣤"/>
    <numFmt numFmtId="170" formatCode="0.00E+00;\ĝ"/>
  </numFmts>
  <fonts count="14" x14ac:knownFonts="1">
    <font>
      <sz val="10"/>
      <name val="Arial"/>
    </font>
    <font>
      <sz val="10"/>
      <name val="Symbol"/>
      <family val="1"/>
      <charset val="2"/>
    </font>
    <font>
      <sz val="10"/>
      <name val="Arial"/>
      <family val="2"/>
    </font>
    <font>
      <sz val="10"/>
      <color indexed="18"/>
      <name val="Arial"/>
      <family val="2"/>
    </font>
    <font>
      <i/>
      <sz val="10"/>
      <name val="Times"/>
      <family val="1"/>
    </font>
    <font>
      <i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 Black"/>
      <family val="2"/>
    </font>
    <font>
      <u/>
      <sz val="10"/>
      <color indexed="12"/>
      <name val="Arial"/>
      <family val="2"/>
    </font>
    <font>
      <i/>
      <sz val="10"/>
      <name val="Times New Roman"/>
      <family val="1"/>
    </font>
    <font>
      <u/>
      <sz val="10"/>
      <color indexed="12"/>
      <name val="Arial"/>
      <family val="2"/>
    </font>
    <font>
      <b/>
      <sz val="12"/>
      <name val="Arial"/>
      <family val="2"/>
    </font>
    <font>
      <sz val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27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165" fontId="0" fillId="0" borderId="0" xfId="0" applyNumberFormat="1"/>
    <xf numFmtId="0" fontId="3" fillId="2" borderId="0" xfId="0" applyFont="1" applyFill="1"/>
    <xf numFmtId="0" fontId="0" fillId="0" borderId="1" xfId="0" applyBorder="1"/>
    <xf numFmtId="0" fontId="0" fillId="0" borderId="1" xfId="0" applyBorder="1" applyAlignment="1">
      <alignment horizontal="right"/>
    </xf>
    <xf numFmtId="165" fontId="0" fillId="0" borderId="1" xfId="0" applyNumberFormat="1" applyBorder="1"/>
    <xf numFmtId="0" fontId="0" fillId="0" borderId="0" xfId="0" applyBorder="1"/>
    <xf numFmtId="165" fontId="0" fillId="0" borderId="0" xfId="0" applyNumberFormat="1" applyBorder="1"/>
    <xf numFmtId="2" fontId="0" fillId="0" borderId="0" xfId="0" applyNumberFormat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166" fontId="0" fillId="0" borderId="0" xfId="0" applyNumberFormat="1"/>
    <xf numFmtId="0" fontId="0" fillId="4" borderId="0" xfId="0" applyFill="1" applyBorder="1"/>
    <xf numFmtId="0" fontId="1" fillId="0" borderId="0" xfId="0" applyFont="1" applyFill="1" applyBorder="1" applyAlignment="1">
      <alignment horizontal="right"/>
    </xf>
    <xf numFmtId="0" fontId="0" fillId="4" borderId="2" xfId="0" applyFill="1" applyBorder="1" applyAlignment="1">
      <alignment horizontal="left"/>
    </xf>
    <xf numFmtId="0" fontId="2" fillId="4" borderId="3" xfId="0" applyFont="1" applyFill="1" applyBorder="1" applyAlignment="1">
      <alignment horizontal="right"/>
    </xf>
    <xf numFmtId="0" fontId="0" fillId="0" borderId="0" xfId="0" applyBorder="1" applyAlignment="1">
      <alignment horizontal="center"/>
    </xf>
    <xf numFmtId="0" fontId="1" fillId="4" borderId="0" xfId="0" applyFont="1" applyFill="1" applyBorder="1" applyAlignment="1">
      <alignment horizontal="right"/>
    </xf>
    <xf numFmtId="0" fontId="1" fillId="5" borderId="0" xfId="0" applyFont="1" applyFill="1" applyBorder="1" applyAlignment="1">
      <alignment horizontal="right"/>
    </xf>
    <xf numFmtId="0" fontId="4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2" fillId="5" borderId="5" xfId="0" applyFont="1" applyFill="1" applyBorder="1" applyAlignment="1">
      <alignment horizontal="right"/>
    </xf>
    <xf numFmtId="0" fontId="0" fillId="6" borderId="6" xfId="0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7" xfId="0" applyNumberFormat="1" applyBorder="1" applyAlignment="1">
      <alignment horizontal="right"/>
    </xf>
    <xf numFmtId="0" fontId="6" fillId="0" borderId="8" xfId="0" applyFont="1" applyBorder="1"/>
    <xf numFmtId="0" fontId="0" fillId="0" borderId="7" xfId="0" applyBorder="1" applyAlignment="1">
      <alignment horizontal="center"/>
    </xf>
    <xf numFmtId="0" fontId="6" fillId="0" borderId="9" xfId="0" applyFont="1" applyBorder="1"/>
    <xf numFmtId="0" fontId="4" fillId="0" borderId="1" xfId="0" applyFont="1" applyBorder="1" applyAlignment="1">
      <alignment horizontal="right"/>
    </xf>
    <xf numFmtId="0" fontId="0" fillId="0" borderId="1" xfId="0" applyFill="1" applyBorder="1" applyAlignment="1">
      <alignment horizontal="right"/>
    </xf>
    <xf numFmtId="0" fontId="4" fillId="0" borderId="1" xfId="0" applyFont="1" applyBorder="1" applyAlignment="1">
      <alignment horizontal="center"/>
    </xf>
    <xf numFmtId="165" fontId="0" fillId="0" borderId="1" xfId="0" applyNumberFormat="1" applyBorder="1" applyAlignment="1">
      <alignment horizontal="right"/>
    </xf>
    <xf numFmtId="0" fontId="0" fillId="0" borderId="10" xfId="0" applyBorder="1" applyAlignment="1">
      <alignment horizontal="center"/>
    </xf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7" xfId="0" applyBorder="1"/>
    <xf numFmtId="49" fontId="0" fillId="0" borderId="0" xfId="0" applyNumberFormat="1"/>
    <xf numFmtId="164" fontId="0" fillId="0" borderId="0" xfId="0" applyNumberFormat="1" applyFill="1" applyBorder="1" applyAlignment="1">
      <alignment horizontal="center"/>
    </xf>
    <xf numFmtId="0" fontId="0" fillId="4" borderId="11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65" fontId="0" fillId="0" borderId="0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Fill="1" applyBorder="1"/>
    <xf numFmtId="0" fontId="0" fillId="0" borderId="12" xfId="0" applyBorder="1" applyAlignment="1">
      <alignment horizontal="right"/>
    </xf>
    <xf numFmtId="0" fontId="0" fillId="0" borderId="12" xfId="0" applyBorder="1"/>
    <xf numFmtId="0" fontId="0" fillId="0" borderId="12" xfId="0" applyBorder="1" applyAlignment="1">
      <alignment horizontal="left"/>
    </xf>
    <xf numFmtId="0" fontId="0" fillId="0" borderId="13" xfId="0" applyBorder="1"/>
    <xf numFmtId="0" fontId="0" fillId="7" borderId="0" xfId="0" applyFill="1"/>
    <xf numFmtId="0" fontId="6" fillId="7" borderId="0" xfId="0" applyFont="1" applyFill="1"/>
    <xf numFmtId="0" fontId="4" fillId="7" borderId="0" xfId="0" applyFont="1" applyFill="1" applyAlignment="1">
      <alignment horizontal="right"/>
    </xf>
    <xf numFmtId="0" fontId="0" fillId="7" borderId="0" xfId="0" applyFill="1" applyBorder="1" applyAlignment="1">
      <alignment horizontal="right"/>
    </xf>
    <xf numFmtId="0" fontId="4" fillId="7" borderId="0" xfId="0" applyFont="1" applyFill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 applyAlignment="1">
      <alignment horizontal="left"/>
    </xf>
    <xf numFmtId="165" fontId="0" fillId="7" borderId="0" xfId="0" applyNumberFormat="1" applyFill="1" applyAlignment="1">
      <alignment horizontal="right"/>
    </xf>
    <xf numFmtId="0" fontId="0" fillId="7" borderId="0" xfId="0" applyFill="1" applyAlignment="1">
      <alignment horizontal="center"/>
    </xf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0" fontId="0" fillId="8" borderId="0" xfId="0" applyFill="1" applyBorder="1"/>
    <xf numFmtId="0" fontId="7" fillId="0" borderId="8" xfId="0" applyFont="1" applyBorder="1"/>
    <xf numFmtId="0" fontId="1" fillId="0" borderId="0" xfId="0" applyFont="1" applyBorder="1"/>
    <xf numFmtId="167" fontId="0" fillId="0" borderId="0" xfId="0" applyNumberFormat="1"/>
    <xf numFmtId="165" fontId="3" fillId="2" borderId="14" xfId="0" applyNumberFormat="1" applyFont="1" applyFill="1" applyBorder="1" applyAlignment="1">
      <alignment horizontal="center"/>
    </xf>
    <xf numFmtId="11" fontId="0" fillId="8" borderId="0" xfId="0" applyNumberFormat="1" applyFill="1" applyBorder="1"/>
    <xf numFmtId="0" fontId="0" fillId="0" borderId="7" xfId="0" applyFill="1" applyBorder="1"/>
    <xf numFmtId="165" fontId="0" fillId="2" borderId="14" xfId="0" applyNumberFormat="1" applyFill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2" borderId="19" xfId="0" applyFill="1" applyBorder="1" applyAlignment="1">
      <alignment horizontal="right"/>
    </xf>
    <xf numFmtId="0" fontId="0" fillId="2" borderId="20" xfId="0" applyFill="1" applyBorder="1"/>
    <xf numFmtId="0" fontId="0" fillId="2" borderId="0" xfId="0" applyFill="1" applyBorder="1" applyAlignment="1">
      <alignment horizontal="right"/>
    </xf>
    <xf numFmtId="0" fontId="0" fillId="2" borderId="20" xfId="0" applyFill="1" applyBorder="1" applyAlignment="1">
      <alignment horizontal="righ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1" xfId="0" applyBorder="1"/>
    <xf numFmtId="0" fontId="0" fillId="0" borderId="22" xfId="0" applyBorder="1" applyAlignment="1">
      <alignment horizontal="center"/>
    </xf>
    <xf numFmtId="0" fontId="0" fillId="0" borderId="22" xfId="0" applyBorder="1"/>
    <xf numFmtId="166" fontId="0" fillId="0" borderId="0" xfId="0" applyNumberFormat="1" applyBorder="1"/>
    <xf numFmtId="165" fontId="0" fillId="0" borderId="22" xfId="0" applyNumberFormat="1" applyBorder="1"/>
    <xf numFmtId="0" fontId="0" fillId="3" borderId="0" xfId="0" applyFill="1" applyBorder="1" applyAlignment="1">
      <alignment horizontal="left"/>
    </xf>
    <xf numFmtId="0" fontId="0" fillId="3" borderId="0" xfId="0" applyFill="1" applyBorder="1" applyAlignment="1">
      <alignment horizontal="center"/>
    </xf>
    <xf numFmtId="0" fontId="0" fillId="0" borderId="20" xfId="0" applyBorder="1"/>
    <xf numFmtId="0" fontId="1" fillId="3" borderId="19" xfId="0" applyFont="1" applyFill="1" applyBorder="1" applyAlignment="1">
      <alignment horizontal="center"/>
    </xf>
    <xf numFmtId="0" fontId="0" fillId="0" borderId="19" xfId="0" applyBorder="1"/>
    <xf numFmtId="0" fontId="1" fillId="2" borderId="19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3" borderId="0" xfId="0" applyFill="1" applyBorder="1"/>
    <xf numFmtId="0" fontId="0" fillId="0" borderId="15" xfId="0" applyBorder="1" applyAlignment="1">
      <alignment horizontal="right"/>
    </xf>
    <xf numFmtId="0" fontId="0" fillId="3" borderId="19" xfId="0" applyFill="1" applyBorder="1"/>
    <xf numFmtId="0" fontId="1" fillId="2" borderId="0" xfId="0" applyFont="1" applyFill="1" applyBorder="1" applyAlignment="1">
      <alignment horizontal="center"/>
    </xf>
    <xf numFmtId="166" fontId="0" fillId="3" borderId="0" xfId="0" applyNumberFormat="1" applyFill="1" applyBorder="1"/>
    <xf numFmtId="0" fontId="0" fillId="3" borderId="15" xfId="0" applyFill="1" applyBorder="1"/>
    <xf numFmtId="0" fontId="0" fillId="3" borderId="16" xfId="0" applyFill="1" applyBorder="1"/>
    <xf numFmtId="0" fontId="0" fillId="0" borderId="21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3" borderId="21" xfId="0" applyFill="1" applyBorder="1"/>
    <xf numFmtId="165" fontId="0" fillId="3" borderId="0" xfId="0" applyNumberFormat="1" applyFill="1" applyBorder="1"/>
    <xf numFmtId="0" fontId="0" fillId="9" borderId="0" xfId="0" applyFill="1" applyBorder="1" applyAlignment="1">
      <alignment horizontal="center"/>
    </xf>
    <xf numFmtId="0" fontId="0" fillId="10" borderId="4" xfId="0" applyFill="1" applyBorder="1"/>
    <xf numFmtId="0" fontId="0" fillId="10" borderId="5" xfId="0" applyFill="1" applyBorder="1"/>
    <xf numFmtId="165" fontId="0" fillId="3" borderId="0" xfId="0" applyNumberFormat="1" applyFill="1" applyBorder="1" applyAlignment="1">
      <alignment horizontal="center"/>
    </xf>
    <xf numFmtId="0" fontId="3" fillId="2" borderId="0" xfId="0" applyFont="1" applyFill="1" applyBorder="1"/>
    <xf numFmtId="0" fontId="3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2" borderId="0" xfId="0" applyFill="1" applyBorder="1"/>
    <xf numFmtId="165" fontId="0" fillId="0" borderId="7" xfId="0" applyNumberFormat="1" applyBorder="1"/>
    <xf numFmtId="0" fontId="0" fillId="0" borderId="8" xfId="0" applyBorder="1" applyAlignment="1">
      <alignment horizontal="right"/>
    </xf>
    <xf numFmtId="0" fontId="1" fillId="0" borderId="0" xfId="0" applyFont="1" applyBorder="1" applyAlignment="1">
      <alignment horizontal="right"/>
    </xf>
    <xf numFmtId="165" fontId="0" fillId="2" borderId="0" xfId="0" applyNumberFormat="1" applyFill="1" applyBorder="1"/>
    <xf numFmtId="0" fontId="0" fillId="0" borderId="23" xfId="0" applyBorder="1" applyAlignment="1">
      <alignment horizontal="right"/>
    </xf>
    <xf numFmtId="0" fontId="0" fillId="3" borderId="24" xfId="0" applyFill="1" applyBorder="1"/>
    <xf numFmtId="0" fontId="0" fillId="0" borderId="25" xfId="0" applyBorder="1"/>
    <xf numFmtId="0" fontId="0" fillId="0" borderId="19" xfId="0" applyBorder="1" applyAlignment="1">
      <alignment horizontal="left"/>
    </xf>
    <xf numFmtId="0" fontId="0" fillId="0" borderId="19" xfId="0" applyBorder="1" applyAlignment="1">
      <alignment horizontal="center"/>
    </xf>
    <xf numFmtId="0" fontId="0" fillId="0" borderId="19" xfId="0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27" xfId="0" applyBorder="1"/>
    <xf numFmtId="165" fontId="0" fillId="3" borderId="22" xfId="0" applyNumberFormat="1" applyFill="1" applyBorder="1" applyAlignment="1">
      <alignment horizontal="center"/>
    </xf>
    <xf numFmtId="0" fontId="2" fillId="0" borderId="17" xfId="0" applyFont="1" applyFill="1" applyBorder="1" applyAlignment="1">
      <alignment horizontal="right"/>
    </xf>
    <xf numFmtId="0" fontId="0" fillId="0" borderId="20" xfId="0" applyFill="1" applyBorder="1" applyAlignment="1">
      <alignment horizontal="left"/>
    </xf>
    <xf numFmtId="0" fontId="0" fillId="0" borderId="20" xfId="0" applyFill="1" applyBorder="1"/>
    <xf numFmtId="0" fontId="0" fillId="0" borderId="20" xfId="0" applyFill="1" applyBorder="1" applyAlignment="1">
      <alignment horizontal="center"/>
    </xf>
    <xf numFmtId="165" fontId="0" fillId="0" borderId="20" xfId="0" applyNumberFormat="1" applyFill="1" applyBorder="1"/>
    <xf numFmtId="165" fontId="0" fillId="0" borderId="20" xfId="0" applyNumberFormat="1" applyFill="1" applyBorder="1" applyAlignment="1">
      <alignment horizontal="center"/>
    </xf>
    <xf numFmtId="165" fontId="0" fillId="0" borderId="18" xfId="0" applyNumberFormat="1" applyFill="1" applyBorder="1" applyAlignment="1">
      <alignment horizontal="center"/>
    </xf>
    <xf numFmtId="0" fontId="0" fillId="3" borderId="8" xfId="0" applyFill="1" applyBorder="1"/>
    <xf numFmtId="0" fontId="0" fillId="3" borderId="7" xfId="0" applyFill="1" applyBorder="1"/>
    <xf numFmtId="0" fontId="9" fillId="7" borderId="0" xfId="1" applyFill="1" applyAlignment="1" applyProtection="1"/>
    <xf numFmtId="0" fontId="0" fillId="3" borderId="14" xfId="0" applyFill="1" applyBorder="1" applyAlignment="1">
      <alignment horizontal="left"/>
    </xf>
    <xf numFmtId="0" fontId="9" fillId="7" borderId="0" xfId="1" applyFont="1" applyFill="1" applyAlignment="1" applyProtection="1"/>
    <xf numFmtId="166" fontId="0" fillId="2" borderId="0" xfId="0" applyNumberFormat="1" applyFill="1" applyBorder="1"/>
    <xf numFmtId="2" fontId="0" fillId="2" borderId="0" xfId="0" applyNumberFormat="1" applyFill="1" applyBorder="1"/>
    <xf numFmtId="0" fontId="0" fillId="9" borderId="0" xfId="0" applyFill="1" applyBorder="1"/>
    <xf numFmtId="11" fontId="0" fillId="0" borderId="0" xfId="0" applyNumberFormat="1" applyBorder="1"/>
    <xf numFmtId="0" fontId="0" fillId="3" borderId="14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3" borderId="19" xfId="0" applyFill="1" applyBorder="1" applyAlignment="1">
      <alignment horizontal="right"/>
    </xf>
    <xf numFmtId="0" fontId="1" fillId="3" borderId="19" xfId="0" applyFont="1" applyFill="1" applyBorder="1" applyAlignment="1">
      <alignment horizontal="right"/>
    </xf>
    <xf numFmtId="0" fontId="0" fillId="3" borderId="16" xfId="0" applyFill="1" applyBorder="1" applyAlignment="1">
      <alignment horizontal="right"/>
    </xf>
    <xf numFmtId="0" fontId="0" fillId="3" borderId="22" xfId="0" applyFill="1" applyBorder="1" applyAlignment="1">
      <alignment horizontal="right"/>
    </xf>
    <xf numFmtId="0" fontId="0" fillId="2" borderId="21" xfId="0" applyFill="1" applyBorder="1"/>
    <xf numFmtId="1" fontId="0" fillId="0" borderId="0" xfId="0" applyNumberFormat="1" applyBorder="1"/>
    <xf numFmtId="166" fontId="0" fillId="2" borderId="22" xfId="0" applyNumberFormat="1" applyFill="1" applyBorder="1"/>
    <xf numFmtId="0" fontId="0" fillId="11" borderId="4" xfId="0" applyFill="1" applyBorder="1" applyAlignment="1">
      <alignment horizontal="left"/>
    </xf>
    <xf numFmtId="0" fontId="0" fillId="11" borderId="5" xfId="0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9" borderId="0" xfId="0" applyFill="1" applyBorder="1" applyAlignment="1">
      <alignment horizontal="right"/>
    </xf>
    <xf numFmtId="2" fontId="0" fillId="3" borderId="0" xfId="0" applyNumberFormat="1" applyFill="1" applyBorder="1"/>
    <xf numFmtId="0" fontId="0" fillId="3" borderId="22" xfId="0" applyFill="1" applyBorder="1"/>
    <xf numFmtId="0" fontId="0" fillId="9" borderId="14" xfId="0" applyFill="1" applyBorder="1" applyAlignment="1" applyProtection="1">
      <alignment horizontal="right"/>
      <protection locked="0"/>
    </xf>
    <xf numFmtId="165" fontId="0" fillId="0" borderId="0" xfId="0" quotePrefix="1" applyNumberFormat="1" applyBorder="1"/>
    <xf numFmtId="0" fontId="10" fillId="0" borderId="0" xfId="0" applyFont="1" applyBorder="1" applyAlignment="1">
      <alignment horizontal="center"/>
    </xf>
    <xf numFmtId="165" fontId="0" fillId="0" borderId="20" xfId="0" applyNumberFormat="1" applyBorder="1"/>
    <xf numFmtId="0" fontId="1" fillId="0" borderId="19" xfId="0" applyFont="1" applyBorder="1" applyAlignment="1">
      <alignment horizontal="center"/>
    </xf>
    <xf numFmtId="0" fontId="0" fillId="11" borderId="4" xfId="0" applyFill="1" applyBorder="1"/>
    <xf numFmtId="0" fontId="0" fillId="11" borderId="5" xfId="0" applyFill="1" applyBorder="1"/>
    <xf numFmtId="0" fontId="0" fillId="0" borderId="23" xfId="0" applyBorder="1"/>
    <xf numFmtId="0" fontId="6" fillId="0" borderId="0" xfId="0" applyFont="1" applyBorder="1"/>
    <xf numFmtId="0" fontId="0" fillId="0" borderId="28" xfId="0" applyBorder="1"/>
    <xf numFmtId="0" fontId="0" fillId="0" borderId="24" xfId="0" applyBorder="1"/>
    <xf numFmtId="165" fontId="0" fillId="0" borderId="7" xfId="0" applyNumberFormat="1" applyBorder="1" applyAlignment="1">
      <alignment horizontal="center"/>
    </xf>
    <xf numFmtId="165" fontId="0" fillId="7" borderId="0" xfId="0" applyNumberFormat="1" applyFill="1"/>
    <xf numFmtId="0" fontId="0" fillId="2" borderId="8" xfId="0" applyFill="1" applyBorder="1"/>
    <xf numFmtId="165" fontId="0" fillId="2" borderId="22" xfId="0" applyNumberFormat="1" applyFill="1" applyBorder="1"/>
    <xf numFmtId="170" fontId="0" fillId="2" borderId="14" xfId="0" applyNumberFormat="1" applyFill="1" applyBorder="1"/>
    <xf numFmtId="167" fontId="0" fillId="2" borderId="14" xfId="0" applyNumberFormat="1" applyFill="1" applyBorder="1"/>
    <xf numFmtId="169" fontId="0" fillId="2" borderId="29" xfId="0" applyNumberFormat="1" applyFill="1" applyBorder="1"/>
    <xf numFmtId="2" fontId="0" fillId="2" borderId="14" xfId="0" applyNumberFormat="1" applyFill="1" applyBorder="1"/>
    <xf numFmtId="0" fontId="1" fillId="2" borderId="0" xfId="0" applyFont="1" applyFill="1" applyBorder="1" applyAlignment="1">
      <alignment horizontal="right"/>
    </xf>
    <xf numFmtId="0" fontId="2" fillId="2" borderId="0" xfId="0" applyFont="1" applyFill="1" applyBorder="1" applyAlignment="1">
      <alignment horizontal="left"/>
    </xf>
    <xf numFmtId="0" fontId="0" fillId="9" borderId="14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left"/>
      <protection locked="0"/>
    </xf>
    <xf numFmtId="0" fontId="2" fillId="9" borderId="14" xfId="0" applyFont="1" applyFill="1" applyBorder="1" applyAlignment="1" applyProtection="1">
      <alignment horizontal="right"/>
      <protection locked="0"/>
    </xf>
    <xf numFmtId="0" fontId="0" fillId="9" borderId="14" xfId="0" applyFill="1" applyBorder="1" applyProtection="1">
      <protection locked="0"/>
    </xf>
    <xf numFmtId="0" fontId="0" fillId="9" borderId="3" xfId="0" applyFill="1" applyBorder="1" applyAlignment="1" applyProtection="1">
      <alignment horizontal="right"/>
      <protection locked="0"/>
    </xf>
    <xf numFmtId="0" fontId="0" fillId="9" borderId="2" xfId="0" applyFill="1" applyBorder="1" applyAlignment="1" applyProtection="1">
      <alignment horizontal="left"/>
      <protection locked="0"/>
    </xf>
    <xf numFmtId="0" fontId="0" fillId="9" borderId="30" xfId="0" applyFill="1" applyBorder="1" applyAlignment="1" applyProtection="1">
      <alignment horizontal="center"/>
      <protection locked="0"/>
    </xf>
    <xf numFmtId="11" fontId="0" fillId="9" borderId="14" xfId="0" applyNumberFormat="1" applyFill="1" applyBorder="1" applyProtection="1">
      <protection locked="0"/>
    </xf>
    <xf numFmtId="0" fontId="0" fillId="9" borderId="29" xfId="0" applyFill="1" applyBorder="1" applyProtection="1">
      <protection locked="0"/>
    </xf>
    <xf numFmtId="0" fontId="0" fillId="9" borderId="29" xfId="0" applyFill="1" applyBorder="1" applyAlignment="1" applyProtection="1">
      <alignment horizontal="left"/>
      <protection locked="0"/>
    </xf>
    <xf numFmtId="0" fontId="2" fillId="4" borderId="14" xfId="0" applyFont="1" applyFill="1" applyBorder="1" applyAlignment="1">
      <alignment horizontal="right"/>
    </xf>
    <xf numFmtId="0" fontId="0" fillId="4" borderId="14" xfId="0" applyFill="1" applyBorder="1" applyAlignment="1">
      <alignment horizontal="left"/>
    </xf>
    <xf numFmtId="165" fontId="0" fillId="9" borderId="14" xfId="0" applyNumberFormat="1" applyFill="1" applyBorder="1" applyAlignment="1" applyProtection="1">
      <alignment horizontal="right"/>
      <protection locked="0"/>
    </xf>
    <xf numFmtId="0" fontId="0" fillId="12" borderId="0" xfId="0" applyFill="1"/>
    <xf numFmtId="0" fontId="0" fillId="13" borderId="0" xfId="0" applyFill="1"/>
    <xf numFmtId="0" fontId="11" fillId="7" borderId="14" xfId="1" applyFont="1" applyFill="1" applyBorder="1" applyAlignment="1" applyProtection="1">
      <alignment horizontal="center"/>
    </xf>
    <xf numFmtId="0" fontId="2" fillId="3" borderId="14" xfId="0" applyFont="1" applyFill="1" applyBorder="1" applyAlignment="1" applyProtection="1">
      <alignment horizontal="right"/>
    </xf>
    <xf numFmtId="0" fontId="0" fillId="3" borderId="14" xfId="0" applyFill="1" applyBorder="1" applyAlignment="1" applyProtection="1">
      <alignment horizontal="left"/>
    </xf>
    <xf numFmtId="164" fontId="0" fillId="0" borderId="0" xfId="0" applyNumberFormat="1"/>
    <xf numFmtId="0" fontId="0" fillId="14" borderId="0" xfId="0" applyFill="1" applyAlignment="1">
      <alignment horizontal="left"/>
    </xf>
    <xf numFmtId="0" fontId="0" fillId="9" borderId="14" xfId="0" applyFill="1" applyBorder="1"/>
    <xf numFmtId="0" fontId="0" fillId="14" borderId="0" xfId="0" applyFill="1"/>
    <xf numFmtId="165" fontId="0" fillId="0" borderId="0" xfId="0" applyNumberFormat="1" applyFill="1"/>
    <xf numFmtId="0" fontId="2" fillId="15" borderId="0" xfId="0" applyFont="1" applyFill="1"/>
    <xf numFmtId="0" fontId="0" fillId="15" borderId="0" xfId="0" applyFill="1"/>
    <xf numFmtId="165" fontId="0" fillId="0" borderId="0" xfId="0" applyNumberFormat="1" applyAlignment="1">
      <alignment horizontal="right"/>
    </xf>
    <xf numFmtId="11" fontId="0" fillId="0" borderId="0" xfId="0" applyNumberFormat="1"/>
    <xf numFmtId="0" fontId="0" fillId="4" borderId="0" xfId="0" applyFill="1"/>
    <xf numFmtId="11" fontId="0" fillId="12" borderId="0" xfId="0" applyNumberFormat="1" applyFill="1"/>
    <xf numFmtId="11" fontId="0" fillId="16" borderId="0" xfId="0" applyNumberFormat="1" applyFill="1"/>
    <xf numFmtId="0" fontId="0" fillId="2" borderId="0" xfId="0" applyFill="1" applyAlignment="1">
      <alignment horizontal="center"/>
    </xf>
    <xf numFmtId="0" fontId="2" fillId="0" borderId="0" xfId="0" applyFont="1"/>
    <xf numFmtId="11" fontId="2" fillId="12" borderId="0" xfId="0" applyNumberFormat="1" applyFont="1" applyFill="1"/>
    <xf numFmtId="11" fontId="2" fillId="16" borderId="0" xfId="0" applyNumberFormat="1" applyFont="1" applyFill="1"/>
    <xf numFmtId="11" fontId="2" fillId="0" borderId="0" xfId="0" applyNumberFormat="1" applyFont="1"/>
    <xf numFmtId="0" fontId="2" fillId="12" borderId="0" xfId="0" applyFont="1" applyFill="1"/>
    <xf numFmtId="0" fontId="2" fillId="4" borderId="0" xfId="0" applyFont="1" applyFill="1"/>
    <xf numFmtId="49" fontId="2" fillId="0" borderId="0" xfId="0" applyNumberFormat="1" applyFont="1"/>
    <xf numFmtId="0" fontId="13" fillId="0" borderId="0" xfId="0" applyFont="1" applyAlignment="1">
      <alignment horizontal="right"/>
    </xf>
    <xf numFmtId="0" fontId="0" fillId="17" borderId="0" xfId="0" applyFill="1"/>
    <xf numFmtId="0" fontId="2" fillId="0" borderId="1" xfId="0" applyFont="1" applyBorder="1"/>
    <xf numFmtId="0" fontId="2" fillId="0" borderId="0" xfId="0" applyFont="1" applyFill="1"/>
    <xf numFmtId="0" fontId="0" fillId="0" borderId="0" xfId="0" applyFill="1"/>
    <xf numFmtId="0" fontId="0" fillId="18" borderId="0" xfId="0" applyFill="1"/>
    <xf numFmtId="0" fontId="2" fillId="18" borderId="0" xfId="0" applyFont="1" applyFill="1"/>
    <xf numFmtId="0" fontId="0" fillId="19" borderId="0" xfId="0" applyFill="1"/>
    <xf numFmtId="0" fontId="0" fillId="0" borderId="3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6" borderId="3" xfId="0" applyFill="1" applyBorder="1" applyAlignment="1" applyProtection="1">
      <alignment horizontal="center"/>
    </xf>
    <xf numFmtId="0" fontId="0" fillId="6" borderId="32" xfId="0" applyFill="1" applyBorder="1" applyAlignment="1" applyProtection="1">
      <alignment horizontal="center"/>
    </xf>
    <xf numFmtId="0" fontId="0" fillId="6" borderId="2" xfId="0" applyFill="1" applyBorder="1" applyAlignment="1" applyProtection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0" fillId="6" borderId="3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12" borderId="8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68" fontId="0" fillId="2" borderId="0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7" xfId="0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164" fontId="0" fillId="9" borderId="3" xfId="0" applyNumberFormat="1" applyFill="1" applyBorder="1" applyAlignment="1" applyProtection="1">
      <alignment horizontal="center"/>
      <protection locked="0"/>
    </xf>
    <xf numFmtId="164" fontId="0" fillId="9" borderId="2" xfId="0" applyNumberFormat="1" applyFill="1" applyBorder="1" applyAlignment="1" applyProtection="1">
      <alignment horizontal="center"/>
      <protection locked="0"/>
    </xf>
    <xf numFmtId="2" fontId="0" fillId="2" borderId="0" xfId="0" applyNumberFormat="1" applyFill="1" applyBorder="1" applyAlignment="1">
      <alignment horizontal="center"/>
    </xf>
    <xf numFmtId="167" fontId="0" fillId="2" borderId="0" xfId="0" applyNumberForma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11" fontId="0" fillId="20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worksheet" Target="worksheets/sheet10.xml"/><Relationship Id="rId1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4.xml"/><Relationship Id="rId12" Type="http://schemas.openxmlformats.org/officeDocument/2006/relationships/worksheet" Target="worksheets/sheet9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3.xml"/><Relationship Id="rId15" Type="http://schemas.openxmlformats.org/officeDocument/2006/relationships/theme" Target="theme/theme1.xml"/><Relationship Id="rId10" Type="http://schemas.openxmlformats.org/officeDocument/2006/relationships/worksheet" Target="worksheets/sheet7.xml"/><Relationship Id="rId19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worksheet" Target="worksheets/sheet6.xml"/><Relationship Id="rId14" Type="http://schemas.openxmlformats.org/officeDocument/2006/relationships/externalLink" Target="externalLinks/externalLink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26415094340242E-2"/>
          <c:y val="5.7613284491714434E-2"/>
          <c:w val="0.76650943396226412"/>
          <c:h val="0.8395078597364079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kinematics!$D$16:$D$26</c:f>
              <c:numCache>
                <c:formatCode>0.0000</c:formatCode>
                <c:ptCount val="11"/>
                <c:pt idx="0">
                  <c:v>0</c:v>
                </c:pt>
                <c:pt idx="1">
                  <c:v>1.028</c:v>
                </c:pt>
                <c:pt idx="2">
                  <c:v>2.0569999999999999</c:v>
                </c:pt>
                <c:pt idx="3">
                  <c:v>3.085</c:v>
                </c:pt>
                <c:pt idx="4">
                  <c:v>4.1130000000000004</c:v>
                </c:pt>
                <c:pt idx="5">
                  <c:v>5.1420000000000003</c:v>
                </c:pt>
                <c:pt idx="6">
                  <c:v>6.17</c:v>
                </c:pt>
                <c:pt idx="7">
                  <c:v>7.1980000000000004</c:v>
                </c:pt>
                <c:pt idx="8">
                  <c:v>8.2260000000000009</c:v>
                </c:pt>
                <c:pt idx="9">
                  <c:v>9.2539999999999996</c:v>
                </c:pt>
                <c:pt idx="10">
                  <c:v>10.282</c:v>
                </c:pt>
              </c:numCache>
            </c:numRef>
          </c:xVal>
          <c:yVal>
            <c:numRef>
              <c:f>kinematics!$J$16:$J$26</c:f>
              <c:numCache>
                <c:formatCode>0.00</c:formatCode>
                <c:ptCount val="11"/>
                <c:pt idx="0">
                  <c:v>0</c:v>
                </c:pt>
                <c:pt idx="1">
                  <c:v>82.724733541715565</c:v>
                </c:pt>
                <c:pt idx="2">
                  <c:v>85.579457235511541</c:v>
                </c:pt>
                <c:pt idx="3">
                  <c:v>86.194734978959744</c:v>
                </c:pt>
                <c:pt idx="4">
                  <c:v>86.246074386692342</c:v>
                </c:pt>
                <c:pt idx="5">
                  <c:v>86.071444209006856</c:v>
                </c:pt>
                <c:pt idx="6">
                  <c:v>85.783758597950182</c:v>
                </c:pt>
                <c:pt idx="7">
                  <c:v>85.431459009368695</c:v>
                </c:pt>
                <c:pt idx="8">
                  <c:v>85.038780890096561</c:v>
                </c:pt>
                <c:pt idx="9">
                  <c:v>84.619194480390647</c:v>
                </c:pt>
                <c:pt idx="10">
                  <c:v>84.180785281557476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kinematics!$R$228:$R$253</c:f>
              <c:numCache>
                <c:formatCode>General</c:formatCode>
                <c:ptCount val="2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</c:numCache>
            </c:numRef>
          </c:xVal>
          <c:yVal>
            <c:numRef>
              <c:f>kinematics!$S$228:$S$253</c:f>
              <c:numCache>
                <c:formatCode>General</c:formatCode>
                <c:ptCount val="26"/>
                <c:pt idx="0">
                  <c:v>0</c:v>
                </c:pt>
                <c:pt idx="1">
                  <c:v>17.069771114675724</c:v>
                </c:pt>
                <c:pt idx="2">
                  <c:v>30.497328655508731</c:v>
                </c:pt>
                <c:pt idx="3">
                  <c:v>41.059819523202272</c:v>
                </c:pt>
                <c:pt idx="4">
                  <c:v>49.368569121991037</c:v>
                </c:pt>
                <c:pt idx="5">
                  <c:v>55.904463047023825</c:v>
                </c:pt>
                <c:pt idx="6">
                  <c:v>61.045779305430258</c:v>
                </c:pt>
                <c:pt idx="7">
                  <c:v>65.090081916847197</c:v>
                </c:pt>
                <c:pt idx="8">
                  <c:v>68.271443029571984</c:v>
                </c:pt>
                <c:pt idx="9">
                  <c:v>70.773990316954993</c:v>
                </c:pt>
                <c:pt idx="10">
                  <c:v>72.742563736846989</c:v>
                </c:pt>
                <c:pt idx="11">
                  <c:v>74.291098435489118</c:v>
                </c:pt>
                <c:pt idx="12">
                  <c:v>75.509218973269299</c:v>
                </c:pt>
                <c:pt idx="13">
                  <c:v>76.467426526424575</c:v>
                </c:pt>
                <c:pt idx="14">
                  <c:v>77.221179284420913</c:v>
                </c:pt>
                <c:pt idx="15">
                  <c:v>77.814102204216596</c:v>
                </c:pt>
                <c:pt idx="16">
                  <c:v>78.280511892392809</c:v>
                </c:pt>
                <c:pt idx="17">
                  <c:v>78.647402747783573</c:v>
                </c:pt>
                <c:pt idx="18">
                  <c:v>78.936009316604498</c:v>
                </c:pt>
                <c:pt idx="19">
                  <c:v>79.163035284525861</c:v>
                </c:pt>
                <c:pt idx="20">
                  <c:v>79.341620236078398</c:v>
                </c:pt>
                <c:pt idx="21">
                  <c:v>79.48210013453685</c:v>
                </c:pt>
                <c:pt idx="22">
                  <c:v>79.592605536584074</c:v>
                </c:pt>
                <c:pt idx="23">
                  <c:v>79.679532164632761</c:v>
                </c:pt>
                <c:pt idx="24">
                  <c:v>79.747911072124452</c:v>
                </c:pt>
                <c:pt idx="25">
                  <c:v>79.801699825866692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2920"/>
        <c:axId val="253593312"/>
      </c:scatterChart>
      <c:valAx>
        <c:axId val="253592920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3312"/>
        <c:crosses val="autoZero"/>
        <c:crossBetween val="midCat"/>
      </c:valAx>
      <c:valAx>
        <c:axId val="25359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29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9504716981131782"/>
          <c:y val="0.42798440318417208"/>
          <c:w val="9.5518867924528364E-2"/>
          <c:h val="0.100823261289869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080106809078812E-2"/>
          <c:y val="5.8957046655874965E-2"/>
          <c:w val="0.80106809078771657"/>
          <c:h val="0.8390041254874519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kinematics!$V$228:$V$253</c:f>
              <c:numCache>
                <c:formatCode>General</c:formatCode>
                <c:ptCount val="26"/>
                <c:pt idx="0">
                  <c:v>1</c:v>
                </c:pt>
                <c:pt idx="1">
                  <c:v>0.99999390995618143</c:v>
                </c:pt>
                <c:pt idx="2">
                  <c:v>0.99997563989890303</c:v>
                </c:pt>
                <c:pt idx="3">
                  <c:v>0.99994519005069571</c:v>
                </c:pt>
                <c:pt idx="4">
                  <c:v>0.99990256078244133</c:v>
                </c:pt>
                <c:pt idx="5">
                  <c:v>0.999847752613368</c:v>
                </c:pt>
                <c:pt idx="6">
                  <c:v>0.99978076621104406</c:v>
                </c:pt>
                <c:pt idx="7">
                  <c:v>0.99970160239136985</c:v>
                </c:pt>
                <c:pt idx="8">
                  <c:v>0.99961026211856741</c:v>
                </c:pt>
                <c:pt idx="9">
                  <c:v>0.99950674650516957</c:v>
                </c:pt>
                <c:pt idx="10">
                  <c:v>0.99939105681200535</c:v>
                </c:pt>
                <c:pt idx="11">
                  <c:v>0.99926319444818545</c:v>
                </c:pt>
                <c:pt idx="12">
                  <c:v>0.99912316097108467</c:v>
                </c:pt>
                <c:pt idx="13">
                  <c:v>0.99897095808632297</c:v>
                </c:pt>
                <c:pt idx="14">
                  <c:v>0.99880658764774488</c:v>
                </c:pt>
                <c:pt idx="15">
                  <c:v>0.99863005165739671</c:v>
                </c:pt>
                <c:pt idx="16">
                  <c:v>0.99844135226550224</c:v>
                </c:pt>
                <c:pt idx="17">
                  <c:v>0.99824049177043672</c:v>
                </c:pt>
                <c:pt idx="18">
                  <c:v>0.99802747261869862</c:v>
                </c:pt>
                <c:pt idx="19">
                  <c:v>0.99780229740487969</c:v>
                </c:pt>
                <c:pt idx="20">
                  <c:v>0.99756496887163393</c:v>
                </c:pt>
                <c:pt idx="21">
                  <c:v>0.99731548990964358</c:v>
                </c:pt>
                <c:pt idx="22">
                  <c:v>0.99705386355758419</c:v>
                </c:pt>
                <c:pt idx="23">
                  <c:v>0.99678009300208792</c:v>
                </c:pt>
                <c:pt idx="24">
                  <c:v>0.99649418157770386</c:v>
                </c:pt>
                <c:pt idx="25">
                  <c:v>0.99619613276685837</c:v>
                </c:pt>
              </c:numCache>
            </c:numRef>
          </c:xVal>
          <c:yVal>
            <c:numRef>
              <c:f>kinematics!$W$228:$W$253</c:f>
              <c:numCache>
                <c:formatCode>General</c:formatCode>
                <c:ptCount val="26"/>
                <c:pt idx="0">
                  <c:v>1</c:v>
                </c:pt>
                <c:pt idx="1">
                  <c:v>0.95571131361066153</c:v>
                </c:pt>
                <c:pt idx="2">
                  <c:v>0.86092260706989476</c:v>
                </c:pt>
                <c:pt idx="3">
                  <c:v>0.75275330115666805</c:v>
                </c:pt>
                <c:pt idx="4">
                  <c:v>0.64942703629343979</c:v>
                </c:pt>
                <c:pt idx="5">
                  <c:v>0.55839750572114732</c:v>
                </c:pt>
                <c:pt idx="6">
                  <c:v>0.48160104596778425</c:v>
                </c:pt>
                <c:pt idx="7">
                  <c:v>0.41842139959006597</c:v>
                </c:pt>
                <c:pt idx="8">
                  <c:v>0.36723455941989119</c:v>
                </c:pt>
                <c:pt idx="9">
                  <c:v>0.32616218888996018</c:v>
                </c:pt>
                <c:pt idx="10">
                  <c:v>0.29341028702319799</c:v>
                </c:pt>
                <c:pt idx="11">
                  <c:v>0.26740030847725199</c:v>
                </c:pt>
                <c:pt idx="12">
                  <c:v>0.24680135518137411</c:v>
                </c:pt>
                <c:pt idx="13">
                  <c:v>0.23051849621593073</c:v>
                </c:pt>
                <c:pt idx="14">
                  <c:v>0.21766426828190405</c:v>
                </c:pt>
                <c:pt idx="15">
                  <c:v>0.20752612751432201</c:v>
                </c:pt>
                <c:pt idx="16">
                  <c:v>0.19953548909190105</c:v>
                </c:pt>
                <c:pt idx="17">
                  <c:v>0.1932405099800299</c:v>
                </c:pt>
                <c:pt idx="18">
                  <c:v>0.18828313042616204</c:v>
                </c:pt>
                <c:pt idx="19">
                  <c:v>0.18438016539675972</c:v>
                </c:pt>
                <c:pt idx="20">
                  <c:v>0.18130795904641225</c:v>
                </c:pt>
                <c:pt idx="21">
                  <c:v>0.17889004798141458</c:v>
                </c:pt>
                <c:pt idx="22">
                  <c:v>0.17698730537710405</c:v>
                </c:pt>
                <c:pt idx="23">
                  <c:v>0.17549010061209838</c:v>
                </c:pt>
                <c:pt idx="24">
                  <c:v>0.17431208076423679</c:v>
                </c:pt>
                <c:pt idx="25">
                  <c:v>0.17338524886598963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kinematics!$V$228:$V$253</c:f>
              <c:numCache>
                <c:formatCode>General</c:formatCode>
                <c:ptCount val="26"/>
                <c:pt idx="0">
                  <c:v>1</c:v>
                </c:pt>
                <c:pt idx="1">
                  <c:v>0.99999390995618143</c:v>
                </c:pt>
                <c:pt idx="2">
                  <c:v>0.99997563989890303</c:v>
                </c:pt>
                <c:pt idx="3">
                  <c:v>0.99994519005069571</c:v>
                </c:pt>
                <c:pt idx="4">
                  <c:v>0.99990256078244133</c:v>
                </c:pt>
                <c:pt idx="5">
                  <c:v>0.999847752613368</c:v>
                </c:pt>
                <c:pt idx="6">
                  <c:v>0.99978076621104406</c:v>
                </c:pt>
                <c:pt idx="7">
                  <c:v>0.99970160239136985</c:v>
                </c:pt>
                <c:pt idx="8">
                  <c:v>0.99961026211856741</c:v>
                </c:pt>
                <c:pt idx="9">
                  <c:v>0.99950674650516957</c:v>
                </c:pt>
                <c:pt idx="10">
                  <c:v>0.99939105681200535</c:v>
                </c:pt>
                <c:pt idx="11">
                  <c:v>0.99926319444818545</c:v>
                </c:pt>
                <c:pt idx="12">
                  <c:v>0.99912316097108467</c:v>
                </c:pt>
                <c:pt idx="13">
                  <c:v>0.99897095808632297</c:v>
                </c:pt>
                <c:pt idx="14">
                  <c:v>0.99880658764774488</c:v>
                </c:pt>
                <c:pt idx="15">
                  <c:v>0.99863005165739671</c:v>
                </c:pt>
                <c:pt idx="16">
                  <c:v>0.99844135226550224</c:v>
                </c:pt>
                <c:pt idx="17">
                  <c:v>0.99824049177043672</c:v>
                </c:pt>
                <c:pt idx="18">
                  <c:v>0.99802747261869862</c:v>
                </c:pt>
                <c:pt idx="19">
                  <c:v>0.99780229740487969</c:v>
                </c:pt>
                <c:pt idx="20">
                  <c:v>0.99756496887163393</c:v>
                </c:pt>
                <c:pt idx="21">
                  <c:v>0.99731548990964358</c:v>
                </c:pt>
                <c:pt idx="22">
                  <c:v>0.99705386355758419</c:v>
                </c:pt>
                <c:pt idx="23">
                  <c:v>0.99678009300208792</c:v>
                </c:pt>
                <c:pt idx="24">
                  <c:v>0.99649418157770386</c:v>
                </c:pt>
                <c:pt idx="25">
                  <c:v>0.99619613276685837</c:v>
                </c:pt>
              </c:numCache>
            </c:numRef>
          </c:xVal>
          <c:yVal>
            <c:numRef>
              <c:f>kinematics!$X$228:$X$253</c:f>
              <c:numCache>
                <c:formatCode>General</c:formatCode>
                <c:ptCount val="26"/>
                <c:pt idx="0">
                  <c:v>0</c:v>
                </c:pt>
                <c:pt idx="1">
                  <c:v>0.93696966769401502</c:v>
                </c:pt>
                <c:pt idx="2">
                  <c:v>0.81510057568452421</c:v>
                </c:pt>
                <c:pt idx="3">
                  <c:v>0.69527164942672004</c:v>
                </c:pt>
                <c:pt idx="4">
                  <c:v>0.59729613105866319</c:v>
                </c:pt>
                <c:pt idx="5">
                  <c:v>0.52248674358724501</c:v>
                </c:pt>
                <c:pt idx="6">
                  <c:v>0.46671034386628618</c:v>
                </c:pt>
                <c:pt idx="7">
                  <c:v>0.42531698432033777</c:v>
                </c:pt>
                <c:pt idx="8">
                  <c:v>0.39448853640820108</c:v>
                </c:pt>
                <c:pt idx="9">
                  <c:v>0.3713755061353024</c:v>
                </c:pt>
                <c:pt idx="10">
                  <c:v>0.35391911591330555</c:v>
                </c:pt>
                <c:pt idx="11">
                  <c:v>0.34064256547119132</c:v>
                </c:pt>
                <c:pt idx="12">
                  <c:v>0.33048235567322237</c:v>
                </c:pt>
                <c:pt idx="13">
                  <c:v>0.32266591479325374</c:v>
                </c:pt>
                <c:pt idx="14">
                  <c:v>0.31662615411121425</c:v>
                </c:pt>
                <c:pt idx="15">
                  <c:v>0.31194244087906881</c:v>
                </c:pt>
                <c:pt idx="16">
                  <c:v>0.30829972655501692</c:v>
                </c:pt>
                <c:pt idx="17">
                  <c:v>0.30545999740679164</c:v>
                </c:pt>
                <c:pt idx="18">
                  <c:v>0.3032420952502326</c:v>
                </c:pt>
                <c:pt idx="19">
                  <c:v>0.30150726803096339</c:v>
                </c:pt>
                <c:pt idx="20">
                  <c:v>0.30014868807198292</c:v>
                </c:pt>
                <c:pt idx="21">
                  <c:v>0.29908375448938379</c:v>
                </c:pt>
                <c:pt idx="22">
                  <c:v>0.29824837660236475</c:v>
                </c:pt>
                <c:pt idx="23">
                  <c:v>0.29759268624935231</c:v>
                </c:pt>
                <c:pt idx="24">
                  <c:v>0.29707779416080909</c:v>
                </c:pt>
                <c:pt idx="25">
                  <c:v>0.29667331823249588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kinematics!$V$228:$V$253</c:f>
              <c:numCache>
                <c:formatCode>General</c:formatCode>
                <c:ptCount val="26"/>
                <c:pt idx="0">
                  <c:v>1</c:v>
                </c:pt>
                <c:pt idx="1">
                  <c:v>0.99999390995618143</c:v>
                </c:pt>
                <c:pt idx="2">
                  <c:v>0.99997563989890303</c:v>
                </c:pt>
                <c:pt idx="3">
                  <c:v>0.99994519005069571</c:v>
                </c:pt>
                <c:pt idx="4">
                  <c:v>0.99990256078244133</c:v>
                </c:pt>
                <c:pt idx="5">
                  <c:v>0.999847752613368</c:v>
                </c:pt>
                <c:pt idx="6">
                  <c:v>0.99978076621104406</c:v>
                </c:pt>
                <c:pt idx="7">
                  <c:v>0.99970160239136985</c:v>
                </c:pt>
                <c:pt idx="8">
                  <c:v>0.99961026211856741</c:v>
                </c:pt>
                <c:pt idx="9">
                  <c:v>0.99950674650516957</c:v>
                </c:pt>
                <c:pt idx="10">
                  <c:v>0.99939105681200535</c:v>
                </c:pt>
                <c:pt idx="11">
                  <c:v>0.99926319444818545</c:v>
                </c:pt>
                <c:pt idx="12">
                  <c:v>0.99912316097108467</c:v>
                </c:pt>
                <c:pt idx="13">
                  <c:v>0.99897095808632297</c:v>
                </c:pt>
                <c:pt idx="14">
                  <c:v>0.99880658764774488</c:v>
                </c:pt>
                <c:pt idx="15">
                  <c:v>0.99863005165739671</c:v>
                </c:pt>
                <c:pt idx="16">
                  <c:v>0.99844135226550224</c:v>
                </c:pt>
                <c:pt idx="17">
                  <c:v>0.99824049177043672</c:v>
                </c:pt>
                <c:pt idx="18">
                  <c:v>0.99802747261869862</c:v>
                </c:pt>
                <c:pt idx="19">
                  <c:v>0.99780229740487969</c:v>
                </c:pt>
                <c:pt idx="20">
                  <c:v>0.99756496887163393</c:v>
                </c:pt>
                <c:pt idx="21">
                  <c:v>0.99731548990964358</c:v>
                </c:pt>
                <c:pt idx="22">
                  <c:v>0.99705386355758419</c:v>
                </c:pt>
                <c:pt idx="23">
                  <c:v>0.99678009300208792</c:v>
                </c:pt>
                <c:pt idx="24">
                  <c:v>0.99649418157770386</c:v>
                </c:pt>
                <c:pt idx="25">
                  <c:v>0.99619613276685837</c:v>
                </c:pt>
              </c:numCache>
            </c:numRef>
          </c:xVal>
          <c:yVal>
            <c:numRef>
              <c:f>kinematics!$Y$228:$Y$253</c:f>
              <c:numCache>
                <c:formatCode>General</c:formatCode>
                <c:ptCount val="26"/>
                <c:pt idx="0">
                  <c:v>1</c:v>
                </c:pt>
                <c:pt idx="1">
                  <c:v>0.99878198752740677</c:v>
                </c:pt>
                <c:pt idx="2">
                  <c:v>0.99512792043819065</c:v>
                </c:pt>
                <c:pt idx="3">
                  <c:v>0.98903770971511007</c:v>
                </c:pt>
                <c:pt idx="4">
                  <c:v>0.98051120698647443</c:v>
                </c:pt>
                <c:pt idx="5">
                  <c:v>0.96954820451163426</c:v>
                </c:pt>
                <c:pt idx="6">
                  <c:v>0.95614843516079862</c:v>
                </c:pt>
                <c:pt idx="7">
                  <c:v>0.94031157238897867</c:v>
                </c:pt>
                <c:pt idx="8">
                  <c:v>0.92203723020407302</c:v>
                </c:pt>
                <c:pt idx="9">
                  <c:v>0.90132496312939858</c:v>
                </c:pt>
                <c:pt idx="10">
                  <c:v>0.87817426616001648</c:v>
                </c:pt>
                <c:pt idx="11">
                  <c:v>0.85258457471364224</c:v>
                </c:pt>
                <c:pt idx="12">
                  <c:v>0.82455526457544159</c:v>
                </c:pt>
                <c:pt idx="13">
                  <c:v>0.79408565183710189</c:v>
                </c:pt>
                <c:pt idx="14">
                  <c:v>0.76117499283005219</c:v>
                </c:pt>
                <c:pt idx="15">
                  <c:v>0.72582248405275474</c:v>
                </c:pt>
                <c:pt idx="16">
                  <c:v>0.68802726209216247</c:v>
                </c:pt>
                <c:pt idx="17">
                  <c:v>0.64778840353930156</c:v>
                </c:pt>
                <c:pt idx="18">
                  <c:v>0.60510492489883383</c:v>
                </c:pt>
                <c:pt idx="19">
                  <c:v>0.55997578249272828</c:v>
                </c:pt>
                <c:pt idx="20">
                  <c:v>0.51239987235809559</c:v>
                </c:pt>
                <c:pt idx="21">
                  <c:v>0.46237603013882433</c:v>
                </c:pt>
                <c:pt idx="22">
                  <c:v>0.40990303097137937</c:v>
                </c:pt>
                <c:pt idx="23">
                  <c:v>0.35497958936460117</c:v>
                </c:pt>
                <c:pt idx="24">
                  <c:v>0.29760435907319416</c:v>
                </c:pt>
                <c:pt idx="25">
                  <c:v>0.23777593296552135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745816"/>
        <c:axId val="255746208"/>
      </c:scatterChart>
      <c:valAx>
        <c:axId val="25574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746208"/>
        <c:crosses val="autoZero"/>
        <c:crossBetween val="midCat"/>
      </c:valAx>
      <c:valAx>
        <c:axId val="255746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7458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387182910547637"/>
          <c:y val="0.40589664387189794"/>
          <c:w val="8.5447263017356501E-2"/>
          <c:h val="0.145124954618767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ejectile lab energy vs lab angle</a:t>
            </a:r>
          </a:p>
        </c:rich>
      </c:tx>
      <c:layout>
        <c:manualLayout>
          <c:xMode val="edge"/>
          <c:yMode val="edge"/>
          <c:x val="0.25824204666724349"/>
          <c:y val="4.20168067226890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582441168066901"/>
          <c:y val="0.23529460037790645"/>
          <c:w val="0.76099003180539804"/>
          <c:h val="0.5924381902372232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'small plots'!$C$5</c:f>
              <c:strCache>
                <c:ptCount val="1"/>
                <c:pt idx="0">
                  <c:v>energy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'small plots'!$B$6:$B$16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'small plots'!$C$6:$C$16</c:f>
              <c:numCache>
                <c:formatCode>0.000</c:formatCode>
                <c:ptCount val="11"/>
                <c:pt idx="0">
                  <c:v>418.37539728023131</c:v>
                </c:pt>
                <c:pt idx="1">
                  <c:v>418.37200229089541</c:v>
                </c:pt>
                <c:pt idx="2">
                  <c:v>418.36181853184797</c:v>
                </c:pt>
                <c:pt idx="3">
                  <c:v>418.34484962936762</c:v>
                </c:pt>
                <c:pt idx="4">
                  <c:v>418.32110162527198</c:v>
                </c:pt>
                <c:pt idx="5">
                  <c:v>418.29058297394278</c:v>
                </c:pt>
                <c:pt idx="6">
                  <c:v>418.25330453816667</c:v>
                </c:pt>
                <c:pt idx="7">
                  <c:v>418.20927958379679</c:v>
                </c:pt>
                <c:pt idx="8">
                  <c:v>418.15852377323506</c:v>
                </c:pt>
                <c:pt idx="9">
                  <c:v>418.10105515773915</c:v>
                </c:pt>
                <c:pt idx="10">
                  <c:v>418.03689416856741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746992"/>
        <c:axId val="255747384"/>
      </c:scatterChart>
      <c:valAx>
        <c:axId val="25574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747384"/>
        <c:crosses val="autoZero"/>
        <c:crossBetween val="midCat"/>
      </c:valAx>
      <c:valAx>
        <c:axId val="255747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7469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as left, but solution 2</a:t>
            </a:r>
          </a:p>
        </c:rich>
      </c:tx>
      <c:layout>
        <c:manualLayout>
          <c:xMode val="edge"/>
          <c:yMode val="edge"/>
          <c:x val="0.33957219251337012"/>
          <c:y val="4.2194092827004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03743315508099"/>
          <c:y val="0.23628789345947732"/>
          <c:w val="0.79946524064171121"/>
          <c:h val="0.5907197336486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'small plots'!$Q$5</c:f>
              <c:strCache>
                <c:ptCount val="1"/>
                <c:pt idx="0">
                  <c:v>energy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'small plots'!$P$6:$P$16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'small plots'!$Q$6:$Q$16</c:f>
              <c:numCache>
                <c:formatCode>0.000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748168"/>
        <c:axId val="255748560"/>
      </c:scatterChart>
      <c:valAx>
        <c:axId val="255748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748560"/>
        <c:crosses val="autoZero"/>
        <c:crossBetween val="midCat"/>
      </c:valAx>
      <c:valAx>
        <c:axId val="255748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7481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recoil angle vs ejectile lab angle</a:t>
            </a:r>
          </a:p>
        </c:rich>
      </c:tx>
      <c:layout>
        <c:manualLayout>
          <c:xMode val="edge"/>
          <c:yMode val="edge"/>
          <c:x val="0.20879149721669488"/>
          <c:y val="4.20168067226890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85733449054391"/>
          <c:y val="0.23949628967036957"/>
          <c:w val="0.79395710899552097"/>
          <c:h val="0.588236500944760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'small plots'!$B$21:$B$31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'small plots'!$C$21:$C$31</c:f>
              <c:numCache>
                <c:formatCode>0.00</c:formatCode>
                <c:ptCount val="11"/>
                <c:pt idx="0">
                  <c:v>0</c:v>
                </c:pt>
                <c:pt idx="1">
                  <c:v>82.724733541715565</c:v>
                </c:pt>
                <c:pt idx="2">
                  <c:v>85.579457235511541</c:v>
                </c:pt>
                <c:pt idx="3">
                  <c:v>86.194734978959744</c:v>
                </c:pt>
                <c:pt idx="4">
                  <c:v>86.246074386692342</c:v>
                </c:pt>
                <c:pt idx="5">
                  <c:v>86.071444209006856</c:v>
                </c:pt>
                <c:pt idx="6">
                  <c:v>85.783758597950182</c:v>
                </c:pt>
                <c:pt idx="7">
                  <c:v>85.431459009368695</c:v>
                </c:pt>
                <c:pt idx="8">
                  <c:v>85.038780890096561</c:v>
                </c:pt>
                <c:pt idx="9">
                  <c:v>84.619194480390647</c:v>
                </c:pt>
                <c:pt idx="10">
                  <c:v>84.180785281557476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306408"/>
        <c:axId val="255306800"/>
      </c:scatterChart>
      <c:valAx>
        <c:axId val="255306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306800"/>
        <c:crosses val="autoZero"/>
        <c:crossBetween val="midCat"/>
      </c:valAx>
      <c:valAx>
        <c:axId val="2553068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3064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as left, but solution 2</a:t>
            </a:r>
          </a:p>
        </c:rich>
      </c:tx>
      <c:layout>
        <c:manualLayout>
          <c:xMode val="edge"/>
          <c:yMode val="edge"/>
          <c:x val="0.32085561497326387"/>
          <c:y val="4.2194092827004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03743315508099"/>
          <c:y val="0.24050732012839651"/>
          <c:w val="0.79946524064171121"/>
          <c:h val="0.5865003069797722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'small plots'!$P$21:$P$31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'small plots'!$Q$21:$Q$31</c:f>
              <c:numCache>
                <c:formatCode>0.000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307584"/>
        <c:axId val="255307976"/>
      </c:scatterChart>
      <c:valAx>
        <c:axId val="25530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307976"/>
        <c:crosses val="autoZero"/>
        <c:crossBetween val="midCat"/>
      </c:valAx>
      <c:valAx>
        <c:axId val="255307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3075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recoil energy vs ejectile lab angle</a:t>
            </a:r>
          </a:p>
        </c:rich>
      </c:tx>
      <c:layout>
        <c:manualLayout>
          <c:xMode val="edge"/>
          <c:yMode val="edge"/>
          <c:x val="0.23835616438356164"/>
          <c:y val="4.18410041841003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46575342465753"/>
          <c:y val="0.23430962343096234"/>
          <c:w val="0.79452054794520344"/>
          <c:h val="0.5941422594142254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'small plots'!$B$36:$B$46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'small plots'!$C$36:$C$46</c:f>
              <c:numCache>
                <c:formatCode>0.000</c:formatCode>
                <c:ptCount val="11"/>
                <c:pt idx="0">
                  <c:v>4.7719768701881549E-5</c:v>
                </c:pt>
                <c:pt idx="1">
                  <c:v>3.4427091046040914E-3</c:v>
                </c:pt>
                <c:pt idx="2">
                  <c:v>1.3626468152040161E-2</c:v>
                </c:pt>
                <c:pt idx="3">
                  <c:v>3.0595370632397589E-2</c:v>
                </c:pt>
                <c:pt idx="4">
                  <c:v>5.4343374728034632E-2</c:v>
                </c:pt>
                <c:pt idx="5">
                  <c:v>8.4862026057237472E-2</c:v>
                </c:pt>
                <c:pt idx="6">
                  <c:v>0.12214046183333949</c:v>
                </c:pt>
                <c:pt idx="7">
                  <c:v>0.16616541620322778</c:v>
                </c:pt>
                <c:pt idx="8">
                  <c:v>0.21692122676495273</c:v>
                </c:pt>
                <c:pt idx="9">
                  <c:v>0.2743898422608595</c:v>
                </c:pt>
                <c:pt idx="10">
                  <c:v>0.3385508314325989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23400"/>
        <c:axId val="256123792"/>
      </c:scatterChart>
      <c:valAx>
        <c:axId val="256123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23792"/>
        <c:crosses val="autoZero"/>
        <c:crossBetween val="midCat"/>
      </c:valAx>
      <c:valAx>
        <c:axId val="256123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234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as left, but solution 2</a:t>
            </a:r>
          </a:p>
        </c:rich>
      </c:tx>
      <c:layout>
        <c:manualLayout>
          <c:xMode val="edge"/>
          <c:yMode val="edge"/>
          <c:x val="0.34048313665885632"/>
          <c:y val="4.18410041841003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1037016479904"/>
          <c:y val="0.23430962343096234"/>
          <c:w val="0.79892865979057803"/>
          <c:h val="0.5941422594142254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'small plots'!$P$36:$P$46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'small plots'!$Q$36:$Q$46</c:f>
              <c:numCache>
                <c:formatCode>0.000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306016"/>
        <c:axId val="255305624"/>
      </c:scatterChart>
      <c:valAx>
        <c:axId val="25530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305624"/>
        <c:crosses val="autoZero"/>
        <c:crossBetween val="midCat"/>
      </c:valAx>
      <c:valAx>
        <c:axId val="255305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3060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recoil energy vs. recoil angle</a:t>
            </a:r>
          </a:p>
        </c:rich>
      </c:tx>
      <c:layout>
        <c:manualLayout>
          <c:xMode val="edge"/>
          <c:yMode val="edge"/>
          <c:x val="0.27397260273972712"/>
          <c:y val="4.18410041841003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46575342465753"/>
          <c:y val="0.23430962343096234"/>
          <c:w val="0.7780821917808215"/>
          <c:h val="0.5941422594142254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'small plots'!$B$51:$B$61</c:f>
              <c:numCache>
                <c:formatCode>0.00</c:formatCode>
                <c:ptCount val="11"/>
                <c:pt idx="0">
                  <c:v>0</c:v>
                </c:pt>
                <c:pt idx="1">
                  <c:v>82.724733541715565</c:v>
                </c:pt>
                <c:pt idx="2">
                  <c:v>85.579457235511541</c:v>
                </c:pt>
                <c:pt idx="3">
                  <c:v>86.194734978959744</c:v>
                </c:pt>
                <c:pt idx="4">
                  <c:v>86.246074386692342</c:v>
                </c:pt>
                <c:pt idx="5">
                  <c:v>86.071444209006856</c:v>
                </c:pt>
                <c:pt idx="6">
                  <c:v>85.783758597950182</c:v>
                </c:pt>
                <c:pt idx="7">
                  <c:v>85.431459009368695</c:v>
                </c:pt>
                <c:pt idx="8">
                  <c:v>85.038780890096561</c:v>
                </c:pt>
                <c:pt idx="9">
                  <c:v>84.619194480390647</c:v>
                </c:pt>
                <c:pt idx="10">
                  <c:v>84.180785281557476</c:v>
                </c:pt>
              </c:numCache>
            </c:numRef>
          </c:xVal>
          <c:yVal>
            <c:numRef>
              <c:f>'small plots'!$C$51:$C$61</c:f>
              <c:numCache>
                <c:formatCode>0.000</c:formatCode>
                <c:ptCount val="11"/>
                <c:pt idx="0">
                  <c:v>4.7719768701881549E-5</c:v>
                </c:pt>
                <c:pt idx="1">
                  <c:v>3.4427091046040914E-3</c:v>
                </c:pt>
                <c:pt idx="2">
                  <c:v>1.3626468152040161E-2</c:v>
                </c:pt>
                <c:pt idx="3">
                  <c:v>3.0595370632397589E-2</c:v>
                </c:pt>
                <c:pt idx="4">
                  <c:v>5.4343374728034632E-2</c:v>
                </c:pt>
                <c:pt idx="5">
                  <c:v>8.4862026057237472E-2</c:v>
                </c:pt>
                <c:pt idx="6">
                  <c:v>0.12214046183333949</c:v>
                </c:pt>
                <c:pt idx="7">
                  <c:v>0.16616541620322778</c:v>
                </c:pt>
                <c:pt idx="8">
                  <c:v>0.21692122676495273</c:v>
                </c:pt>
                <c:pt idx="9">
                  <c:v>0.2743898422608595</c:v>
                </c:pt>
                <c:pt idx="10">
                  <c:v>0.3385508314325989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304840"/>
        <c:axId val="256124576"/>
      </c:scatterChart>
      <c:valAx>
        <c:axId val="2553048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24576"/>
        <c:crosses val="autoZero"/>
        <c:crossBetween val="midCat"/>
      </c:valAx>
      <c:valAx>
        <c:axId val="256124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3048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as left, but solution 2</a:t>
            </a:r>
          </a:p>
        </c:rich>
      </c:tx>
      <c:layout>
        <c:manualLayout>
          <c:xMode val="edge"/>
          <c:yMode val="edge"/>
          <c:x val="0.34048313665885632"/>
          <c:y val="4.18410041841003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1037016479904"/>
          <c:y val="0.23430962343096234"/>
          <c:w val="0.78284284784848568"/>
          <c:h val="0.5941422594142254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'small plots'!$P$51:$P$61</c:f>
              <c:numCache>
                <c:formatCode>0.000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'small plots'!$Q$51:$Q$61</c:f>
              <c:numCache>
                <c:formatCode>0.000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25360"/>
        <c:axId val="256125752"/>
      </c:scatterChart>
      <c:valAx>
        <c:axId val="256125360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25752"/>
        <c:crosses val="autoZero"/>
        <c:crossBetween val="midCat"/>
      </c:valAx>
      <c:valAx>
        <c:axId val="256125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25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mom.transfer vs. lab angle</a:t>
            </a:r>
          </a:p>
        </c:rich>
      </c:tx>
      <c:layout>
        <c:manualLayout>
          <c:xMode val="edge"/>
          <c:yMode val="edge"/>
          <c:x val="0.29041095890411067"/>
          <c:y val="3.87931034482758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46575342465753"/>
          <c:y val="0.2413798183674114"/>
          <c:w val="0.79726027397260257"/>
          <c:h val="0.5818977764214381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'small plots'!$B$65:$B$75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'small plots'!$C$65:$C$75</c:f>
              <c:numCache>
                <c:formatCode>0.000</c:formatCode>
                <c:ptCount val="11"/>
                <c:pt idx="0">
                  <c:v>1.6683181964390916E-2</c:v>
                </c:pt>
                <c:pt idx="1">
                  <c:v>0.14170326073887898</c:v>
                </c:pt>
                <c:pt idx="2">
                  <c:v>0.28191705005782197</c:v>
                </c:pt>
                <c:pt idx="3">
                  <c:v>0.42243273507506052</c:v>
                </c:pt>
                <c:pt idx="4">
                  <c:v>0.56299304631813574</c:v>
                </c:pt>
                <c:pt idx="5">
                  <c:v>0.70353621146869882</c:v>
                </c:pt>
                <c:pt idx="6">
                  <c:v>0.84403328221147</c:v>
                </c:pt>
                <c:pt idx="7">
                  <c:v>0.98446471592644991</c:v>
                </c:pt>
                <c:pt idx="8">
                  <c:v>1.1248145094882775</c:v>
                </c:pt>
                <c:pt idx="9">
                  <c:v>1.2650682433669596</c:v>
                </c:pt>
                <c:pt idx="10">
                  <c:v>1.4052123000613415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26536"/>
        <c:axId val="256126928"/>
      </c:scatterChart>
      <c:valAx>
        <c:axId val="256126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26928"/>
        <c:crosses val="autoZero"/>
        <c:crossBetween val="midCat"/>
      </c:valAx>
      <c:valAx>
        <c:axId val="256126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26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Lab angles for ejectile and recoil</a:t>
            </a:r>
          </a:p>
        </c:rich>
      </c:tx>
      <c:layout>
        <c:manualLayout>
          <c:xMode val="edge"/>
          <c:yMode val="edge"/>
          <c:x val="0.36958934517203224"/>
          <c:y val="1.95758564437194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4350721420643732E-2"/>
          <c:y val="0.12071778140293662"/>
          <c:w val="0.79245283018867962"/>
          <c:h val="0.77650897226753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'Plotting Sheet'!$D$5</c:f>
              <c:strCache>
                <c:ptCount val="1"/>
                <c:pt idx="0">
                  <c:v>ejectile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'Plotting Sheet'!$C$6:$C$368</c:f>
              <c:numCache>
                <c:formatCode>0.00</c:formatCode>
                <c:ptCount val="363"/>
                <c:pt idx="0">
                  <c:v>0</c:v>
                </c:pt>
                <c:pt idx="1">
                  <c:v>1.028</c:v>
                </c:pt>
                <c:pt idx="2">
                  <c:v>2.0569999999999999</c:v>
                </c:pt>
                <c:pt idx="3">
                  <c:v>3.085</c:v>
                </c:pt>
                <c:pt idx="4">
                  <c:v>4.1130000000000004</c:v>
                </c:pt>
                <c:pt idx="5">
                  <c:v>5.1420000000000003</c:v>
                </c:pt>
                <c:pt idx="6">
                  <c:v>6.17</c:v>
                </c:pt>
                <c:pt idx="7">
                  <c:v>7.1980000000000004</c:v>
                </c:pt>
                <c:pt idx="8">
                  <c:v>8.2260000000000009</c:v>
                </c:pt>
                <c:pt idx="9">
                  <c:v>9.2539999999999996</c:v>
                </c:pt>
                <c:pt idx="10">
                  <c:v>10.282</c:v>
                </c:pt>
                <c:pt idx="11">
                  <c:v>11.31</c:v>
                </c:pt>
                <c:pt idx="12">
                  <c:v>12.337999999999999</c:v>
                </c:pt>
                <c:pt idx="13">
                  <c:v>13.366</c:v>
                </c:pt>
                <c:pt idx="14">
                  <c:v>14.393000000000001</c:v>
                </c:pt>
                <c:pt idx="15">
                  <c:v>15.420999999999999</c:v>
                </c:pt>
                <c:pt idx="16">
                  <c:v>16.448</c:v>
                </c:pt>
                <c:pt idx="17">
                  <c:v>17.475999999999999</c:v>
                </c:pt>
                <c:pt idx="18">
                  <c:v>18.503</c:v>
                </c:pt>
                <c:pt idx="19">
                  <c:v>19.529</c:v>
                </c:pt>
                <c:pt idx="20">
                  <c:v>20.556000000000001</c:v>
                </c:pt>
                <c:pt idx="21">
                  <c:v>21.582999999999998</c:v>
                </c:pt>
                <c:pt idx="22">
                  <c:v>22.609000000000002</c:v>
                </c:pt>
                <c:pt idx="23">
                  <c:v>23.635000000000002</c:v>
                </c:pt>
                <c:pt idx="24">
                  <c:v>24.661000000000001</c:v>
                </c:pt>
                <c:pt idx="25">
                  <c:v>25.687000000000001</c:v>
                </c:pt>
                <c:pt idx="26">
                  <c:v>26.713000000000001</c:v>
                </c:pt>
                <c:pt idx="27">
                  <c:v>27.738</c:v>
                </c:pt>
                <c:pt idx="28">
                  <c:v>28.763000000000002</c:v>
                </c:pt>
                <c:pt idx="29">
                  <c:v>29.788</c:v>
                </c:pt>
                <c:pt idx="30">
                  <c:v>30.812999999999999</c:v>
                </c:pt>
                <c:pt idx="31">
                  <c:v>31.837</c:v>
                </c:pt>
                <c:pt idx="32">
                  <c:v>32.862000000000002</c:v>
                </c:pt>
                <c:pt idx="33">
                  <c:v>33.884999999999998</c:v>
                </c:pt>
                <c:pt idx="34">
                  <c:v>34.908999999999999</c:v>
                </c:pt>
                <c:pt idx="35">
                  <c:v>35.932000000000002</c:v>
                </c:pt>
                <c:pt idx="36">
                  <c:v>36.956000000000003</c:v>
                </c:pt>
                <c:pt idx="37">
                  <c:v>37.978000000000002</c:v>
                </c:pt>
                <c:pt idx="38">
                  <c:v>39.000999999999998</c:v>
                </c:pt>
                <c:pt idx="39">
                  <c:v>40.023000000000003</c:v>
                </c:pt>
                <c:pt idx="40">
                  <c:v>41.045000000000002</c:v>
                </c:pt>
                <c:pt idx="41">
                  <c:v>42.066000000000003</c:v>
                </c:pt>
                <c:pt idx="42">
                  <c:v>43.088000000000001</c:v>
                </c:pt>
                <c:pt idx="43">
                  <c:v>44.107999999999997</c:v>
                </c:pt>
                <c:pt idx="44">
                  <c:v>45.128999999999998</c:v>
                </c:pt>
                <c:pt idx="45">
                  <c:v>46.149000000000001</c:v>
                </c:pt>
                <c:pt idx="46">
                  <c:v>47.168999999999997</c:v>
                </c:pt>
                <c:pt idx="47">
                  <c:v>48.188000000000002</c:v>
                </c:pt>
                <c:pt idx="48">
                  <c:v>49.207999999999998</c:v>
                </c:pt>
                <c:pt idx="49">
                  <c:v>50.225999999999999</c:v>
                </c:pt>
                <c:pt idx="50">
                  <c:v>51.244999999999997</c:v>
                </c:pt>
                <c:pt idx="51">
                  <c:v>52.262999999999998</c:v>
                </c:pt>
                <c:pt idx="52">
                  <c:v>53.28</c:v>
                </c:pt>
                <c:pt idx="53">
                  <c:v>54.296999999999997</c:v>
                </c:pt>
                <c:pt idx="54">
                  <c:v>55.314</c:v>
                </c:pt>
                <c:pt idx="55">
                  <c:v>56.331000000000003</c:v>
                </c:pt>
                <c:pt idx="56">
                  <c:v>57.347000000000001</c:v>
                </c:pt>
                <c:pt idx="57">
                  <c:v>58.362000000000002</c:v>
                </c:pt>
                <c:pt idx="58">
                  <c:v>59.377000000000002</c:v>
                </c:pt>
                <c:pt idx="59">
                  <c:v>60.392000000000003</c:v>
                </c:pt>
                <c:pt idx="60">
                  <c:v>61.405999999999999</c:v>
                </c:pt>
                <c:pt idx="61">
                  <c:v>62.42</c:v>
                </c:pt>
                <c:pt idx="62">
                  <c:v>63.433999999999997</c:v>
                </c:pt>
                <c:pt idx="63">
                  <c:v>64.447000000000003</c:v>
                </c:pt>
                <c:pt idx="64">
                  <c:v>65.459000000000003</c:v>
                </c:pt>
                <c:pt idx="65">
                  <c:v>66.471000000000004</c:v>
                </c:pt>
                <c:pt idx="66">
                  <c:v>67.483000000000004</c:v>
                </c:pt>
                <c:pt idx="67">
                  <c:v>68.494</c:v>
                </c:pt>
                <c:pt idx="68">
                  <c:v>69.504999999999995</c:v>
                </c:pt>
                <c:pt idx="69">
                  <c:v>70.515000000000001</c:v>
                </c:pt>
                <c:pt idx="70">
                  <c:v>71.525000000000006</c:v>
                </c:pt>
                <c:pt idx="71">
                  <c:v>72.534999999999997</c:v>
                </c:pt>
                <c:pt idx="72">
                  <c:v>73.543999999999997</c:v>
                </c:pt>
                <c:pt idx="73">
                  <c:v>74.552000000000007</c:v>
                </c:pt>
                <c:pt idx="74">
                  <c:v>75.56</c:v>
                </c:pt>
                <c:pt idx="75">
                  <c:v>76.566999999999993</c:v>
                </c:pt>
                <c:pt idx="76">
                  <c:v>77.573999999999998</c:v>
                </c:pt>
                <c:pt idx="77">
                  <c:v>78.581000000000003</c:v>
                </c:pt>
                <c:pt idx="78">
                  <c:v>79.587000000000003</c:v>
                </c:pt>
                <c:pt idx="79">
                  <c:v>80.593000000000004</c:v>
                </c:pt>
                <c:pt idx="80">
                  <c:v>81.597999999999999</c:v>
                </c:pt>
                <c:pt idx="81">
                  <c:v>82.602000000000004</c:v>
                </c:pt>
                <c:pt idx="82">
                  <c:v>83.605999999999995</c:v>
                </c:pt>
                <c:pt idx="83">
                  <c:v>84.61</c:v>
                </c:pt>
                <c:pt idx="84">
                  <c:v>85.613</c:v>
                </c:pt>
                <c:pt idx="85">
                  <c:v>86.616</c:v>
                </c:pt>
                <c:pt idx="86">
                  <c:v>87.617999999999995</c:v>
                </c:pt>
                <c:pt idx="87">
                  <c:v>88.619</c:v>
                </c:pt>
                <c:pt idx="88">
                  <c:v>89.620999999999995</c:v>
                </c:pt>
                <c:pt idx="89">
                  <c:v>90.620999999999995</c:v>
                </c:pt>
                <c:pt idx="90">
                  <c:v>91.620999999999995</c:v>
                </c:pt>
                <c:pt idx="91">
                  <c:v>92.620999999999995</c:v>
                </c:pt>
                <c:pt idx="92">
                  <c:v>93.62</c:v>
                </c:pt>
                <c:pt idx="93">
                  <c:v>94.619</c:v>
                </c:pt>
                <c:pt idx="94">
                  <c:v>95.617000000000004</c:v>
                </c:pt>
                <c:pt idx="95">
                  <c:v>96.614999999999995</c:v>
                </c:pt>
                <c:pt idx="96">
                  <c:v>97.611999999999995</c:v>
                </c:pt>
                <c:pt idx="97">
                  <c:v>98.608999999999995</c:v>
                </c:pt>
                <c:pt idx="98">
                  <c:v>99.605000000000004</c:v>
                </c:pt>
                <c:pt idx="99">
                  <c:v>100.601</c:v>
                </c:pt>
                <c:pt idx="100">
                  <c:v>101.596</c:v>
                </c:pt>
                <c:pt idx="101">
                  <c:v>102.59099999999999</c:v>
                </c:pt>
                <c:pt idx="102">
                  <c:v>103.58499999999999</c:v>
                </c:pt>
                <c:pt idx="103">
                  <c:v>104.57899999999999</c:v>
                </c:pt>
                <c:pt idx="104">
                  <c:v>105.572</c:v>
                </c:pt>
                <c:pt idx="105">
                  <c:v>106.565</c:v>
                </c:pt>
                <c:pt idx="106">
                  <c:v>107.557</c:v>
                </c:pt>
                <c:pt idx="107">
                  <c:v>108.54900000000001</c:v>
                </c:pt>
                <c:pt idx="108">
                  <c:v>109.54</c:v>
                </c:pt>
                <c:pt idx="109">
                  <c:v>110.53100000000001</c:v>
                </c:pt>
                <c:pt idx="110">
                  <c:v>111.52200000000001</c:v>
                </c:pt>
                <c:pt idx="111">
                  <c:v>112.512</c:v>
                </c:pt>
                <c:pt idx="112">
                  <c:v>113.501</c:v>
                </c:pt>
                <c:pt idx="113">
                  <c:v>114.491</c:v>
                </c:pt>
                <c:pt idx="114">
                  <c:v>115.479</c:v>
                </c:pt>
                <c:pt idx="115">
                  <c:v>116.467</c:v>
                </c:pt>
                <c:pt idx="116">
                  <c:v>117.455</c:v>
                </c:pt>
                <c:pt idx="117">
                  <c:v>118.44199999999999</c:v>
                </c:pt>
                <c:pt idx="118">
                  <c:v>119.429</c:v>
                </c:pt>
                <c:pt idx="119">
                  <c:v>120.416</c:v>
                </c:pt>
                <c:pt idx="120">
                  <c:v>121.402</c:v>
                </c:pt>
                <c:pt idx="121">
                  <c:v>122.387</c:v>
                </c:pt>
                <c:pt idx="122">
                  <c:v>123.373</c:v>
                </c:pt>
                <c:pt idx="123">
                  <c:v>124.357</c:v>
                </c:pt>
                <c:pt idx="124">
                  <c:v>125.342</c:v>
                </c:pt>
                <c:pt idx="125">
                  <c:v>126.32599999999999</c:v>
                </c:pt>
                <c:pt idx="126">
                  <c:v>127.309</c:v>
                </c:pt>
                <c:pt idx="127">
                  <c:v>128.292</c:v>
                </c:pt>
                <c:pt idx="128">
                  <c:v>129.27500000000001</c:v>
                </c:pt>
                <c:pt idx="129">
                  <c:v>130.25700000000001</c:v>
                </c:pt>
                <c:pt idx="130">
                  <c:v>131.239</c:v>
                </c:pt>
                <c:pt idx="131">
                  <c:v>132.221</c:v>
                </c:pt>
                <c:pt idx="132">
                  <c:v>133.202</c:v>
                </c:pt>
                <c:pt idx="133">
                  <c:v>134.18299999999999</c:v>
                </c:pt>
                <c:pt idx="134">
                  <c:v>135.16399999999999</c:v>
                </c:pt>
                <c:pt idx="135">
                  <c:v>136.14400000000001</c:v>
                </c:pt>
                <c:pt idx="136">
                  <c:v>137.124</c:v>
                </c:pt>
                <c:pt idx="137">
                  <c:v>138.10300000000001</c:v>
                </c:pt>
                <c:pt idx="138">
                  <c:v>139.08199999999999</c:v>
                </c:pt>
                <c:pt idx="139">
                  <c:v>140.06100000000001</c:v>
                </c:pt>
                <c:pt idx="140">
                  <c:v>141.04</c:v>
                </c:pt>
                <c:pt idx="141">
                  <c:v>142.018</c:v>
                </c:pt>
                <c:pt idx="142">
                  <c:v>142.99600000000001</c:v>
                </c:pt>
                <c:pt idx="143">
                  <c:v>143.97300000000001</c:v>
                </c:pt>
                <c:pt idx="144">
                  <c:v>144.94999999999999</c:v>
                </c:pt>
                <c:pt idx="145">
                  <c:v>145.92699999999999</c:v>
                </c:pt>
                <c:pt idx="146">
                  <c:v>146.904</c:v>
                </c:pt>
                <c:pt idx="147">
                  <c:v>147.881</c:v>
                </c:pt>
                <c:pt idx="148">
                  <c:v>148.857</c:v>
                </c:pt>
                <c:pt idx="149">
                  <c:v>149.833</c:v>
                </c:pt>
                <c:pt idx="150">
                  <c:v>150.80799999999999</c:v>
                </c:pt>
                <c:pt idx="151">
                  <c:v>151.78399999999999</c:v>
                </c:pt>
                <c:pt idx="152">
                  <c:v>152.75899999999999</c:v>
                </c:pt>
                <c:pt idx="153">
                  <c:v>153.73400000000001</c:v>
                </c:pt>
                <c:pt idx="154">
                  <c:v>154.709</c:v>
                </c:pt>
                <c:pt idx="155">
                  <c:v>155.68299999999999</c:v>
                </c:pt>
                <c:pt idx="156">
                  <c:v>156.65700000000001</c:v>
                </c:pt>
                <c:pt idx="157">
                  <c:v>157.63200000000001</c:v>
                </c:pt>
                <c:pt idx="158">
                  <c:v>158.60599999999999</c:v>
                </c:pt>
                <c:pt idx="159">
                  <c:v>159.57900000000001</c:v>
                </c:pt>
                <c:pt idx="160">
                  <c:v>160.553</c:v>
                </c:pt>
                <c:pt idx="161">
                  <c:v>161.52600000000001</c:v>
                </c:pt>
                <c:pt idx="162">
                  <c:v>162.499</c:v>
                </c:pt>
                <c:pt idx="163">
                  <c:v>163.47300000000001</c:v>
                </c:pt>
                <c:pt idx="164">
                  <c:v>164.44499999999999</c:v>
                </c:pt>
                <c:pt idx="165">
                  <c:v>165.41800000000001</c:v>
                </c:pt>
                <c:pt idx="166">
                  <c:v>166.39099999999999</c:v>
                </c:pt>
                <c:pt idx="167">
                  <c:v>167.364</c:v>
                </c:pt>
                <c:pt idx="168">
                  <c:v>168.33600000000001</c:v>
                </c:pt>
                <c:pt idx="169">
                  <c:v>169.30799999999999</c:v>
                </c:pt>
                <c:pt idx="170">
                  <c:v>170.28100000000001</c:v>
                </c:pt>
                <c:pt idx="171">
                  <c:v>171.25299999999999</c:v>
                </c:pt>
                <c:pt idx="172">
                  <c:v>172.22499999999999</c:v>
                </c:pt>
                <c:pt idx="173">
                  <c:v>173.197</c:v>
                </c:pt>
                <c:pt idx="174">
                  <c:v>174.16900000000001</c:v>
                </c:pt>
                <c:pt idx="175">
                  <c:v>175.14099999999999</c:v>
                </c:pt>
                <c:pt idx="176">
                  <c:v>176.113</c:v>
                </c:pt>
                <c:pt idx="177">
                  <c:v>177.08500000000001</c:v>
                </c:pt>
                <c:pt idx="178">
                  <c:v>178.05600000000001</c:v>
                </c:pt>
                <c:pt idx="179">
                  <c:v>179.02799999999999</c:v>
                </c:pt>
                <c:pt idx="180">
                  <c:v>180</c:v>
                </c:pt>
                <c:pt idx="181">
                  <c:v>180</c:v>
                </c:pt>
                <c:pt idx="182">
                  <c:v>180</c:v>
                </c:pt>
                <c:pt idx="183">
                  <c:v>180</c:v>
                </c:pt>
                <c:pt idx="184">
                  <c:v>180</c:v>
                </c:pt>
                <c:pt idx="185">
                  <c:v>180</c:v>
                </c:pt>
                <c:pt idx="186">
                  <c:v>180</c:v>
                </c:pt>
                <c:pt idx="187">
                  <c:v>180</c:v>
                </c:pt>
                <c:pt idx="188">
                  <c:v>180</c:v>
                </c:pt>
                <c:pt idx="189">
                  <c:v>180</c:v>
                </c:pt>
                <c:pt idx="190">
                  <c:v>180</c:v>
                </c:pt>
                <c:pt idx="191">
                  <c:v>180</c:v>
                </c:pt>
                <c:pt idx="192">
                  <c:v>180</c:v>
                </c:pt>
                <c:pt idx="193">
                  <c:v>180</c:v>
                </c:pt>
                <c:pt idx="194">
                  <c:v>180</c:v>
                </c:pt>
                <c:pt idx="195">
                  <c:v>180</c:v>
                </c:pt>
                <c:pt idx="196">
                  <c:v>180</c:v>
                </c:pt>
                <c:pt idx="197">
                  <c:v>180</c:v>
                </c:pt>
                <c:pt idx="198">
                  <c:v>180</c:v>
                </c:pt>
                <c:pt idx="199">
                  <c:v>180</c:v>
                </c:pt>
                <c:pt idx="200">
                  <c:v>180</c:v>
                </c:pt>
                <c:pt idx="201">
                  <c:v>180</c:v>
                </c:pt>
                <c:pt idx="202">
                  <c:v>180</c:v>
                </c:pt>
                <c:pt idx="203">
                  <c:v>180</c:v>
                </c:pt>
                <c:pt idx="204">
                  <c:v>180</c:v>
                </c:pt>
                <c:pt idx="205">
                  <c:v>180</c:v>
                </c:pt>
                <c:pt idx="206">
                  <c:v>180</c:v>
                </c:pt>
                <c:pt idx="207">
                  <c:v>180</c:v>
                </c:pt>
                <c:pt idx="208">
                  <c:v>180</c:v>
                </c:pt>
                <c:pt idx="209">
                  <c:v>180</c:v>
                </c:pt>
                <c:pt idx="210">
                  <c:v>180</c:v>
                </c:pt>
                <c:pt idx="211">
                  <c:v>180</c:v>
                </c:pt>
                <c:pt idx="212">
                  <c:v>180</c:v>
                </c:pt>
                <c:pt idx="213">
                  <c:v>180</c:v>
                </c:pt>
                <c:pt idx="214">
                  <c:v>180</c:v>
                </c:pt>
                <c:pt idx="215">
                  <c:v>180</c:v>
                </c:pt>
                <c:pt idx="216">
                  <c:v>180</c:v>
                </c:pt>
                <c:pt idx="217">
                  <c:v>180</c:v>
                </c:pt>
                <c:pt idx="218">
                  <c:v>180</c:v>
                </c:pt>
                <c:pt idx="219">
                  <c:v>180</c:v>
                </c:pt>
                <c:pt idx="220">
                  <c:v>180</c:v>
                </c:pt>
                <c:pt idx="221">
                  <c:v>180</c:v>
                </c:pt>
                <c:pt idx="222">
                  <c:v>180</c:v>
                </c:pt>
                <c:pt idx="223">
                  <c:v>180</c:v>
                </c:pt>
                <c:pt idx="224">
                  <c:v>180</c:v>
                </c:pt>
                <c:pt idx="225">
                  <c:v>180</c:v>
                </c:pt>
                <c:pt idx="226">
                  <c:v>180</c:v>
                </c:pt>
                <c:pt idx="227">
                  <c:v>180</c:v>
                </c:pt>
                <c:pt idx="228">
                  <c:v>180</c:v>
                </c:pt>
                <c:pt idx="229">
                  <c:v>180</c:v>
                </c:pt>
                <c:pt idx="230">
                  <c:v>180</c:v>
                </c:pt>
                <c:pt idx="231">
                  <c:v>180</c:v>
                </c:pt>
                <c:pt idx="232">
                  <c:v>180</c:v>
                </c:pt>
                <c:pt idx="233">
                  <c:v>180</c:v>
                </c:pt>
                <c:pt idx="234">
                  <c:v>180</c:v>
                </c:pt>
                <c:pt idx="235">
                  <c:v>180</c:v>
                </c:pt>
                <c:pt idx="236">
                  <c:v>180</c:v>
                </c:pt>
                <c:pt idx="237">
                  <c:v>180</c:v>
                </c:pt>
                <c:pt idx="238">
                  <c:v>180</c:v>
                </c:pt>
                <c:pt idx="239">
                  <c:v>180</c:v>
                </c:pt>
                <c:pt idx="240">
                  <c:v>180</c:v>
                </c:pt>
                <c:pt idx="241">
                  <c:v>180</c:v>
                </c:pt>
                <c:pt idx="242">
                  <c:v>180</c:v>
                </c:pt>
                <c:pt idx="243">
                  <c:v>180</c:v>
                </c:pt>
                <c:pt idx="244">
                  <c:v>180</c:v>
                </c:pt>
                <c:pt idx="245">
                  <c:v>180</c:v>
                </c:pt>
                <c:pt idx="246">
                  <c:v>180</c:v>
                </c:pt>
                <c:pt idx="247">
                  <c:v>180</c:v>
                </c:pt>
                <c:pt idx="248">
                  <c:v>180</c:v>
                </c:pt>
                <c:pt idx="249">
                  <c:v>180</c:v>
                </c:pt>
                <c:pt idx="250">
                  <c:v>180</c:v>
                </c:pt>
                <c:pt idx="251">
                  <c:v>180</c:v>
                </c:pt>
                <c:pt idx="252">
                  <c:v>180</c:v>
                </c:pt>
                <c:pt idx="253">
                  <c:v>180</c:v>
                </c:pt>
                <c:pt idx="254">
                  <c:v>180</c:v>
                </c:pt>
                <c:pt idx="255">
                  <c:v>180</c:v>
                </c:pt>
                <c:pt idx="256">
                  <c:v>180</c:v>
                </c:pt>
                <c:pt idx="257">
                  <c:v>180</c:v>
                </c:pt>
                <c:pt idx="258">
                  <c:v>180</c:v>
                </c:pt>
                <c:pt idx="259">
                  <c:v>180</c:v>
                </c:pt>
                <c:pt idx="260">
                  <c:v>180</c:v>
                </c:pt>
                <c:pt idx="261">
                  <c:v>180</c:v>
                </c:pt>
                <c:pt idx="262">
                  <c:v>180</c:v>
                </c:pt>
                <c:pt idx="263">
                  <c:v>180</c:v>
                </c:pt>
                <c:pt idx="264">
                  <c:v>180</c:v>
                </c:pt>
                <c:pt idx="265">
                  <c:v>180</c:v>
                </c:pt>
                <c:pt idx="266">
                  <c:v>180</c:v>
                </c:pt>
                <c:pt idx="267">
                  <c:v>180</c:v>
                </c:pt>
                <c:pt idx="268">
                  <c:v>180</c:v>
                </c:pt>
                <c:pt idx="269">
                  <c:v>180</c:v>
                </c:pt>
                <c:pt idx="270">
                  <c:v>180</c:v>
                </c:pt>
                <c:pt idx="271">
                  <c:v>180</c:v>
                </c:pt>
                <c:pt idx="272">
                  <c:v>180</c:v>
                </c:pt>
                <c:pt idx="273">
                  <c:v>180</c:v>
                </c:pt>
                <c:pt idx="274">
                  <c:v>180</c:v>
                </c:pt>
                <c:pt idx="275">
                  <c:v>180</c:v>
                </c:pt>
                <c:pt idx="276">
                  <c:v>180</c:v>
                </c:pt>
                <c:pt idx="277">
                  <c:v>180</c:v>
                </c:pt>
                <c:pt idx="278">
                  <c:v>180</c:v>
                </c:pt>
                <c:pt idx="279">
                  <c:v>180</c:v>
                </c:pt>
                <c:pt idx="280">
                  <c:v>180</c:v>
                </c:pt>
                <c:pt idx="281">
                  <c:v>180</c:v>
                </c:pt>
                <c:pt idx="282">
                  <c:v>180</c:v>
                </c:pt>
                <c:pt idx="283">
                  <c:v>180</c:v>
                </c:pt>
                <c:pt idx="284">
                  <c:v>180</c:v>
                </c:pt>
                <c:pt idx="285">
                  <c:v>180</c:v>
                </c:pt>
                <c:pt idx="286">
                  <c:v>180</c:v>
                </c:pt>
                <c:pt idx="287">
                  <c:v>180</c:v>
                </c:pt>
                <c:pt idx="288">
                  <c:v>180</c:v>
                </c:pt>
                <c:pt idx="289">
                  <c:v>180</c:v>
                </c:pt>
                <c:pt idx="290">
                  <c:v>180</c:v>
                </c:pt>
                <c:pt idx="291">
                  <c:v>180</c:v>
                </c:pt>
                <c:pt idx="292">
                  <c:v>180</c:v>
                </c:pt>
                <c:pt idx="293">
                  <c:v>180</c:v>
                </c:pt>
                <c:pt idx="294">
                  <c:v>180</c:v>
                </c:pt>
                <c:pt idx="295">
                  <c:v>180</c:v>
                </c:pt>
                <c:pt idx="296">
                  <c:v>180</c:v>
                </c:pt>
                <c:pt idx="297">
                  <c:v>180</c:v>
                </c:pt>
                <c:pt idx="298">
                  <c:v>180</c:v>
                </c:pt>
                <c:pt idx="299">
                  <c:v>180</c:v>
                </c:pt>
                <c:pt idx="300">
                  <c:v>180</c:v>
                </c:pt>
                <c:pt idx="301">
                  <c:v>180</c:v>
                </c:pt>
                <c:pt idx="302">
                  <c:v>180</c:v>
                </c:pt>
                <c:pt idx="303">
                  <c:v>180</c:v>
                </c:pt>
                <c:pt idx="304">
                  <c:v>180</c:v>
                </c:pt>
                <c:pt idx="305">
                  <c:v>180</c:v>
                </c:pt>
                <c:pt idx="306">
                  <c:v>180</c:v>
                </c:pt>
                <c:pt idx="307">
                  <c:v>180</c:v>
                </c:pt>
                <c:pt idx="308">
                  <c:v>180</c:v>
                </c:pt>
                <c:pt idx="309">
                  <c:v>180</c:v>
                </c:pt>
                <c:pt idx="310">
                  <c:v>180</c:v>
                </c:pt>
                <c:pt idx="311">
                  <c:v>180</c:v>
                </c:pt>
                <c:pt idx="312">
                  <c:v>180</c:v>
                </c:pt>
                <c:pt idx="313">
                  <c:v>180</c:v>
                </c:pt>
                <c:pt idx="314">
                  <c:v>180</c:v>
                </c:pt>
                <c:pt idx="315">
                  <c:v>180</c:v>
                </c:pt>
                <c:pt idx="316">
                  <c:v>180</c:v>
                </c:pt>
                <c:pt idx="317">
                  <c:v>180</c:v>
                </c:pt>
                <c:pt idx="318">
                  <c:v>180</c:v>
                </c:pt>
                <c:pt idx="319">
                  <c:v>180</c:v>
                </c:pt>
                <c:pt idx="320">
                  <c:v>180</c:v>
                </c:pt>
                <c:pt idx="321">
                  <c:v>180</c:v>
                </c:pt>
                <c:pt idx="322">
                  <c:v>180</c:v>
                </c:pt>
                <c:pt idx="323">
                  <c:v>180</c:v>
                </c:pt>
                <c:pt idx="324">
                  <c:v>180</c:v>
                </c:pt>
                <c:pt idx="325">
                  <c:v>180</c:v>
                </c:pt>
                <c:pt idx="326">
                  <c:v>180</c:v>
                </c:pt>
                <c:pt idx="327">
                  <c:v>180</c:v>
                </c:pt>
                <c:pt idx="328">
                  <c:v>180</c:v>
                </c:pt>
                <c:pt idx="329">
                  <c:v>180</c:v>
                </c:pt>
                <c:pt idx="330">
                  <c:v>180</c:v>
                </c:pt>
                <c:pt idx="331">
                  <c:v>180</c:v>
                </c:pt>
                <c:pt idx="332">
                  <c:v>180</c:v>
                </c:pt>
                <c:pt idx="333">
                  <c:v>180</c:v>
                </c:pt>
                <c:pt idx="334">
                  <c:v>180</c:v>
                </c:pt>
                <c:pt idx="335">
                  <c:v>180</c:v>
                </c:pt>
                <c:pt idx="336">
                  <c:v>180</c:v>
                </c:pt>
                <c:pt idx="337">
                  <c:v>180</c:v>
                </c:pt>
                <c:pt idx="338">
                  <c:v>180</c:v>
                </c:pt>
                <c:pt idx="339">
                  <c:v>180</c:v>
                </c:pt>
                <c:pt idx="340">
                  <c:v>180</c:v>
                </c:pt>
                <c:pt idx="341">
                  <c:v>180</c:v>
                </c:pt>
                <c:pt idx="342">
                  <c:v>180</c:v>
                </c:pt>
                <c:pt idx="343">
                  <c:v>180</c:v>
                </c:pt>
                <c:pt idx="344">
                  <c:v>180</c:v>
                </c:pt>
                <c:pt idx="345">
                  <c:v>180</c:v>
                </c:pt>
                <c:pt idx="346">
                  <c:v>180</c:v>
                </c:pt>
                <c:pt idx="347">
                  <c:v>180</c:v>
                </c:pt>
                <c:pt idx="348">
                  <c:v>180</c:v>
                </c:pt>
                <c:pt idx="349">
                  <c:v>180</c:v>
                </c:pt>
                <c:pt idx="350">
                  <c:v>180</c:v>
                </c:pt>
                <c:pt idx="351">
                  <c:v>180</c:v>
                </c:pt>
                <c:pt idx="352">
                  <c:v>180</c:v>
                </c:pt>
                <c:pt idx="353">
                  <c:v>180</c:v>
                </c:pt>
                <c:pt idx="354">
                  <c:v>180</c:v>
                </c:pt>
                <c:pt idx="355">
                  <c:v>180</c:v>
                </c:pt>
                <c:pt idx="356">
                  <c:v>180</c:v>
                </c:pt>
                <c:pt idx="357">
                  <c:v>180</c:v>
                </c:pt>
                <c:pt idx="358">
                  <c:v>180</c:v>
                </c:pt>
                <c:pt idx="359">
                  <c:v>180</c:v>
                </c:pt>
                <c:pt idx="360">
                  <c:v>180</c:v>
                </c:pt>
                <c:pt idx="361">
                  <c:v>180</c:v>
                </c:pt>
                <c:pt idx="362">
                  <c:v>180</c:v>
                </c:pt>
              </c:numCache>
            </c:numRef>
          </c:xVal>
          <c:yVal>
            <c:numRef>
              <c:f>'Plotting Sheet'!$D$6:$D$368</c:f>
              <c:numCache>
                <c:formatCode>0.0</c:formatCode>
                <c:ptCount val="3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'Plotting Sheet'!$E$5</c:f>
              <c:strCache>
                <c:ptCount val="1"/>
                <c:pt idx="0">
                  <c:v>recoil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'Plotting Sheet'!$C$6:$C$368</c:f>
              <c:numCache>
                <c:formatCode>0.00</c:formatCode>
                <c:ptCount val="363"/>
                <c:pt idx="0">
                  <c:v>0</c:v>
                </c:pt>
                <c:pt idx="1">
                  <c:v>1.028</c:v>
                </c:pt>
                <c:pt idx="2">
                  <c:v>2.0569999999999999</c:v>
                </c:pt>
                <c:pt idx="3">
                  <c:v>3.085</c:v>
                </c:pt>
                <c:pt idx="4">
                  <c:v>4.1130000000000004</c:v>
                </c:pt>
                <c:pt idx="5">
                  <c:v>5.1420000000000003</c:v>
                </c:pt>
                <c:pt idx="6">
                  <c:v>6.17</c:v>
                </c:pt>
                <c:pt idx="7">
                  <c:v>7.1980000000000004</c:v>
                </c:pt>
                <c:pt idx="8">
                  <c:v>8.2260000000000009</c:v>
                </c:pt>
                <c:pt idx="9">
                  <c:v>9.2539999999999996</c:v>
                </c:pt>
                <c:pt idx="10">
                  <c:v>10.282</c:v>
                </c:pt>
                <c:pt idx="11">
                  <c:v>11.31</c:v>
                </c:pt>
                <c:pt idx="12">
                  <c:v>12.337999999999999</c:v>
                </c:pt>
                <c:pt idx="13">
                  <c:v>13.366</c:v>
                </c:pt>
                <c:pt idx="14">
                  <c:v>14.393000000000001</c:v>
                </c:pt>
                <c:pt idx="15">
                  <c:v>15.420999999999999</c:v>
                </c:pt>
                <c:pt idx="16">
                  <c:v>16.448</c:v>
                </c:pt>
                <c:pt idx="17">
                  <c:v>17.475999999999999</c:v>
                </c:pt>
                <c:pt idx="18">
                  <c:v>18.503</c:v>
                </c:pt>
                <c:pt idx="19">
                  <c:v>19.529</c:v>
                </c:pt>
                <c:pt idx="20">
                  <c:v>20.556000000000001</c:v>
                </c:pt>
                <c:pt idx="21">
                  <c:v>21.582999999999998</c:v>
                </c:pt>
                <c:pt idx="22">
                  <c:v>22.609000000000002</c:v>
                </c:pt>
                <c:pt idx="23">
                  <c:v>23.635000000000002</c:v>
                </c:pt>
                <c:pt idx="24">
                  <c:v>24.661000000000001</c:v>
                </c:pt>
                <c:pt idx="25">
                  <c:v>25.687000000000001</c:v>
                </c:pt>
                <c:pt idx="26">
                  <c:v>26.713000000000001</c:v>
                </c:pt>
                <c:pt idx="27">
                  <c:v>27.738</c:v>
                </c:pt>
                <c:pt idx="28">
                  <c:v>28.763000000000002</c:v>
                </c:pt>
                <c:pt idx="29">
                  <c:v>29.788</c:v>
                </c:pt>
                <c:pt idx="30">
                  <c:v>30.812999999999999</c:v>
                </c:pt>
                <c:pt idx="31">
                  <c:v>31.837</c:v>
                </c:pt>
                <c:pt idx="32">
                  <c:v>32.862000000000002</c:v>
                </c:pt>
                <c:pt idx="33">
                  <c:v>33.884999999999998</c:v>
                </c:pt>
                <c:pt idx="34">
                  <c:v>34.908999999999999</c:v>
                </c:pt>
                <c:pt idx="35">
                  <c:v>35.932000000000002</c:v>
                </c:pt>
                <c:pt idx="36">
                  <c:v>36.956000000000003</c:v>
                </c:pt>
                <c:pt idx="37">
                  <c:v>37.978000000000002</c:v>
                </c:pt>
                <c:pt idx="38">
                  <c:v>39.000999999999998</c:v>
                </c:pt>
                <c:pt idx="39">
                  <c:v>40.023000000000003</c:v>
                </c:pt>
                <c:pt idx="40">
                  <c:v>41.045000000000002</c:v>
                </c:pt>
                <c:pt idx="41">
                  <c:v>42.066000000000003</c:v>
                </c:pt>
                <c:pt idx="42">
                  <c:v>43.088000000000001</c:v>
                </c:pt>
                <c:pt idx="43">
                  <c:v>44.107999999999997</c:v>
                </c:pt>
                <c:pt idx="44">
                  <c:v>45.128999999999998</c:v>
                </c:pt>
                <c:pt idx="45">
                  <c:v>46.149000000000001</c:v>
                </c:pt>
                <c:pt idx="46">
                  <c:v>47.168999999999997</c:v>
                </c:pt>
                <c:pt idx="47">
                  <c:v>48.188000000000002</c:v>
                </c:pt>
                <c:pt idx="48">
                  <c:v>49.207999999999998</c:v>
                </c:pt>
                <c:pt idx="49">
                  <c:v>50.225999999999999</c:v>
                </c:pt>
                <c:pt idx="50">
                  <c:v>51.244999999999997</c:v>
                </c:pt>
                <c:pt idx="51">
                  <c:v>52.262999999999998</c:v>
                </c:pt>
                <c:pt idx="52">
                  <c:v>53.28</c:v>
                </c:pt>
                <c:pt idx="53">
                  <c:v>54.296999999999997</c:v>
                </c:pt>
                <c:pt idx="54">
                  <c:v>55.314</c:v>
                </c:pt>
                <c:pt idx="55">
                  <c:v>56.331000000000003</c:v>
                </c:pt>
                <c:pt idx="56">
                  <c:v>57.347000000000001</c:v>
                </c:pt>
                <c:pt idx="57">
                  <c:v>58.362000000000002</c:v>
                </c:pt>
                <c:pt idx="58">
                  <c:v>59.377000000000002</c:v>
                </c:pt>
                <c:pt idx="59">
                  <c:v>60.392000000000003</c:v>
                </c:pt>
                <c:pt idx="60">
                  <c:v>61.405999999999999</c:v>
                </c:pt>
                <c:pt idx="61">
                  <c:v>62.42</c:v>
                </c:pt>
                <c:pt idx="62">
                  <c:v>63.433999999999997</c:v>
                </c:pt>
                <c:pt idx="63">
                  <c:v>64.447000000000003</c:v>
                </c:pt>
                <c:pt idx="64">
                  <c:v>65.459000000000003</c:v>
                </c:pt>
                <c:pt idx="65">
                  <c:v>66.471000000000004</c:v>
                </c:pt>
                <c:pt idx="66">
                  <c:v>67.483000000000004</c:v>
                </c:pt>
                <c:pt idx="67">
                  <c:v>68.494</c:v>
                </c:pt>
                <c:pt idx="68">
                  <c:v>69.504999999999995</c:v>
                </c:pt>
                <c:pt idx="69">
                  <c:v>70.515000000000001</c:v>
                </c:pt>
                <c:pt idx="70">
                  <c:v>71.525000000000006</c:v>
                </c:pt>
                <c:pt idx="71">
                  <c:v>72.534999999999997</c:v>
                </c:pt>
                <c:pt idx="72">
                  <c:v>73.543999999999997</c:v>
                </c:pt>
                <c:pt idx="73">
                  <c:v>74.552000000000007</c:v>
                </c:pt>
                <c:pt idx="74">
                  <c:v>75.56</c:v>
                </c:pt>
                <c:pt idx="75">
                  <c:v>76.566999999999993</c:v>
                </c:pt>
                <c:pt idx="76">
                  <c:v>77.573999999999998</c:v>
                </c:pt>
                <c:pt idx="77">
                  <c:v>78.581000000000003</c:v>
                </c:pt>
                <c:pt idx="78">
                  <c:v>79.587000000000003</c:v>
                </c:pt>
                <c:pt idx="79">
                  <c:v>80.593000000000004</c:v>
                </c:pt>
                <c:pt idx="80">
                  <c:v>81.597999999999999</c:v>
                </c:pt>
                <c:pt idx="81">
                  <c:v>82.602000000000004</c:v>
                </c:pt>
                <c:pt idx="82">
                  <c:v>83.605999999999995</c:v>
                </c:pt>
                <c:pt idx="83">
                  <c:v>84.61</c:v>
                </c:pt>
                <c:pt idx="84">
                  <c:v>85.613</c:v>
                </c:pt>
                <c:pt idx="85">
                  <c:v>86.616</c:v>
                </c:pt>
                <c:pt idx="86">
                  <c:v>87.617999999999995</c:v>
                </c:pt>
                <c:pt idx="87">
                  <c:v>88.619</c:v>
                </c:pt>
                <c:pt idx="88">
                  <c:v>89.620999999999995</c:v>
                </c:pt>
                <c:pt idx="89">
                  <c:v>90.620999999999995</c:v>
                </c:pt>
                <c:pt idx="90">
                  <c:v>91.620999999999995</c:v>
                </c:pt>
                <c:pt idx="91">
                  <c:v>92.620999999999995</c:v>
                </c:pt>
                <c:pt idx="92">
                  <c:v>93.62</c:v>
                </c:pt>
                <c:pt idx="93">
                  <c:v>94.619</c:v>
                </c:pt>
                <c:pt idx="94">
                  <c:v>95.617000000000004</c:v>
                </c:pt>
                <c:pt idx="95">
                  <c:v>96.614999999999995</c:v>
                </c:pt>
                <c:pt idx="96">
                  <c:v>97.611999999999995</c:v>
                </c:pt>
                <c:pt idx="97">
                  <c:v>98.608999999999995</c:v>
                </c:pt>
                <c:pt idx="98">
                  <c:v>99.605000000000004</c:v>
                </c:pt>
                <c:pt idx="99">
                  <c:v>100.601</c:v>
                </c:pt>
                <c:pt idx="100">
                  <c:v>101.596</c:v>
                </c:pt>
                <c:pt idx="101">
                  <c:v>102.59099999999999</c:v>
                </c:pt>
                <c:pt idx="102">
                  <c:v>103.58499999999999</c:v>
                </c:pt>
                <c:pt idx="103">
                  <c:v>104.57899999999999</c:v>
                </c:pt>
                <c:pt idx="104">
                  <c:v>105.572</c:v>
                </c:pt>
                <c:pt idx="105">
                  <c:v>106.565</c:v>
                </c:pt>
                <c:pt idx="106">
                  <c:v>107.557</c:v>
                </c:pt>
                <c:pt idx="107">
                  <c:v>108.54900000000001</c:v>
                </c:pt>
                <c:pt idx="108">
                  <c:v>109.54</c:v>
                </c:pt>
                <c:pt idx="109">
                  <c:v>110.53100000000001</c:v>
                </c:pt>
                <c:pt idx="110">
                  <c:v>111.52200000000001</c:v>
                </c:pt>
                <c:pt idx="111">
                  <c:v>112.512</c:v>
                </c:pt>
                <c:pt idx="112">
                  <c:v>113.501</c:v>
                </c:pt>
                <c:pt idx="113">
                  <c:v>114.491</c:v>
                </c:pt>
                <c:pt idx="114">
                  <c:v>115.479</c:v>
                </c:pt>
                <c:pt idx="115">
                  <c:v>116.467</c:v>
                </c:pt>
                <c:pt idx="116">
                  <c:v>117.455</c:v>
                </c:pt>
                <c:pt idx="117">
                  <c:v>118.44199999999999</c:v>
                </c:pt>
                <c:pt idx="118">
                  <c:v>119.429</c:v>
                </c:pt>
                <c:pt idx="119">
                  <c:v>120.416</c:v>
                </c:pt>
                <c:pt idx="120">
                  <c:v>121.402</c:v>
                </c:pt>
                <c:pt idx="121">
                  <c:v>122.387</c:v>
                </c:pt>
                <c:pt idx="122">
                  <c:v>123.373</c:v>
                </c:pt>
                <c:pt idx="123">
                  <c:v>124.357</c:v>
                </c:pt>
                <c:pt idx="124">
                  <c:v>125.342</c:v>
                </c:pt>
                <c:pt idx="125">
                  <c:v>126.32599999999999</c:v>
                </c:pt>
                <c:pt idx="126">
                  <c:v>127.309</c:v>
                </c:pt>
                <c:pt idx="127">
                  <c:v>128.292</c:v>
                </c:pt>
                <c:pt idx="128">
                  <c:v>129.27500000000001</c:v>
                </c:pt>
                <c:pt idx="129">
                  <c:v>130.25700000000001</c:v>
                </c:pt>
                <c:pt idx="130">
                  <c:v>131.239</c:v>
                </c:pt>
                <c:pt idx="131">
                  <c:v>132.221</c:v>
                </c:pt>
                <c:pt idx="132">
                  <c:v>133.202</c:v>
                </c:pt>
                <c:pt idx="133">
                  <c:v>134.18299999999999</c:v>
                </c:pt>
                <c:pt idx="134">
                  <c:v>135.16399999999999</c:v>
                </c:pt>
                <c:pt idx="135">
                  <c:v>136.14400000000001</c:v>
                </c:pt>
                <c:pt idx="136">
                  <c:v>137.124</c:v>
                </c:pt>
                <c:pt idx="137">
                  <c:v>138.10300000000001</c:v>
                </c:pt>
                <c:pt idx="138">
                  <c:v>139.08199999999999</c:v>
                </c:pt>
                <c:pt idx="139">
                  <c:v>140.06100000000001</c:v>
                </c:pt>
                <c:pt idx="140">
                  <c:v>141.04</c:v>
                </c:pt>
                <c:pt idx="141">
                  <c:v>142.018</c:v>
                </c:pt>
                <c:pt idx="142">
                  <c:v>142.99600000000001</c:v>
                </c:pt>
                <c:pt idx="143">
                  <c:v>143.97300000000001</c:v>
                </c:pt>
                <c:pt idx="144">
                  <c:v>144.94999999999999</c:v>
                </c:pt>
                <c:pt idx="145">
                  <c:v>145.92699999999999</c:v>
                </c:pt>
                <c:pt idx="146">
                  <c:v>146.904</c:v>
                </c:pt>
                <c:pt idx="147">
                  <c:v>147.881</c:v>
                </c:pt>
                <c:pt idx="148">
                  <c:v>148.857</c:v>
                </c:pt>
                <c:pt idx="149">
                  <c:v>149.833</c:v>
                </c:pt>
                <c:pt idx="150">
                  <c:v>150.80799999999999</c:v>
                </c:pt>
                <c:pt idx="151">
                  <c:v>151.78399999999999</c:v>
                </c:pt>
                <c:pt idx="152">
                  <c:v>152.75899999999999</c:v>
                </c:pt>
                <c:pt idx="153">
                  <c:v>153.73400000000001</c:v>
                </c:pt>
                <c:pt idx="154">
                  <c:v>154.709</c:v>
                </c:pt>
                <c:pt idx="155">
                  <c:v>155.68299999999999</c:v>
                </c:pt>
                <c:pt idx="156">
                  <c:v>156.65700000000001</c:v>
                </c:pt>
                <c:pt idx="157">
                  <c:v>157.63200000000001</c:v>
                </c:pt>
                <c:pt idx="158">
                  <c:v>158.60599999999999</c:v>
                </c:pt>
                <c:pt idx="159">
                  <c:v>159.57900000000001</c:v>
                </c:pt>
                <c:pt idx="160">
                  <c:v>160.553</c:v>
                </c:pt>
                <c:pt idx="161">
                  <c:v>161.52600000000001</c:v>
                </c:pt>
                <c:pt idx="162">
                  <c:v>162.499</c:v>
                </c:pt>
                <c:pt idx="163">
                  <c:v>163.47300000000001</c:v>
                </c:pt>
                <c:pt idx="164">
                  <c:v>164.44499999999999</c:v>
                </c:pt>
                <c:pt idx="165">
                  <c:v>165.41800000000001</c:v>
                </c:pt>
                <c:pt idx="166">
                  <c:v>166.39099999999999</c:v>
                </c:pt>
                <c:pt idx="167">
                  <c:v>167.364</c:v>
                </c:pt>
                <c:pt idx="168">
                  <c:v>168.33600000000001</c:v>
                </c:pt>
                <c:pt idx="169">
                  <c:v>169.30799999999999</c:v>
                </c:pt>
                <c:pt idx="170">
                  <c:v>170.28100000000001</c:v>
                </c:pt>
                <c:pt idx="171">
                  <c:v>171.25299999999999</c:v>
                </c:pt>
                <c:pt idx="172">
                  <c:v>172.22499999999999</c:v>
                </c:pt>
                <c:pt idx="173">
                  <c:v>173.197</c:v>
                </c:pt>
                <c:pt idx="174">
                  <c:v>174.16900000000001</c:v>
                </c:pt>
                <c:pt idx="175">
                  <c:v>175.14099999999999</c:v>
                </c:pt>
                <c:pt idx="176">
                  <c:v>176.113</c:v>
                </c:pt>
                <c:pt idx="177">
                  <c:v>177.08500000000001</c:v>
                </c:pt>
                <c:pt idx="178">
                  <c:v>178.05600000000001</c:v>
                </c:pt>
                <c:pt idx="179">
                  <c:v>179.02799999999999</c:v>
                </c:pt>
                <c:pt idx="180">
                  <c:v>180</c:v>
                </c:pt>
                <c:pt idx="181">
                  <c:v>180</c:v>
                </c:pt>
                <c:pt idx="182">
                  <c:v>180</c:v>
                </c:pt>
                <c:pt idx="183">
                  <c:v>180</c:v>
                </c:pt>
                <c:pt idx="184">
                  <c:v>180</c:v>
                </c:pt>
                <c:pt idx="185">
                  <c:v>180</c:v>
                </c:pt>
                <c:pt idx="186">
                  <c:v>180</c:v>
                </c:pt>
                <c:pt idx="187">
                  <c:v>180</c:v>
                </c:pt>
                <c:pt idx="188">
                  <c:v>180</c:v>
                </c:pt>
                <c:pt idx="189">
                  <c:v>180</c:v>
                </c:pt>
                <c:pt idx="190">
                  <c:v>180</c:v>
                </c:pt>
                <c:pt idx="191">
                  <c:v>180</c:v>
                </c:pt>
                <c:pt idx="192">
                  <c:v>180</c:v>
                </c:pt>
                <c:pt idx="193">
                  <c:v>180</c:v>
                </c:pt>
                <c:pt idx="194">
                  <c:v>180</c:v>
                </c:pt>
                <c:pt idx="195">
                  <c:v>180</c:v>
                </c:pt>
                <c:pt idx="196">
                  <c:v>180</c:v>
                </c:pt>
                <c:pt idx="197">
                  <c:v>180</c:v>
                </c:pt>
                <c:pt idx="198">
                  <c:v>180</c:v>
                </c:pt>
                <c:pt idx="199">
                  <c:v>180</c:v>
                </c:pt>
                <c:pt idx="200">
                  <c:v>180</c:v>
                </c:pt>
                <c:pt idx="201">
                  <c:v>180</c:v>
                </c:pt>
                <c:pt idx="202">
                  <c:v>180</c:v>
                </c:pt>
                <c:pt idx="203">
                  <c:v>180</c:v>
                </c:pt>
                <c:pt idx="204">
                  <c:v>180</c:v>
                </c:pt>
                <c:pt idx="205">
                  <c:v>180</c:v>
                </c:pt>
                <c:pt idx="206">
                  <c:v>180</c:v>
                </c:pt>
                <c:pt idx="207">
                  <c:v>180</c:v>
                </c:pt>
                <c:pt idx="208">
                  <c:v>180</c:v>
                </c:pt>
                <c:pt idx="209">
                  <c:v>180</c:v>
                </c:pt>
                <c:pt idx="210">
                  <c:v>180</c:v>
                </c:pt>
                <c:pt idx="211">
                  <c:v>180</c:v>
                </c:pt>
                <c:pt idx="212">
                  <c:v>180</c:v>
                </c:pt>
                <c:pt idx="213">
                  <c:v>180</c:v>
                </c:pt>
                <c:pt idx="214">
                  <c:v>180</c:v>
                </c:pt>
                <c:pt idx="215">
                  <c:v>180</c:v>
                </c:pt>
                <c:pt idx="216">
                  <c:v>180</c:v>
                </c:pt>
                <c:pt idx="217">
                  <c:v>180</c:v>
                </c:pt>
                <c:pt idx="218">
                  <c:v>180</c:v>
                </c:pt>
                <c:pt idx="219">
                  <c:v>180</c:v>
                </c:pt>
                <c:pt idx="220">
                  <c:v>180</c:v>
                </c:pt>
                <c:pt idx="221">
                  <c:v>180</c:v>
                </c:pt>
                <c:pt idx="222">
                  <c:v>180</c:v>
                </c:pt>
                <c:pt idx="223">
                  <c:v>180</c:v>
                </c:pt>
                <c:pt idx="224">
                  <c:v>180</c:v>
                </c:pt>
                <c:pt idx="225">
                  <c:v>180</c:v>
                </c:pt>
                <c:pt idx="226">
                  <c:v>180</c:v>
                </c:pt>
                <c:pt idx="227">
                  <c:v>180</c:v>
                </c:pt>
                <c:pt idx="228">
                  <c:v>180</c:v>
                </c:pt>
                <c:pt idx="229">
                  <c:v>180</c:v>
                </c:pt>
                <c:pt idx="230">
                  <c:v>180</c:v>
                </c:pt>
                <c:pt idx="231">
                  <c:v>180</c:v>
                </c:pt>
                <c:pt idx="232">
                  <c:v>180</c:v>
                </c:pt>
                <c:pt idx="233">
                  <c:v>180</c:v>
                </c:pt>
                <c:pt idx="234">
                  <c:v>180</c:v>
                </c:pt>
                <c:pt idx="235">
                  <c:v>180</c:v>
                </c:pt>
                <c:pt idx="236">
                  <c:v>180</c:v>
                </c:pt>
                <c:pt idx="237">
                  <c:v>180</c:v>
                </c:pt>
                <c:pt idx="238">
                  <c:v>180</c:v>
                </c:pt>
                <c:pt idx="239">
                  <c:v>180</c:v>
                </c:pt>
                <c:pt idx="240">
                  <c:v>180</c:v>
                </c:pt>
                <c:pt idx="241">
                  <c:v>180</c:v>
                </c:pt>
                <c:pt idx="242">
                  <c:v>180</c:v>
                </c:pt>
                <c:pt idx="243">
                  <c:v>180</c:v>
                </c:pt>
                <c:pt idx="244">
                  <c:v>180</c:v>
                </c:pt>
                <c:pt idx="245">
                  <c:v>180</c:v>
                </c:pt>
                <c:pt idx="246">
                  <c:v>180</c:v>
                </c:pt>
                <c:pt idx="247">
                  <c:v>180</c:v>
                </c:pt>
                <c:pt idx="248">
                  <c:v>180</c:v>
                </c:pt>
                <c:pt idx="249">
                  <c:v>180</c:v>
                </c:pt>
                <c:pt idx="250">
                  <c:v>180</c:v>
                </c:pt>
                <c:pt idx="251">
                  <c:v>180</c:v>
                </c:pt>
                <c:pt idx="252">
                  <c:v>180</c:v>
                </c:pt>
                <c:pt idx="253">
                  <c:v>180</c:v>
                </c:pt>
                <c:pt idx="254">
                  <c:v>180</c:v>
                </c:pt>
                <c:pt idx="255">
                  <c:v>180</c:v>
                </c:pt>
                <c:pt idx="256">
                  <c:v>180</c:v>
                </c:pt>
                <c:pt idx="257">
                  <c:v>180</c:v>
                </c:pt>
                <c:pt idx="258">
                  <c:v>180</c:v>
                </c:pt>
                <c:pt idx="259">
                  <c:v>180</c:v>
                </c:pt>
                <c:pt idx="260">
                  <c:v>180</c:v>
                </c:pt>
                <c:pt idx="261">
                  <c:v>180</c:v>
                </c:pt>
                <c:pt idx="262">
                  <c:v>180</c:v>
                </c:pt>
                <c:pt idx="263">
                  <c:v>180</c:v>
                </c:pt>
                <c:pt idx="264">
                  <c:v>180</c:v>
                </c:pt>
                <c:pt idx="265">
                  <c:v>180</c:v>
                </c:pt>
                <c:pt idx="266">
                  <c:v>180</c:v>
                </c:pt>
                <c:pt idx="267">
                  <c:v>180</c:v>
                </c:pt>
                <c:pt idx="268">
                  <c:v>180</c:v>
                </c:pt>
                <c:pt idx="269">
                  <c:v>180</c:v>
                </c:pt>
                <c:pt idx="270">
                  <c:v>180</c:v>
                </c:pt>
                <c:pt idx="271">
                  <c:v>180</c:v>
                </c:pt>
                <c:pt idx="272">
                  <c:v>180</c:v>
                </c:pt>
                <c:pt idx="273">
                  <c:v>180</c:v>
                </c:pt>
                <c:pt idx="274">
                  <c:v>180</c:v>
                </c:pt>
                <c:pt idx="275">
                  <c:v>180</c:v>
                </c:pt>
                <c:pt idx="276">
                  <c:v>180</c:v>
                </c:pt>
                <c:pt idx="277">
                  <c:v>180</c:v>
                </c:pt>
                <c:pt idx="278">
                  <c:v>180</c:v>
                </c:pt>
                <c:pt idx="279">
                  <c:v>180</c:v>
                </c:pt>
                <c:pt idx="280">
                  <c:v>180</c:v>
                </c:pt>
                <c:pt idx="281">
                  <c:v>180</c:v>
                </c:pt>
                <c:pt idx="282">
                  <c:v>180</c:v>
                </c:pt>
                <c:pt idx="283">
                  <c:v>180</c:v>
                </c:pt>
                <c:pt idx="284">
                  <c:v>180</c:v>
                </c:pt>
                <c:pt idx="285">
                  <c:v>180</c:v>
                </c:pt>
                <c:pt idx="286">
                  <c:v>180</c:v>
                </c:pt>
                <c:pt idx="287">
                  <c:v>180</c:v>
                </c:pt>
                <c:pt idx="288">
                  <c:v>180</c:v>
                </c:pt>
                <c:pt idx="289">
                  <c:v>180</c:v>
                </c:pt>
                <c:pt idx="290">
                  <c:v>180</c:v>
                </c:pt>
                <c:pt idx="291">
                  <c:v>180</c:v>
                </c:pt>
                <c:pt idx="292">
                  <c:v>180</c:v>
                </c:pt>
                <c:pt idx="293">
                  <c:v>180</c:v>
                </c:pt>
                <c:pt idx="294">
                  <c:v>180</c:v>
                </c:pt>
                <c:pt idx="295">
                  <c:v>180</c:v>
                </c:pt>
                <c:pt idx="296">
                  <c:v>180</c:v>
                </c:pt>
                <c:pt idx="297">
                  <c:v>180</c:v>
                </c:pt>
                <c:pt idx="298">
                  <c:v>180</c:v>
                </c:pt>
                <c:pt idx="299">
                  <c:v>180</c:v>
                </c:pt>
                <c:pt idx="300">
                  <c:v>180</c:v>
                </c:pt>
                <c:pt idx="301">
                  <c:v>180</c:v>
                </c:pt>
                <c:pt idx="302">
                  <c:v>180</c:v>
                </c:pt>
                <c:pt idx="303">
                  <c:v>180</c:v>
                </c:pt>
                <c:pt idx="304">
                  <c:v>180</c:v>
                </c:pt>
                <c:pt idx="305">
                  <c:v>180</c:v>
                </c:pt>
                <c:pt idx="306">
                  <c:v>180</c:v>
                </c:pt>
                <c:pt idx="307">
                  <c:v>180</c:v>
                </c:pt>
                <c:pt idx="308">
                  <c:v>180</c:v>
                </c:pt>
                <c:pt idx="309">
                  <c:v>180</c:v>
                </c:pt>
                <c:pt idx="310">
                  <c:v>180</c:v>
                </c:pt>
                <c:pt idx="311">
                  <c:v>180</c:v>
                </c:pt>
                <c:pt idx="312">
                  <c:v>180</c:v>
                </c:pt>
                <c:pt idx="313">
                  <c:v>180</c:v>
                </c:pt>
                <c:pt idx="314">
                  <c:v>180</c:v>
                </c:pt>
                <c:pt idx="315">
                  <c:v>180</c:v>
                </c:pt>
                <c:pt idx="316">
                  <c:v>180</c:v>
                </c:pt>
                <c:pt idx="317">
                  <c:v>180</c:v>
                </c:pt>
                <c:pt idx="318">
                  <c:v>180</c:v>
                </c:pt>
                <c:pt idx="319">
                  <c:v>180</c:v>
                </c:pt>
                <c:pt idx="320">
                  <c:v>180</c:v>
                </c:pt>
                <c:pt idx="321">
                  <c:v>180</c:v>
                </c:pt>
                <c:pt idx="322">
                  <c:v>180</c:v>
                </c:pt>
                <c:pt idx="323">
                  <c:v>180</c:v>
                </c:pt>
                <c:pt idx="324">
                  <c:v>180</c:v>
                </c:pt>
                <c:pt idx="325">
                  <c:v>180</c:v>
                </c:pt>
                <c:pt idx="326">
                  <c:v>180</c:v>
                </c:pt>
                <c:pt idx="327">
                  <c:v>180</c:v>
                </c:pt>
                <c:pt idx="328">
                  <c:v>180</c:v>
                </c:pt>
                <c:pt idx="329">
                  <c:v>180</c:v>
                </c:pt>
                <c:pt idx="330">
                  <c:v>180</c:v>
                </c:pt>
                <c:pt idx="331">
                  <c:v>180</c:v>
                </c:pt>
                <c:pt idx="332">
                  <c:v>180</c:v>
                </c:pt>
                <c:pt idx="333">
                  <c:v>180</c:v>
                </c:pt>
                <c:pt idx="334">
                  <c:v>180</c:v>
                </c:pt>
                <c:pt idx="335">
                  <c:v>180</c:v>
                </c:pt>
                <c:pt idx="336">
                  <c:v>180</c:v>
                </c:pt>
                <c:pt idx="337">
                  <c:v>180</c:v>
                </c:pt>
                <c:pt idx="338">
                  <c:v>180</c:v>
                </c:pt>
                <c:pt idx="339">
                  <c:v>180</c:v>
                </c:pt>
                <c:pt idx="340">
                  <c:v>180</c:v>
                </c:pt>
                <c:pt idx="341">
                  <c:v>180</c:v>
                </c:pt>
                <c:pt idx="342">
                  <c:v>180</c:v>
                </c:pt>
                <c:pt idx="343">
                  <c:v>180</c:v>
                </c:pt>
                <c:pt idx="344">
                  <c:v>180</c:v>
                </c:pt>
                <c:pt idx="345">
                  <c:v>180</c:v>
                </c:pt>
                <c:pt idx="346">
                  <c:v>180</c:v>
                </c:pt>
                <c:pt idx="347">
                  <c:v>180</c:v>
                </c:pt>
                <c:pt idx="348">
                  <c:v>180</c:v>
                </c:pt>
                <c:pt idx="349">
                  <c:v>180</c:v>
                </c:pt>
                <c:pt idx="350">
                  <c:v>180</c:v>
                </c:pt>
                <c:pt idx="351">
                  <c:v>180</c:v>
                </c:pt>
                <c:pt idx="352">
                  <c:v>180</c:v>
                </c:pt>
                <c:pt idx="353">
                  <c:v>180</c:v>
                </c:pt>
                <c:pt idx="354">
                  <c:v>180</c:v>
                </c:pt>
                <c:pt idx="355">
                  <c:v>180</c:v>
                </c:pt>
                <c:pt idx="356">
                  <c:v>180</c:v>
                </c:pt>
                <c:pt idx="357">
                  <c:v>180</c:v>
                </c:pt>
                <c:pt idx="358">
                  <c:v>180</c:v>
                </c:pt>
                <c:pt idx="359">
                  <c:v>180</c:v>
                </c:pt>
                <c:pt idx="360">
                  <c:v>180</c:v>
                </c:pt>
                <c:pt idx="361">
                  <c:v>180</c:v>
                </c:pt>
                <c:pt idx="362">
                  <c:v>180</c:v>
                </c:pt>
              </c:numCache>
            </c:numRef>
          </c:xVal>
          <c:yVal>
            <c:numRef>
              <c:f>'Plotting Sheet'!$E$6:$E$368</c:f>
              <c:numCache>
                <c:formatCode>0.00</c:formatCode>
                <c:ptCount val="363"/>
                <c:pt idx="0">
                  <c:v>0</c:v>
                </c:pt>
                <c:pt idx="1">
                  <c:v>82.724733541715565</c:v>
                </c:pt>
                <c:pt idx="2">
                  <c:v>85.579457235511541</c:v>
                </c:pt>
                <c:pt idx="3">
                  <c:v>86.194734978959744</c:v>
                </c:pt>
                <c:pt idx="4">
                  <c:v>86.246074386692342</c:v>
                </c:pt>
                <c:pt idx="5">
                  <c:v>86.071444209006856</c:v>
                </c:pt>
                <c:pt idx="6">
                  <c:v>85.783758597950182</c:v>
                </c:pt>
                <c:pt idx="7">
                  <c:v>85.431459009368695</c:v>
                </c:pt>
                <c:pt idx="8">
                  <c:v>85.038780890096561</c:v>
                </c:pt>
                <c:pt idx="9">
                  <c:v>84.619194480390647</c:v>
                </c:pt>
                <c:pt idx="10">
                  <c:v>84.180785281557476</c:v>
                </c:pt>
                <c:pt idx="11">
                  <c:v>83.728700891948449</c:v>
                </c:pt>
                <c:pt idx="12">
                  <c:v>83.266374811645562</c:v>
                </c:pt>
                <c:pt idx="13">
                  <c:v>82.796185566034708</c:v>
                </c:pt>
                <c:pt idx="14">
                  <c:v>82.319833408655569</c:v>
                </c:pt>
                <c:pt idx="15">
                  <c:v>81.838566370684234</c:v>
                </c:pt>
                <c:pt idx="16">
                  <c:v>81.353321553531345</c:v>
                </c:pt>
                <c:pt idx="17">
                  <c:v>80.864816562702757</c:v>
                </c:pt>
                <c:pt idx="18">
                  <c:v>80.373610464744459</c:v>
                </c:pt>
                <c:pt idx="19">
                  <c:v>79.880145497503122</c:v>
                </c:pt>
                <c:pt idx="20">
                  <c:v>79.384776267708006</c:v>
                </c:pt>
                <c:pt idx="21">
                  <c:v>78.887790606979024</c:v>
                </c:pt>
                <c:pt idx="22">
                  <c:v>78.389424739894793</c:v>
                </c:pt>
                <c:pt idx="23">
                  <c:v>77.889874494802584</c:v>
                </c:pt>
                <c:pt idx="24">
                  <c:v>77.389303712333415</c:v>
                </c:pt>
                <c:pt idx="25">
                  <c:v>76.887850635467629</c:v>
                </c:pt>
                <c:pt idx="26">
                  <c:v>76.385632824359803</c:v>
                </c:pt>
                <c:pt idx="27">
                  <c:v>75.882750979538713</c:v>
                </c:pt>
                <c:pt idx="28">
                  <c:v>75.379291945100505</c:v>
                </c:pt>
                <c:pt idx="29">
                  <c:v>74.875331090501788</c:v>
                </c:pt>
                <c:pt idx="30">
                  <c:v>74.370934215594787</c:v>
                </c:pt>
                <c:pt idx="31">
                  <c:v>73.866159087131322</c:v>
                </c:pt>
                <c:pt idx="32">
                  <c:v>73.361056686595234</c:v>
                </c:pt>
                <c:pt idx="33">
                  <c:v>72.85567223116216</c:v>
                </c:pt>
                <c:pt idx="34">
                  <c:v>72.350046014198583</c:v>
                </c:pt>
                <c:pt idx="35">
                  <c:v>71.844214101624885</c:v>
                </c:pt>
                <c:pt idx="36">
                  <c:v>71.338208911872798</c:v>
                </c:pt>
                <c:pt idx="37">
                  <c:v>70.832059701784686</c:v>
                </c:pt>
                <c:pt idx="38">
                  <c:v>70.325792975546307</c:v>
                </c:pt>
                <c:pt idx="39">
                  <c:v>69.819432830592078</c:v>
                </c:pt>
                <c:pt idx="40">
                  <c:v>69.313001251466247</c:v>
                </c:pt>
                <c:pt idx="41">
                  <c:v>68.806518360549063</c:v>
                </c:pt>
                <c:pt idx="42">
                  <c:v>68.300002632817169</c:v>
                </c:pt>
                <c:pt idx="43">
                  <c:v>67.793471080513157</c:v>
                </c:pt>
                <c:pt idx="44">
                  <c:v>67.286939412569453</c:v>
                </c:pt>
                <c:pt idx="45">
                  <c:v>66.780422172562012</c:v>
                </c:pt>
                <c:pt idx="46">
                  <c:v>66.273932858638432</c:v>
                </c:pt>
                <c:pt idx="47">
                  <c:v>65.767484027991799</c:v>
                </c:pt>
                <c:pt idx="48">
                  <c:v>65.261087388207599</c:v>
                </c:pt>
                <c:pt idx="49">
                  <c:v>64.754753877299919</c:v>
                </c:pt>
                <c:pt idx="50">
                  <c:v>64.248493734083468</c:v>
                </c:pt>
                <c:pt idx="51">
                  <c:v>63.742316560138541</c:v>
                </c:pt>
                <c:pt idx="52">
                  <c:v>63.236231374612672</c:v>
                </c:pt>
                <c:pt idx="53">
                  <c:v>62.730246662677928</c:v>
                </c:pt>
                <c:pt idx="54">
                  <c:v>62.224370418561463</c:v>
                </c:pt>
                <c:pt idx="55">
                  <c:v>61.718610183834762</c:v>
                </c:pt>
                <c:pt idx="56">
                  <c:v>61.212973081486751</c:v>
                </c:pt>
                <c:pt idx="57">
                  <c:v>60.707465846385745</c:v>
                </c:pt>
                <c:pt idx="58">
                  <c:v>60.202094852544455</c:v>
                </c:pt>
                <c:pt idx="59">
                  <c:v>59.696866137521845</c:v>
                </c:pt>
                <c:pt idx="60">
                  <c:v>59.191785424369293</c:v>
                </c:pt>
                <c:pt idx="61">
                  <c:v>58.686858141359799</c:v>
                </c:pt>
                <c:pt idx="62">
                  <c:v>58.182089439760091</c:v>
                </c:pt>
                <c:pt idx="63">
                  <c:v>57.677484209892015</c:v>
                </c:pt>
                <c:pt idx="64">
                  <c:v>57.17304709562746</c:v>
                </c:pt>
                <c:pt idx="65">
                  <c:v>56.66878250753556</c:v>
                </c:pt>
                <c:pt idx="66">
                  <c:v>56.164694634785619</c:v>
                </c:pt>
                <c:pt idx="67">
                  <c:v>55.660787455987006</c:v>
                </c:pt>
                <c:pt idx="68">
                  <c:v>55.157064749000057</c:v>
                </c:pt>
                <c:pt idx="69">
                  <c:v>54.653530099931295</c:v>
                </c:pt>
                <c:pt idx="70">
                  <c:v>54.150186911294703</c:v>
                </c:pt>
                <c:pt idx="71">
                  <c:v>53.647038409490975</c:v>
                </c:pt>
                <c:pt idx="72">
                  <c:v>53.144087651642756</c:v>
                </c:pt>
                <c:pt idx="73">
                  <c:v>52.641337531863506</c:v>
                </c:pt>
                <c:pt idx="74">
                  <c:v>52.138790786996424</c:v>
                </c:pt>
                <c:pt idx="75">
                  <c:v>51.636450001909765</c:v>
                </c:pt>
                <c:pt idx="76">
                  <c:v>51.134317614353421</c:v>
                </c:pt>
                <c:pt idx="77">
                  <c:v>50.632395919444356</c:v>
                </c:pt>
                <c:pt idx="78">
                  <c:v>50.130687073801049</c:v>
                </c:pt>
                <c:pt idx="79">
                  <c:v>49.629193099378874</c:v>
                </c:pt>
                <c:pt idx="80">
                  <c:v>49.127915887016322</c:v>
                </c:pt>
                <c:pt idx="81">
                  <c:v>48.626857199715069</c:v>
                </c:pt>
                <c:pt idx="82">
                  <c:v>48.126018675714015</c:v>
                </c:pt>
                <c:pt idx="83">
                  <c:v>47.625401831330201</c:v>
                </c:pt>
                <c:pt idx="84">
                  <c:v>47.125008063619795</c:v>
                </c:pt>
                <c:pt idx="85">
                  <c:v>46.6248386528639</c:v>
                </c:pt>
                <c:pt idx="86">
                  <c:v>46.124894764896965</c:v>
                </c:pt>
                <c:pt idx="87">
                  <c:v>45.625177453292345</c:v>
                </c:pt>
                <c:pt idx="88">
                  <c:v>45.125687661423243</c:v>
                </c:pt>
                <c:pt idx="89">
                  <c:v>44.626426224397107</c:v>
                </c:pt>
                <c:pt idx="90">
                  <c:v>44.127393870892845</c:v>
                </c:pt>
                <c:pt idx="91">
                  <c:v>43.628591224894613</c:v>
                </c:pt>
                <c:pt idx="92">
                  <c:v>43.130018807345095</c:v>
                </c:pt>
                <c:pt idx="93">
                  <c:v>42.631677037707902</c:v>
                </c:pt>
                <c:pt idx="94">
                  <c:v>42.133566235476785</c:v>
                </c:pt>
                <c:pt idx="95">
                  <c:v>41.635686621597742</c:v>
                </c:pt>
                <c:pt idx="96">
                  <c:v>41.138038319852321</c:v>
                </c:pt>
                <c:pt idx="97">
                  <c:v>40.640621358175501</c:v>
                </c:pt>
                <c:pt idx="98">
                  <c:v>40.143435669932224</c:v>
                </c:pt>
                <c:pt idx="99">
                  <c:v>39.646481095147081</c:v>
                </c:pt>
                <c:pt idx="100">
                  <c:v>39.149757381704688</c:v>
                </c:pt>
                <c:pt idx="101">
                  <c:v>38.653264186499335</c:v>
                </c:pt>
                <c:pt idx="102">
                  <c:v>38.15700107657316</c:v>
                </c:pt>
                <c:pt idx="103">
                  <c:v>37.660967530215395</c:v>
                </c:pt>
                <c:pt idx="104">
                  <c:v>37.16516293803847</c:v>
                </c:pt>
                <c:pt idx="105">
                  <c:v>36.669586604041946</c:v>
                </c:pt>
                <c:pt idx="106">
                  <c:v>36.174237746644351</c:v>
                </c:pt>
                <c:pt idx="107">
                  <c:v>35.67911549971199</c:v>
                </c:pt>
                <c:pt idx="108">
                  <c:v>35.184218913566369</c:v>
                </c:pt>
                <c:pt idx="109">
                  <c:v>34.689546955982536</c:v>
                </c:pt>
                <c:pt idx="110">
                  <c:v>34.195098513178863</c:v>
                </c:pt>
                <c:pt idx="111">
                  <c:v>33.700872390795695</c:v>
                </c:pt>
                <c:pt idx="112">
                  <c:v>33.206867314870408</c:v>
                </c:pt>
                <c:pt idx="113">
                  <c:v>32.71308193280683</c:v>
                </c:pt>
                <c:pt idx="114">
                  <c:v>32.21951481433959</c:v>
                </c:pt>
                <c:pt idx="115">
                  <c:v>31.726164452497269</c:v>
                </c:pt>
                <c:pt idx="116">
                  <c:v>31.233029264566767</c:v>
                </c:pt>
                <c:pt idx="117">
                  <c:v>30.740107593050819</c:v>
                </c:pt>
                <c:pt idx="118">
                  <c:v>30.247397706632771</c:v>
                </c:pt>
                <c:pt idx="119">
                  <c:v>29.754897801140753</c:v>
                </c:pt>
                <c:pt idx="120">
                  <c:v>29.262606000511102</c:v>
                </c:pt>
                <c:pt idx="121">
                  <c:v>28.770520357759668</c:v>
                </c:pt>
                <c:pt idx="122">
                  <c:v>28.278638855953989</c:v>
                </c:pt>
                <c:pt idx="123">
                  <c:v>27.786959409189471</c:v>
                </c:pt>
                <c:pt idx="124">
                  <c:v>27.295479863570716</c:v>
                </c:pt>
                <c:pt idx="125">
                  <c:v>26.804197998200028</c:v>
                </c:pt>
                <c:pt idx="126">
                  <c:v>26.31311152616836</c:v>
                </c:pt>
                <c:pt idx="127">
                  <c:v>25.822218095553076</c:v>
                </c:pt>
                <c:pt idx="128">
                  <c:v>25.331515290424655</c:v>
                </c:pt>
                <c:pt idx="129">
                  <c:v>24.841000631856094</c:v>
                </c:pt>
                <c:pt idx="130">
                  <c:v>24.350671578942396</c:v>
                </c:pt>
                <c:pt idx="131">
                  <c:v>23.860525529825292</c:v>
                </c:pt>
                <c:pt idx="132">
                  <c:v>23.370559822725745</c:v>
                </c:pt>
                <c:pt idx="133">
                  <c:v>22.880771736983561</c:v>
                </c:pt>
                <c:pt idx="134">
                  <c:v>22.391158494105547</c:v>
                </c:pt>
                <c:pt idx="135">
                  <c:v>21.901717258820305</c:v>
                </c:pt>
                <c:pt idx="136">
                  <c:v>21.412445140141767</c:v>
                </c:pt>
                <c:pt idx="137">
                  <c:v>20.923339192438853</c:v>
                </c:pt>
                <c:pt idx="138">
                  <c:v>20.434396416515231</c:v>
                </c:pt>
                <c:pt idx="139">
                  <c:v>19.945613760694737</c:v>
                </c:pt>
                <c:pt idx="140">
                  <c:v>19.456988121916538</c:v>
                </c:pt>
                <c:pt idx="141">
                  <c:v>18.968516346836147</c:v>
                </c:pt>
                <c:pt idx="142">
                  <c:v>18.480195232937195</c:v>
                </c:pt>
                <c:pt idx="143">
                  <c:v>17.992021529646802</c:v>
                </c:pt>
                <c:pt idx="144">
                  <c:v>17.503991939462693</c:v>
                </c:pt>
                <c:pt idx="145">
                  <c:v>17.016103119085244</c:v>
                </c:pt>
                <c:pt idx="146">
                  <c:v>16.528351680558835</c:v>
                </c:pt>
                <c:pt idx="147">
                  <c:v>16.040734192418675</c:v>
                </c:pt>
                <c:pt idx="148">
                  <c:v>15.553247180846201</c:v>
                </c:pt>
                <c:pt idx="149">
                  <c:v>15.065887130832435</c:v>
                </c:pt>
                <c:pt idx="150">
                  <c:v>14.578650487346094</c:v>
                </c:pt>
                <c:pt idx="151">
                  <c:v>14.091533656510318</c:v>
                </c:pt>
                <c:pt idx="152">
                  <c:v>13.604533006786317</c:v>
                </c:pt>
                <c:pt idx="153">
                  <c:v>13.117644870162163</c:v>
                </c:pt>
                <c:pt idx="154">
                  <c:v>12.630865543349135</c:v>
                </c:pt>
                <c:pt idx="155">
                  <c:v>12.144191288984207</c:v>
                </c:pt>
                <c:pt idx="156">
                  <c:v>11.657618336838144</c:v>
                </c:pt>
                <c:pt idx="157">
                  <c:v>11.171142885030028</c:v>
                </c:pt>
                <c:pt idx="158">
                  <c:v>10.684761101247236</c:v>
                </c:pt>
                <c:pt idx="159">
                  <c:v>10.198469123970495</c:v>
                </c:pt>
                <c:pt idx="160">
                  <c:v>9.7122630637053362</c:v>
                </c:pt>
                <c:pt idx="161">
                  <c:v>9.2261390042174671</c:v>
                </c:pt>
                <c:pt idx="162">
                  <c:v>8.7400930037737439</c:v>
                </c:pt>
                <c:pt idx="163">
                  <c:v>8.2541210963877525</c:v>
                </c:pt>
                <c:pt idx="164">
                  <c:v>7.768219293069679</c:v>
                </c:pt>
                <c:pt idx="165">
                  <c:v>7.2823835830803683</c:v>
                </c:pt>
                <c:pt idx="166">
                  <c:v>6.7966099351898333</c:v>
                </c:pt>
                <c:pt idx="167">
                  <c:v>6.3108942989390364</c:v>
                </c:pt>
                <c:pt idx="168">
                  <c:v>5.8252326059057529</c:v>
                </c:pt>
                <c:pt idx="169">
                  <c:v>5.3396207709732408</c:v>
                </c:pt>
                <c:pt idx="170">
                  <c:v>4.8540546936027589</c:v>
                </c:pt>
                <c:pt idx="171">
                  <c:v>4.3685302591080495</c:v>
                </c:pt>
                <c:pt idx="172">
                  <c:v>3.8830433399333319</c:v>
                </c:pt>
                <c:pt idx="173">
                  <c:v>3.3975897969332607</c:v>
                </c:pt>
                <c:pt idx="174">
                  <c:v>2.912165480655009</c:v>
                </c:pt>
                <c:pt idx="175">
                  <c:v>2.4267662326226414</c:v>
                </c:pt>
                <c:pt idx="176">
                  <c:v>1.9413878866229051</c:v>
                </c:pt>
                <c:pt idx="177">
                  <c:v>1.4560262699925026</c:v>
                </c:pt>
                <c:pt idx="178">
                  <c:v>0.97067720490664611</c:v>
                </c:pt>
                <c:pt idx="179">
                  <c:v>0.48533650966861458</c:v>
                </c:pt>
                <c:pt idx="180">
                  <c:v>3.4068552941616436E-15</c:v>
                </c:pt>
                <c:pt idx="181">
                  <c:v>3.4068552941616436E-15</c:v>
                </c:pt>
                <c:pt idx="182" formatCode="0.0">
                  <c:v>0</c:v>
                </c:pt>
                <c:pt idx="183" formatCode="0.0">
                  <c:v>0</c:v>
                </c:pt>
                <c:pt idx="184" formatCode="0.0">
                  <c:v>0</c:v>
                </c:pt>
                <c:pt idx="185" formatCode="0.0">
                  <c:v>0</c:v>
                </c:pt>
                <c:pt idx="186" formatCode="0.0">
                  <c:v>0</c:v>
                </c:pt>
                <c:pt idx="187" formatCode="0.0">
                  <c:v>0</c:v>
                </c:pt>
                <c:pt idx="188" formatCode="0.0">
                  <c:v>0</c:v>
                </c:pt>
                <c:pt idx="189" formatCode="0.0">
                  <c:v>0</c:v>
                </c:pt>
                <c:pt idx="190" formatCode="0.0">
                  <c:v>0</c:v>
                </c:pt>
                <c:pt idx="191" formatCode="0.0">
                  <c:v>0</c:v>
                </c:pt>
                <c:pt idx="192" formatCode="0.0">
                  <c:v>0</c:v>
                </c:pt>
                <c:pt idx="193" formatCode="0.0">
                  <c:v>0</c:v>
                </c:pt>
                <c:pt idx="194" formatCode="0.0">
                  <c:v>0</c:v>
                </c:pt>
                <c:pt idx="195" formatCode="0.0">
                  <c:v>0</c:v>
                </c:pt>
                <c:pt idx="196" formatCode="0.0">
                  <c:v>0</c:v>
                </c:pt>
                <c:pt idx="197" formatCode="0.0">
                  <c:v>0</c:v>
                </c:pt>
                <c:pt idx="198" formatCode="0.0">
                  <c:v>0</c:v>
                </c:pt>
                <c:pt idx="199" formatCode="0.0">
                  <c:v>0</c:v>
                </c:pt>
                <c:pt idx="200" formatCode="0.0">
                  <c:v>0</c:v>
                </c:pt>
                <c:pt idx="201" formatCode="0.0">
                  <c:v>0</c:v>
                </c:pt>
                <c:pt idx="202" formatCode="0.0">
                  <c:v>0</c:v>
                </c:pt>
                <c:pt idx="203" formatCode="0.0">
                  <c:v>0</c:v>
                </c:pt>
                <c:pt idx="204" formatCode="0.0">
                  <c:v>0</c:v>
                </c:pt>
                <c:pt idx="205" formatCode="0.0">
                  <c:v>0</c:v>
                </c:pt>
                <c:pt idx="206" formatCode="0.0">
                  <c:v>0</c:v>
                </c:pt>
                <c:pt idx="207" formatCode="0.0">
                  <c:v>0</c:v>
                </c:pt>
                <c:pt idx="208" formatCode="0.0">
                  <c:v>0</c:v>
                </c:pt>
                <c:pt idx="209" formatCode="0.0">
                  <c:v>0</c:v>
                </c:pt>
                <c:pt idx="210" formatCode="0.0">
                  <c:v>0</c:v>
                </c:pt>
                <c:pt idx="211" formatCode="0.0">
                  <c:v>0</c:v>
                </c:pt>
                <c:pt idx="212" formatCode="0.0">
                  <c:v>0</c:v>
                </c:pt>
                <c:pt idx="213" formatCode="0.0">
                  <c:v>0</c:v>
                </c:pt>
                <c:pt idx="214" formatCode="0.0">
                  <c:v>0</c:v>
                </c:pt>
                <c:pt idx="215" formatCode="0.0">
                  <c:v>0</c:v>
                </c:pt>
                <c:pt idx="216" formatCode="0.0">
                  <c:v>0</c:v>
                </c:pt>
                <c:pt idx="217" formatCode="0.0">
                  <c:v>0</c:v>
                </c:pt>
                <c:pt idx="218" formatCode="0.0">
                  <c:v>0</c:v>
                </c:pt>
                <c:pt idx="219" formatCode="0.0">
                  <c:v>0</c:v>
                </c:pt>
                <c:pt idx="220" formatCode="0.0">
                  <c:v>0</c:v>
                </c:pt>
                <c:pt idx="221" formatCode="0.0">
                  <c:v>0</c:v>
                </c:pt>
                <c:pt idx="222" formatCode="0.0">
                  <c:v>0</c:v>
                </c:pt>
                <c:pt idx="223" formatCode="0.0">
                  <c:v>0</c:v>
                </c:pt>
                <c:pt idx="224" formatCode="0.0">
                  <c:v>0</c:v>
                </c:pt>
                <c:pt idx="225" formatCode="0.0">
                  <c:v>0</c:v>
                </c:pt>
                <c:pt idx="226" formatCode="0.0">
                  <c:v>0</c:v>
                </c:pt>
                <c:pt idx="227" formatCode="0.0">
                  <c:v>0</c:v>
                </c:pt>
                <c:pt idx="228" formatCode="0.0">
                  <c:v>0</c:v>
                </c:pt>
                <c:pt idx="229" formatCode="0.0">
                  <c:v>0</c:v>
                </c:pt>
                <c:pt idx="230" formatCode="0.0">
                  <c:v>0</c:v>
                </c:pt>
                <c:pt idx="231" formatCode="0.0">
                  <c:v>0</c:v>
                </c:pt>
                <c:pt idx="232" formatCode="0.0">
                  <c:v>0</c:v>
                </c:pt>
                <c:pt idx="233" formatCode="0.0">
                  <c:v>0</c:v>
                </c:pt>
                <c:pt idx="234" formatCode="0.0">
                  <c:v>0</c:v>
                </c:pt>
                <c:pt idx="235" formatCode="0.0">
                  <c:v>0</c:v>
                </c:pt>
                <c:pt idx="236" formatCode="0.0">
                  <c:v>0</c:v>
                </c:pt>
                <c:pt idx="237" formatCode="0.0">
                  <c:v>0</c:v>
                </c:pt>
                <c:pt idx="238" formatCode="0.0">
                  <c:v>0</c:v>
                </c:pt>
                <c:pt idx="239" formatCode="0.0">
                  <c:v>0</c:v>
                </c:pt>
                <c:pt idx="240" formatCode="0.0">
                  <c:v>0</c:v>
                </c:pt>
                <c:pt idx="241" formatCode="0.0">
                  <c:v>0</c:v>
                </c:pt>
                <c:pt idx="242" formatCode="0.0">
                  <c:v>0</c:v>
                </c:pt>
                <c:pt idx="243" formatCode="0.0">
                  <c:v>0</c:v>
                </c:pt>
                <c:pt idx="244" formatCode="0.0">
                  <c:v>0</c:v>
                </c:pt>
                <c:pt idx="245" formatCode="0.0">
                  <c:v>0</c:v>
                </c:pt>
                <c:pt idx="246" formatCode="0.0">
                  <c:v>0</c:v>
                </c:pt>
                <c:pt idx="247" formatCode="0.0">
                  <c:v>0</c:v>
                </c:pt>
                <c:pt idx="248" formatCode="0.0">
                  <c:v>0</c:v>
                </c:pt>
                <c:pt idx="249" formatCode="0.0">
                  <c:v>0</c:v>
                </c:pt>
                <c:pt idx="250" formatCode="0.0">
                  <c:v>0</c:v>
                </c:pt>
                <c:pt idx="251" formatCode="0.0">
                  <c:v>0</c:v>
                </c:pt>
                <c:pt idx="252" formatCode="0.0">
                  <c:v>0</c:v>
                </c:pt>
                <c:pt idx="253" formatCode="0.0">
                  <c:v>0</c:v>
                </c:pt>
                <c:pt idx="254" formatCode="0.0">
                  <c:v>0</c:v>
                </c:pt>
                <c:pt idx="255" formatCode="0.0">
                  <c:v>0</c:v>
                </c:pt>
                <c:pt idx="256" formatCode="0.0">
                  <c:v>0</c:v>
                </c:pt>
                <c:pt idx="257" formatCode="0.0">
                  <c:v>0</c:v>
                </c:pt>
                <c:pt idx="258" formatCode="0.0">
                  <c:v>0</c:v>
                </c:pt>
                <c:pt idx="259" formatCode="0.0">
                  <c:v>0</c:v>
                </c:pt>
                <c:pt idx="260" formatCode="0.0">
                  <c:v>0</c:v>
                </c:pt>
                <c:pt idx="261" formatCode="0.0">
                  <c:v>0</c:v>
                </c:pt>
                <c:pt idx="262" formatCode="0.0">
                  <c:v>0</c:v>
                </c:pt>
                <c:pt idx="263" formatCode="0.0">
                  <c:v>0</c:v>
                </c:pt>
                <c:pt idx="264" formatCode="0.0">
                  <c:v>0</c:v>
                </c:pt>
                <c:pt idx="265" formatCode="0.0">
                  <c:v>0</c:v>
                </c:pt>
                <c:pt idx="266" formatCode="0.0">
                  <c:v>0</c:v>
                </c:pt>
                <c:pt idx="267" formatCode="0.0">
                  <c:v>0</c:v>
                </c:pt>
                <c:pt idx="268" formatCode="0.0">
                  <c:v>0</c:v>
                </c:pt>
                <c:pt idx="269" formatCode="0.0">
                  <c:v>0</c:v>
                </c:pt>
                <c:pt idx="270" formatCode="0.0">
                  <c:v>0</c:v>
                </c:pt>
                <c:pt idx="271" formatCode="0.0">
                  <c:v>0</c:v>
                </c:pt>
                <c:pt idx="272" formatCode="0.0">
                  <c:v>0</c:v>
                </c:pt>
                <c:pt idx="273" formatCode="0.0">
                  <c:v>0</c:v>
                </c:pt>
                <c:pt idx="274" formatCode="0.0">
                  <c:v>0</c:v>
                </c:pt>
                <c:pt idx="275" formatCode="0.0">
                  <c:v>0</c:v>
                </c:pt>
                <c:pt idx="276" formatCode="0.0">
                  <c:v>0</c:v>
                </c:pt>
                <c:pt idx="277" formatCode="0.0">
                  <c:v>0</c:v>
                </c:pt>
                <c:pt idx="278" formatCode="0.0">
                  <c:v>0</c:v>
                </c:pt>
                <c:pt idx="279" formatCode="0.0">
                  <c:v>0</c:v>
                </c:pt>
                <c:pt idx="280" formatCode="0.0">
                  <c:v>0</c:v>
                </c:pt>
                <c:pt idx="281" formatCode="0.0">
                  <c:v>0</c:v>
                </c:pt>
                <c:pt idx="282" formatCode="0.0">
                  <c:v>0</c:v>
                </c:pt>
                <c:pt idx="283" formatCode="0.0">
                  <c:v>0</c:v>
                </c:pt>
                <c:pt idx="284" formatCode="0.0">
                  <c:v>0</c:v>
                </c:pt>
                <c:pt idx="285" formatCode="0.0">
                  <c:v>0</c:v>
                </c:pt>
                <c:pt idx="286" formatCode="0.0">
                  <c:v>0</c:v>
                </c:pt>
                <c:pt idx="287" formatCode="0.0">
                  <c:v>0</c:v>
                </c:pt>
                <c:pt idx="288" formatCode="0.0">
                  <c:v>0</c:v>
                </c:pt>
                <c:pt idx="289" formatCode="0.0">
                  <c:v>0</c:v>
                </c:pt>
                <c:pt idx="290" formatCode="0.0">
                  <c:v>0</c:v>
                </c:pt>
                <c:pt idx="291" formatCode="0.0">
                  <c:v>0</c:v>
                </c:pt>
                <c:pt idx="292" formatCode="0.0">
                  <c:v>0</c:v>
                </c:pt>
                <c:pt idx="293" formatCode="0.0">
                  <c:v>0</c:v>
                </c:pt>
                <c:pt idx="294" formatCode="0.0">
                  <c:v>0</c:v>
                </c:pt>
                <c:pt idx="295" formatCode="0.0">
                  <c:v>0</c:v>
                </c:pt>
                <c:pt idx="296" formatCode="0.0">
                  <c:v>0</c:v>
                </c:pt>
                <c:pt idx="297" formatCode="0.0">
                  <c:v>0</c:v>
                </c:pt>
                <c:pt idx="298" formatCode="0.0">
                  <c:v>0</c:v>
                </c:pt>
                <c:pt idx="299" formatCode="0.0">
                  <c:v>0</c:v>
                </c:pt>
                <c:pt idx="300" formatCode="0.0">
                  <c:v>0</c:v>
                </c:pt>
                <c:pt idx="301" formatCode="0.0">
                  <c:v>0</c:v>
                </c:pt>
                <c:pt idx="302" formatCode="0.0">
                  <c:v>0</c:v>
                </c:pt>
                <c:pt idx="303" formatCode="0.0">
                  <c:v>0</c:v>
                </c:pt>
                <c:pt idx="304" formatCode="0.0">
                  <c:v>0</c:v>
                </c:pt>
                <c:pt idx="305" formatCode="0.0">
                  <c:v>0</c:v>
                </c:pt>
                <c:pt idx="306" formatCode="0.0">
                  <c:v>0</c:v>
                </c:pt>
                <c:pt idx="307" formatCode="0.0">
                  <c:v>0</c:v>
                </c:pt>
                <c:pt idx="308" formatCode="0.0">
                  <c:v>0</c:v>
                </c:pt>
                <c:pt idx="309" formatCode="0.0">
                  <c:v>0</c:v>
                </c:pt>
                <c:pt idx="310" formatCode="0.0">
                  <c:v>0</c:v>
                </c:pt>
                <c:pt idx="311" formatCode="0.0">
                  <c:v>0</c:v>
                </c:pt>
                <c:pt idx="312" formatCode="0.0">
                  <c:v>0</c:v>
                </c:pt>
                <c:pt idx="313" formatCode="0.0">
                  <c:v>0</c:v>
                </c:pt>
                <c:pt idx="314" formatCode="0.0">
                  <c:v>0</c:v>
                </c:pt>
                <c:pt idx="315" formatCode="0.0">
                  <c:v>0</c:v>
                </c:pt>
                <c:pt idx="316" formatCode="0.0">
                  <c:v>0</c:v>
                </c:pt>
                <c:pt idx="317" formatCode="0.0">
                  <c:v>0</c:v>
                </c:pt>
                <c:pt idx="318" formatCode="0.0">
                  <c:v>0</c:v>
                </c:pt>
                <c:pt idx="319" formatCode="0.0">
                  <c:v>0</c:v>
                </c:pt>
                <c:pt idx="320" formatCode="0.0">
                  <c:v>0</c:v>
                </c:pt>
                <c:pt idx="321" formatCode="0.0">
                  <c:v>0</c:v>
                </c:pt>
                <c:pt idx="322" formatCode="0.0">
                  <c:v>0</c:v>
                </c:pt>
                <c:pt idx="323" formatCode="0.0">
                  <c:v>0</c:v>
                </c:pt>
                <c:pt idx="324" formatCode="0.0">
                  <c:v>0</c:v>
                </c:pt>
                <c:pt idx="325" formatCode="0.0">
                  <c:v>0</c:v>
                </c:pt>
                <c:pt idx="326" formatCode="0.0">
                  <c:v>0</c:v>
                </c:pt>
                <c:pt idx="327" formatCode="0.0">
                  <c:v>0</c:v>
                </c:pt>
                <c:pt idx="328" formatCode="0.0">
                  <c:v>0</c:v>
                </c:pt>
                <c:pt idx="329" formatCode="0.0">
                  <c:v>0</c:v>
                </c:pt>
                <c:pt idx="330" formatCode="0.0">
                  <c:v>0</c:v>
                </c:pt>
                <c:pt idx="331" formatCode="0.0">
                  <c:v>0</c:v>
                </c:pt>
                <c:pt idx="332" formatCode="0.0">
                  <c:v>0</c:v>
                </c:pt>
                <c:pt idx="333" formatCode="0.0">
                  <c:v>0</c:v>
                </c:pt>
                <c:pt idx="334" formatCode="0.0">
                  <c:v>0</c:v>
                </c:pt>
                <c:pt idx="335" formatCode="0.0">
                  <c:v>0</c:v>
                </c:pt>
                <c:pt idx="336" formatCode="0.0">
                  <c:v>0</c:v>
                </c:pt>
                <c:pt idx="337" formatCode="0.0">
                  <c:v>0</c:v>
                </c:pt>
                <c:pt idx="338" formatCode="0.0">
                  <c:v>0</c:v>
                </c:pt>
                <c:pt idx="339" formatCode="0.0">
                  <c:v>0</c:v>
                </c:pt>
                <c:pt idx="340" formatCode="0.0">
                  <c:v>0</c:v>
                </c:pt>
                <c:pt idx="341" formatCode="0.0">
                  <c:v>0</c:v>
                </c:pt>
                <c:pt idx="342" formatCode="0.0">
                  <c:v>0</c:v>
                </c:pt>
                <c:pt idx="343" formatCode="0.0">
                  <c:v>0</c:v>
                </c:pt>
                <c:pt idx="344" formatCode="0.0">
                  <c:v>0</c:v>
                </c:pt>
                <c:pt idx="345" formatCode="0.0">
                  <c:v>0</c:v>
                </c:pt>
                <c:pt idx="346" formatCode="0.0">
                  <c:v>0</c:v>
                </c:pt>
                <c:pt idx="347" formatCode="0.0">
                  <c:v>0</c:v>
                </c:pt>
                <c:pt idx="348" formatCode="0.0">
                  <c:v>0</c:v>
                </c:pt>
                <c:pt idx="349" formatCode="0.0">
                  <c:v>0</c:v>
                </c:pt>
                <c:pt idx="350" formatCode="0.0">
                  <c:v>0</c:v>
                </c:pt>
                <c:pt idx="351" formatCode="0.0">
                  <c:v>0</c:v>
                </c:pt>
                <c:pt idx="352" formatCode="0.0">
                  <c:v>0</c:v>
                </c:pt>
                <c:pt idx="353" formatCode="0.0">
                  <c:v>0</c:v>
                </c:pt>
                <c:pt idx="354" formatCode="0.0">
                  <c:v>0</c:v>
                </c:pt>
                <c:pt idx="355" formatCode="0.0">
                  <c:v>0</c:v>
                </c:pt>
                <c:pt idx="356" formatCode="0.0">
                  <c:v>0</c:v>
                </c:pt>
                <c:pt idx="357" formatCode="0.0">
                  <c:v>0</c:v>
                </c:pt>
                <c:pt idx="358" formatCode="0.0">
                  <c:v>0</c:v>
                </c:pt>
                <c:pt idx="359" formatCode="0.0">
                  <c:v>0</c:v>
                </c:pt>
                <c:pt idx="360" formatCode="0.0">
                  <c:v>0</c:v>
                </c:pt>
                <c:pt idx="361" formatCode="0.0">
                  <c:v>0</c:v>
                </c:pt>
                <c:pt idx="362" formatCode="0.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355032"/>
        <c:axId val="256355424"/>
      </c:scatterChart>
      <c:valAx>
        <c:axId val="256355032"/>
        <c:scaling>
          <c:orientation val="minMax"/>
          <c:max val="180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centre of mass angle (degrees)</a:t>
                </a:r>
              </a:p>
            </c:rich>
          </c:tx>
          <c:layout>
            <c:manualLayout>
              <c:xMode val="edge"/>
              <c:yMode val="edge"/>
              <c:x val="0.37957824639289878"/>
              <c:y val="0.9461663947797714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355424"/>
        <c:crosses val="autoZero"/>
        <c:crossBetween val="midCat"/>
      </c:valAx>
      <c:valAx>
        <c:axId val="2563554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lab angle (degrees)</a:t>
                </a:r>
              </a:p>
            </c:rich>
          </c:tx>
          <c:layout>
            <c:manualLayout>
              <c:xMode val="edge"/>
              <c:yMode val="edge"/>
              <c:x val="1.2208657047724751E-2"/>
              <c:y val="0.417618270799349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355032"/>
        <c:crosses val="autoZero"/>
        <c:crossBetween val="midCat"/>
      </c:valAx>
      <c:spPr>
        <a:solidFill>
          <a:srgbClr val="CCCCFF"/>
        </a:solidFill>
        <a:ln w="25400">
          <a:solidFill>
            <a:srgbClr val="000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231964483906758"/>
          <c:y val="0.47634584013050568"/>
          <c:w val="8.3240843507214266E-2"/>
          <c:h val="6.68841761827079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Lab energy vs. centre of mass angle</a:t>
            </a:r>
          </a:p>
        </c:rich>
      </c:tx>
      <c:layout>
        <c:manualLayout>
          <c:xMode val="edge"/>
          <c:yMode val="edge"/>
          <c:x val="0.35627081021087825"/>
          <c:y val="1.95758564437194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4350721420643732E-2"/>
          <c:y val="0.12071778140293662"/>
          <c:w val="0.79245283018867962"/>
          <c:h val="0.77650897226753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'Plotting Sheet'!$J$5</c:f>
              <c:strCache>
                <c:ptCount val="1"/>
                <c:pt idx="0">
                  <c:v>ejectile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'Plotting Sheet'!$I$6:$I$368</c:f>
              <c:numCache>
                <c:formatCode>0.00</c:formatCode>
                <c:ptCount val="363"/>
                <c:pt idx="0">
                  <c:v>0</c:v>
                </c:pt>
                <c:pt idx="1">
                  <c:v>1.028</c:v>
                </c:pt>
                <c:pt idx="2">
                  <c:v>2.0569999999999999</c:v>
                </c:pt>
                <c:pt idx="3">
                  <c:v>3.085</c:v>
                </c:pt>
                <c:pt idx="4">
                  <c:v>4.1130000000000004</c:v>
                </c:pt>
                <c:pt idx="5">
                  <c:v>5.1420000000000003</c:v>
                </c:pt>
                <c:pt idx="6">
                  <c:v>6.17</c:v>
                </c:pt>
                <c:pt idx="7">
                  <c:v>7.1980000000000004</c:v>
                </c:pt>
                <c:pt idx="8">
                  <c:v>8.2260000000000009</c:v>
                </c:pt>
                <c:pt idx="9">
                  <c:v>9.2539999999999996</c:v>
                </c:pt>
                <c:pt idx="10">
                  <c:v>10.282</c:v>
                </c:pt>
                <c:pt idx="11">
                  <c:v>11.31</c:v>
                </c:pt>
                <c:pt idx="12">
                  <c:v>12.337999999999999</c:v>
                </c:pt>
                <c:pt idx="13">
                  <c:v>13.366</c:v>
                </c:pt>
                <c:pt idx="14">
                  <c:v>14.393000000000001</c:v>
                </c:pt>
                <c:pt idx="15">
                  <c:v>15.420999999999999</c:v>
                </c:pt>
                <c:pt idx="16">
                  <c:v>16.448</c:v>
                </c:pt>
                <c:pt idx="17">
                  <c:v>17.475999999999999</c:v>
                </c:pt>
                <c:pt idx="18">
                  <c:v>18.503</c:v>
                </c:pt>
                <c:pt idx="19">
                  <c:v>19.529</c:v>
                </c:pt>
                <c:pt idx="20">
                  <c:v>20.556000000000001</c:v>
                </c:pt>
                <c:pt idx="21">
                  <c:v>21.582999999999998</c:v>
                </c:pt>
                <c:pt idx="22">
                  <c:v>22.609000000000002</c:v>
                </c:pt>
                <c:pt idx="23">
                  <c:v>23.635000000000002</c:v>
                </c:pt>
                <c:pt idx="24">
                  <c:v>24.661000000000001</c:v>
                </c:pt>
                <c:pt idx="25">
                  <c:v>25.687000000000001</c:v>
                </c:pt>
                <c:pt idx="26">
                  <c:v>26.713000000000001</c:v>
                </c:pt>
                <c:pt idx="27">
                  <c:v>27.738</c:v>
                </c:pt>
                <c:pt idx="28">
                  <c:v>28.763000000000002</c:v>
                </c:pt>
                <c:pt idx="29">
                  <c:v>29.788</c:v>
                </c:pt>
                <c:pt idx="30">
                  <c:v>30.812999999999999</c:v>
                </c:pt>
                <c:pt idx="31">
                  <c:v>31.837</c:v>
                </c:pt>
                <c:pt idx="32">
                  <c:v>32.862000000000002</c:v>
                </c:pt>
                <c:pt idx="33">
                  <c:v>33.884999999999998</c:v>
                </c:pt>
                <c:pt idx="34">
                  <c:v>34.908999999999999</c:v>
                </c:pt>
                <c:pt idx="35">
                  <c:v>35.932000000000002</c:v>
                </c:pt>
                <c:pt idx="36">
                  <c:v>36.956000000000003</c:v>
                </c:pt>
                <c:pt idx="37">
                  <c:v>37.978000000000002</c:v>
                </c:pt>
                <c:pt idx="38">
                  <c:v>39.000999999999998</c:v>
                </c:pt>
                <c:pt idx="39">
                  <c:v>40.023000000000003</c:v>
                </c:pt>
                <c:pt idx="40">
                  <c:v>41.045000000000002</c:v>
                </c:pt>
                <c:pt idx="41">
                  <c:v>42.066000000000003</c:v>
                </c:pt>
                <c:pt idx="42">
                  <c:v>43.088000000000001</c:v>
                </c:pt>
                <c:pt idx="43">
                  <c:v>44.107999999999997</c:v>
                </c:pt>
                <c:pt idx="44">
                  <c:v>45.128999999999998</c:v>
                </c:pt>
                <c:pt idx="45">
                  <c:v>46.149000000000001</c:v>
                </c:pt>
                <c:pt idx="46">
                  <c:v>47.168999999999997</c:v>
                </c:pt>
                <c:pt idx="47">
                  <c:v>48.188000000000002</c:v>
                </c:pt>
                <c:pt idx="48">
                  <c:v>49.207999999999998</c:v>
                </c:pt>
                <c:pt idx="49">
                  <c:v>50.225999999999999</c:v>
                </c:pt>
                <c:pt idx="50">
                  <c:v>51.244999999999997</c:v>
                </c:pt>
                <c:pt idx="51">
                  <c:v>52.262999999999998</c:v>
                </c:pt>
                <c:pt idx="52">
                  <c:v>53.28</c:v>
                </c:pt>
                <c:pt idx="53">
                  <c:v>54.296999999999997</c:v>
                </c:pt>
                <c:pt idx="54">
                  <c:v>55.314</c:v>
                </c:pt>
                <c:pt idx="55">
                  <c:v>56.331000000000003</c:v>
                </c:pt>
                <c:pt idx="56">
                  <c:v>57.347000000000001</c:v>
                </c:pt>
                <c:pt idx="57">
                  <c:v>58.362000000000002</c:v>
                </c:pt>
                <c:pt idx="58">
                  <c:v>59.377000000000002</c:v>
                </c:pt>
                <c:pt idx="59">
                  <c:v>60.392000000000003</c:v>
                </c:pt>
                <c:pt idx="60">
                  <c:v>61.405999999999999</c:v>
                </c:pt>
                <c:pt idx="61">
                  <c:v>62.42</c:v>
                </c:pt>
                <c:pt idx="62">
                  <c:v>63.433999999999997</c:v>
                </c:pt>
                <c:pt idx="63">
                  <c:v>64.447000000000003</c:v>
                </c:pt>
                <c:pt idx="64">
                  <c:v>65.459000000000003</c:v>
                </c:pt>
                <c:pt idx="65">
                  <c:v>66.471000000000004</c:v>
                </c:pt>
                <c:pt idx="66">
                  <c:v>67.483000000000004</c:v>
                </c:pt>
                <c:pt idx="67">
                  <c:v>68.494</c:v>
                </c:pt>
                <c:pt idx="68">
                  <c:v>69.504999999999995</c:v>
                </c:pt>
                <c:pt idx="69">
                  <c:v>70.515000000000001</c:v>
                </c:pt>
                <c:pt idx="70">
                  <c:v>71.525000000000006</c:v>
                </c:pt>
                <c:pt idx="71">
                  <c:v>72.534999999999997</c:v>
                </c:pt>
                <c:pt idx="72">
                  <c:v>73.543999999999997</c:v>
                </c:pt>
                <c:pt idx="73">
                  <c:v>74.552000000000007</c:v>
                </c:pt>
                <c:pt idx="74">
                  <c:v>75.56</c:v>
                </c:pt>
                <c:pt idx="75">
                  <c:v>76.566999999999993</c:v>
                </c:pt>
                <c:pt idx="76">
                  <c:v>77.573999999999998</c:v>
                </c:pt>
                <c:pt idx="77">
                  <c:v>78.581000000000003</c:v>
                </c:pt>
                <c:pt idx="78">
                  <c:v>79.587000000000003</c:v>
                </c:pt>
                <c:pt idx="79">
                  <c:v>80.593000000000004</c:v>
                </c:pt>
                <c:pt idx="80">
                  <c:v>81.597999999999999</c:v>
                </c:pt>
                <c:pt idx="81">
                  <c:v>82.602000000000004</c:v>
                </c:pt>
                <c:pt idx="82">
                  <c:v>83.605999999999995</c:v>
                </c:pt>
                <c:pt idx="83">
                  <c:v>84.61</c:v>
                </c:pt>
                <c:pt idx="84">
                  <c:v>85.613</c:v>
                </c:pt>
                <c:pt idx="85">
                  <c:v>86.616</c:v>
                </c:pt>
                <c:pt idx="86">
                  <c:v>87.617999999999995</c:v>
                </c:pt>
                <c:pt idx="87">
                  <c:v>88.619</c:v>
                </c:pt>
                <c:pt idx="88">
                  <c:v>89.620999999999995</c:v>
                </c:pt>
                <c:pt idx="89">
                  <c:v>90.620999999999995</c:v>
                </c:pt>
                <c:pt idx="90">
                  <c:v>91.620999999999995</c:v>
                </c:pt>
                <c:pt idx="91">
                  <c:v>92.620999999999995</c:v>
                </c:pt>
                <c:pt idx="92">
                  <c:v>93.62</c:v>
                </c:pt>
                <c:pt idx="93">
                  <c:v>94.619</c:v>
                </c:pt>
                <c:pt idx="94">
                  <c:v>95.617000000000004</c:v>
                </c:pt>
                <c:pt idx="95">
                  <c:v>96.614999999999995</c:v>
                </c:pt>
                <c:pt idx="96">
                  <c:v>97.611999999999995</c:v>
                </c:pt>
                <c:pt idx="97">
                  <c:v>98.608999999999995</c:v>
                </c:pt>
                <c:pt idx="98">
                  <c:v>99.605000000000004</c:v>
                </c:pt>
                <c:pt idx="99">
                  <c:v>100.601</c:v>
                </c:pt>
                <c:pt idx="100">
                  <c:v>101.596</c:v>
                </c:pt>
                <c:pt idx="101">
                  <c:v>102.59099999999999</c:v>
                </c:pt>
                <c:pt idx="102">
                  <c:v>103.58499999999999</c:v>
                </c:pt>
                <c:pt idx="103">
                  <c:v>104.57899999999999</c:v>
                </c:pt>
                <c:pt idx="104">
                  <c:v>105.572</c:v>
                </c:pt>
                <c:pt idx="105">
                  <c:v>106.565</c:v>
                </c:pt>
                <c:pt idx="106">
                  <c:v>107.557</c:v>
                </c:pt>
                <c:pt idx="107">
                  <c:v>108.54900000000001</c:v>
                </c:pt>
                <c:pt idx="108">
                  <c:v>109.54</c:v>
                </c:pt>
                <c:pt idx="109">
                  <c:v>110.53100000000001</c:v>
                </c:pt>
                <c:pt idx="110">
                  <c:v>111.52200000000001</c:v>
                </c:pt>
                <c:pt idx="111">
                  <c:v>112.512</c:v>
                </c:pt>
                <c:pt idx="112">
                  <c:v>113.501</c:v>
                </c:pt>
                <c:pt idx="113">
                  <c:v>114.491</c:v>
                </c:pt>
                <c:pt idx="114">
                  <c:v>115.479</c:v>
                </c:pt>
                <c:pt idx="115">
                  <c:v>116.467</c:v>
                </c:pt>
                <c:pt idx="116">
                  <c:v>117.455</c:v>
                </c:pt>
                <c:pt idx="117">
                  <c:v>118.44199999999999</c:v>
                </c:pt>
                <c:pt idx="118">
                  <c:v>119.429</c:v>
                </c:pt>
                <c:pt idx="119">
                  <c:v>120.416</c:v>
                </c:pt>
                <c:pt idx="120">
                  <c:v>121.402</c:v>
                </c:pt>
                <c:pt idx="121">
                  <c:v>122.387</c:v>
                </c:pt>
                <c:pt idx="122">
                  <c:v>123.373</c:v>
                </c:pt>
                <c:pt idx="123">
                  <c:v>124.357</c:v>
                </c:pt>
                <c:pt idx="124">
                  <c:v>125.342</c:v>
                </c:pt>
                <c:pt idx="125">
                  <c:v>126.32599999999999</c:v>
                </c:pt>
                <c:pt idx="126">
                  <c:v>127.309</c:v>
                </c:pt>
                <c:pt idx="127">
                  <c:v>128.292</c:v>
                </c:pt>
                <c:pt idx="128">
                  <c:v>129.27500000000001</c:v>
                </c:pt>
                <c:pt idx="129">
                  <c:v>130.25700000000001</c:v>
                </c:pt>
                <c:pt idx="130">
                  <c:v>131.239</c:v>
                </c:pt>
                <c:pt idx="131">
                  <c:v>132.221</c:v>
                </c:pt>
                <c:pt idx="132">
                  <c:v>133.202</c:v>
                </c:pt>
                <c:pt idx="133">
                  <c:v>134.18299999999999</c:v>
                </c:pt>
                <c:pt idx="134">
                  <c:v>135.16399999999999</c:v>
                </c:pt>
                <c:pt idx="135">
                  <c:v>136.14400000000001</c:v>
                </c:pt>
                <c:pt idx="136">
                  <c:v>137.124</c:v>
                </c:pt>
                <c:pt idx="137">
                  <c:v>138.10300000000001</c:v>
                </c:pt>
                <c:pt idx="138">
                  <c:v>139.08199999999999</c:v>
                </c:pt>
                <c:pt idx="139">
                  <c:v>140.06100000000001</c:v>
                </c:pt>
                <c:pt idx="140">
                  <c:v>141.04</c:v>
                </c:pt>
                <c:pt idx="141">
                  <c:v>142.018</c:v>
                </c:pt>
                <c:pt idx="142">
                  <c:v>142.99600000000001</c:v>
                </c:pt>
                <c:pt idx="143">
                  <c:v>143.97300000000001</c:v>
                </c:pt>
                <c:pt idx="144">
                  <c:v>144.94999999999999</c:v>
                </c:pt>
                <c:pt idx="145">
                  <c:v>145.92699999999999</c:v>
                </c:pt>
                <c:pt idx="146">
                  <c:v>146.904</c:v>
                </c:pt>
                <c:pt idx="147">
                  <c:v>147.881</c:v>
                </c:pt>
                <c:pt idx="148">
                  <c:v>148.857</c:v>
                </c:pt>
                <c:pt idx="149">
                  <c:v>149.833</c:v>
                </c:pt>
                <c:pt idx="150">
                  <c:v>150.80799999999999</c:v>
                </c:pt>
                <c:pt idx="151">
                  <c:v>151.78399999999999</c:v>
                </c:pt>
                <c:pt idx="152">
                  <c:v>152.75899999999999</c:v>
                </c:pt>
                <c:pt idx="153">
                  <c:v>153.73400000000001</c:v>
                </c:pt>
                <c:pt idx="154">
                  <c:v>154.709</c:v>
                </c:pt>
                <c:pt idx="155">
                  <c:v>155.68299999999999</c:v>
                </c:pt>
                <c:pt idx="156">
                  <c:v>156.65700000000001</c:v>
                </c:pt>
                <c:pt idx="157">
                  <c:v>157.63200000000001</c:v>
                </c:pt>
                <c:pt idx="158">
                  <c:v>158.60599999999999</c:v>
                </c:pt>
                <c:pt idx="159">
                  <c:v>159.57900000000001</c:v>
                </c:pt>
                <c:pt idx="160">
                  <c:v>160.553</c:v>
                </c:pt>
                <c:pt idx="161">
                  <c:v>161.52600000000001</c:v>
                </c:pt>
                <c:pt idx="162">
                  <c:v>162.499</c:v>
                </c:pt>
                <c:pt idx="163">
                  <c:v>163.47300000000001</c:v>
                </c:pt>
                <c:pt idx="164">
                  <c:v>164.44499999999999</c:v>
                </c:pt>
                <c:pt idx="165">
                  <c:v>165.41800000000001</c:v>
                </c:pt>
                <c:pt idx="166">
                  <c:v>166.39099999999999</c:v>
                </c:pt>
                <c:pt idx="167">
                  <c:v>167.364</c:v>
                </c:pt>
                <c:pt idx="168">
                  <c:v>168.33600000000001</c:v>
                </c:pt>
                <c:pt idx="169">
                  <c:v>169.30799999999999</c:v>
                </c:pt>
                <c:pt idx="170">
                  <c:v>170.28100000000001</c:v>
                </c:pt>
                <c:pt idx="171">
                  <c:v>171.25299999999999</c:v>
                </c:pt>
                <c:pt idx="172">
                  <c:v>172.22499999999999</c:v>
                </c:pt>
                <c:pt idx="173">
                  <c:v>173.197</c:v>
                </c:pt>
                <c:pt idx="174">
                  <c:v>174.16900000000001</c:v>
                </c:pt>
                <c:pt idx="175">
                  <c:v>175.14099999999999</c:v>
                </c:pt>
                <c:pt idx="176">
                  <c:v>176.113</c:v>
                </c:pt>
                <c:pt idx="177">
                  <c:v>177.08500000000001</c:v>
                </c:pt>
                <c:pt idx="178">
                  <c:v>178.05600000000001</c:v>
                </c:pt>
                <c:pt idx="179">
                  <c:v>179.02799999999999</c:v>
                </c:pt>
                <c:pt idx="180">
                  <c:v>180</c:v>
                </c:pt>
                <c:pt idx="181">
                  <c:v>180</c:v>
                </c:pt>
                <c:pt idx="182">
                  <c:v>180</c:v>
                </c:pt>
                <c:pt idx="183">
                  <c:v>180</c:v>
                </c:pt>
                <c:pt idx="184">
                  <c:v>180</c:v>
                </c:pt>
                <c:pt idx="185">
                  <c:v>180</c:v>
                </c:pt>
                <c:pt idx="186">
                  <c:v>180</c:v>
                </c:pt>
                <c:pt idx="187">
                  <c:v>180</c:v>
                </c:pt>
                <c:pt idx="188">
                  <c:v>180</c:v>
                </c:pt>
                <c:pt idx="189">
                  <c:v>180</c:v>
                </c:pt>
                <c:pt idx="190">
                  <c:v>180</c:v>
                </c:pt>
                <c:pt idx="191">
                  <c:v>180</c:v>
                </c:pt>
                <c:pt idx="192">
                  <c:v>180</c:v>
                </c:pt>
                <c:pt idx="193">
                  <c:v>180</c:v>
                </c:pt>
                <c:pt idx="194">
                  <c:v>180</c:v>
                </c:pt>
                <c:pt idx="195">
                  <c:v>180</c:v>
                </c:pt>
                <c:pt idx="196">
                  <c:v>180</c:v>
                </c:pt>
                <c:pt idx="197">
                  <c:v>180</c:v>
                </c:pt>
                <c:pt idx="198">
                  <c:v>180</c:v>
                </c:pt>
                <c:pt idx="199">
                  <c:v>180</c:v>
                </c:pt>
                <c:pt idx="200">
                  <c:v>180</c:v>
                </c:pt>
                <c:pt idx="201">
                  <c:v>180</c:v>
                </c:pt>
                <c:pt idx="202">
                  <c:v>180</c:v>
                </c:pt>
                <c:pt idx="203">
                  <c:v>180</c:v>
                </c:pt>
                <c:pt idx="204">
                  <c:v>180</c:v>
                </c:pt>
                <c:pt idx="205">
                  <c:v>180</c:v>
                </c:pt>
                <c:pt idx="206">
                  <c:v>180</c:v>
                </c:pt>
                <c:pt idx="207">
                  <c:v>180</c:v>
                </c:pt>
                <c:pt idx="208">
                  <c:v>180</c:v>
                </c:pt>
                <c:pt idx="209">
                  <c:v>180</c:v>
                </c:pt>
                <c:pt idx="210">
                  <c:v>180</c:v>
                </c:pt>
                <c:pt idx="211">
                  <c:v>180</c:v>
                </c:pt>
                <c:pt idx="212">
                  <c:v>180</c:v>
                </c:pt>
                <c:pt idx="213">
                  <c:v>180</c:v>
                </c:pt>
                <c:pt idx="214">
                  <c:v>180</c:v>
                </c:pt>
                <c:pt idx="215">
                  <c:v>180</c:v>
                </c:pt>
                <c:pt idx="216">
                  <c:v>180</c:v>
                </c:pt>
                <c:pt idx="217">
                  <c:v>180</c:v>
                </c:pt>
                <c:pt idx="218">
                  <c:v>180</c:v>
                </c:pt>
                <c:pt idx="219">
                  <c:v>180</c:v>
                </c:pt>
                <c:pt idx="220">
                  <c:v>180</c:v>
                </c:pt>
                <c:pt idx="221">
                  <c:v>180</c:v>
                </c:pt>
                <c:pt idx="222">
                  <c:v>180</c:v>
                </c:pt>
                <c:pt idx="223">
                  <c:v>180</c:v>
                </c:pt>
                <c:pt idx="224">
                  <c:v>180</c:v>
                </c:pt>
                <c:pt idx="225">
                  <c:v>180</c:v>
                </c:pt>
                <c:pt idx="226">
                  <c:v>180</c:v>
                </c:pt>
                <c:pt idx="227">
                  <c:v>180</c:v>
                </c:pt>
                <c:pt idx="228">
                  <c:v>180</c:v>
                </c:pt>
                <c:pt idx="229">
                  <c:v>180</c:v>
                </c:pt>
                <c:pt idx="230">
                  <c:v>180</c:v>
                </c:pt>
                <c:pt idx="231">
                  <c:v>180</c:v>
                </c:pt>
                <c:pt idx="232">
                  <c:v>180</c:v>
                </c:pt>
                <c:pt idx="233">
                  <c:v>180</c:v>
                </c:pt>
                <c:pt idx="234">
                  <c:v>180</c:v>
                </c:pt>
                <c:pt idx="235">
                  <c:v>180</c:v>
                </c:pt>
                <c:pt idx="236">
                  <c:v>180</c:v>
                </c:pt>
                <c:pt idx="237">
                  <c:v>180</c:v>
                </c:pt>
                <c:pt idx="238">
                  <c:v>180</c:v>
                </c:pt>
                <c:pt idx="239">
                  <c:v>180</c:v>
                </c:pt>
                <c:pt idx="240">
                  <c:v>180</c:v>
                </c:pt>
                <c:pt idx="241">
                  <c:v>180</c:v>
                </c:pt>
                <c:pt idx="242">
                  <c:v>180</c:v>
                </c:pt>
                <c:pt idx="243">
                  <c:v>180</c:v>
                </c:pt>
                <c:pt idx="244">
                  <c:v>180</c:v>
                </c:pt>
                <c:pt idx="245">
                  <c:v>180</c:v>
                </c:pt>
                <c:pt idx="246">
                  <c:v>180</c:v>
                </c:pt>
                <c:pt idx="247">
                  <c:v>180</c:v>
                </c:pt>
                <c:pt idx="248">
                  <c:v>180</c:v>
                </c:pt>
                <c:pt idx="249">
                  <c:v>180</c:v>
                </c:pt>
                <c:pt idx="250">
                  <c:v>180</c:v>
                </c:pt>
                <c:pt idx="251">
                  <c:v>180</c:v>
                </c:pt>
                <c:pt idx="252">
                  <c:v>180</c:v>
                </c:pt>
                <c:pt idx="253">
                  <c:v>180</c:v>
                </c:pt>
                <c:pt idx="254">
                  <c:v>180</c:v>
                </c:pt>
                <c:pt idx="255">
                  <c:v>180</c:v>
                </c:pt>
                <c:pt idx="256">
                  <c:v>180</c:v>
                </c:pt>
                <c:pt idx="257">
                  <c:v>180</c:v>
                </c:pt>
                <c:pt idx="258">
                  <c:v>180</c:v>
                </c:pt>
                <c:pt idx="259">
                  <c:v>180</c:v>
                </c:pt>
                <c:pt idx="260">
                  <c:v>180</c:v>
                </c:pt>
                <c:pt idx="261">
                  <c:v>180</c:v>
                </c:pt>
                <c:pt idx="262">
                  <c:v>180</c:v>
                </c:pt>
                <c:pt idx="263">
                  <c:v>180</c:v>
                </c:pt>
                <c:pt idx="264">
                  <c:v>180</c:v>
                </c:pt>
                <c:pt idx="265">
                  <c:v>180</c:v>
                </c:pt>
                <c:pt idx="266">
                  <c:v>180</c:v>
                </c:pt>
                <c:pt idx="267">
                  <c:v>180</c:v>
                </c:pt>
                <c:pt idx="268">
                  <c:v>180</c:v>
                </c:pt>
                <c:pt idx="269">
                  <c:v>180</c:v>
                </c:pt>
                <c:pt idx="270">
                  <c:v>180</c:v>
                </c:pt>
                <c:pt idx="271">
                  <c:v>180</c:v>
                </c:pt>
                <c:pt idx="272">
                  <c:v>180</c:v>
                </c:pt>
                <c:pt idx="273">
                  <c:v>180</c:v>
                </c:pt>
                <c:pt idx="274">
                  <c:v>180</c:v>
                </c:pt>
                <c:pt idx="275">
                  <c:v>180</c:v>
                </c:pt>
                <c:pt idx="276">
                  <c:v>180</c:v>
                </c:pt>
                <c:pt idx="277">
                  <c:v>180</c:v>
                </c:pt>
                <c:pt idx="278">
                  <c:v>180</c:v>
                </c:pt>
                <c:pt idx="279">
                  <c:v>180</c:v>
                </c:pt>
                <c:pt idx="280">
                  <c:v>180</c:v>
                </c:pt>
                <c:pt idx="281">
                  <c:v>180</c:v>
                </c:pt>
                <c:pt idx="282">
                  <c:v>180</c:v>
                </c:pt>
                <c:pt idx="283">
                  <c:v>180</c:v>
                </c:pt>
                <c:pt idx="284">
                  <c:v>180</c:v>
                </c:pt>
                <c:pt idx="285">
                  <c:v>180</c:v>
                </c:pt>
                <c:pt idx="286">
                  <c:v>180</c:v>
                </c:pt>
                <c:pt idx="287">
                  <c:v>180</c:v>
                </c:pt>
                <c:pt idx="288">
                  <c:v>180</c:v>
                </c:pt>
                <c:pt idx="289">
                  <c:v>180</c:v>
                </c:pt>
                <c:pt idx="290">
                  <c:v>180</c:v>
                </c:pt>
                <c:pt idx="291">
                  <c:v>180</c:v>
                </c:pt>
                <c:pt idx="292">
                  <c:v>180</c:v>
                </c:pt>
                <c:pt idx="293">
                  <c:v>180</c:v>
                </c:pt>
                <c:pt idx="294">
                  <c:v>180</c:v>
                </c:pt>
                <c:pt idx="295">
                  <c:v>180</c:v>
                </c:pt>
                <c:pt idx="296">
                  <c:v>180</c:v>
                </c:pt>
                <c:pt idx="297">
                  <c:v>180</c:v>
                </c:pt>
                <c:pt idx="298">
                  <c:v>180</c:v>
                </c:pt>
                <c:pt idx="299">
                  <c:v>180</c:v>
                </c:pt>
                <c:pt idx="300">
                  <c:v>180</c:v>
                </c:pt>
                <c:pt idx="301">
                  <c:v>180</c:v>
                </c:pt>
                <c:pt idx="302">
                  <c:v>180</c:v>
                </c:pt>
                <c:pt idx="303">
                  <c:v>180</c:v>
                </c:pt>
                <c:pt idx="304">
                  <c:v>180</c:v>
                </c:pt>
                <c:pt idx="305">
                  <c:v>180</c:v>
                </c:pt>
                <c:pt idx="306">
                  <c:v>180</c:v>
                </c:pt>
                <c:pt idx="307">
                  <c:v>180</c:v>
                </c:pt>
                <c:pt idx="308">
                  <c:v>180</c:v>
                </c:pt>
                <c:pt idx="309">
                  <c:v>180</c:v>
                </c:pt>
                <c:pt idx="310">
                  <c:v>180</c:v>
                </c:pt>
                <c:pt idx="311">
                  <c:v>180</c:v>
                </c:pt>
                <c:pt idx="312">
                  <c:v>180</c:v>
                </c:pt>
                <c:pt idx="313">
                  <c:v>180</c:v>
                </c:pt>
                <c:pt idx="314">
                  <c:v>180</c:v>
                </c:pt>
                <c:pt idx="315">
                  <c:v>180</c:v>
                </c:pt>
                <c:pt idx="316">
                  <c:v>180</c:v>
                </c:pt>
                <c:pt idx="317">
                  <c:v>180</c:v>
                </c:pt>
                <c:pt idx="318">
                  <c:v>180</c:v>
                </c:pt>
                <c:pt idx="319">
                  <c:v>180</c:v>
                </c:pt>
                <c:pt idx="320">
                  <c:v>180</c:v>
                </c:pt>
                <c:pt idx="321">
                  <c:v>180</c:v>
                </c:pt>
                <c:pt idx="322">
                  <c:v>180</c:v>
                </c:pt>
                <c:pt idx="323">
                  <c:v>180</c:v>
                </c:pt>
                <c:pt idx="324">
                  <c:v>180</c:v>
                </c:pt>
                <c:pt idx="325">
                  <c:v>180</c:v>
                </c:pt>
                <c:pt idx="326">
                  <c:v>180</c:v>
                </c:pt>
                <c:pt idx="327">
                  <c:v>180</c:v>
                </c:pt>
                <c:pt idx="328">
                  <c:v>180</c:v>
                </c:pt>
                <c:pt idx="329">
                  <c:v>180</c:v>
                </c:pt>
                <c:pt idx="330">
                  <c:v>180</c:v>
                </c:pt>
                <c:pt idx="331">
                  <c:v>180</c:v>
                </c:pt>
                <c:pt idx="332">
                  <c:v>180</c:v>
                </c:pt>
                <c:pt idx="333">
                  <c:v>180</c:v>
                </c:pt>
                <c:pt idx="334">
                  <c:v>180</c:v>
                </c:pt>
                <c:pt idx="335">
                  <c:v>180</c:v>
                </c:pt>
                <c:pt idx="336">
                  <c:v>180</c:v>
                </c:pt>
                <c:pt idx="337">
                  <c:v>180</c:v>
                </c:pt>
                <c:pt idx="338">
                  <c:v>180</c:v>
                </c:pt>
                <c:pt idx="339">
                  <c:v>180</c:v>
                </c:pt>
                <c:pt idx="340">
                  <c:v>180</c:v>
                </c:pt>
                <c:pt idx="341">
                  <c:v>180</c:v>
                </c:pt>
                <c:pt idx="342">
                  <c:v>180</c:v>
                </c:pt>
                <c:pt idx="343">
                  <c:v>180</c:v>
                </c:pt>
                <c:pt idx="344">
                  <c:v>180</c:v>
                </c:pt>
                <c:pt idx="345">
                  <c:v>180</c:v>
                </c:pt>
                <c:pt idx="346">
                  <c:v>180</c:v>
                </c:pt>
                <c:pt idx="347">
                  <c:v>180</c:v>
                </c:pt>
                <c:pt idx="348">
                  <c:v>180</c:v>
                </c:pt>
                <c:pt idx="349">
                  <c:v>180</c:v>
                </c:pt>
                <c:pt idx="350">
                  <c:v>180</c:v>
                </c:pt>
                <c:pt idx="351">
                  <c:v>180</c:v>
                </c:pt>
                <c:pt idx="352">
                  <c:v>180</c:v>
                </c:pt>
                <c:pt idx="353">
                  <c:v>180</c:v>
                </c:pt>
                <c:pt idx="354">
                  <c:v>180</c:v>
                </c:pt>
                <c:pt idx="355">
                  <c:v>180</c:v>
                </c:pt>
                <c:pt idx="356">
                  <c:v>180</c:v>
                </c:pt>
                <c:pt idx="357">
                  <c:v>180</c:v>
                </c:pt>
                <c:pt idx="358">
                  <c:v>180</c:v>
                </c:pt>
                <c:pt idx="359">
                  <c:v>180</c:v>
                </c:pt>
                <c:pt idx="360">
                  <c:v>180</c:v>
                </c:pt>
                <c:pt idx="361">
                  <c:v>180</c:v>
                </c:pt>
                <c:pt idx="362">
                  <c:v>180</c:v>
                </c:pt>
              </c:numCache>
            </c:numRef>
          </c:xVal>
          <c:yVal>
            <c:numRef>
              <c:f>'Plotting Sheet'!$J$6:$J$368</c:f>
              <c:numCache>
                <c:formatCode>0.0</c:formatCode>
                <c:ptCount val="363"/>
                <c:pt idx="0">
                  <c:v>418.37539728023131</c:v>
                </c:pt>
                <c:pt idx="1">
                  <c:v>418.37200229089541</c:v>
                </c:pt>
                <c:pt idx="2">
                  <c:v>418.36181853184797</c:v>
                </c:pt>
                <c:pt idx="3">
                  <c:v>418.34484962936762</c:v>
                </c:pt>
                <c:pt idx="4">
                  <c:v>418.32110162527198</c:v>
                </c:pt>
                <c:pt idx="5">
                  <c:v>418.29058297394278</c:v>
                </c:pt>
                <c:pt idx="6">
                  <c:v>418.25330453816667</c:v>
                </c:pt>
                <c:pt idx="7">
                  <c:v>418.20927958379679</c:v>
                </c:pt>
                <c:pt idx="8">
                  <c:v>418.15852377323506</c:v>
                </c:pt>
                <c:pt idx="9">
                  <c:v>418.10105515773915</c:v>
                </c:pt>
                <c:pt idx="10">
                  <c:v>418.03689416856741</c:v>
                </c:pt>
                <c:pt idx="11">
                  <c:v>417.96606360696666</c:v>
                </c:pt>
                <c:pt idx="12">
                  <c:v>417.88858863300374</c:v>
                </c:pt>
                <c:pt idx="13">
                  <c:v>417.80449675326093</c:v>
                </c:pt>
                <c:pt idx="14">
                  <c:v>417.71381780740001</c:v>
                </c:pt>
                <c:pt idx="15">
                  <c:v>417.61658395360729</c:v>
                </c:pt>
                <c:pt idx="16">
                  <c:v>417.51282965292506</c:v>
                </c:pt>
                <c:pt idx="17">
                  <c:v>417.40259165249864</c:v>
                </c:pt>
                <c:pt idx="18">
                  <c:v>417.28590896773284</c:v>
                </c:pt>
                <c:pt idx="19">
                  <c:v>417.16282286338742</c:v>
                </c:pt>
                <c:pt idx="20">
                  <c:v>417.03337683361917</c:v>
                </c:pt>
                <c:pt idx="21">
                  <c:v>416.89761658099087</c:v>
                </c:pt>
                <c:pt idx="22">
                  <c:v>416.75558999446264</c:v>
                </c:pt>
                <c:pt idx="23">
                  <c:v>416.60734712637952</c:v>
                </c:pt>
                <c:pt idx="24">
                  <c:v>416.45294016848396</c:v>
                </c:pt>
                <c:pt idx="25">
                  <c:v>416.29242342696426</c:v>
                </c:pt>
                <c:pt idx="26">
                  <c:v>416.1258532965536</c:v>
                </c:pt>
                <c:pt idx="27">
                  <c:v>415.9532882337208</c:v>
                </c:pt>
                <c:pt idx="28">
                  <c:v>415.77478872895205</c:v>
                </c:pt>
                <c:pt idx="29">
                  <c:v>415.59041727815759</c:v>
                </c:pt>
                <c:pt idx="30">
                  <c:v>415.40023835321773</c:v>
                </c:pt>
                <c:pt idx="31">
                  <c:v>415.20431837170707</c:v>
                </c:pt>
                <c:pt idx="32">
                  <c:v>415.00272566579957</c:v>
                </c:pt>
                <c:pt idx="33">
                  <c:v>414.79553045039478</c:v>
                </c:pt>
                <c:pt idx="34">
                  <c:v>414.58280479048045</c:v>
                </c:pt>
                <c:pt idx="35">
                  <c:v>414.36462256776542</c:v>
                </c:pt>
                <c:pt idx="36">
                  <c:v>414.1410594465957</c:v>
                </c:pt>
                <c:pt idx="37">
                  <c:v>413.91219283919389</c:v>
                </c:pt>
                <c:pt idx="38">
                  <c:v>413.67810187023724</c:v>
                </c:pt>
                <c:pt idx="39">
                  <c:v>413.43886734080695</c:v>
                </c:pt>
                <c:pt idx="40">
                  <c:v>413.1945716917329</c:v>
                </c:pt>
                <c:pt idx="41">
                  <c:v>412.94529896636232</c:v>
                </c:pt>
                <c:pt idx="42">
                  <c:v>412.69113477277801</c:v>
                </c:pt>
                <c:pt idx="43">
                  <c:v>412.43216624549495</c:v>
                </c:pt>
                <c:pt idx="44">
                  <c:v>412.16848200666777</c:v>
                </c:pt>
                <c:pt idx="45">
                  <c:v>411.90017212682403</c:v>
                </c:pt>
                <c:pt idx="46">
                  <c:v>411.62732808516614</c:v>
                </c:pt>
                <c:pt idx="47">
                  <c:v>411.35004272945974</c:v>
                </c:pt>
                <c:pt idx="48">
                  <c:v>411.06841023554358</c:v>
                </c:pt>
                <c:pt idx="49">
                  <c:v>410.78252606648243</c:v>
                </c:pt>
                <c:pt idx="50">
                  <c:v>410.49248693139805</c:v>
                </c:pt>
                <c:pt idx="51">
                  <c:v>410.19839074399721</c:v>
                </c:pt>
                <c:pt idx="52">
                  <c:v>409.90033658083934</c:v>
                </c:pt>
                <c:pt idx="53">
                  <c:v>409.59842463935399</c:v>
                </c:pt>
                <c:pt idx="54">
                  <c:v>409.29275619564856</c:v>
                </c:pt>
                <c:pt idx="55">
                  <c:v>408.98343356213365</c:v>
                </c:pt>
                <c:pt idx="56">
                  <c:v>408.67056004498158</c:v>
                </c:pt>
                <c:pt idx="57">
                  <c:v>408.35423990145932</c:v>
                </c:pt>
                <c:pt idx="58">
                  <c:v>408.03457829715938</c:v>
                </c:pt>
                <c:pt idx="59">
                  <c:v>407.71168126314575</c:v>
                </c:pt>
                <c:pt idx="60">
                  <c:v>407.38565565305515</c:v>
                </c:pt>
                <c:pt idx="61">
                  <c:v>407.05660910017065</c:v>
                </c:pt>
                <c:pt idx="62">
                  <c:v>406.72464997449447</c:v>
                </c:pt>
                <c:pt idx="63">
                  <c:v>406.38988733985178</c:v>
                </c:pt>
                <c:pt idx="64">
                  <c:v>406.05243091103944</c:v>
                </c:pt>
                <c:pt idx="65">
                  <c:v>405.71239101105607</c:v>
                </c:pt>
                <c:pt idx="66">
                  <c:v>405.3698785284268</c:v>
                </c:pt>
                <c:pt idx="67">
                  <c:v>405.02500487466</c:v>
                </c:pt>
                <c:pt idx="68">
                  <c:v>404.67788194183618</c:v>
                </c:pt>
                <c:pt idx="69">
                  <c:v>404.32862206038425</c:v>
                </c:pt>
                <c:pt idx="70">
                  <c:v>403.97733795703567</c:v>
                </c:pt>
                <c:pt idx="71">
                  <c:v>403.62414271299946</c:v>
                </c:pt>
                <c:pt idx="72">
                  <c:v>403.26914972236943</c:v>
                </c:pt>
                <c:pt idx="73">
                  <c:v>402.91247265078903</c:v>
                </c:pt>
                <c:pt idx="74">
                  <c:v>402.55422539438615</c:v>
                </c:pt>
                <c:pt idx="75">
                  <c:v>402.19452203901147</c:v>
                </c:pt>
                <c:pt idx="76">
                  <c:v>401.83347681978358</c:v>
                </c:pt>
                <c:pt idx="77">
                  <c:v>401.4712040809697</c:v>
                </c:pt>
                <c:pt idx="78">
                  <c:v>401.10781823621306</c:v>
                </c:pt>
                <c:pt idx="79">
                  <c:v>400.74343372913273</c:v>
                </c:pt>
                <c:pt idx="80">
                  <c:v>400.37816499430369</c:v>
                </c:pt>
                <c:pt idx="81">
                  <c:v>400.01212641863037</c:v>
                </c:pt>
                <c:pt idx="82">
                  <c:v>399.64543230314746</c:v>
                </c:pt>
                <c:pt idx="83">
                  <c:v>399.27819682523784</c:v>
                </c:pt>
                <c:pt idx="84">
                  <c:v>398.91053400129869</c:v>
                </c:pt>
                <c:pt idx="85">
                  <c:v>398.5425576498622</c:v>
                </c:pt>
                <c:pt idx="86">
                  <c:v>398.17438135518466</c:v>
                </c:pt>
                <c:pt idx="87">
                  <c:v>397.80611843131516</c:v>
                </c:pt>
                <c:pt idx="88">
                  <c:v>397.43788188665928</c:v>
                </c:pt>
                <c:pt idx="89">
                  <c:v>397.06978438903866</c:v>
                </c:pt>
                <c:pt idx="90">
                  <c:v>396.70193823126846</c:v>
                </c:pt>
                <c:pt idx="91">
                  <c:v>396.33445529725157</c:v>
                </c:pt>
                <c:pt idx="92">
                  <c:v>395.96744702860747</c:v>
                </c:pt>
                <c:pt idx="93">
                  <c:v>395.60102439182987</c:v>
                </c:pt>
                <c:pt idx="94">
                  <c:v>395.23529784600373</c:v>
                </c:pt>
                <c:pt idx="95">
                  <c:v>394.87037731105625</c:v>
                </c:pt>
                <c:pt idx="96">
                  <c:v>394.50637213658104</c:v>
                </c:pt>
                <c:pt idx="97">
                  <c:v>394.14339107121504</c:v>
                </c:pt>
                <c:pt idx="98">
                  <c:v>393.78154223258809</c:v>
                </c:pt>
                <c:pt idx="99">
                  <c:v>393.4209330778404</c:v>
                </c:pt>
                <c:pt idx="100">
                  <c:v>393.0616703747238</c:v>
                </c:pt>
                <c:pt idx="101">
                  <c:v>392.70386017326507</c:v>
                </c:pt>
                <c:pt idx="102">
                  <c:v>392.34760777802813</c:v>
                </c:pt>
                <c:pt idx="103">
                  <c:v>391.99301772094697</c:v>
                </c:pt>
                <c:pt idx="104">
                  <c:v>391.6401937347419</c:v>
                </c:pt>
                <c:pt idx="105">
                  <c:v>391.28923872692991</c:v>
                </c:pt>
                <c:pt idx="106">
                  <c:v>390.94025475440338</c:v>
                </c:pt>
                <c:pt idx="107">
                  <c:v>390.59334299860694</c:v>
                </c:pt>
                <c:pt idx="108">
                  <c:v>390.24860374128809</c:v>
                </c:pt>
                <c:pt idx="109">
                  <c:v>389.90613634083167</c:v>
                </c:pt>
                <c:pt idx="110">
                  <c:v>389.5660392091749</c:v>
                </c:pt>
                <c:pt idx="111">
                  <c:v>389.22840978929503</c:v>
                </c:pt>
                <c:pt idx="112">
                  <c:v>388.89334453327416</c:v>
                </c:pt>
                <c:pt idx="113">
                  <c:v>388.56093888093341</c:v>
                </c:pt>
                <c:pt idx="114">
                  <c:v>388.23128723903142</c:v>
                </c:pt>
                <c:pt idx="115">
                  <c:v>387.90448296102664</c:v>
                </c:pt>
                <c:pt idx="116">
                  <c:v>387.580618327401</c:v>
                </c:pt>
                <c:pt idx="117">
                  <c:v>387.25978452652555</c:v>
                </c:pt>
                <c:pt idx="118">
                  <c:v>386.94207163608371</c:v>
                </c:pt>
                <c:pt idx="119">
                  <c:v>386.62756860503208</c:v>
                </c:pt>
                <c:pt idx="120">
                  <c:v>386.31636323609143</c:v>
                </c:pt>
                <c:pt idx="121">
                  <c:v>386.00854216877423</c:v>
                </c:pt>
                <c:pt idx="122">
                  <c:v>385.70419086292958</c:v>
                </c:pt>
                <c:pt idx="123">
                  <c:v>385.40339358280227</c:v>
                </c:pt>
                <c:pt idx="124">
                  <c:v>385.10623338159979</c:v>
                </c:pt>
                <c:pt idx="125">
                  <c:v>384.81279208656349</c:v>
                </c:pt>
                <c:pt idx="126">
                  <c:v>384.52315028452506</c:v>
                </c:pt>
                <c:pt idx="127">
                  <c:v>384.2373873079485</c:v>
                </c:pt>
                <c:pt idx="128">
                  <c:v>383.95558122145337</c:v>
                </c:pt>
                <c:pt idx="129">
                  <c:v>383.67780880879684</c:v>
                </c:pt>
                <c:pt idx="130">
                  <c:v>383.40414556032101</c:v>
                </c:pt>
                <c:pt idx="131">
                  <c:v>383.13466566084617</c:v>
                </c:pt>
                <c:pt idx="132">
                  <c:v>382.86944197800574</c:v>
                </c:pt>
                <c:pt idx="133">
                  <c:v>382.60854605101184</c:v>
                </c:pt>
                <c:pt idx="134">
                  <c:v>382.35204807984616</c:v>
                </c:pt>
                <c:pt idx="135">
                  <c:v>382.1000169148611</c:v>
                </c:pt>
                <c:pt idx="136">
                  <c:v>381.85252004678767</c:v>
                </c:pt>
                <c:pt idx="137">
                  <c:v>381.60962359713284</c:v>
                </c:pt>
                <c:pt idx="138">
                  <c:v>381.3713923089685</c:v>
                </c:pt>
                <c:pt idx="139">
                  <c:v>381.13788953808915</c:v>
                </c:pt>
                <c:pt idx="140">
                  <c:v>380.9091772445413</c:v>
                </c:pt>
                <c:pt idx="141">
                  <c:v>380.68531598450312</c:v>
                </c:pt>
                <c:pt idx="142">
                  <c:v>380.4663649025203</c:v>
                </c:pt>
                <c:pt idx="143">
                  <c:v>380.25238172406591</c:v>
                </c:pt>
                <c:pt idx="144">
                  <c:v>380.04342274844129</c:v>
                </c:pt>
                <c:pt idx="145">
                  <c:v>379.83954284198694</c:v>
                </c:pt>
                <c:pt idx="146">
                  <c:v>379.64079543160858</c:v>
                </c:pt>
                <c:pt idx="147">
                  <c:v>379.44723249859646</c:v>
                </c:pt>
                <c:pt idx="148">
                  <c:v>379.25890457273943</c:v>
                </c:pt>
                <c:pt idx="149">
                  <c:v>379.07586072672501</c:v>
                </c:pt>
                <c:pt idx="150">
                  <c:v>378.89814857080268</c:v>
                </c:pt>
                <c:pt idx="151">
                  <c:v>378.72581424771772</c:v>
                </c:pt>
                <c:pt idx="152">
                  <c:v>378.55890242790292</c:v>
                </c:pt>
                <c:pt idx="153">
                  <c:v>378.39745630490904</c:v>
                </c:pt>
                <c:pt idx="154">
                  <c:v>378.24151759108042</c:v>
                </c:pt>
                <c:pt idx="155">
                  <c:v>378.09112651345987</c:v>
                </c:pt>
                <c:pt idx="156">
                  <c:v>377.94632180991437</c:v>
                </c:pt>
                <c:pt idx="157">
                  <c:v>377.80714072547806</c:v>
                </c:pt>
                <c:pt idx="158">
                  <c:v>377.67361900890143</c:v>
                </c:pt>
                <c:pt idx="159">
                  <c:v>377.54579090939797</c:v>
                </c:pt>
                <c:pt idx="160">
                  <c:v>377.42368917359005</c:v>
                </c:pt>
                <c:pt idx="161">
                  <c:v>377.30734504263415</c:v>
                </c:pt>
                <c:pt idx="162">
                  <c:v>377.19678824952899</c:v>
                </c:pt>
                <c:pt idx="163">
                  <c:v>377.09204701659758</c:v>
                </c:pt>
                <c:pt idx="164">
                  <c:v>376.99314805313389</c:v>
                </c:pt>
                <c:pt idx="165">
                  <c:v>376.90011655321098</c:v>
                </c:pt>
                <c:pt idx="166">
                  <c:v>376.81297619364773</c:v>
                </c:pt>
                <c:pt idx="167">
                  <c:v>376.73174913212102</c:v>
                </c:pt>
                <c:pt idx="168">
                  <c:v>376.65645600542945</c:v>
                </c:pt>
                <c:pt idx="169">
                  <c:v>376.58711592788978</c:v>
                </c:pt>
                <c:pt idx="170">
                  <c:v>376.52374648988086</c:v>
                </c:pt>
                <c:pt idx="171">
                  <c:v>376.46636375650542</c:v>
                </c:pt>
                <c:pt idx="172">
                  <c:v>376.4149822663943</c:v>
                </c:pt>
                <c:pt idx="173">
                  <c:v>376.36961503062724</c:v>
                </c:pt>
                <c:pt idx="174">
                  <c:v>376.33027353177602</c:v>
                </c:pt>
                <c:pt idx="175">
                  <c:v>376.29696772307204</c:v>
                </c:pt>
                <c:pt idx="176">
                  <c:v>376.26970602768483</c:v>
                </c:pt>
                <c:pt idx="177">
                  <c:v>376.24849533811812</c:v>
                </c:pt>
                <c:pt idx="178">
                  <c:v>376.23334101571311</c:v>
                </c:pt>
                <c:pt idx="179">
                  <c:v>376.22424689027315</c:v>
                </c:pt>
                <c:pt idx="180">
                  <c:v>376.22121525978793</c:v>
                </c:pt>
                <c:pt idx="181">
                  <c:v>376.22121525978793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'Plotting Sheet'!$K$5</c:f>
              <c:strCache>
                <c:ptCount val="1"/>
                <c:pt idx="0">
                  <c:v>recoil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'Plotting Sheet'!$I$6:$I$368</c:f>
              <c:numCache>
                <c:formatCode>0.00</c:formatCode>
                <c:ptCount val="363"/>
                <c:pt idx="0">
                  <c:v>0</c:v>
                </c:pt>
                <c:pt idx="1">
                  <c:v>1.028</c:v>
                </c:pt>
                <c:pt idx="2">
                  <c:v>2.0569999999999999</c:v>
                </c:pt>
                <c:pt idx="3">
                  <c:v>3.085</c:v>
                </c:pt>
                <c:pt idx="4">
                  <c:v>4.1130000000000004</c:v>
                </c:pt>
                <c:pt idx="5">
                  <c:v>5.1420000000000003</c:v>
                </c:pt>
                <c:pt idx="6">
                  <c:v>6.17</c:v>
                </c:pt>
                <c:pt idx="7">
                  <c:v>7.1980000000000004</c:v>
                </c:pt>
                <c:pt idx="8">
                  <c:v>8.2260000000000009</c:v>
                </c:pt>
                <c:pt idx="9">
                  <c:v>9.2539999999999996</c:v>
                </c:pt>
                <c:pt idx="10">
                  <c:v>10.282</c:v>
                </c:pt>
                <c:pt idx="11">
                  <c:v>11.31</c:v>
                </c:pt>
                <c:pt idx="12">
                  <c:v>12.337999999999999</c:v>
                </c:pt>
                <c:pt idx="13">
                  <c:v>13.366</c:v>
                </c:pt>
                <c:pt idx="14">
                  <c:v>14.393000000000001</c:v>
                </c:pt>
                <c:pt idx="15">
                  <c:v>15.420999999999999</c:v>
                </c:pt>
                <c:pt idx="16">
                  <c:v>16.448</c:v>
                </c:pt>
                <c:pt idx="17">
                  <c:v>17.475999999999999</c:v>
                </c:pt>
                <c:pt idx="18">
                  <c:v>18.503</c:v>
                </c:pt>
                <c:pt idx="19">
                  <c:v>19.529</c:v>
                </c:pt>
                <c:pt idx="20">
                  <c:v>20.556000000000001</c:v>
                </c:pt>
                <c:pt idx="21">
                  <c:v>21.582999999999998</c:v>
                </c:pt>
                <c:pt idx="22">
                  <c:v>22.609000000000002</c:v>
                </c:pt>
                <c:pt idx="23">
                  <c:v>23.635000000000002</c:v>
                </c:pt>
                <c:pt idx="24">
                  <c:v>24.661000000000001</c:v>
                </c:pt>
                <c:pt idx="25">
                  <c:v>25.687000000000001</c:v>
                </c:pt>
                <c:pt idx="26">
                  <c:v>26.713000000000001</c:v>
                </c:pt>
                <c:pt idx="27">
                  <c:v>27.738</c:v>
                </c:pt>
                <c:pt idx="28">
                  <c:v>28.763000000000002</c:v>
                </c:pt>
                <c:pt idx="29">
                  <c:v>29.788</c:v>
                </c:pt>
                <c:pt idx="30">
                  <c:v>30.812999999999999</c:v>
                </c:pt>
                <c:pt idx="31">
                  <c:v>31.837</c:v>
                </c:pt>
                <c:pt idx="32">
                  <c:v>32.862000000000002</c:v>
                </c:pt>
                <c:pt idx="33">
                  <c:v>33.884999999999998</c:v>
                </c:pt>
                <c:pt idx="34">
                  <c:v>34.908999999999999</c:v>
                </c:pt>
                <c:pt idx="35">
                  <c:v>35.932000000000002</c:v>
                </c:pt>
                <c:pt idx="36">
                  <c:v>36.956000000000003</c:v>
                </c:pt>
                <c:pt idx="37">
                  <c:v>37.978000000000002</c:v>
                </c:pt>
                <c:pt idx="38">
                  <c:v>39.000999999999998</c:v>
                </c:pt>
                <c:pt idx="39">
                  <c:v>40.023000000000003</c:v>
                </c:pt>
                <c:pt idx="40">
                  <c:v>41.045000000000002</c:v>
                </c:pt>
                <c:pt idx="41">
                  <c:v>42.066000000000003</c:v>
                </c:pt>
                <c:pt idx="42">
                  <c:v>43.088000000000001</c:v>
                </c:pt>
                <c:pt idx="43">
                  <c:v>44.107999999999997</c:v>
                </c:pt>
                <c:pt idx="44">
                  <c:v>45.128999999999998</c:v>
                </c:pt>
                <c:pt idx="45">
                  <c:v>46.149000000000001</c:v>
                </c:pt>
                <c:pt idx="46">
                  <c:v>47.168999999999997</c:v>
                </c:pt>
                <c:pt idx="47">
                  <c:v>48.188000000000002</c:v>
                </c:pt>
                <c:pt idx="48">
                  <c:v>49.207999999999998</c:v>
                </c:pt>
                <c:pt idx="49">
                  <c:v>50.225999999999999</c:v>
                </c:pt>
                <c:pt idx="50">
                  <c:v>51.244999999999997</c:v>
                </c:pt>
                <c:pt idx="51">
                  <c:v>52.262999999999998</c:v>
                </c:pt>
                <c:pt idx="52">
                  <c:v>53.28</c:v>
                </c:pt>
                <c:pt idx="53">
                  <c:v>54.296999999999997</c:v>
                </c:pt>
                <c:pt idx="54">
                  <c:v>55.314</c:v>
                </c:pt>
                <c:pt idx="55">
                  <c:v>56.331000000000003</c:v>
                </c:pt>
                <c:pt idx="56">
                  <c:v>57.347000000000001</c:v>
                </c:pt>
                <c:pt idx="57">
                  <c:v>58.362000000000002</c:v>
                </c:pt>
                <c:pt idx="58">
                  <c:v>59.377000000000002</c:v>
                </c:pt>
                <c:pt idx="59">
                  <c:v>60.392000000000003</c:v>
                </c:pt>
                <c:pt idx="60">
                  <c:v>61.405999999999999</c:v>
                </c:pt>
                <c:pt idx="61">
                  <c:v>62.42</c:v>
                </c:pt>
                <c:pt idx="62">
                  <c:v>63.433999999999997</c:v>
                </c:pt>
                <c:pt idx="63">
                  <c:v>64.447000000000003</c:v>
                </c:pt>
                <c:pt idx="64">
                  <c:v>65.459000000000003</c:v>
                </c:pt>
                <c:pt idx="65">
                  <c:v>66.471000000000004</c:v>
                </c:pt>
                <c:pt idx="66">
                  <c:v>67.483000000000004</c:v>
                </c:pt>
                <c:pt idx="67">
                  <c:v>68.494</c:v>
                </c:pt>
                <c:pt idx="68">
                  <c:v>69.504999999999995</c:v>
                </c:pt>
                <c:pt idx="69">
                  <c:v>70.515000000000001</c:v>
                </c:pt>
                <c:pt idx="70">
                  <c:v>71.525000000000006</c:v>
                </c:pt>
                <c:pt idx="71">
                  <c:v>72.534999999999997</c:v>
                </c:pt>
                <c:pt idx="72">
                  <c:v>73.543999999999997</c:v>
                </c:pt>
                <c:pt idx="73">
                  <c:v>74.552000000000007</c:v>
                </c:pt>
                <c:pt idx="74">
                  <c:v>75.56</c:v>
                </c:pt>
                <c:pt idx="75">
                  <c:v>76.566999999999993</c:v>
                </c:pt>
                <c:pt idx="76">
                  <c:v>77.573999999999998</c:v>
                </c:pt>
                <c:pt idx="77">
                  <c:v>78.581000000000003</c:v>
                </c:pt>
                <c:pt idx="78">
                  <c:v>79.587000000000003</c:v>
                </c:pt>
                <c:pt idx="79">
                  <c:v>80.593000000000004</c:v>
                </c:pt>
                <c:pt idx="80">
                  <c:v>81.597999999999999</c:v>
                </c:pt>
                <c:pt idx="81">
                  <c:v>82.602000000000004</c:v>
                </c:pt>
                <c:pt idx="82">
                  <c:v>83.605999999999995</c:v>
                </c:pt>
                <c:pt idx="83">
                  <c:v>84.61</c:v>
                </c:pt>
                <c:pt idx="84">
                  <c:v>85.613</c:v>
                </c:pt>
                <c:pt idx="85">
                  <c:v>86.616</c:v>
                </c:pt>
                <c:pt idx="86">
                  <c:v>87.617999999999995</c:v>
                </c:pt>
                <c:pt idx="87">
                  <c:v>88.619</c:v>
                </c:pt>
                <c:pt idx="88">
                  <c:v>89.620999999999995</c:v>
                </c:pt>
                <c:pt idx="89">
                  <c:v>90.620999999999995</c:v>
                </c:pt>
                <c:pt idx="90">
                  <c:v>91.620999999999995</c:v>
                </c:pt>
                <c:pt idx="91">
                  <c:v>92.620999999999995</c:v>
                </c:pt>
                <c:pt idx="92">
                  <c:v>93.62</c:v>
                </c:pt>
                <c:pt idx="93">
                  <c:v>94.619</c:v>
                </c:pt>
                <c:pt idx="94">
                  <c:v>95.617000000000004</c:v>
                </c:pt>
                <c:pt idx="95">
                  <c:v>96.614999999999995</c:v>
                </c:pt>
                <c:pt idx="96">
                  <c:v>97.611999999999995</c:v>
                </c:pt>
                <c:pt idx="97">
                  <c:v>98.608999999999995</c:v>
                </c:pt>
                <c:pt idx="98">
                  <c:v>99.605000000000004</c:v>
                </c:pt>
                <c:pt idx="99">
                  <c:v>100.601</c:v>
                </c:pt>
                <c:pt idx="100">
                  <c:v>101.596</c:v>
                </c:pt>
                <c:pt idx="101">
                  <c:v>102.59099999999999</c:v>
                </c:pt>
                <c:pt idx="102">
                  <c:v>103.58499999999999</c:v>
                </c:pt>
                <c:pt idx="103">
                  <c:v>104.57899999999999</c:v>
                </c:pt>
                <c:pt idx="104">
                  <c:v>105.572</c:v>
                </c:pt>
                <c:pt idx="105">
                  <c:v>106.565</c:v>
                </c:pt>
                <c:pt idx="106">
                  <c:v>107.557</c:v>
                </c:pt>
                <c:pt idx="107">
                  <c:v>108.54900000000001</c:v>
                </c:pt>
                <c:pt idx="108">
                  <c:v>109.54</c:v>
                </c:pt>
                <c:pt idx="109">
                  <c:v>110.53100000000001</c:v>
                </c:pt>
                <c:pt idx="110">
                  <c:v>111.52200000000001</c:v>
                </c:pt>
                <c:pt idx="111">
                  <c:v>112.512</c:v>
                </c:pt>
                <c:pt idx="112">
                  <c:v>113.501</c:v>
                </c:pt>
                <c:pt idx="113">
                  <c:v>114.491</c:v>
                </c:pt>
                <c:pt idx="114">
                  <c:v>115.479</c:v>
                </c:pt>
                <c:pt idx="115">
                  <c:v>116.467</c:v>
                </c:pt>
                <c:pt idx="116">
                  <c:v>117.455</c:v>
                </c:pt>
                <c:pt idx="117">
                  <c:v>118.44199999999999</c:v>
                </c:pt>
                <c:pt idx="118">
                  <c:v>119.429</c:v>
                </c:pt>
                <c:pt idx="119">
                  <c:v>120.416</c:v>
                </c:pt>
                <c:pt idx="120">
                  <c:v>121.402</c:v>
                </c:pt>
                <c:pt idx="121">
                  <c:v>122.387</c:v>
                </c:pt>
                <c:pt idx="122">
                  <c:v>123.373</c:v>
                </c:pt>
                <c:pt idx="123">
                  <c:v>124.357</c:v>
                </c:pt>
                <c:pt idx="124">
                  <c:v>125.342</c:v>
                </c:pt>
                <c:pt idx="125">
                  <c:v>126.32599999999999</c:v>
                </c:pt>
                <c:pt idx="126">
                  <c:v>127.309</c:v>
                </c:pt>
                <c:pt idx="127">
                  <c:v>128.292</c:v>
                </c:pt>
                <c:pt idx="128">
                  <c:v>129.27500000000001</c:v>
                </c:pt>
                <c:pt idx="129">
                  <c:v>130.25700000000001</c:v>
                </c:pt>
                <c:pt idx="130">
                  <c:v>131.239</c:v>
                </c:pt>
                <c:pt idx="131">
                  <c:v>132.221</c:v>
                </c:pt>
                <c:pt idx="132">
                  <c:v>133.202</c:v>
                </c:pt>
                <c:pt idx="133">
                  <c:v>134.18299999999999</c:v>
                </c:pt>
                <c:pt idx="134">
                  <c:v>135.16399999999999</c:v>
                </c:pt>
                <c:pt idx="135">
                  <c:v>136.14400000000001</c:v>
                </c:pt>
                <c:pt idx="136">
                  <c:v>137.124</c:v>
                </c:pt>
                <c:pt idx="137">
                  <c:v>138.10300000000001</c:v>
                </c:pt>
                <c:pt idx="138">
                  <c:v>139.08199999999999</c:v>
                </c:pt>
                <c:pt idx="139">
                  <c:v>140.06100000000001</c:v>
                </c:pt>
                <c:pt idx="140">
                  <c:v>141.04</c:v>
                </c:pt>
                <c:pt idx="141">
                  <c:v>142.018</c:v>
                </c:pt>
                <c:pt idx="142">
                  <c:v>142.99600000000001</c:v>
                </c:pt>
                <c:pt idx="143">
                  <c:v>143.97300000000001</c:v>
                </c:pt>
                <c:pt idx="144">
                  <c:v>144.94999999999999</c:v>
                </c:pt>
                <c:pt idx="145">
                  <c:v>145.92699999999999</c:v>
                </c:pt>
                <c:pt idx="146">
                  <c:v>146.904</c:v>
                </c:pt>
                <c:pt idx="147">
                  <c:v>147.881</c:v>
                </c:pt>
                <c:pt idx="148">
                  <c:v>148.857</c:v>
                </c:pt>
                <c:pt idx="149">
                  <c:v>149.833</c:v>
                </c:pt>
                <c:pt idx="150">
                  <c:v>150.80799999999999</c:v>
                </c:pt>
                <c:pt idx="151">
                  <c:v>151.78399999999999</c:v>
                </c:pt>
                <c:pt idx="152">
                  <c:v>152.75899999999999</c:v>
                </c:pt>
                <c:pt idx="153">
                  <c:v>153.73400000000001</c:v>
                </c:pt>
                <c:pt idx="154">
                  <c:v>154.709</c:v>
                </c:pt>
                <c:pt idx="155">
                  <c:v>155.68299999999999</c:v>
                </c:pt>
                <c:pt idx="156">
                  <c:v>156.65700000000001</c:v>
                </c:pt>
                <c:pt idx="157">
                  <c:v>157.63200000000001</c:v>
                </c:pt>
                <c:pt idx="158">
                  <c:v>158.60599999999999</c:v>
                </c:pt>
                <c:pt idx="159">
                  <c:v>159.57900000000001</c:v>
                </c:pt>
                <c:pt idx="160">
                  <c:v>160.553</c:v>
                </c:pt>
                <c:pt idx="161">
                  <c:v>161.52600000000001</c:v>
                </c:pt>
                <c:pt idx="162">
                  <c:v>162.499</c:v>
                </c:pt>
                <c:pt idx="163">
                  <c:v>163.47300000000001</c:v>
                </c:pt>
                <c:pt idx="164">
                  <c:v>164.44499999999999</c:v>
                </c:pt>
                <c:pt idx="165">
                  <c:v>165.41800000000001</c:v>
                </c:pt>
                <c:pt idx="166">
                  <c:v>166.39099999999999</c:v>
                </c:pt>
                <c:pt idx="167">
                  <c:v>167.364</c:v>
                </c:pt>
                <c:pt idx="168">
                  <c:v>168.33600000000001</c:v>
                </c:pt>
                <c:pt idx="169">
                  <c:v>169.30799999999999</c:v>
                </c:pt>
                <c:pt idx="170">
                  <c:v>170.28100000000001</c:v>
                </c:pt>
                <c:pt idx="171">
                  <c:v>171.25299999999999</c:v>
                </c:pt>
                <c:pt idx="172">
                  <c:v>172.22499999999999</c:v>
                </c:pt>
                <c:pt idx="173">
                  <c:v>173.197</c:v>
                </c:pt>
                <c:pt idx="174">
                  <c:v>174.16900000000001</c:v>
                </c:pt>
                <c:pt idx="175">
                  <c:v>175.14099999999999</c:v>
                </c:pt>
                <c:pt idx="176">
                  <c:v>176.113</c:v>
                </c:pt>
                <c:pt idx="177">
                  <c:v>177.08500000000001</c:v>
                </c:pt>
                <c:pt idx="178">
                  <c:v>178.05600000000001</c:v>
                </c:pt>
                <c:pt idx="179">
                  <c:v>179.02799999999999</c:v>
                </c:pt>
                <c:pt idx="180">
                  <c:v>180</c:v>
                </c:pt>
                <c:pt idx="181">
                  <c:v>180</c:v>
                </c:pt>
                <c:pt idx="182">
                  <c:v>180</c:v>
                </c:pt>
                <c:pt idx="183">
                  <c:v>180</c:v>
                </c:pt>
                <c:pt idx="184">
                  <c:v>180</c:v>
                </c:pt>
                <c:pt idx="185">
                  <c:v>180</c:v>
                </c:pt>
                <c:pt idx="186">
                  <c:v>180</c:v>
                </c:pt>
                <c:pt idx="187">
                  <c:v>180</c:v>
                </c:pt>
                <c:pt idx="188">
                  <c:v>180</c:v>
                </c:pt>
                <c:pt idx="189">
                  <c:v>180</c:v>
                </c:pt>
                <c:pt idx="190">
                  <c:v>180</c:v>
                </c:pt>
                <c:pt idx="191">
                  <c:v>180</c:v>
                </c:pt>
                <c:pt idx="192">
                  <c:v>180</c:v>
                </c:pt>
                <c:pt idx="193">
                  <c:v>180</c:v>
                </c:pt>
                <c:pt idx="194">
                  <c:v>180</c:v>
                </c:pt>
                <c:pt idx="195">
                  <c:v>180</c:v>
                </c:pt>
                <c:pt idx="196">
                  <c:v>180</c:v>
                </c:pt>
                <c:pt idx="197">
                  <c:v>180</c:v>
                </c:pt>
                <c:pt idx="198">
                  <c:v>180</c:v>
                </c:pt>
                <c:pt idx="199">
                  <c:v>180</c:v>
                </c:pt>
                <c:pt idx="200">
                  <c:v>180</c:v>
                </c:pt>
                <c:pt idx="201">
                  <c:v>180</c:v>
                </c:pt>
                <c:pt idx="202">
                  <c:v>180</c:v>
                </c:pt>
                <c:pt idx="203">
                  <c:v>180</c:v>
                </c:pt>
                <c:pt idx="204">
                  <c:v>180</c:v>
                </c:pt>
                <c:pt idx="205">
                  <c:v>180</c:v>
                </c:pt>
                <c:pt idx="206">
                  <c:v>180</c:v>
                </c:pt>
                <c:pt idx="207">
                  <c:v>180</c:v>
                </c:pt>
                <c:pt idx="208">
                  <c:v>180</c:v>
                </c:pt>
                <c:pt idx="209">
                  <c:v>180</c:v>
                </c:pt>
                <c:pt idx="210">
                  <c:v>180</c:v>
                </c:pt>
                <c:pt idx="211">
                  <c:v>180</c:v>
                </c:pt>
                <c:pt idx="212">
                  <c:v>180</c:v>
                </c:pt>
                <c:pt idx="213">
                  <c:v>180</c:v>
                </c:pt>
                <c:pt idx="214">
                  <c:v>180</c:v>
                </c:pt>
                <c:pt idx="215">
                  <c:v>180</c:v>
                </c:pt>
                <c:pt idx="216">
                  <c:v>180</c:v>
                </c:pt>
                <c:pt idx="217">
                  <c:v>180</c:v>
                </c:pt>
                <c:pt idx="218">
                  <c:v>180</c:v>
                </c:pt>
                <c:pt idx="219">
                  <c:v>180</c:v>
                </c:pt>
                <c:pt idx="220">
                  <c:v>180</c:v>
                </c:pt>
                <c:pt idx="221">
                  <c:v>180</c:v>
                </c:pt>
                <c:pt idx="222">
                  <c:v>180</c:v>
                </c:pt>
                <c:pt idx="223">
                  <c:v>180</c:v>
                </c:pt>
                <c:pt idx="224">
                  <c:v>180</c:v>
                </c:pt>
                <c:pt idx="225">
                  <c:v>180</c:v>
                </c:pt>
                <c:pt idx="226">
                  <c:v>180</c:v>
                </c:pt>
                <c:pt idx="227">
                  <c:v>180</c:v>
                </c:pt>
                <c:pt idx="228">
                  <c:v>180</c:v>
                </c:pt>
                <c:pt idx="229">
                  <c:v>180</c:v>
                </c:pt>
                <c:pt idx="230">
                  <c:v>180</c:v>
                </c:pt>
                <c:pt idx="231">
                  <c:v>180</c:v>
                </c:pt>
                <c:pt idx="232">
                  <c:v>180</c:v>
                </c:pt>
                <c:pt idx="233">
                  <c:v>180</c:v>
                </c:pt>
                <c:pt idx="234">
                  <c:v>180</c:v>
                </c:pt>
                <c:pt idx="235">
                  <c:v>180</c:v>
                </c:pt>
                <c:pt idx="236">
                  <c:v>180</c:v>
                </c:pt>
                <c:pt idx="237">
                  <c:v>180</c:v>
                </c:pt>
                <c:pt idx="238">
                  <c:v>180</c:v>
                </c:pt>
                <c:pt idx="239">
                  <c:v>180</c:v>
                </c:pt>
                <c:pt idx="240">
                  <c:v>180</c:v>
                </c:pt>
                <c:pt idx="241">
                  <c:v>180</c:v>
                </c:pt>
                <c:pt idx="242">
                  <c:v>180</c:v>
                </c:pt>
                <c:pt idx="243">
                  <c:v>180</c:v>
                </c:pt>
                <c:pt idx="244">
                  <c:v>180</c:v>
                </c:pt>
                <c:pt idx="245">
                  <c:v>180</c:v>
                </c:pt>
                <c:pt idx="246">
                  <c:v>180</c:v>
                </c:pt>
                <c:pt idx="247">
                  <c:v>180</c:v>
                </c:pt>
                <c:pt idx="248">
                  <c:v>180</c:v>
                </c:pt>
                <c:pt idx="249">
                  <c:v>180</c:v>
                </c:pt>
                <c:pt idx="250">
                  <c:v>180</c:v>
                </c:pt>
                <c:pt idx="251">
                  <c:v>180</c:v>
                </c:pt>
                <c:pt idx="252">
                  <c:v>180</c:v>
                </c:pt>
                <c:pt idx="253">
                  <c:v>180</c:v>
                </c:pt>
                <c:pt idx="254">
                  <c:v>180</c:v>
                </c:pt>
                <c:pt idx="255">
                  <c:v>180</c:v>
                </c:pt>
                <c:pt idx="256">
                  <c:v>180</c:v>
                </c:pt>
                <c:pt idx="257">
                  <c:v>180</c:v>
                </c:pt>
                <c:pt idx="258">
                  <c:v>180</c:v>
                </c:pt>
                <c:pt idx="259">
                  <c:v>180</c:v>
                </c:pt>
                <c:pt idx="260">
                  <c:v>180</c:v>
                </c:pt>
                <c:pt idx="261">
                  <c:v>180</c:v>
                </c:pt>
                <c:pt idx="262">
                  <c:v>180</c:v>
                </c:pt>
                <c:pt idx="263">
                  <c:v>180</c:v>
                </c:pt>
                <c:pt idx="264">
                  <c:v>180</c:v>
                </c:pt>
                <c:pt idx="265">
                  <c:v>180</c:v>
                </c:pt>
                <c:pt idx="266">
                  <c:v>180</c:v>
                </c:pt>
                <c:pt idx="267">
                  <c:v>180</c:v>
                </c:pt>
                <c:pt idx="268">
                  <c:v>180</c:v>
                </c:pt>
                <c:pt idx="269">
                  <c:v>180</c:v>
                </c:pt>
                <c:pt idx="270">
                  <c:v>180</c:v>
                </c:pt>
                <c:pt idx="271">
                  <c:v>180</c:v>
                </c:pt>
                <c:pt idx="272">
                  <c:v>180</c:v>
                </c:pt>
                <c:pt idx="273">
                  <c:v>180</c:v>
                </c:pt>
                <c:pt idx="274">
                  <c:v>180</c:v>
                </c:pt>
                <c:pt idx="275">
                  <c:v>180</c:v>
                </c:pt>
                <c:pt idx="276">
                  <c:v>180</c:v>
                </c:pt>
                <c:pt idx="277">
                  <c:v>180</c:v>
                </c:pt>
                <c:pt idx="278">
                  <c:v>180</c:v>
                </c:pt>
                <c:pt idx="279">
                  <c:v>180</c:v>
                </c:pt>
                <c:pt idx="280">
                  <c:v>180</c:v>
                </c:pt>
                <c:pt idx="281">
                  <c:v>180</c:v>
                </c:pt>
                <c:pt idx="282">
                  <c:v>180</c:v>
                </c:pt>
                <c:pt idx="283">
                  <c:v>180</c:v>
                </c:pt>
                <c:pt idx="284">
                  <c:v>180</c:v>
                </c:pt>
                <c:pt idx="285">
                  <c:v>180</c:v>
                </c:pt>
                <c:pt idx="286">
                  <c:v>180</c:v>
                </c:pt>
                <c:pt idx="287">
                  <c:v>180</c:v>
                </c:pt>
                <c:pt idx="288">
                  <c:v>180</c:v>
                </c:pt>
                <c:pt idx="289">
                  <c:v>180</c:v>
                </c:pt>
                <c:pt idx="290">
                  <c:v>180</c:v>
                </c:pt>
                <c:pt idx="291">
                  <c:v>180</c:v>
                </c:pt>
                <c:pt idx="292">
                  <c:v>180</c:v>
                </c:pt>
                <c:pt idx="293">
                  <c:v>180</c:v>
                </c:pt>
                <c:pt idx="294">
                  <c:v>180</c:v>
                </c:pt>
                <c:pt idx="295">
                  <c:v>180</c:v>
                </c:pt>
                <c:pt idx="296">
                  <c:v>180</c:v>
                </c:pt>
                <c:pt idx="297">
                  <c:v>180</c:v>
                </c:pt>
                <c:pt idx="298">
                  <c:v>180</c:v>
                </c:pt>
                <c:pt idx="299">
                  <c:v>180</c:v>
                </c:pt>
                <c:pt idx="300">
                  <c:v>180</c:v>
                </c:pt>
                <c:pt idx="301">
                  <c:v>180</c:v>
                </c:pt>
                <c:pt idx="302">
                  <c:v>180</c:v>
                </c:pt>
                <c:pt idx="303">
                  <c:v>180</c:v>
                </c:pt>
                <c:pt idx="304">
                  <c:v>180</c:v>
                </c:pt>
                <c:pt idx="305">
                  <c:v>180</c:v>
                </c:pt>
                <c:pt idx="306">
                  <c:v>180</c:v>
                </c:pt>
                <c:pt idx="307">
                  <c:v>180</c:v>
                </c:pt>
                <c:pt idx="308">
                  <c:v>180</c:v>
                </c:pt>
                <c:pt idx="309">
                  <c:v>180</c:v>
                </c:pt>
                <c:pt idx="310">
                  <c:v>180</c:v>
                </c:pt>
                <c:pt idx="311">
                  <c:v>180</c:v>
                </c:pt>
                <c:pt idx="312">
                  <c:v>180</c:v>
                </c:pt>
                <c:pt idx="313">
                  <c:v>180</c:v>
                </c:pt>
                <c:pt idx="314">
                  <c:v>180</c:v>
                </c:pt>
                <c:pt idx="315">
                  <c:v>180</c:v>
                </c:pt>
                <c:pt idx="316">
                  <c:v>180</c:v>
                </c:pt>
                <c:pt idx="317">
                  <c:v>180</c:v>
                </c:pt>
                <c:pt idx="318">
                  <c:v>180</c:v>
                </c:pt>
                <c:pt idx="319">
                  <c:v>180</c:v>
                </c:pt>
                <c:pt idx="320">
                  <c:v>180</c:v>
                </c:pt>
                <c:pt idx="321">
                  <c:v>180</c:v>
                </c:pt>
                <c:pt idx="322">
                  <c:v>180</c:v>
                </c:pt>
                <c:pt idx="323">
                  <c:v>180</c:v>
                </c:pt>
                <c:pt idx="324">
                  <c:v>180</c:v>
                </c:pt>
                <c:pt idx="325">
                  <c:v>180</c:v>
                </c:pt>
                <c:pt idx="326">
                  <c:v>180</c:v>
                </c:pt>
                <c:pt idx="327">
                  <c:v>180</c:v>
                </c:pt>
                <c:pt idx="328">
                  <c:v>180</c:v>
                </c:pt>
                <c:pt idx="329">
                  <c:v>180</c:v>
                </c:pt>
                <c:pt idx="330">
                  <c:v>180</c:v>
                </c:pt>
                <c:pt idx="331">
                  <c:v>180</c:v>
                </c:pt>
                <c:pt idx="332">
                  <c:v>180</c:v>
                </c:pt>
                <c:pt idx="333">
                  <c:v>180</c:v>
                </c:pt>
                <c:pt idx="334">
                  <c:v>180</c:v>
                </c:pt>
                <c:pt idx="335">
                  <c:v>180</c:v>
                </c:pt>
                <c:pt idx="336">
                  <c:v>180</c:v>
                </c:pt>
                <c:pt idx="337">
                  <c:v>180</c:v>
                </c:pt>
                <c:pt idx="338">
                  <c:v>180</c:v>
                </c:pt>
                <c:pt idx="339">
                  <c:v>180</c:v>
                </c:pt>
                <c:pt idx="340">
                  <c:v>180</c:v>
                </c:pt>
                <c:pt idx="341">
                  <c:v>180</c:v>
                </c:pt>
                <c:pt idx="342">
                  <c:v>180</c:v>
                </c:pt>
                <c:pt idx="343">
                  <c:v>180</c:v>
                </c:pt>
                <c:pt idx="344">
                  <c:v>180</c:v>
                </c:pt>
                <c:pt idx="345">
                  <c:v>180</c:v>
                </c:pt>
                <c:pt idx="346">
                  <c:v>180</c:v>
                </c:pt>
                <c:pt idx="347">
                  <c:v>180</c:v>
                </c:pt>
                <c:pt idx="348">
                  <c:v>180</c:v>
                </c:pt>
                <c:pt idx="349">
                  <c:v>180</c:v>
                </c:pt>
                <c:pt idx="350">
                  <c:v>180</c:v>
                </c:pt>
                <c:pt idx="351">
                  <c:v>180</c:v>
                </c:pt>
                <c:pt idx="352">
                  <c:v>180</c:v>
                </c:pt>
                <c:pt idx="353">
                  <c:v>180</c:v>
                </c:pt>
                <c:pt idx="354">
                  <c:v>180</c:v>
                </c:pt>
                <c:pt idx="355">
                  <c:v>180</c:v>
                </c:pt>
                <c:pt idx="356">
                  <c:v>180</c:v>
                </c:pt>
                <c:pt idx="357">
                  <c:v>180</c:v>
                </c:pt>
                <c:pt idx="358">
                  <c:v>180</c:v>
                </c:pt>
                <c:pt idx="359">
                  <c:v>180</c:v>
                </c:pt>
                <c:pt idx="360">
                  <c:v>180</c:v>
                </c:pt>
                <c:pt idx="361">
                  <c:v>180</c:v>
                </c:pt>
                <c:pt idx="362">
                  <c:v>180</c:v>
                </c:pt>
              </c:numCache>
            </c:numRef>
          </c:xVal>
          <c:yVal>
            <c:numRef>
              <c:f>'Plotting Sheet'!$K$6:$K$368</c:f>
              <c:numCache>
                <c:formatCode>0.00</c:formatCode>
                <c:ptCount val="363"/>
                <c:pt idx="0">
                  <c:v>4.7719768701881549E-5</c:v>
                </c:pt>
                <c:pt idx="1">
                  <c:v>3.4427091046040914E-3</c:v>
                </c:pt>
                <c:pt idx="2">
                  <c:v>1.3626468152040161E-2</c:v>
                </c:pt>
                <c:pt idx="3">
                  <c:v>3.0595370632397589E-2</c:v>
                </c:pt>
                <c:pt idx="4">
                  <c:v>5.4343374728034632E-2</c:v>
                </c:pt>
                <c:pt idx="5">
                  <c:v>8.4862026057237472E-2</c:v>
                </c:pt>
                <c:pt idx="6">
                  <c:v>0.12214046183333949</c:v>
                </c:pt>
                <c:pt idx="7">
                  <c:v>0.16616541620322778</c:v>
                </c:pt>
                <c:pt idx="8">
                  <c:v>0.21692122676495273</c:v>
                </c:pt>
                <c:pt idx="9">
                  <c:v>0.2743898422608595</c:v>
                </c:pt>
                <c:pt idx="10">
                  <c:v>0.3385508314325989</c:v>
                </c:pt>
                <c:pt idx="11">
                  <c:v>0.40938139303335674</c:v>
                </c:pt>
                <c:pt idx="12">
                  <c:v>0.48685636699627821</c:v>
                </c:pt>
                <c:pt idx="13">
                  <c:v>0.57094824673907851</c:v>
                </c:pt>
                <c:pt idx="14">
                  <c:v>0.66162719260000813</c:v>
                </c:pt>
                <c:pt idx="15">
                  <c:v>0.75886104639272389</c:v>
                </c:pt>
                <c:pt idx="16">
                  <c:v>0.86261534707495002</c:v>
                </c:pt>
                <c:pt idx="17">
                  <c:v>0.97285334750137054</c:v>
                </c:pt>
                <c:pt idx="18">
                  <c:v>1.0895360322671763</c:v>
                </c:pt>
                <c:pt idx="19">
                  <c:v>1.2126221366125947</c:v>
                </c:pt>
                <c:pt idx="20">
                  <c:v>1.3420681663808409</c:v>
                </c:pt>
                <c:pt idx="21">
                  <c:v>1.4778284190091426</c:v>
                </c:pt>
                <c:pt idx="22">
                  <c:v>1.6198550055373744</c:v>
                </c:pt>
                <c:pt idx="23">
                  <c:v>1.7680978736204906</c:v>
                </c:pt>
                <c:pt idx="24">
                  <c:v>1.9225048315160507</c:v>
                </c:pt>
                <c:pt idx="25">
                  <c:v>2.0830215730357509</c:v>
                </c:pt>
                <c:pt idx="26">
                  <c:v>2.2495917034464128</c:v>
                </c:pt>
                <c:pt idx="27">
                  <c:v>2.4221567662792154</c:v>
                </c:pt>
                <c:pt idx="28">
                  <c:v>2.600656271047967</c:v>
                </c:pt>
                <c:pt idx="29">
                  <c:v>2.7850277218424253</c:v>
                </c:pt>
                <c:pt idx="30">
                  <c:v>2.9752066467822829</c:v>
                </c:pt>
                <c:pt idx="31">
                  <c:v>3.1711266282929387</c:v>
                </c:pt>
                <c:pt idx="32">
                  <c:v>3.3727193342004398</c:v>
                </c:pt>
                <c:pt idx="33">
                  <c:v>3.5799145496052347</c:v>
                </c:pt>
                <c:pt idx="34">
                  <c:v>3.7926402095195613</c:v>
                </c:pt>
                <c:pt idx="35">
                  <c:v>4.0108224322345905</c:v>
                </c:pt>
                <c:pt idx="36">
                  <c:v>4.2343855534043087</c:v>
                </c:pt>
                <c:pt idx="37">
                  <c:v>4.4632521608061211</c:v>
                </c:pt>
                <c:pt idx="38">
                  <c:v>4.6973431297627712</c:v>
                </c:pt>
                <c:pt idx="39">
                  <c:v>4.9365776591930626</c:v>
                </c:pt>
                <c:pt idx="40">
                  <c:v>5.1808733082671097</c:v>
                </c:pt>
                <c:pt idx="41">
                  <c:v>5.4301460336376977</c:v>
                </c:pt>
                <c:pt idx="42">
                  <c:v>5.6843102272219994</c:v>
                </c:pt>
                <c:pt idx="43">
                  <c:v>5.9432787545050587</c:v>
                </c:pt>
                <c:pt idx="44">
                  <c:v>6.2069629933322403</c:v>
                </c:pt>
                <c:pt idx="45">
                  <c:v>6.4752728731759817</c:v>
                </c:pt>
                <c:pt idx="46">
                  <c:v>6.7481169148338722</c:v>
                </c:pt>
                <c:pt idx="47">
                  <c:v>7.025402270540269</c:v>
                </c:pt>
                <c:pt idx="48">
                  <c:v>7.3070347644564322</c:v>
                </c:pt>
                <c:pt idx="49">
                  <c:v>7.5929189335175806</c:v>
                </c:pt>
                <c:pt idx="50">
                  <c:v>7.8829580686019654</c:v>
                </c:pt>
                <c:pt idx="51">
                  <c:v>8.1770542560028048</c:v>
                </c:pt>
                <c:pt idx="52">
                  <c:v>8.4751084191606765</c:v>
                </c:pt>
                <c:pt idx="53">
                  <c:v>8.77702036064602</c:v>
                </c:pt>
                <c:pt idx="54">
                  <c:v>9.0826888043514487</c:v>
                </c:pt>
                <c:pt idx="55">
                  <c:v>9.3920114378663584</c:v>
                </c:pt>
                <c:pt idx="56">
                  <c:v>9.7048849550184286</c:v>
                </c:pt>
                <c:pt idx="57">
                  <c:v>10.02120509854069</c:v>
                </c:pt>
                <c:pt idx="58">
                  <c:v>10.340866702840628</c:v>
                </c:pt>
                <c:pt idx="59">
                  <c:v>10.663763736854264</c:v>
                </c:pt>
                <c:pt idx="60">
                  <c:v>10.98978934694486</c:v>
                </c:pt>
                <c:pt idx="61">
                  <c:v>11.318835899829367</c:v>
                </c:pt>
                <c:pt idx="62">
                  <c:v>11.650795025505545</c:v>
                </c:pt>
                <c:pt idx="63">
                  <c:v>11.985557660148231</c:v>
                </c:pt>
                <c:pt idx="64">
                  <c:v>12.323014088960576</c:v>
                </c:pt>
                <c:pt idx="65">
                  <c:v>12.663053988943943</c:v>
                </c:pt>
                <c:pt idx="66">
                  <c:v>13.005566471573218</c:v>
                </c:pt>
                <c:pt idx="67">
                  <c:v>13.350440125340015</c:v>
                </c:pt>
                <c:pt idx="68">
                  <c:v>13.697563058163837</c:v>
                </c:pt>
                <c:pt idx="69">
                  <c:v>14.046822939615765</c:v>
                </c:pt>
                <c:pt idx="70">
                  <c:v>14.398107042964341</c:v>
                </c:pt>
                <c:pt idx="71">
                  <c:v>14.751302287000556</c:v>
                </c:pt>
                <c:pt idx="72">
                  <c:v>15.106295277630579</c:v>
                </c:pt>
                <c:pt idx="73">
                  <c:v>15.462972349210986</c:v>
                </c:pt>
                <c:pt idx="74">
                  <c:v>15.821219605613862</c:v>
                </c:pt>
                <c:pt idx="75">
                  <c:v>16.180922960988539</c:v>
                </c:pt>
                <c:pt idx="76">
                  <c:v>16.541968180216429</c:v>
                </c:pt>
                <c:pt idx="77">
                  <c:v>16.904240919030315</c:v>
                </c:pt>
                <c:pt idx="78">
                  <c:v>17.26762676378695</c:v>
                </c:pt>
                <c:pt idx="79">
                  <c:v>17.632011270867281</c:v>
                </c:pt>
                <c:pt idx="80">
                  <c:v>17.997280005696325</c:v>
                </c:pt>
                <c:pt idx="81">
                  <c:v>18.36331858136964</c:v>
                </c:pt>
                <c:pt idx="82">
                  <c:v>18.730012696852555</c:v>
                </c:pt>
                <c:pt idx="83">
                  <c:v>19.097248174762171</c:v>
                </c:pt>
                <c:pt idx="84">
                  <c:v>19.464910998701328</c:v>
                </c:pt>
                <c:pt idx="85">
                  <c:v>19.83288735013781</c:v>
                </c:pt>
                <c:pt idx="86">
                  <c:v>20.201063644815349</c:v>
                </c:pt>
                <c:pt idx="87">
                  <c:v>20.569326568684858</c:v>
                </c:pt>
                <c:pt idx="88">
                  <c:v>20.93756311334073</c:v>
                </c:pt>
                <c:pt idx="89">
                  <c:v>21.305660610961354</c:v>
                </c:pt>
                <c:pt idx="90">
                  <c:v>21.673506768731556</c:v>
                </c:pt>
                <c:pt idx="91">
                  <c:v>22.040989702748448</c:v>
                </c:pt>
                <c:pt idx="92">
                  <c:v>22.407997971392547</c:v>
                </c:pt>
                <c:pt idx="93">
                  <c:v>22.774420608170146</c:v>
                </c:pt>
                <c:pt idx="94">
                  <c:v>23.140147153996281</c:v>
                </c:pt>
                <c:pt idx="95">
                  <c:v>23.505067688943768</c:v>
                </c:pt>
                <c:pt idx="96">
                  <c:v>23.869072863418978</c:v>
                </c:pt>
                <c:pt idx="97">
                  <c:v>24.232053928784978</c:v>
                </c:pt>
                <c:pt idx="98">
                  <c:v>24.593902767411919</c:v>
                </c:pt>
                <c:pt idx="99">
                  <c:v>24.954511922159611</c:v>
                </c:pt>
                <c:pt idx="100">
                  <c:v>25.31377462527621</c:v>
                </c:pt>
                <c:pt idx="101">
                  <c:v>25.671584826734943</c:v>
                </c:pt>
                <c:pt idx="102">
                  <c:v>26.027837221971879</c:v>
                </c:pt>
                <c:pt idx="103">
                  <c:v>26.382427279053047</c:v>
                </c:pt>
                <c:pt idx="104">
                  <c:v>26.735251265258114</c:v>
                </c:pt>
                <c:pt idx="105">
                  <c:v>27.086206273070104</c:v>
                </c:pt>
                <c:pt idx="106">
                  <c:v>27.43519024559663</c:v>
                </c:pt>
                <c:pt idx="107">
                  <c:v>27.782102001393071</c:v>
                </c:pt>
                <c:pt idx="108">
                  <c:v>28.12684125871192</c:v>
                </c:pt>
                <c:pt idx="109">
                  <c:v>28.469308659168348</c:v>
                </c:pt>
                <c:pt idx="110">
                  <c:v>28.80940579082511</c:v>
                </c:pt>
                <c:pt idx="111">
                  <c:v>29.147035210704985</c:v>
                </c:pt>
                <c:pt idx="112">
                  <c:v>29.482100466725853</c:v>
                </c:pt>
                <c:pt idx="113">
                  <c:v>29.814506119066607</c:v>
                </c:pt>
                <c:pt idx="114">
                  <c:v>30.144157760968596</c:v>
                </c:pt>
                <c:pt idx="115">
                  <c:v>30.470962038973369</c:v>
                </c:pt>
                <c:pt idx="116">
                  <c:v>30.794826672599015</c:v>
                </c:pt>
                <c:pt idx="117">
                  <c:v>31.115660473474463</c:v>
                </c:pt>
                <c:pt idx="118">
                  <c:v>31.433373363916303</c:v>
                </c:pt>
                <c:pt idx="119">
                  <c:v>31.747876394967932</c:v>
                </c:pt>
                <c:pt idx="120">
                  <c:v>32.05908176390858</c:v>
                </c:pt>
                <c:pt idx="121">
                  <c:v>32.366902831225786</c:v>
                </c:pt>
                <c:pt idx="122">
                  <c:v>32.671254137070434</c:v>
                </c:pt>
                <c:pt idx="123">
                  <c:v>32.972051417197747</c:v>
                </c:pt>
                <c:pt idx="124">
                  <c:v>33.26921161840022</c:v>
                </c:pt>
                <c:pt idx="125">
                  <c:v>33.562652913436523</c:v>
                </c:pt>
                <c:pt idx="126">
                  <c:v>33.852294715474955</c:v>
                </c:pt>
                <c:pt idx="127">
                  <c:v>34.138057692051518</c:v>
                </c:pt>
                <c:pt idx="128">
                  <c:v>34.419863778546642</c:v>
                </c:pt>
                <c:pt idx="129">
                  <c:v>34.697636191203173</c:v>
                </c:pt>
                <c:pt idx="130">
                  <c:v>34.971299439679001</c:v>
                </c:pt>
                <c:pt idx="131">
                  <c:v>35.240779339153846</c:v>
                </c:pt>
                <c:pt idx="132">
                  <c:v>35.506003021994275</c:v>
                </c:pt>
                <c:pt idx="133">
                  <c:v>35.766898948988171</c:v>
                </c:pt>
                <c:pt idx="134">
                  <c:v>36.023396920153857</c:v>
                </c:pt>
                <c:pt idx="135">
                  <c:v>36.275428085138913</c:v>
                </c:pt>
                <c:pt idx="136">
                  <c:v>36.522924953212339</c:v>
                </c:pt>
                <c:pt idx="137">
                  <c:v>36.765821402867175</c:v>
                </c:pt>
                <c:pt idx="138">
                  <c:v>37.004052691031518</c:v>
                </c:pt>
                <c:pt idx="139">
                  <c:v>37.237555461910858</c:v>
                </c:pt>
                <c:pt idx="140">
                  <c:v>37.466267755458716</c:v>
                </c:pt>
                <c:pt idx="141">
                  <c:v>37.690129015496893</c:v>
                </c:pt>
                <c:pt idx="142">
                  <c:v>37.909080097479716</c:v>
                </c:pt>
                <c:pt idx="143">
                  <c:v>38.123063275934101</c:v>
                </c:pt>
                <c:pt idx="144">
                  <c:v>38.332022251558726</c:v>
                </c:pt>
                <c:pt idx="145">
                  <c:v>38.535902158013073</c:v>
                </c:pt>
                <c:pt idx="146">
                  <c:v>38.734649568391433</c:v>
                </c:pt>
                <c:pt idx="147">
                  <c:v>38.92821250140355</c:v>
                </c:pt>
                <c:pt idx="148">
                  <c:v>39.116540427260588</c:v>
                </c:pt>
                <c:pt idx="149">
                  <c:v>39.299584273275002</c:v>
                </c:pt>
                <c:pt idx="150">
                  <c:v>39.477296429197338</c:v>
                </c:pt>
                <c:pt idx="151">
                  <c:v>39.649630752282292</c:v>
                </c:pt>
                <c:pt idx="152">
                  <c:v>39.816542572097092</c:v>
                </c:pt>
                <c:pt idx="153">
                  <c:v>39.977988695090971</c:v>
                </c:pt>
                <c:pt idx="154">
                  <c:v>40.13392740891959</c:v>
                </c:pt>
                <c:pt idx="155">
                  <c:v>40.284318486540144</c:v>
                </c:pt>
                <c:pt idx="156">
                  <c:v>40.429123190085647</c:v>
                </c:pt>
                <c:pt idx="157">
                  <c:v>40.56830427452195</c:v>
                </c:pt>
                <c:pt idx="158">
                  <c:v>40.701825991098588</c:v>
                </c:pt>
                <c:pt idx="159">
                  <c:v>40.829654090602048</c:v>
                </c:pt>
                <c:pt idx="160">
                  <c:v>40.951755826409965</c:v>
                </c:pt>
                <c:pt idx="161">
                  <c:v>41.06809995736586</c:v>
                </c:pt>
                <c:pt idx="162">
                  <c:v>41.178656750471021</c:v>
                </c:pt>
                <c:pt idx="163">
                  <c:v>41.283397983402438</c:v>
                </c:pt>
                <c:pt idx="164">
                  <c:v>41.38229694686612</c:v>
                </c:pt>
                <c:pt idx="165">
                  <c:v>41.475328446789035</c:v>
                </c:pt>
                <c:pt idx="166">
                  <c:v>41.562468806352285</c:v>
                </c:pt>
                <c:pt idx="167">
                  <c:v>41.643695867878989</c:v>
                </c:pt>
                <c:pt idx="168">
                  <c:v>41.718988994570566</c:v>
                </c:pt>
                <c:pt idx="169">
                  <c:v>41.78832907211023</c:v>
                </c:pt>
                <c:pt idx="170">
                  <c:v>41.851698510119149</c:v>
                </c:pt>
                <c:pt idx="171">
                  <c:v>41.909081243494597</c:v>
                </c:pt>
                <c:pt idx="172">
                  <c:v>41.960462733605709</c:v>
                </c:pt>
                <c:pt idx="173">
                  <c:v>42.005829969372769</c:v>
                </c:pt>
                <c:pt idx="174">
                  <c:v>42.045171468223998</c:v>
                </c:pt>
                <c:pt idx="175">
                  <c:v>42.07847727692797</c:v>
                </c:pt>
                <c:pt idx="176">
                  <c:v>42.10573897231518</c:v>
                </c:pt>
                <c:pt idx="177">
                  <c:v>42.126949661881895</c:v>
                </c:pt>
                <c:pt idx="178">
                  <c:v>42.142103984286905</c:v>
                </c:pt>
                <c:pt idx="179">
                  <c:v>42.151198109726863</c:v>
                </c:pt>
                <c:pt idx="180">
                  <c:v>42.154229740212088</c:v>
                </c:pt>
                <c:pt idx="181">
                  <c:v>42.154229740212088</c:v>
                </c:pt>
                <c:pt idx="182" formatCode="0.0">
                  <c:v>0</c:v>
                </c:pt>
                <c:pt idx="183" formatCode="0.0">
                  <c:v>0</c:v>
                </c:pt>
                <c:pt idx="184" formatCode="0.0">
                  <c:v>0</c:v>
                </c:pt>
                <c:pt idx="185" formatCode="0.0">
                  <c:v>0</c:v>
                </c:pt>
                <c:pt idx="186" formatCode="0.0">
                  <c:v>0</c:v>
                </c:pt>
                <c:pt idx="187" formatCode="0.0">
                  <c:v>0</c:v>
                </c:pt>
                <c:pt idx="188" formatCode="0.0">
                  <c:v>0</c:v>
                </c:pt>
                <c:pt idx="189" formatCode="0.0">
                  <c:v>0</c:v>
                </c:pt>
                <c:pt idx="190" formatCode="0.0">
                  <c:v>0</c:v>
                </c:pt>
                <c:pt idx="191" formatCode="0.0">
                  <c:v>0</c:v>
                </c:pt>
                <c:pt idx="192" formatCode="0.0">
                  <c:v>0</c:v>
                </c:pt>
                <c:pt idx="193" formatCode="0.0">
                  <c:v>0</c:v>
                </c:pt>
                <c:pt idx="194" formatCode="0.0">
                  <c:v>0</c:v>
                </c:pt>
                <c:pt idx="195" formatCode="0.0">
                  <c:v>0</c:v>
                </c:pt>
                <c:pt idx="196" formatCode="0.0">
                  <c:v>0</c:v>
                </c:pt>
                <c:pt idx="197" formatCode="0.0">
                  <c:v>0</c:v>
                </c:pt>
                <c:pt idx="198" formatCode="0.0">
                  <c:v>0</c:v>
                </c:pt>
                <c:pt idx="199" formatCode="0.0">
                  <c:v>0</c:v>
                </c:pt>
                <c:pt idx="200" formatCode="0.0">
                  <c:v>0</c:v>
                </c:pt>
                <c:pt idx="201" formatCode="0.0">
                  <c:v>0</c:v>
                </c:pt>
                <c:pt idx="202" formatCode="0.0">
                  <c:v>0</c:v>
                </c:pt>
                <c:pt idx="203" formatCode="0.0">
                  <c:v>0</c:v>
                </c:pt>
                <c:pt idx="204" formatCode="0.0">
                  <c:v>0</c:v>
                </c:pt>
                <c:pt idx="205" formatCode="0.0">
                  <c:v>0</c:v>
                </c:pt>
                <c:pt idx="206" formatCode="0.0">
                  <c:v>0</c:v>
                </c:pt>
                <c:pt idx="207" formatCode="0.0">
                  <c:v>0</c:v>
                </c:pt>
                <c:pt idx="208" formatCode="0.0">
                  <c:v>0</c:v>
                </c:pt>
                <c:pt idx="209" formatCode="0.0">
                  <c:v>0</c:v>
                </c:pt>
                <c:pt idx="210" formatCode="0.0">
                  <c:v>0</c:v>
                </c:pt>
                <c:pt idx="211" formatCode="0.0">
                  <c:v>0</c:v>
                </c:pt>
                <c:pt idx="212" formatCode="0.0">
                  <c:v>0</c:v>
                </c:pt>
                <c:pt idx="213" formatCode="0.0">
                  <c:v>0</c:v>
                </c:pt>
                <c:pt idx="214" formatCode="0.0">
                  <c:v>0</c:v>
                </c:pt>
                <c:pt idx="215" formatCode="0.0">
                  <c:v>0</c:v>
                </c:pt>
                <c:pt idx="216" formatCode="0.0">
                  <c:v>0</c:v>
                </c:pt>
                <c:pt idx="217" formatCode="0.0">
                  <c:v>0</c:v>
                </c:pt>
                <c:pt idx="218" formatCode="0.0">
                  <c:v>0</c:v>
                </c:pt>
                <c:pt idx="219" formatCode="0.0">
                  <c:v>0</c:v>
                </c:pt>
                <c:pt idx="220" formatCode="0.0">
                  <c:v>0</c:v>
                </c:pt>
                <c:pt idx="221" formatCode="0.0">
                  <c:v>0</c:v>
                </c:pt>
                <c:pt idx="222" formatCode="0.0">
                  <c:v>0</c:v>
                </c:pt>
                <c:pt idx="223" formatCode="0.0">
                  <c:v>0</c:v>
                </c:pt>
                <c:pt idx="224" formatCode="0.0">
                  <c:v>0</c:v>
                </c:pt>
                <c:pt idx="225" formatCode="0.0">
                  <c:v>0</c:v>
                </c:pt>
                <c:pt idx="226" formatCode="0.0">
                  <c:v>0</c:v>
                </c:pt>
                <c:pt idx="227" formatCode="0.0">
                  <c:v>0</c:v>
                </c:pt>
                <c:pt idx="228" formatCode="0.0">
                  <c:v>0</c:v>
                </c:pt>
                <c:pt idx="229" formatCode="0.0">
                  <c:v>0</c:v>
                </c:pt>
                <c:pt idx="230" formatCode="0.0">
                  <c:v>0</c:v>
                </c:pt>
                <c:pt idx="231" formatCode="0.0">
                  <c:v>0</c:v>
                </c:pt>
                <c:pt idx="232" formatCode="0.0">
                  <c:v>0</c:v>
                </c:pt>
                <c:pt idx="233" formatCode="0.0">
                  <c:v>0</c:v>
                </c:pt>
                <c:pt idx="234" formatCode="0.0">
                  <c:v>0</c:v>
                </c:pt>
                <c:pt idx="235" formatCode="0.0">
                  <c:v>0</c:v>
                </c:pt>
                <c:pt idx="236" formatCode="0.0">
                  <c:v>0</c:v>
                </c:pt>
                <c:pt idx="237" formatCode="0.0">
                  <c:v>0</c:v>
                </c:pt>
                <c:pt idx="238" formatCode="0.0">
                  <c:v>0</c:v>
                </c:pt>
                <c:pt idx="239" formatCode="0.0">
                  <c:v>0</c:v>
                </c:pt>
                <c:pt idx="240" formatCode="0.0">
                  <c:v>0</c:v>
                </c:pt>
                <c:pt idx="241" formatCode="0.0">
                  <c:v>0</c:v>
                </c:pt>
                <c:pt idx="242" formatCode="0.0">
                  <c:v>0</c:v>
                </c:pt>
                <c:pt idx="243" formatCode="0.0">
                  <c:v>0</c:v>
                </c:pt>
                <c:pt idx="244" formatCode="0.0">
                  <c:v>0</c:v>
                </c:pt>
                <c:pt idx="245" formatCode="0.0">
                  <c:v>0</c:v>
                </c:pt>
                <c:pt idx="246" formatCode="0.0">
                  <c:v>0</c:v>
                </c:pt>
                <c:pt idx="247" formatCode="0.0">
                  <c:v>0</c:v>
                </c:pt>
                <c:pt idx="248" formatCode="0.0">
                  <c:v>0</c:v>
                </c:pt>
                <c:pt idx="249" formatCode="0.0">
                  <c:v>0</c:v>
                </c:pt>
                <c:pt idx="250" formatCode="0.0">
                  <c:v>0</c:v>
                </c:pt>
                <c:pt idx="251" formatCode="0.0">
                  <c:v>0</c:v>
                </c:pt>
                <c:pt idx="252" formatCode="0.0">
                  <c:v>0</c:v>
                </c:pt>
                <c:pt idx="253" formatCode="0.0">
                  <c:v>0</c:v>
                </c:pt>
                <c:pt idx="254" formatCode="0.0">
                  <c:v>0</c:v>
                </c:pt>
                <c:pt idx="255" formatCode="0.0">
                  <c:v>0</c:v>
                </c:pt>
                <c:pt idx="256" formatCode="0.0">
                  <c:v>0</c:v>
                </c:pt>
                <c:pt idx="257" formatCode="0.0">
                  <c:v>0</c:v>
                </c:pt>
                <c:pt idx="258" formatCode="0.0">
                  <c:v>0</c:v>
                </c:pt>
                <c:pt idx="259" formatCode="0.0">
                  <c:v>0</c:v>
                </c:pt>
                <c:pt idx="260" formatCode="0.0">
                  <c:v>0</c:v>
                </c:pt>
                <c:pt idx="261" formatCode="0.0">
                  <c:v>0</c:v>
                </c:pt>
                <c:pt idx="262" formatCode="0.0">
                  <c:v>0</c:v>
                </c:pt>
                <c:pt idx="263" formatCode="0.0">
                  <c:v>0</c:v>
                </c:pt>
                <c:pt idx="264" formatCode="0.0">
                  <c:v>0</c:v>
                </c:pt>
                <c:pt idx="265" formatCode="0.0">
                  <c:v>0</c:v>
                </c:pt>
                <c:pt idx="266" formatCode="0.0">
                  <c:v>0</c:v>
                </c:pt>
                <c:pt idx="267" formatCode="0.0">
                  <c:v>0</c:v>
                </c:pt>
                <c:pt idx="268" formatCode="0.0">
                  <c:v>0</c:v>
                </c:pt>
                <c:pt idx="269" formatCode="0.0">
                  <c:v>0</c:v>
                </c:pt>
                <c:pt idx="270" formatCode="0.0">
                  <c:v>0</c:v>
                </c:pt>
                <c:pt idx="271" formatCode="0.0">
                  <c:v>0</c:v>
                </c:pt>
                <c:pt idx="272" formatCode="0.0">
                  <c:v>0</c:v>
                </c:pt>
                <c:pt idx="273" formatCode="0.0">
                  <c:v>0</c:v>
                </c:pt>
                <c:pt idx="274" formatCode="0.0">
                  <c:v>0</c:v>
                </c:pt>
                <c:pt idx="275" formatCode="0.0">
                  <c:v>0</c:v>
                </c:pt>
                <c:pt idx="276" formatCode="0.0">
                  <c:v>0</c:v>
                </c:pt>
                <c:pt idx="277" formatCode="0.0">
                  <c:v>0</c:v>
                </c:pt>
                <c:pt idx="278" formatCode="0.0">
                  <c:v>0</c:v>
                </c:pt>
                <c:pt idx="279" formatCode="0.0">
                  <c:v>0</c:v>
                </c:pt>
                <c:pt idx="280" formatCode="0.0">
                  <c:v>0</c:v>
                </c:pt>
                <c:pt idx="281" formatCode="0.0">
                  <c:v>0</c:v>
                </c:pt>
                <c:pt idx="282" formatCode="0.0">
                  <c:v>0</c:v>
                </c:pt>
                <c:pt idx="283" formatCode="0.0">
                  <c:v>0</c:v>
                </c:pt>
                <c:pt idx="284" formatCode="0.0">
                  <c:v>0</c:v>
                </c:pt>
                <c:pt idx="285" formatCode="0.0">
                  <c:v>0</c:v>
                </c:pt>
                <c:pt idx="286" formatCode="0.0">
                  <c:v>0</c:v>
                </c:pt>
                <c:pt idx="287" formatCode="0.0">
                  <c:v>0</c:v>
                </c:pt>
                <c:pt idx="288" formatCode="0.0">
                  <c:v>0</c:v>
                </c:pt>
                <c:pt idx="289" formatCode="0.0">
                  <c:v>0</c:v>
                </c:pt>
                <c:pt idx="290" formatCode="0.0">
                  <c:v>0</c:v>
                </c:pt>
                <c:pt idx="291" formatCode="0.0">
                  <c:v>0</c:v>
                </c:pt>
                <c:pt idx="292" formatCode="0.0">
                  <c:v>0</c:v>
                </c:pt>
                <c:pt idx="293" formatCode="0.0">
                  <c:v>0</c:v>
                </c:pt>
                <c:pt idx="294" formatCode="0.0">
                  <c:v>0</c:v>
                </c:pt>
                <c:pt idx="295" formatCode="0.0">
                  <c:v>0</c:v>
                </c:pt>
                <c:pt idx="296" formatCode="0.0">
                  <c:v>0</c:v>
                </c:pt>
                <c:pt idx="297" formatCode="0.0">
                  <c:v>0</c:v>
                </c:pt>
                <c:pt idx="298" formatCode="0.0">
                  <c:v>0</c:v>
                </c:pt>
                <c:pt idx="299" formatCode="0.0">
                  <c:v>0</c:v>
                </c:pt>
                <c:pt idx="300" formatCode="0.0">
                  <c:v>0</c:v>
                </c:pt>
                <c:pt idx="301" formatCode="0.0">
                  <c:v>0</c:v>
                </c:pt>
                <c:pt idx="302" formatCode="0.0">
                  <c:v>0</c:v>
                </c:pt>
                <c:pt idx="303" formatCode="0.0">
                  <c:v>0</c:v>
                </c:pt>
                <c:pt idx="304" formatCode="0.0">
                  <c:v>0</c:v>
                </c:pt>
                <c:pt idx="305" formatCode="0.0">
                  <c:v>0</c:v>
                </c:pt>
                <c:pt idx="306" formatCode="0.0">
                  <c:v>0</c:v>
                </c:pt>
                <c:pt idx="307" formatCode="0.0">
                  <c:v>0</c:v>
                </c:pt>
                <c:pt idx="308" formatCode="0.0">
                  <c:v>0</c:v>
                </c:pt>
                <c:pt idx="309" formatCode="0.0">
                  <c:v>0</c:v>
                </c:pt>
                <c:pt idx="310" formatCode="0.0">
                  <c:v>0</c:v>
                </c:pt>
                <c:pt idx="311" formatCode="0.0">
                  <c:v>0</c:v>
                </c:pt>
                <c:pt idx="312" formatCode="0.0">
                  <c:v>0</c:v>
                </c:pt>
                <c:pt idx="313" formatCode="0.0">
                  <c:v>0</c:v>
                </c:pt>
                <c:pt idx="314" formatCode="0.0">
                  <c:v>0</c:v>
                </c:pt>
                <c:pt idx="315" formatCode="0.0">
                  <c:v>0</c:v>
                </c:pt>
                <c:pt idx="316" formatCode="0.0">
                  <c:v>0</c:v>
                </c:pt>
                <c:pt idx="317" formatCode="0.0">
                  <c:v>0</c:v>
                </c:pt>
                <c:pt idx="318" formatCode="0.0">
                  <c:v>0</c:v>
                </c:pt>
                <c:pt idx="319" formatCode="0.0">
                  <c:v>0</c:v>
                </c:pt>
                <c:pt idx="320" formatCode="0.0">
                  <c:v>0</c:v>
                </c:pt>
                <c:pt idx="321" formatCode="0.0">
                  <c:v>0</c:v>
                </c:pt>
                <c:pt idx="322" formatCode="0.0">
                  <c:v>0</c:v>
                </c:pt>
                <c:pt idx="323" formatCode="0.0">
                  <c:v>0</c:v>
                </c:pt>
                <c:pt idx="324" formatCode="0.0">
                  <c:v>0</c:v>
                </c:pt>
                <c:pt idx="325" formatCode="0.0">
                  <c:v>0</c:v>
                </c:pt>
                <c:pt idx="326" formatCode="0.0">
                  <c:v>0</c:v>
                </c:pt>
                <c:pt idx="327" formatCode="0.0">
                  <c:v>0</c:v>
                </c:pt>
                <c:pt idx="328" formatCode="0.0">
                  <c:v>0</c:v>
                </c:pt>
                <c:pt idx="329" formatCode="0.0">
                  <c:v>0</c:v>
                </c:pt>
                <c:pt idx="330" formatCode="0.0">
                  <c:v>0</c:v>
                </c:pt>
                <c:pt idx="331" formatCode="0.0">
                  <c:v>0</c:v>
                </c:pt>
                <c:pt idx="332" formatCode="0.0">
                  <c:v>0</c:v>
                </c:pt>
                <c:pt idx="333" formatCode="0.0">
                  <c:v>0</c:v>
                </c:pt>
                <c:pt idx="334" formatCode="0.0">
                  <c:v>0</c:v>
                </c:pt>
                <c:pt idx="335" formatCode="0.0">
                  <c:v>0</c:v>
                </c:pt>
                <c:pt idx="336" formatCode="0.0">
                  <c:v>0</c:v>
                </c:pt>
                <c:pt idx="337" formatCode="0.0">
                  <c:v>0</c:v>
                </c:pt>
                <c:pt idx="338" formatCode="0.0">
                  <c:v>0</c:v>
                </c:pt>
                <c:pt idx="339" formatCode="0.0">
                  <c:v>0</c:v>
                </c:pt>
                <c:pt idx="340" formatCode="0.0">
                  <c:v>0</c:v>
                </c:pt>
                <c:pt idx="341" formatCode="0.0">
                  <c:v>0</c:v>
                </c:pt>
                <c:pt idx="342" formatCode="0.0">
                  <c:v>0</c:v>
                </c:pt>
                <c:pt idx="343" formatCode="0.0">
                  <c:v>0</c:v>
                </c:pt>
                <c:pt idx="344" formatCode="0.0">
                  <c:v>0</c:v>
                </c:pt>
                <c:pt idx="345" formatCode="0.0">
                  <c:v>0</c:v>
                </c:pt>
                <c:pt idx="346" formatCode="0.0">
                  <c:v>0</c:v>
                </c:pt>
                <c:pt idx="347" formatCode="0.0">
                  <c:v>0</c:v>
                </c:pt>
                <c:pt idx="348" formatCode="0.0">
                  <c:v>0</c:v>
                </c:pt>
                <c:pt idx="349" formatCode="0.0">
                  <c:v>0</c:v>
                </c:pt>
                <c:pt idx="350" formatCode="0.0">
                  <c:v>0</c:v>
                </c:pt>
                <c:pt idx="351" formatCode="0.0">
                  <c:v>0</c:v>
                </c:pt>
                <c:pt idx="352" formatCode="0.0">
                  <c:v>0</c:v>
                </c:pt>
                <c:pt idx="353" formatCode="0.0">
                  <c:v>0</c:v>
                </c:pt>
                <c:pt idx="354" formatCode="0.0">
                  <c:v>0</c:v>
                </c:pt>
                <c:pt idx="355" formatCode="0.0">
                  <c:v>0</c:v>
                </c:pt>
                <c:pt idx="356" formatCode="0.0">
                  <c:v>0</c:v>
                </c:pt>
                <c:pt idx="357" formatCode="0.0">
                  <c:v>0</c:v>
                </c:pt>
                <c:pt idx="358" formatCode="0.0">
                  <c:v>0</c:v>
                </c:pt>
                <c:pt idx="359" formatCode="0.0">
                  <c:v>0</c:v>
                </c:pt>
                <c:pt idx="360" formatCode="0.0">
                  <c:v>0</c:v>
                </c:pt>
                <c:pt idx="361" formatCode="0.0">
                  <c:v>0</c:v>
                </c:pt>
                <c:pt idx="362" formatCode="0.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356208"/>
        <c:axId val="256356600"/>
      </c:scatterChart>
      <c:valAx>
        <c:axId val="256356208"/>
        <c:scaling>
          <c:orientation val="minMax"/>
          <c:max val="180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centre of mass angle (degrees)</a:t>
                </a:r>
              </a:p>
            </c:rich>
          </c:tx>
          <c:layout>
            <c:manualLayout>
              <c:xMode val="edge"/>
              <c:yMode val="edge"/>
              <c:x val="0.37957824639289878"/>
              <c:y val="0.9461663947797714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356600"/>
        <c:crosses val="autoZero"/>
        <c:crossBetween val="midCat"/>
      </c:valAx>
      <c:valAx>
        <c:axId val="256356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lab energy (MeV)</a:t>
                </a:r>
              </a:p>
            </c:rich>
          </c:tx>
          <c:layout>
            <c:manualLayout>
              <c:xMode val="edge"/>
              <c:yMode val="edge"/>
              <c:x val="1.2208657047724751E-2"/>
              <c:y val="0.42903752039151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356208"/>
        <c:crosses val="autoZero"/>
        <c:crossBetween val="midCat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231964483906758"/>
          <c:y val="0.47634584013050568"/>
          <c:w val="8.3240843507214266E-2"/>
          <c:h val="6.68841761827079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plectrum plots</a:t>
            </a:r>
          </a:p>
        </c:rich>
      </c:tx>
      <c:layout>
        <c:manualLayout>
          <c:xMode val="edge"/>
          <c:yMode val="edge"/>
          <c:x val="0.44173140954495005"/>
          <c:y val="1.95758564437194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4350721420643732E-2"/>
          <c:y val="0.12071778140293662"/>
          <c:w val="0.7769145394006659"/>
          <c:h val="0.77650897226753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'Plotting Sheet'!$N$5</c:f>
              <c:strCache>
                <c:ptCount val="1"/>
                <c:pt idx="0">
                  <c:v>energy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'Plotting Sheet'!$M$6:$M$368</c:f>
              <c:numCache>
                <c:formatCode>0.0</c:formatCode>
                <c:ptCount val="3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0</c:v>
                </c:pt>
                <c:pt idx="182">
                  <c:v>180</c:v>
                </c:pt>
                <c:pt idx="183">
                  <c:v>180</c:v>
                </c:pt>
                <c:pt idx="184">
                  <c:v>180</c:v>
                </c:pt>
                <c:pt idx="185">
                  <c:v>180</c:v>
                </c:pt>
                <c:pt idx="186">
                  <c:v>180</c:v>
                </c:pt>
                <c:pt idx="187">
                  <c:v>180</c:v>
                </c:pt>
                <c:pt idx="188">
                  <c:v>180</c:v>
                </c:pt>
                <c:pt idx="189">
                  <c:v>180</c:v>
                </c:pt>
                <c:pt idx="190">
                  <c:v>180</c:v>
                </c:pt>
                <c:pt idx="191">
                  <c:v>180</c:v>
                </c:pt>
                <c:pt idx="192">
                  <c:v>180</c:v>
                </c:pt>
                <c:pt idx="193">
                  <c:v>180</c:v>
                </c:pt>
                <c:pt idx="194">
                  <c:v>180</c:v>
                </c:pt>
                <c:pt idx="195">
                  <c:v>180</c:v>
                </c:pt>
                <c:pt idx="196">
                  <c:v>180</c:v>
                </c:pt>
                <c:pt idx="197">
                  <c:v>180</c:v>
                </c:pt>
                <c:pt idx="198">
                  <c:v>180</c:v>
                </c:pt>
                <c:pt idx="199">
                  <c:v>180</c:v>
                </c:pt>
                <c:pt idx="200">
                  <c:v>180</c:v>
                </c:pt>
                <c:pt idx="201">
                  <c:v>180</c:v>
                </c:pt>
                <c:pt idx="202">
                  <c:v>180</c:v>
                </c:pt>
                <c:pt idx="203">
                  <c:v>180</c:v>
                </c:pt>
                <c:pt idx="204">
                  <c:v>180</c:v>
                </c:pt>
                <c:pt idx="205">
                  <c:v>180</c:v>
                </c:pt>
                <c:pt idx="206">
                  <c:v>180</c:v>
                </c:pt>
                <c:pt idx="207">
                  <c:v>180</c:v>
                </c:pt>
                <c:pt idx="208">
                  <c:v>180</c:v>
                </c:pt>
                <c:pt idx="209">
                  <c:v>180</c:v>
                </c:pt>
                <c:pt idx="210">
                  <c:v>180</c:v>
                </c:pt>
                <c:pt idx="211">
                  <c:v>180</c:v>
                </c:pt>
                <c:pt idx="212">
                  <c:v>180</c:v>
                </c:pt>
                <c:pt idx="213">
                  <c:v>180</c:v>
                </c:pt>
                <c:pt idx="214">
                  <c:v>180</c:v>
                </c:pt>
                <c:pt idx="215">
                  <c:v>180</c:v>
                </c:pt>
                <c:pt idx="216">
                  <c:v>180</c:v>
                </c:pt>
                <c:pt idx="217">
                  <c:v>180</c:v>
                </c:pt>
                <c:pt idx="218">
                  <c:v>180</c:v>
                </c:pt>
                <c:pt idx="219">
                  <c:v>180</c:v>
                </c:pt>
                <c:pt idx="220">
                  <c:v>180</c:v>
                </c:pt>
                <c:pt idx="221">
                  <c:v>180</c:v>
                </c:pt>
                <c:pt idx="222">
                  <c:v>180</c:v>
                </c:pt>
                <c:pt idx="223">
                  <c:v>180</c:v>
                </c:pt>
                <c:pt idx="224">
                  <c:v>180</c:v>
                </c:pt>
                <c:pt idx="225">
                  <c:v>180</c:v>
                </c:pt>
                <c:pt idx="226">
                  <c:v>180</c:v>
                </c:pt>
                <c:pt idx="227">
                  <c:v>180</c:v>
                </c:pt>
                <c:pt idx="228">
                  <c:v>180</c:v>
                </c:pt>
                <c:pt idx="229">
                  <c:v>180</c:v>
                </c:pt>
                <c:pt idx="230">
                  <c:v>180</c:v>
                </c:pt>
                <c:pt idx="231">
                  <c:v>180</c:v>
                </c:pt>
                <c:pt idx="232">
                  <c:v>180</c:v>
                </c:pt>
                <c:pt idx="233">
                  <c:v>180</c:v>
                </c:pt>
                <c:pt idx="234">
                  <c:v>180</c:v>
                </c:pt>
                <c:pt idx="235">
                  <c:v>180</c:v>
                </c:pt>
                <c:pt idx="236">
                  <c:v>180</c:v>
                </c:pt>
                <c:pt idx="237">
                  <c:v>180</c:v>
                </c:pt>
                <c:pt idx="238">
                  <c:v>180</c:v>
                </c:pt>
                <c:pt idx="239">
                  <c:v>180</c:v>
                </c:pt>
                <c:pt idx="240">
                  <c:v>180</c:v>
                </c:pt>
                <c:pt idx="241">
                  <c:v>180</c:v>
                </c:pt>
                <c:pt idx="242">
                  <c:v>180</c:v>
                </c:pt>
                <c:pt idx="243">
                  <c:v>180</c:v>
                </c:pt>
                <c:pt idx="244">
                  <c:v>180</c:v>
                </c:pt>
                <c:pt idx="245">
                  <c:v>180</c:v>
                </c:pt>
                <c:pt idx="246">
                  <c:v>180</c:v>
                </c:pt>
                <c:pt idx="247">
                  <c:v>180</c:v>
                </c:pt>
                <c:pt idx="248">
                  <c:v>180</c:v>
                </c:pt>
                <c:pt idx="249">
                  <c:v>180</c:v>
                </c:pt>
                <c:pt idx="250">
                  <c:v>180</c:v>
                </c:pt>
                <c:pt idx="251">
                  <c:v>180</c:v>
                </c:pt>
                <c:pt idx="252">
                  <c:v>180</c:v>
                </c:pt>
                <c:pt idx="253">
                  <c:v>180</c:v>
                </c:pt>
                <c:pt idx="254">
                  <c:v>180</c:v>
                </c:pt>
                <c:pt idx="255">
                  <c:v>180</c:v>
                </c:pt>
                <c:pt idx="256">
                  <c:v>180</c:v>
                </c:pt>
                <c:pt idx="257">
                  <c:v>180</c:v>
                </c:pt>
                <c:pt idx="258">
                  <c:v>180</c:v>
                </c:pt>
                <c:pt idx="259">
                  <c:v>180</c:v>
                </c:pt>
                <c:pt idx="260">
                  <c:v>180</c:v>
                </c:pt>
                <c:pt idx="261">
                  <c:v>180</c:v>
                </c:pt>
                <c:pt idx="262">
                  <c:v>180</c:v>
                </c:pt>
                <c:pt idx="263">
                  <c:v>180</c:v>
                </c:pt>
                <c:pt idx="264">
                  <c:v>180</c:v>
                </c:pt>
                <c:pt idx="265">
                  <c:v>180</c:v>
                </c:pt>
                <c:pt idx="266">
                  <c:v>180</c:v>
                </c:pt>
                <c:pt idx="267">
                  <c:v>180</c:v>
                </c:pt>
                <c:pt idx="268">
                  <c:v>180</c:v>
                </c:pt>
                <c:pt idx="269">
                  <c:v>180</c:v>
                </c:pt>
                <c:pt idx="270">
                  <c:v>180</c:v>
                </c:pt>
                <c:pt idx="271">
                  <c:v>180</c:v>
                </c:pt>
                <c:pt idx="272">
                  <c:v>180</c:v>
                </c:pt>
                <c:pt idx="273">
                  <c:v>180</c:v>
                </c:pt>
                <c:pt idx="274">
                  <c:v>180</c:v>
                </c:pt>
                <c:pt idx="275">
                  <c:v>180</c:v>
                </c:pt>
                <c:pt idx="276">
                  <c:v>180</c:v>
                </c:pt>
                <c:pt idx="277">
                  <c:v>180</c:v>
                </c:pt>
                <c:pt idx="278">
                  <c:v>180</c:v>
                </c:pt>
                <c:pt idx="279">
                  <c:v>180</c:v>
                </c:pt>
                <c:pt idx="280">
                  <c:v>180</c:v>
                </c:pt>
                <c:pt idx="281">
                  <c:v>180</c:v>
                </c:pt>
                <c:pt idx="282">
                  <c:v>180</c:v>
                </c:pt>
                <c:pt idx="283">
                  <c:v>180</c:v>
                </c:pt>
                <c:pt idx="284">
                  <c:v>180</c:v>
                </c:pt>
                <c:pt idx="285">
                  <c:v>180</c:v>
                </c:pt>
                <c:pt idx="286">
                  <c:v>180</c:v>
                </c:pt>
                <c:pt idx="287">
                  <c:v>180</c:v>
                </c:pt>
                <c:pt idx="288">
                  <c:v>180</c:v>
                </c:pt>
                <c:pt idx="289">
                  <c:v>180</c:v>
                </c:pt>
                <c:pt idx="290">
                  <c:v>180</c:v>
                </c:pt>
                <c:pt idx="291">
                  <c:v>180</c:v>
                </c:pt>
                <c:pt idx="292">
                  <c:v>180</c:v>
                </c:pt>
                <c:pt idx="293">
                  <c:v>180</c:v>
                </c:pt>
                <c:pt idx="294">
                  <c:v>180</c:v>
                </c:pt>
                <c:pt idx="295">
                  <c:v>180</c:v>
                </c:pt>
                <c:pt idx="296">
                  <c:v>180</c:v>
                </c:pt>
                <c:pt idx="297">
                  <c:v>180</c:v>
                </c:pt>
                <c:pt idx="298">
                  <c:v>180</c:v>
                </c:pt>
                <c:pt idx="299">
                  <c:v>180</c:v>
                </c:pt>
                <c:pt idx="300">
                  <c:v>180</c:v>
                </c:pt>
                <c:pt idx="301">
                  <c:v>180</c:v>
                </c:pt>
                <c:pt idx="302">
                  <c:v>180</c:v>
                </c:pt>
                <c:pt idx="303">
                  <c:v>180</c:v>
                </c:pt>
                <c:pt idx="304">
                  <c:v>180</c:v>
                </c:pt>
                <c:pt idx="305">
                  <c:v>180</c:v>
                </c:pt>
                <c:pt idx="306">
                  <c:v>180</c:v>
                </c:pt>
                <c:pt idx="307">
                  <c:v>180</c:v>
                </c:pt>
                <c:pt idx="308">
                  <c:v>180</c:v>
                </c:pt>
                <c:pt idx="309">
                  <c:v>180</c:v>
                </c:pt>
                <c:pt idx="310">
                  <c:v>180</c:v>
                </c:pt>
                <c:pt idx="311">
                  <c:v>180</c:v>
                </c:pt>
                <c:pt idx="312">
                  <c:v>180</c:v>
                </c:pt>
                <c:pt idx="313">
                  <c:v>180</c:v>
                </c:pt>
                <c:pt idx="314">
                  <c:v>180</c:v>
                </c:pt>
                <c:pt idx="315">
                  <c:v>180</c:v>
                </c:pt>
                <c:pt idx="316">
                  <c:v>180</c:v>
                </c:pt>
                <c:pt idx="317">
                  <c:v>180</c:v>
                </c:pt>
                <c:pt idx="318">
                  <c:v>180</c:v>
                </c:pt>
                <c:pt idx="319">
                  <c:v>180</c:v>
                </c:pt>
                <c:pt idx="320">
                  <c:v>180</c:v>
                </c:pt>
                <c:pt idx="321">
                  <c:v>180</c:v>
                </c:pt>
                <c:pt idx="322">
                  <c:v>180</c:v>
                </c:pt>
                <c:pt idx="323">
                  <c:v>180</c:v>
                </c:pt>
                <c:pt idx="324">
                  <c:v>180</c:v>
                </c:pt>
                <c:pt idx="325">
                  <c:v>180</c:v>
                </c:pt>
                <c:pt idx="326">
                  <c:v>180</c:v>
                </c:pt>
                <c:pt idx="327">
                  <c:v>180</c:v>
                </c:pt>
                <c:pt idx="328">
                  <c:v>180</c:v>
                </c:pt>
                <c:pt idx="329">
                  <c:v>180</c:v>
                </c:pt>
                <c:pt idx="330">
                  <c:v>180</c:v>
                </c:pt>
                <c:pt idx="331">
                  <c:v>180</c:v>
                </c:pt>
                <c:pt idx="332">
                  <c:v>180</c:v>
                </c:pt>
                <c:pt idx="333">
                  <c:v>180</c:v>
                </c:pt>
                <c:pt idx="334">
                  <c:v>180</c:v>
                </c:pt>
                <c:pt idx="335">
                  <c:v>180</c:v>
                </c:pt>
                <c:pt idx="336">
                  <c:v>180</c:v>
                </c:pt>
                <c:pt idx="337">
                  <c:v>180</c:v>
                </c:pt>
                <c:pt idx="338">
                  <c:v>180</c:v>
                </c:pt>
                <c:pt idx="339">
                  <c:v>180</c:v>
                </c:pt>
                <c:pt idx="340">
                  <c:v>180</c:v>
                </c:pt>
                <c:pt idx="341">
                  <c:v>180</c:v>
                </c:pt>
                <c:pt idx="342">
                  <c:v>180</c:v>
                </c:pt>
                <c:pt idx="343">
                  <c:v>180</c:v>
                </c:pt>
                <c:pt idx="344">
                  <c:v>180</c:v>
                </c:pt>
                <c:pt idx="345">
                  <c:v>180</c:v>
                </c:pt>
                <c:pt idx="346">
                  <c:v>180</c:v>
                </c:pt>
                <c:pt idx="347">
                  <c:v>180</c:v>
                </c:pt>
                <c:pt idx="348">
                  <c:v>180</c:v>
                </c:pt>
                <c:pt idx="349">
                  <c:v>180</c:v>
                </c:pt>
                <c:pt idx="350">
                  <c:v>180</c:v>
                </c:pt>
                <c:pt idx="351">
                  <c:v>180</c:v>
                </c:pt>
                <c:pt idx="352">
                  <c:v>180</c:v>
                </c:pt>
                <c:pt idx="353">
                  <c:v>180</c:v>
                </c:pt>
                <c:pt idx="354">
                  <c:v>180</c:v>
                </c:pt>
                <c:pt idx="355">
                  <c:v>180</c:v>
                </c:pt>
                <c:pt idx="356">
                  <c:v>180</c:v>
                </c:pt>
                <c:pt idx="357">
                  <c:v>180</c:v>
                </c:pt>
                <c:pt idx="358">
                  <c:v>180</c:v>
                </c:pt>
                <c:pt idx="359">
                  <c:v>180</c:v>
                </c:pt>
                <c:pt idx="360">
                  <c:v>180</c:v>
                </c:pt>
                <c:pt idx="361">
                  <c:v>180</c:v>
                </c:pt>
                <c:pt idx="362">
                  <c:v>180</c:v>
                </c:pt>
              </c:numCache>
            </c:numRef>
          </c:xVal>
          <c:yVal>
            <c:numRef>
              <c:f>'Plotting Sheet'!$N$6:$N$368</c:f>
              <c:numCache>
                <c:formatCode>0.0</c:formatCode>
                <c:ptCount val="363"/>
                <c:pt idx="0">
                  <c:v>418.37539728023131</c:v>
                </c:pt>
                <c:pt idx="1">
                  <c:v>418.37200229089541</c:v>
                </c:pt>
                <c:pt idx="2">
                  <c:v>418.36181853184797</c:v>
                </c:pt>
                <c:pt idx="3">
                  <c:v>418.34484962936762</c:v>
                </c:pt>
                <c:pt idx="4">
                  <c:v>418.32110162527198</c:v>
                </c:pt>
                <c:pt idx="5">
                  <c:v>418.29058297394278</c:v>
                </c:pt>
                <c:pt idx="6">
                  <c:v>418.25330453816667</c:v>
                </c:pt>
                <c:pt idx="7">
                  <c:v>418.20927958379679</c:v>
                </c:pt>
                <c:pt idx="8">
                  <c:v>418.15852377323506</c:v>
                </c:pt>
                <c:pt idx="9">
                  <c:v>418.10105515773915</c:v>
                </c:pt>
                <c:pt idx="10">
                  <c:v>418.03689416856741</c:v>
                </c:pt>
                <c:pt idx="11">
                  <c:v>417.96606360696666</c:v>
                </c:pt>
                <c:pt idx="12">
                  <c:v>417.88858863300374</c:v>
                </c:pt>
                <c:pt idx="13">
                  <c:v>417.80449675326093</c:v>
                </c:pt>
                <c:pt idx="14">
                  <c:v>417.71381780740001</c:v>
                </c:pt>
                <c:pt idx="15">
                  <c:v>417.61658395360729</c:v>
                </c:pt>
                <c:pt idx="16">
                  <c:v>417.51282965292506</c:v>
                </c:pt>
                <c:pt idx="17">
                  <c:v>417.40259165249864</c:v>
                </c:pt>
                <c:pt idx="18">
                  <c:v>417.28590896773284</c:v>
                </c:pt>
                <c:pt idx="19">
                  <c:v>417.16282286338742</c:v>
                </c:pt>
                <c:pt idx="20">
                  <c:v>417.03337683361917</c:v>
                </c:pt>
                <c:pt idx="21">
                  <c:v>416.89761658099087</c:v>
                </c:pt>
                <c:pt idx="22">
                  <c:v>416.75558999446264</c:v>
                </c:pt>
                <c:pt idx="23">
                  <c:v>416.60734712637952</c:v>
                </c:pt>
                <c:pt idx="24">
                  <c:v>416.45294016848396</c:v>
                </c:pt>
                <c:pt idx="25">
                  <c:v>416.29242342696426</c:v>
                </c:pt>
                <c:pt idx="26">
                  <c:v>416.1258532965536</c:v>
                </c:pt>
                <c:pt idx="27">
                  <c:v>415.9532882337208</c:v>
                </c:pt>
                <c:pt idx="28">
                  <c:v>415.77478872895205</c:v>
                </c:pt>
                <c:pt idx="29">
                  <c:v>415.59041727815759</c:v>
                </c:pt>
                <c:pt idx="30">
                  <c:v>415.40023835321773</c:v>
                </c:pt>
                <c:pt idx="31">
                  <c:v>415.20431837170707</c:v>
                </c:pt>
                <c:pt idx="32">
                  <c:v>415.00272566579957</c:v>
                </c:pt>
                <c:pt idx="33">
                  <c:v>414.79553045039478</c:v>
                </c:pt>
                <c:pt idx="34">
                  <c:v>414.58280479048045</c:v>
                </c:pt>
                <c:pt idx="35">
                  <c:v>414.36462256776542</c:v>
                </c:pt>
                <c:pt idx="36">
                  <c:v>414.1410594465957</c:v>
                </c:pt>
                <c:pt idx="37">
                  <c:v>413.91219283919389</c:v>
                </c:pt>
                <c:pt idx="38">
                  <c:v>413.67810187023724</c:v>
                </c:pt>
                <c:pt idx="39">
                  <c:v>413.43886734080695</c:v>
                </c:pt>
                <c:pt idx="40">
                  <c:v>413.1945716917329</c:v>
                </c:pt>
                <c:pt idx="41">
                  <c:v>412.94529896636232</c:v>
                </c:pt>
                <c:pt idx="42">
                  <c:v>412.69113477277801</c:v>
                </c:pt>
                <c:pt idx="43">
                  <c:v>412.43216624549495</c:v>
                </c:pt>
                <c:pt idx="44">
                  <c:v>412.16848200666777</c:v>
                </c:pt>
                <c:pt idx="45">
                  <c:v>411.90017212682403</c:v>
                </c:pt>
                <c:pt idx="46">
                  <c:v>411.62732808516614</c:v>
                </c:pt>
                <c:pt idx="47">
                  <c:v>411.35004272945974</c:v>
                </c:pt>
                <c:pt idx="48">
                  <c:v>411.06841023554358</c:v>
                </c:pt>
                <c:pt idx="49">
                  <c:v>410.78252606648243</c:v>
                </c:pt>
                <c:pt idx="50">
                  <c:v>410.49248693139805</c:v>
                </c:pt>
                <c:pt idx="51">
                  <c:v>410.19839074399721</c:v>
                </c:pt>
                <c:pt idx="52">
                  <c:v>409.90033658083934</c:v>
                </c:pt>
                <c:pt idx="53">
                  <c:v>409.59842463935399</c:v>
                </c:pt>
                <c:pt idx="54">
                  <c:v>409.29275619564856</c:v>
                </c:pt>
                <c:pt idx="55">
                  <c:v>408.98343356213365</c:v>
                </c:pt>
                <c:pt idx="56">
                  <c:v>408.67056004498158</c:v>
                </c:pt>
                <c:pt idx="57">
                  <c:v>408.35423990145932</c:v>
                </c:pt>
                <c:pt idx="58">
                  <c:v>408.03457829715938</c:v>
                </c:pt>
                <c:pt idx="59">
                  <c:v>407.71168126314575</c:v>
                </c:pt>
                <c:pt idx="60">
                  <c:v>407.38565565305515</c:v>
                </c:pt>
                <c:pt idx="61">
                  <c:v>407.05660910017065</c:v>
                </c:pt>
                <c:pt idx="62">
                  <c:v>406.72464997449447</c:v>
                </c:pt>
                <c:pt idx="63">
                  <c:v>406.38988733985178</c:v>
                </c:pt>
                <c:pt idx="64">
                  <c:v>406.05243091103944</c:v>
                </c:pt>
                <c:pt idx="65">
                  <c:v>405.71239101105607</c:v>
                </c:pt>
                <c:pt idx="66">
                  <c:v>405.3698785284268</c:v>
                </c:pt>
                <c:pt idx="67">
                  <c:v>405.02500487466</c:v>
                </c:pt>
                <c:pt idx="68">
                  <c:v>404.67788194183618</c:v>
                </c:pt>
                <c:pt idx="69">
                  <c:v>404.32862206038425</c:v>
                </c:pt>
                <c:pt idx="70">
                  <c:v>403.97733795703567</c:v>
                </c:pt>
                <c:pt idx="71">
                  <c:v>403.62414271299946</c:v>
                </c:pt>
                <c:pt idx="72">
                  <c:v>403.26914972236943</c:v>
                </c:pt>
                <c:pt idx="73">
                  <c:v>402.91247265078903</c:v>
                </c:pt>
                <c:pt idx="74">
                  <c:v>402.55422539438615</c:v>
                </c:pt>
                <c:pt idx="75">
                  <c:v>402.19452203901147</c:v>
                </c:pt>
                <c:pt idx="76">
                  <c:v>401.83347681978358</c:v>
                </c:pt>
                <c:pt idx="77">
                  <c:v>401.4712040809697</c:v>
                </c:pt>
                <c:pt idx="78">
                  <c:v>401.10781823621306</c:v>
                </c:pt>
                <c:pt idx="79">
                  <c:v>400.74343372913273</c:v>
                </c:pt>
                <c:pt idx="80">
                  <c:v>400.37816499430369</c:v>
                </c:pt>
                <c:pt idx="81">
                  <c:v>400.01212641863037</c:v>
                </c:pt>
                <c:pt idx="82">
                  <c:v>399.64543230314746</c:v>
                </c:pt>
                <c:pt idx="83">
                  <c:v>399.27819682523784</c:v>
                </c:pt>
                <c:pt idx="84">
                  <c:v>398.91053400129869</c:v>
                </c:pt>
                <c:pt idx="85">
                  <c:v>398.5425576498622</c:v>
                </c:pt>
                <c:pt idx="86">
                  <c:v>398.17438135518466</c:v>
                </c:pt>
                <c:pt idx="87">
                  <c:v>397.80611843131516</c:v>
                </c:pt>
                <c:pt idx="88">
                  <c:v>397.43788188665928</c:v>
                </c:pt>
                <c:pt idx="89">
                  <c:v>397.06978438903866</c:v>
                </c:pt>
                <c:pt idx="90">
                  <c:v>396.70193823126846</c:v>
                </c:pt>
                <c:pt idx="91">
                  <c:v>396.33445529725157</c:v>
                </c:pt>
                <c:pt idx="92">
                  <c:v>395.96744702860747</c:v>
                </c:pt>
                <c:pt idx="93">
                  <c:v>395.60102439182987</c:v>
                </c:pt>
                <c:pt idx="94">
                  <c:v>395.23529784600373</c:v>
                </c:pt>
                <c:pt idx="95">
                  <c:v>394.87037731105625</c:v>
                </c:pt>
                <c:pt idx="96">
                  <c:v>394.50637213658104</c:v>
                </c:pt>
                <c:pt idx="97">
                  <c:v>394.14339107121504</c:v>
                </c:pt>
                <c:pt idx="98">
                  <c:v>393.78154223258809</c:v>
                </c:pt>
                <c:pt idx="99">
                  <c:v>393.4209330778404</c:v>
                </c:pt>
                <c:pt idx="100">
                  <c:v>393.0616703747238</c:v>
                </c:pt>
                <c:pt idx="101">
                  <c:v>392.70386017326507</c:v>
                </c:pt>
                <c:pt idx="102">
                  <c:v>392.34760777802813</c:v>
                </c:pt>
                <c:pt idx="103">
                  <c:v>391.99301772094697</c:v>
                </c:pt>
                <c:pt idx="104">
                  <c:v>391.6401937347419</c:v>
                </c:pt>
                <c:pt idx="105">
                  <c:v>391.28923872692991</c:v>
                </c:pt>
                <c:pt idx="106">
                  <c:v>390.94025475440338</c:v>
                </c:pt>
                <c:pt idx="107">
                  <c:v>390.59334299860694</c:v>
                </c:pt>
                <c:pt idx="108">
                  <c:v>390.24860374128809</c:v>
                </c:pt>
                <c:pt idx="109">
                  <c:v>389.90613634083167</c:v>
                </c:pt>
                <c:pt idx="110">
                  <c:v>389.5660392091749</c:v>
                </c:pt>
                <c:pt idx="111">
                  <c:v>389.22840978929503</c:v>
                </c:pt>
                <c:pt idx="112">
                  <c:v>388.89334453327416</c:v>
                </c:pt>
                <c:pt idx="113">
                  <c:v>388.56093888093341</c:v>
                </c:pt>
                <c:pt idx="114">
                  <c:v>388.23128723903142</c:v>
                </c:pt>
                <c:pt idx="115">
                  <c:v>387.90448296102664</c:v>
                </c:pt>
                <c:pt idx="116">
                  <c:v>387.580618327401</c:v>
                </c:pt>
                <c:pt idx="117">
                  <c:v>387.25978452652555</c:v>
                </c:pt>
                <c:pt idx="118">
                  <c:v>386.94207163608371</c:v>
                </c:pt>
                <c:pt idx="119">
                  <c:v>386.62756860503208</c:v>
                </c:pt>
                <c:pt idx="120">
                  <c:v>386.31636323609143</c:v>
                </c:pt>
                <c:pt idx="121">
                  <c:v>386.00854216877423</c:v>
                </c:pt>
                <c:pt idx="122">
                  <c:v>385.70419086292958</c:v>
                </c:pt>
                <c:pt idx="123">
                  <c:v>385.40339358280227</c:v>
                </c:pt>
                <c:pt idx="124">
                  <c:v>385.10623338159979</c:v>
                </c:pt>
                <c:pt idx="125">
                  <c:v>384.81279208656349</c:v>
                </c:pt>
                <c:pt idx="126">
                  <c:v>384.52315028452506</c:v>
                </c:pt>
                <c:pt idx="127">
                  <c:v>384.2373873079485</c:v>
                </c:pt>
                <c:pt idx="128">
                  <c:v>383.95558122145337</c:v>
                </c:pt>
                <c:pt idx="129">
                  <c:v>383.67780880879684</c:v>
                </c:pt>
                <c:pt idx="130">
                  <c:v>383.40414556032101</c:v>
                </c:pt>
                <c:pt idx="131">
                  <c:v>383.13466566084617</c:v>
                </c:pt>
                <c:pt idx="132">
                  <c:v>382.86944197800574</c:v>
                </c:pt>
                <c:pt idx="133">
                  <c:v>382.60854605101184</c:v>
                </c:pt>
                <c:pt idx="134">
                  <c:v>382.35204807984616</c:v>
                </c:pt>
                <c:pt idx="135">
                  <c:v>382.1000169148611</c:v>
                </c:pt>
                <c:pt idx="136">
                  <c:v>381.85252004678767</c:v>
                </c:pt>
                <c:pt idx="137">
                  <c:v>381.60962359713284</c:v>
                </c:pt>
                <c:pt idx="138">
                  <c:v>381.3713923089685</c:v>
                </c:pt>
                <c:pt idx="139">
                  <c:v>381.13788953808915</c:v>
                </c:pt>
                <c:pt idx="140">
                  <c:v>380.9091772445413</c:v>
                </c:pt>
                <c:pt idx="141">
                  <c:v>380.68531598450312</c:v>
                </c:pt>
                <c:pt idx="142">
                  <c:v>380.4663649025203</c:v>
                </c:pt>
                <c:pt idx="143">
                  <c:v>380.25238172406591</c:v>
                </c:pt>
                <c:pt idx="144">
                  <c:v>380.04342274844129</c:v>
                </c:pt>
                <c:pt idx="145">
                  <c:v>379.83954284198694</c:v>
                </c:pt>
                <c:pt idx="146">
                  <c:v>379.64079543160858</c:v>
                </c:pt>
                <c:pt idx="147">
                  <c:v>379.44723249859646</c:v>
                </c:pt>
                <c:pt idx="148">
                  <c:v>379.25890457273943</c:v>
                </c:pt>
                <c:pt idx="149">
                  <c:v>379.07586072672501</c:v>
                </c:pt>
                <c:pt idx="150">
                  <c:v>378.89814857080268</c:v>
                </c:pt>
                <c:pt idx="151">
                  <c:v>378.72581424771772</c:v>
                </c:pt>
                <c:pt idx="152">
                  <c:v>378.55890242790292</c:v>
                </c:pt>
                <c:pt idx="153">
                  <c:v>378.39745630490904</c:v>
                </c:pt>
                <c:pt idx="154">
                  <c:v>378.24151759108042</c:v>
                </c:pt>
                <c:pt idx="155">
                  <c:v>378.09112651345987</c:v>
                </c:pt>
                <c:pt idx="156">
                  <c:v>377.94632180991437</c:v>
                </c:pt>
                <c:pt idx="157">
                  <c:v>377.80714072547806</c:v>
                </c:pt>
                <c:pt idx="158">
                  <c:v>377.67361900890143</c:v>
                </c:pt>
                <c:pt idx="159">
                  <c:v>377.54579090939797</c:v>
                </c:pt>
                <c:pt idx="160">
                  <c:v>377.42368917359005</c:v>
                </c:pt>
                <c:pt idx="161">
                  <c:v>377.30734504263415</c:v>
                </c:pt>
                <c:pt idx="162">
                  <c:v>377.19678824952899</c:v>
                </c:pt>
                <c:pt idx="163">
                  <c:v>377.09204701659758</c:v>
                </c:pt>
                <c:pt idx="164">
                  <c:v>376.99314805313389</c:v>
                </c:pt>
                <c:pt idx="165">
                  <c:v>376.90011655321098</c:v>
                </c:pt>
                <c:pt idx="166">
                  <c:v>376.81297619364773</c:v>
                </c:pt>
                <c:pt idx="167">
                  <c:v>376.73174913212102</c:v>
                </c:pt>
                <c:pt idx="168">
                  <c:v>376.65645600542945</c:v>
                </c:pt>
                <c:pt idx="169">
                  <c:v>376.58711592788978</c:v>
                </c:pt>
                <c:pt idx="170">
                  <c:v>376.52374648988086</c:v>
                </c:pt>
                <c:pt idx="171">
                  <c:v>376.46636375650542</c:v>
                </c:pt>
                <c:pt idx="172">
                  <c:v>376.4149822663943</c:v>
                </c:pt>
                <c:pt idx="173">
                  <c:v>376.36961503062724</c:v>
                </c:pt>
                <c:pt idx="174">
                  <c:v>376.33027353177602</c:v>
                </c:pt>
                <c:pt idx="175">
                  <c:v>376.29696772307204</c:v>
                </c:pt>
                <c:pt idx="176">
                  <c:v>376.26970602768483</c:v>
                </c:pt>
                <c:pt idx="177">
                  <c:v>376.24849533811812</c:v>
                </c:pt>
                <c:pt idx="178">
                  <c:v>376.23334101571311</c:v>
                </c:pt>
                <c:pt idx="179">
                  <c:v>376.22424689027315</c:v>
                </c:pt>
                <c:pt idx="180">
                  <c:v>376.22121525978793</c:v>
                </c:pt>
                <c:pt idx="181">
                  <c:v>376.22121525978793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'Plotting Sheet'!$P$5</c:f>
              <c:strCache>
                <c:ptCount val="1"/>
                <c:pt idx="0">
                  <c:v>rec energy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'Plotting Sheet'!$O$6:$O$368</c:f>
              <c:numCache>
                <c:formatCode>0.0</c:formatCode>
                <c:ptCount val="363"/>
                <c:pt idx="0">
                  <c:v>0</c:v>
                </c:pt>
                <c:pt idx="1">
                  <c:v>82.724733541715565</c:v>
                </c:pt>
                <c:pt idx="2">
                  <c:v>85.579457235511541</c:v>
                </c:pt>
                <c:pt idx="3">
                  <c:v>86.194734978959744</c:v>
                </c:pt>
                <c:pt idx="4">
                  <c:v>86.246074386692342</c:v>
                </c:pt>
                <c:pt idx="5">
                  <c:v>86.071444209006856</c:v>
                </c:pt>
                <c:pt idx="6">
                  <c:v>85.783758597950182</c:v>
                </c:pt>
                <c:pt idx="7">
                  <c:v>85.431459009368695</c:v>
                </c:pt>
                <c:pt idx="8">
                  <c:v>85.038780890096561</c:v>
                </c:pt>
                <c:pt idx="9">
                  <c:v>84.619194480390647</c:v>
                </c:pt>
                <c:pt idx="10">
                  <c:v>84.180785281557476</c:v>
                </c:pt>
                <c:pt idx="11">
                  <c:v>83.728700891948449</c:v>
                </c:pt>
                <c:pt idx="12">
                  <c:v>83.266374811645562</c:v>
                </c:pt>
                <c:pt idx="13">
                  <c:v>82.796185566034708</c:v>
                </c:pt>
                <c:pt idx="14">
                  <c:v>82.319833408655569</c:v>
                </c:pt>
                <c:pt idx="15">
                  <c:v>81.838566370684234</c:v>
                </c:pt>
                <c:pt idx="16">
                  <c:v>81.353321553531345</c:v>
                </c:pt>
                <c:pt idx="17">
                  <c:v>80.864816562702757</c:v>
                </c:pt>
                <c:pt idx="18">
                  <c:v>80.373610464744459</c:v>
                </c:pt>
                <c:pt idx="19">
                  <c:v>79.880145497503122</c:v>
                </c:pt>
                <c:pt idx="20">
                  <c:v>79.384776267708006</c:v>
                </c:pt>
                <c:pt idx="21">
                  <c:v>78.887790606979024</c:v>
                </c:pt>
                <c:pt idx="22">
                  <c:v>78.389424739894793</c:v>
                </c:pt>
                <c:pt idx="23">
                  <c:v>77.889874494802584</c:v>
                </c:pt>
                <c:pt idx="24">
                  <c:v>77.389303712333415</c:v>
                </c:pt>
                <c:pt idx="25">
                  <c:v>76.887850635467629</c:v>
                </c:pt>
                <c:pt idx="26">
                  <c:v>76.385632824359803</c:v>
                </c:pt>
                <c:pt idx="27">
                  <c:v>75.882750979538713</c:v>
                </c:pt>
                <c:pt idx="28">
                  <c:v>75.379291945100505</c:v>
                </c:pt>
                <c:pt idx="29">
                  <c:v>74.875331090501788</c:v>
                </c:pt>
                <c:pt idx="30">
                  <c:v>74.370934215594787</c:v>
                </c:pt>
                <c:pt idx="31">
                  <c:v>73.866159087131322</c:v>
                </c:pt>
                <c:pt idx="32">
                  <c:v>73.361056686595234</c:v>
                </c:pt>
                <c:pt idx="33">
                  <c:v>72.85567223116216</c:v>
                </c:pt>
                <c:pt idx="34">
                  <c:v>72.350046014198583</c:v>
                </c:pt>
                <c:pt idx="35">
                  <c:v>71.844214101624885</c:v>
                </c:pt>
                <c:pt idx="36">
                  <c:v>71.338208911872798</c:v>
                </c:pt>
                <c:pt idx="37">
                  <c:v>70.832059701784686</c:v>
                </c:pt>
                <c:pt idx="38">
                  <c:v>70.325792975546307</c:v>
                </c:pt>
                <c:pt idx="39">
                  <c:v>69.819432830592078</c:v>
                </c:pt>
                <c:pt idx="40">
                  <c:v>69.313001251466247</c:v>
                </c:pt>
                <c:pt idx="41">
                  <c:v>68.806518360549063</c:v>
                </c:pt>
                <c:pt idx="42">
                  <c:v>68.300002632817169</c:v>
                </c:pt>
                <c:pt idx="43">
                  <c:v>67.793471080513157</c:v>
                </c:pt>
                <c:pt idx="44">
                  <c:v>67.286939412569453</c:v>
                </c:pt>
                <c:pt idx="45">
                  <c:v>66.780422172562012</c:v>
                </c:pt>
                <c:pt idx="46">
                  <c:v>66.273932858638432</c:v>
                </c:pt>
                <c:pt idx="47">
                  <c:v>65.767484027991799</c:v>
                </c:pt>
                <c:pt idx="48">
                  <c:v>65.261087388207599</c:v>
                </c:pt>
                <c:pt idx="49">
                  <c:v>64.754753877299919</c:v>
                </c:pt>
                <c:pt idx="50">
                  <c:v>64.248493734083468</c:v>
                </c:pt>
                <c:pt idx="51">
                  <c:v>63.742316560138541</c:v>
                </c:pt>
                <c:pt idx="52">
                  <c:v>63.236231374612672</c:v>
                </c:pt>
                <c:pt idx="53">
                  <c:v>62.730246662677928</c:v>
                </c:pt>
                <c:pt idx="54">
                  <c:v>62.224370418561463</c:v>
                </c:pt>
                <c:pt idx="55">
                  <c:v>61.718610183834762</c:v>
                </c:pt>
                <c:pt idx="56">
                  <c:v>61.212973081486751</c:v>
                </c:pt>
                <c:pt idx="57">
                  <c:v>60.707465846385745</c:v>
                </c:pt>
                <c:pt idx="58">
                  <c:v>60.202094852544455</c:v>
                </c:pt>
                <c:pt idx="59">
                  <c:v>59.696866137521845</c:v>
                </c:pt>
                <c:pt idx="60">
                  <c:v>59.191785424369293</c:v>
                </c:pt>
                <c:pt idx="61">
                  <c:v>58.686858141359799</c:v>
                </c:pt>
                <c:pt idx="62">
                  <c:v>58.182089439760091</c:v>
                </c:pt>
                <c:pt idx="63">
                  <c:v>57.677484209892015</c:v>
                </c:pt>
                <c:pt idx="64">
                  <c:v>57.17304709562746</c:v>
                </c:pt>
                <c:pt idx="65">
                  <c:v>56.66878250753556</c:v>
                </c:pt>
                <c:pt idx="66">
                  <c:v>56.164694634785619</c:v>
                </c:pt>
                <c:pt idx="67">
                  <c:v>55.660787455987006</c:v>
                </c:pt>
                <c:pt idx="68">
                  <c:v>55.157064749000057</c:v>
                </c:pt>
                <c:pt idx="69">
                  <c:v>54.653530099931295</c:v>
                </c:pt>
                <c:pt idx="70">
                  <c:v>54.150186911294703</c:v>
                </c:pt>
                <c:pt idx="71">
                  <c:v>53.647038409490975</c:v>
                </c:pt>
                <c:pt idx="72">
                  <c:v>53.144087651642756</c:v>
                </c:pt>
                <c:pt idx="73">
                  <c:v>52.641337531863506</c:v>
                </c:pt>
                <c:pt idx="74">
                  <c:v>52.138790786996424</c:v>
                </c:pt>
                <c:pt idx="75">
                  <c:v>51.636450001909765</c:v>
                </c:pt>
                <c:pt idx="76">
                  <c:v>51.134317614353421</c:v>
                </c:pt>
                <c:pt idx="77">
                  <c:v>50.632395919444356</c:v>
                </c:pt>
                <c:pt idx="78">
                  <c:v>50.130687073801049</c:v>
                </c:pt>
                <c:pt idx="79">
                  <c:v>49.629193099378874</c:v>
                </c:pt>
                <c:pt idx="80">
                  <c:v>49.127915887016322</c:v>
                </c:pt>
                <c:pt idx="81">
                  <c:v>48.626857199715069</c:v>
                </c:pt>
                <c:pt idx="82">
                  <c:v>48.126018675714015</c:v>
                </c:pt>
                <c:pt idx="83">
                  <c:v>47.625401831330201</c:v>
                </c:pt>
                <c:pt idx="84">
                  <c:v>47.125008063619795</c:v>
                </c:pt>
                <c:pt idx="85">
                  <c:v>46.6248386528639</c:v>
                </c:pt>
                <c:pt idx="86">
                  <c:v>46.124894764896965</c:v>
                </c:pt>
                <c:pt idx="87">
                  <c:v>45.625177453292345</c:v>
                </c:pt>
                <c:pt idx="88">
                  <c:v>45.125687661423243</c:v>
                </c:pt>
                <c:pt idx="89">
                  <c:v>44.626426224397107</c:v>
                </c:pt>
                <c:pt idx="90">
                  <c:v>44.127393870892845</c:v>
                </c:pt>
                <c:pt idx="91">
                  <c:v>43.628591224894613</c:v>
                </c:pt>
                <c:pt idx="92">
                  <c:v>43.130018807345095</c:v>
                </c:pt>
                <c:pt idx="93">
                  <c:v>42.631677037707902</c:v>
                </c:pt>
                <c:pt idx="94">
                  <c:v>42.133566235476785</c:v>
                </c:pt>
                <c:pt idx="95">
                  <c:v>41.635686621597742</c:v>
                </c:pt>
                <c:pt idx="96">
                  <c:v>41.138038319852321</c:v>
                </c:pt>
                <c:pt idx="97">
                  <c:v>40.640621358175501</c:v>
                </c:pt>
                <c:pt idx="98">
                  <c:v>40.143435669932224</c:v>
                </c:pt>
                <c:pt idx="99">
                  <c:v>39.646481095147081</c:v>
                </c:pt>
                <c:pt idx="100">
                  <c:v>39.149757381704688</c:v>
                </c:pt>
                <c:pt idx="101">
                  <c:v>38.653264186499335</c:v>
                </c:pt>
                <c:pt idx="102">
                  <c:v>38.15700107657316</c:v>
                </c:pt>
                <c:pt idx="103">
                  <c:v>37.660967530215395</c:v>
                </c:pt>
                <c:pt idx="104">
                  <c:v>37.16516293803847</c:v>
                </c:pt>
                <c:pt idx="105">
                  <c:v>36.669586604041946</c:v>
                </c:pt>
                <c:pt idx="106">
                  <c:v>36.174237746644351</c:v>
                </c:pt>
                <c:pt idx="107">
                  <c:v>35.67911549971199</c:v>
                </c:pt>
                <c:pt idx="108">
                  <c:v>35.184218913566369</c:v>
                </c:pt>
                <c:pt idx="109">
                  <c:v>34.689546955982536</c:v>
                </c:pt>
                <c:pt idx="110">
                  <c:v>34.195098513178863</c:v>
                </c:pt>
                <c:pt idx="111">
                  <c:v>33.700872390795695</c:v>
                </c:pt>
                <c:pt idx="112">
                  <c:v>33.206867314870408</c:v>
                </c:pt>
                <c:pt idx="113">
                  <c:v>32.71308193280683</c:v>
                </c:pt>
                <c:pt idx="114">
                  <c:v>32.21951481433959</c:v>
                </c:pt>
                <c:pt idx="115">
                  <c:v>31.726164452497269</c:v>
                </c:pt>
                <c:pt idx="116">
                  <c:v>31.233029264566767</c:v>
                </c:pt>
                <c:pt idx="117">
                  <c:v>30.740107593050819</c:v>
                </c:pt>
                <c:pt idx="118">
                  <c:v>30.247397706632771</c:v>
                </c:pt>
                <c:pt idx="119">
                  <c:v>29.754897801140753</c:v>
                </c:pt>
                <c:pt idx="120">
                  <c:v>29.262606000511102</c:v>
                </c:pt>
                <c:pt idx="121">
                  <c:v>28.770520357759668</c:v>
                </c:pt>
                <c:pt idx="122">
                  <c:v>28.278638855953989</c:v>
                </c:pt>
                <c:pt idx="123">
                  <c:v>27.786959409189471</c:v>
                </c:pt>
                <c:pt idx="124">
                  <c:v>27.295479863570716</c:v>
                </c:pt>
                <c:pt idx="125">
                  <c:v>26.804197998200028</c:v>
                </c:pt>
                <c:pt idx="126">
                  <c:v>26.31311152616836</c:v>
                </c:pt>
                <c:pt idx="127">
                  <c:v>25.822218095553076</c:v>
                </c:pt>
                <c:pt idx="128">
                  <c:v>25.331515290424655</c:v>
                </c:pt>
                <c:pt idx="129">
                  <c:v>24.841000631856094</c:v>
                </c:pt>
                <c:pt idx="130">
                  <c:v>24.350671578942396</c:v>
                </c:pt>
                <c:pt idx="131">
                  <c:v>23.860525529825292</c:v>
                </c:pt>
                <c:pt idx="132">
                  <c:v>23.370559822725745</c:v>
                </c:pt>
                <c:pt idx="133">
                  <c:v>22.880771736983561</c:v>
                </c:pt>
                <c:pt idx="134">
                  <c:v>22.391158494105547</c:v>
                </c:pt>
                <c:pt idx="135">
                  <c:v>21.901717258820305</c:v>
                </c:pt>
                <c:pt idx="136">
                  <c:v>21.412445140141767</c:v>
                </c:pt>
                <c:pt idx="137">
                  <c:v>20.923339192438853</c:v>
                </c:pt>
                <c:pt idx="138">
                  <c:v>20.434396416515231</c:v>
                </c:pt>
                <c:pt idx="139">
                  <c:v>19.945613760694737</c:v>
                </c:pt>
                <c:pt idx="140">
                  <c:v>19.456988121916538</c:v>
                </c:pt>
                <c:pt idx="141">
                  <c:v>18.968516346836147</c:v>
                </c:pt>
                <c:pt idx="142">
                  <c:v>18.480195232937195</c:v>
                </c:pt>
                <c:pt idx="143">
                  <c:v>17.992021529646802</c:v>
                </c:pt>
                <c:pt idx="144">
                  <c:v>17.503991939462693</c:v>
                </c:pt>
                <c:pt idx="145">
                  <c:v>17.016103119085244</c:v>
                </c:pt>
                <c:pt idx="146">
                  <c:v>16.528351680558835</c:v>
                </c:pt>
                <c:pt idx="147">
                  <c:v>16.040734192418675</c:v>
                </c:pt>
                <c:pt idx="148">
                  <c:v>15.553247180846201</c:v>
                </c:pt>
                <c:pt idx="149">
                  <c:v>15.065887130832435</c:v>
                </c:pt>
                <c:pt idx="150">
                  <c:v>14.578650487346094</c:v>
                </c:pt>
                <c:pt idx="151">
                  <c:v>14.091533656510318</c:v>
                </c:pt>
                <c:pt idx="152">
                  <c:v>13.604533006786317</c:v>
                </c:pt>
                <c:pt idx="153">
                  <c:v>13.117644870162163</c:v>
                </c:pt>
                <c:pt idx="154">
                  <c:v>12.630865543349135</c:v>
                </c:pt>
                <c:pt idx="155">
                  <c:v>12.144191288984207</c:v>
                </c:pt>
                <c:pt idx="156">
                  <c:v>11.657618336838144</c:v>
                </c:pt>
                <c:pt idx="157">
                  <c:v>11.171142885030028</c:v>
                </c:pt>
                <c:pt idx="158">
                  <c:v>10.684761101247236</c:v>
                </c:pt>
                <c:pt idx="159">
                  <c:v>10.198469123970495</c:v>
                </c:pt>
                <c:pt idx="160">
                  <c:v>9.7122630637053362</c:v>
                </c:pt>
                <c:pt idx="161">
                  <c:v>9.2261390042174671</c:v>
                </c:pt>
                <c:pt idx="162">
                  <c:v>8.7400930037737439</c:v>
                </c:pt>
                <c:pt idx="163">
                  <c:v>8.2541210963877525</c:v>
                </c:pt>
                <c:pt idx="164">
                  <c:v>7.768219293069679</c:v>
                </c:pt>
                <c:pt idx="165">
                  <c:v>7.2823835830803683</c:v>
                </c:pt>
                <c:pt idx="166">
                  <c:v>6.7966099351898333</c:v>
                </c:pt>
                <c:pt idx="167">
                  <c:v>6.3108942989390364</c:v>
                </c:pt>
                <c:pt idx="168">
                  <c:v>5.8252326059057529</c:v>
                </c:pt>
                <c:pt idx="169">
                  <c:v>5.3396207709732408</c:v>
                </c:pt>
                <c:pt idx="170">
                  <c:v>4.8540546936027589</c:v>
                </c:pt>
                <c:pt idx="171">
                  <c:v>4.3685302591080495</c:v>
                </c:pt>
                <c:pt idx="172">
                  <c:v>3.8830433399333319</c:v>
                </c:pt>
                <c:pt idx="173">
                  <c:v>3.3975897969332607</c:v>
                </c:pt>
                <c:pt idx="174">
                  <c:v>2.912165480655009</c:v>
                </c:pt>
                <c:pt idx="175">
                  <c:v>2.4267662326226414</c:v>
                </c:pt>
                <c:pt idx="176">
                  <c:v>1.9413878866229051</c:v>
                </c:pt>
                <c:pt idx="177">
                  <c:v>1.4560262699925026</c:v>
                </c:pt>
                <c:pt idx="178">
                  <c:v>0.97067720490664611</c:v>
                </c:pt>
                <c:pt idx="179">
                  <c:v>0.48533650966861458</c:v>
                </c:pt>
                <c:pt idx="180">
                  <c:v>3.4068552941616436E-15</c:v>
                </c:pt>
                <c:pt idx="181">
                  <c:v>3.4068552941616436E-15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</c:numCache>
            </c:numRef>
          </c:xVal>
          <c:yVal>
            <c:numRef>
              <c:f>'Plotting Sheet'!$P$6:$P$368</c:f>
              <c:numCache>
                <c:formatCode>0.00</c:formatCode>
                <c:ptCount val="363"/>
                <c:pt idx="0">
                  <c:v>4.7719768701881549E-5</c:v>
                </c:pt>
                <c:pt idx="1">
                  <c:v>3.4427091046040914E-3</c:v>
                </c:pt>
                <c:pt idx="2">
                  <c:v>1.3626468152040161E-2</c:v>
                </c:pt>
                <c:pt idx="3">
                  <c:v>3.0595370632397589E-2</c:v>
                </c:pt>
                <c:pt idx="4">
                  <c:v>5.4343374728034632E-2</c:v>
                </c:pt>
                <c:pt idx="5">
                  <c:v>8.4862026057237472E-2</c:v>
                </c:pt>
                <c:pt idx="6">
                  <c:v>0.12214046183333949</c:v>
                </c:pt>
                <c:pt idx="7">
                  <c:v>0.16616541620322778</c:v>
                </c:pt>
                <c:pt idx="8">
                  <c:v>0.21692122676495273</c:v>
                </c:pt>
                <c:pt idx="9">
                  <c:v>0.2743898422608595</c:v>
                </c:pt>
                <c:pt idx="10">
                  <c:v>0.3385508314325989</c:v>
                </c:pt>
                <c:pt idx="11">
                  <c:v>0.40938139303335674</c:v>
                </c:pt>
                <c:pt idx="12">
                  <c:v>0.48685636699627821</c:v>
                </c:pt>
                <c:pt idx="13">
                  <c:v>0.57094824673907851</c:v>
                </c:pt>
                <c:pt idx="14">
                  <c:v>0.66162719260000813</c:v>
                </c:pt>
                <c:pt idx="15">
                  <c:v>0.75886104639272389</c:v>
                </c:pt>
                <c:pt idx="16">
                  <c:v>0.86261534707495002</c:v>
                </c:pt>
                <c:pt idx="17">
                  <c:v>0.97285334750137054</c:v>
                </c:pt>
                <c:pt idx="18">
                  <c:v>1.0895360322671763</c:v>
                </c:pt>
                <c:pt idx="19">
                  <c:v>1.2126221366125947</c:v>
                </c:pt>
                <c:pt idx="20">
                  <c:v>1.3420681663808409</c:v>
                </c:pt>
                <c:pt idx="21">
                  <c:v>1.4778284190091426</c:v>
                </c:pt>
                <c:pt idx="22">
                  <c:v>1.6198550055373744</c:v>
                </c:pt>
                <c:pt idx="23">
                  <c:v>1.7680978736204906</c:v>
                </c:pt>
                <c:pt idx="24">
                  <c:v>1.9225048315160507</c:v>
                </c:pt>
                <c:pt idx="25">
                  <c:v>2.0830215730357509</c:v>
                </c:pt>
                <c:pt idx="26">
                  <c:v>2.2495917034464128</c:v>
                </c:pt>
                <c:pt idx="27">
                  <c:v>2.4221567662792154</c:v>
                </c:pt>
                <c:pt idx="28">
                  <c:v>2.600656271047967</c:v>
                </c:pt>
                <c:pt idx="29">
                  <c:v>2.7850277218424253</c:v>
                </c:pt>
                <c:pt idx="30">
                  <c:v>2.9752066467822829</c:v>
                </c:pt>
                <c:pt idx="31">
                  <c:v>3.1711266282929387</c:v>
                </c:pt>
                <c:pt idx="32">
                  <c:v>3.3727193342004398</c:v>
                </c:pt>
                <c:pt idx="33">
                  <c:v>3.5799145496052347</c:v>
                </c:pt>
                <c:pt idx="34">
                  <c:v>3.7926402095195613</c:v>
                </c:pt>
                <c:pt idx="35">
                  <c:v>4.0108224322345905</c:v>
                </c:pt>
                <c:pt idx="36">
                  <c:v>4.2343855534043087</c:v>
                </c:pt>
                <c:pt idx="37">
                  <c:v>4.4632521608061211</c:v>
                </c:pt>
                <c:pt idx="38">
                  <c:v>4.6973431297627712</c:v>
                </c:pt>
                <c:pt idx="39">
                  <c:v>4.9365776591930626</c:v>
                </c:pt>
                <c:pt idx="40">
                  <c:v>5.1808733082671097</c:v>
                </c:pt>
                <c:pt idx="41">
                  <c:v>5.4301460336376977</c:v>
                </c:pt>
                <c:pt idx="42">
                  <c:v>5.6843102272219994</c:v>
                </c:pt>
                <c:pt idx="43">
                  <c:v>5.9432787545050587</c:v>
                </c:pt>
                <c:pt idx="44">
                  <c:v>6.2069629933322403</c:v>
                </c:pt>
                <c:pt idx="45">
                  <c:v>6.4752728731759817</c:v>
                </c:pt>
                <c:pt idx="46">
                  <c:v>6.7481169148338722</c:v>
                </c:pt>
                <c:pt idx="47">
                  <c:v>7.025402270540269</c:v>
                </c:pt>
                <c:pt idx="48">
                  <c:v>7.3070347644564322</c:v>
                </c:pt>
                <c:pt idx="49">
                  <c:v>7.5929189335175806</c:v>
                </c:pt>
                <c:pt idx="50">
                  <c:v>7.8829580686019654</c:v>
                </c:pt>
                <c:pt idx="51">
                  <c:v>8.1770542560028048</c:v>
                </c:pt>
                <c:pt idx="52">
                  <c:v>8.4751084191606765</c:v>
                </c:pt>
                <c:pt idx="53">
                  <c:v>8.77702036064602</c:v>
                </c:pt>
                <c:pt idx="54">
                  <c:v>9.0826888043514487</c:v>
                </c:pt>
                <c:pt idx="55">
                  <c:v>9.3920114378663584</c:v>
                </c:pt>
                <c:pt idx="56">
                  <c:v>9.7048849550184286</c:v>
                </c:pt>
                <c:pt idx="57">
                  <c:v>10.02120509854069</c:v>
                </c:pt>
                <c:pt idx="58">
                  <c:v>10.340866702840628</c:v>
                </c:pt>
                <c:pt idx="59">
                  <c:v>10.663763736854264</c:v>
                </c:pt>
                <c:pt idx="60">
                  <c:v>10.98978934694486</c:v>
                </c:pt>
                <c:pt idx="61">
                  <c:v>11.318835899829367</c:v>
                </c:pt>
                <c:pt idx="62">
                  <c:v>11.650795025505545</c:v>
                </c:pt>
                <c:pt idx="63">
                  <c:v>11.985557660148231</c:v>
                </c:pt>
                <c:pt idx="64">
                  <c:v>12.323014088960576</c:v>
                </c:pt>
                <c:pt idx="65">
                  <c:v>12.663053988943943</c:v>
                </c:pt>
                <c:pt idx="66">
                  <c:v>13.005566471573218</c:v>
                </c:pt>
                <c:pt idx="67">
                  <c:v>13.350440125340015</c:v>
                </c:pt>
                <c:pt idx="68">
                  <c:v>13.697563058163837</c:v>
                </c:pt>
                <c:pt idx="69">
                  <c:v>14.046822939615765</c:v>
                </c:pt>
                <c:pt idx="70">
                  <c:v>14.398107042964341</c:v>
                </c:pt>
                <c:pt idx="71">
                  <c:v>14.751302287000556</c:v>
                </c:pt>
                <c:pt idx="72">
                  <c:v>15.106295277630579</c:v>
                </c:pt>
                <c:pt idx="73">
                  <c:v>15.462972349210986</c:v>
                </c:pt>
                <c:pt idx="74">
                  <c:v>15.821219605613862</c:v>
                </c:pt>
                <c:pt idx="75">
                  <c:v>16.180922960988539</c:v>
                </c:pt>
                <c:pt idx="76">
                  <c:v>16.541968180216429</c:v>
                </c:pt>
                <c:pt idx="77">
                  <c:v>16.904240919030315</c:v>
                </c:pt>
                <c:pt idx="78">
                  <c:v>17.26762676378695</c:v>
                </c:pt>
                <c:pt idx="79">
                  <c:v>17.632011270867281</c:v>
                </c:pt>
                <c:pt idx="80">
                  <c:v>17.997280005696325</c:v>
                </c:pt>
                <c:pt idx="81">
                  <c:v>18.36331858136964</c:v>
                </c:pt>
                <c:pt idx="82">
                  <c:v>18.730012696852555</c:v>
                </c:pt>
                <c:pt idx="83">
                  <c:v>19.097248174762171</c:v>
                </c:pt>
                <c:pt idx="84">
                  <c:v>19.464910998701328</c:v>
                </c:pt>
                <c:pt idx="85">
                  <c:v>19.83288735013781</c:v>
                </c:pt>
                <c:pt idx="86">
                  <c:v>20.201063644815349</c:v>
                </c:pt>
                <c:pt idx="87">
                  <c:v>20.569326568684858</c:v>
                </c:pt>
                <c:pt idx="88">
                  <c:v>20.93756311334073</c:v>
                </c:pt>
                <c:pt idx="89">
                  <c:v>21.305660610961354</c:v>
                </c:pt>
                <c:pt idx="90">
                  <c:v>21.673506768731556</c:v>
                </c:pt>
                <c:pt idx="91">
                  <c:v>22.040989702748448</c:v>
                </c:pt>
                <c:pt idx="92">
                  <c:v>22.407997971392547</c:v>
                </c:pt>
                <c:pt idx="93">
                  <c:v>22.774420608170146</c:v>
                </c:pt>
                <c:pt idx="94">
                  <c:v>23.140147153996281</c:v>
                </c:pt>
                <c:pt idx="95">
                  <c:v>23.505067688943768</c:v>
                </c:pt>
                <c:pt idx="96">
                  <c:v>23.869072863418978</c:v>
                </c:pt>
                <c:pt idx="97">
                  <c:v>24.232053928784978</c:v>
                </c:pt>
                <c:pt idx="98">
                  <c:v>24.593902767411919</c:v>
                </c:pt>
                <c:pt idx="99">
                  <c:v>24.954511922159611</c:v>
                </c:pt>
                <c:pt idx="100">
                  <c:v>25.31377462527621</c:v>
                </c:pt>
                <c:pt idx="101">
                  <c:v>25.671584826734943</c:v>
                </c:pt>
                <c:pt idx="102">
                  <c:v>26.027837221971879</c:v>
                </c:pt>
                <c:pt idx="103">
                  <c:v>26.382427279053047</c:v>
                </c:pt>
                <c:pt idx="104">
                  <c:v>26.735251265258114</c:v>
                </c:pt>
                <c:pt idx="105">
                  <c:v>27.086206273070104</c:v>
                </c:pt>
                <c:pt idx="106">
                  <c:v>27.43519024559663</c:v>
                </c:pt>
                <c:pt idx="107">
                  <c:v>27.782102001393071</c:v>
                </c:pt>
                <c:pt idx="108">
                  <c:v>28.12684125871192</c:v>
                </c:pt>
                <c:pt idx="109">
                  <c:v>28.469308659168348</c:v>
                </c:pt>
                <c:pt idx="110">
                  <c:v>28.80940579082511</c:v>
                </c:pt>
                <c:pt idx="111">
                  <c:v>29.147035210704985</c:v>
                </c:pt>
                <c:pt idx="112">
                  <c:v>29.482100466725853</c:v>
                </c:pt>
                <c:pt idx="113">
                  <c:v>29.814506119066607</c:v>
                </c:pt>
                <c:pt idx="114">
                  <c:v>30.144157760968596</c:v>
                </c:pt>
                <c:pt idx="115">
                  <c:v>30.470962038973369</c:v>
                </c:pt>
                <c:pt idx="116">
                  <c:v>30.794826672599015</c:v>
                </c:pt>
                <c:pt idx="117">
                  <c:v>31.115660473474463</c:v>
                </c:pt>
                <c:pt idx="118">
                  <c:v>31.433373363916303</c:v>
                </c:pt>
                <c:pt idx="119">
                  <c:v>31.747876394967932</c:v>
                </c:pt>
                <c:pt idx="120">
                  <c:v>32.05908176390858</c:v>
                </c:pt>
                <c:pt idx="121">
                  <c:v>32.366902831225786</c:v>
                </c:pt>
                <c:pt idx="122">
                  <c:v>32.671254137070434</c:v>
                </c:pt>
                <c:pt idx="123">
                  <c:v>32.972051417197747</c:v>
                </c:pt>
                <c:pt idx="124">
                  <c:v>33.26921161840022</c:v>
                </c:pt>
                <c:pt idx="125">
                  <c:v>33.562652913436523</c:v>
                </c:pt>
                <c:pt idx="126">
                  <c:v>33.852294715474955</c:v>
                </c:pt>
                <c:pt idx="127">
                  <c:v>34.138057692051518</c:v>
                </c:pt>
                <c:pt idx="128">
                  <c:v>34.419863778546642</c:v>
                </c:pt>
                <c:pt idx="129">
                  <c:v>34.697636191203173</c:v>
                </c:pt>
                <c:pt idx="130">
                  <c:v>34.971299439679001</c:v>
                </c:pt>
                <c:pt idx="131">
                  <c:v>35.240779339153846</c:v>
                </c:pt>
                <c:pt idx="132">
                  <c:v>35.506003021994275</c:v>
                </c:pt>
                <c:pt idx="133">
                  <c:v>35.766898948988171</c:v>
                </c:pt>
                <c:pt idx="134">
                  <c:v>36.023396920153857</c:v>
                </c:pt>
                <c:pt idx="135">
                  <c:v>36.275428085138913</c:v>
                </c:pt>
                <c:pt idx="136">
                  <c:v>36.522924953212339</c:v>
                </c:pt>
                <c:pt idx="137">
                  <c:v>36.765821402867175</c:v>
                </c:pt>
                <c:pt idx="138">
                  <c:v>37.004052691031518</c:v>
                </c:pt>
                <c:pt idx="139">
                  <c:v>37.237555461910858</c:v>
                </c:pt>
                <c:pt idx="140">
                  <c:v>37.466267755458716</c:v>
                </c:pt>
                <c:pt idx="141">
                  <c:v>37.690129015496893</c:v>
                </c:pt>
                <c:pt idx="142">
                  <c:v>37.909080097479716</c:v>
                </c:pt>
                <c:pt idx="143">
                  <c:v>38.123063275934101</c:v>
                </c:pt>
                <c:pt idx="144">
                  <c:v>38.332022251558726</c:v>
                </c:pt>
                <c:pt idx="145">
                  <c:v>38.535902158013073</c:v>
                </c:pt>
                <c:pt idx="146">
                  <c:v>38.734649568391433</c:v>
                </c:pt>
                <c:pt idx="147">
                  <c:v>38.92821250140355</c:v>
                </c:pt>
                <c:pt idx="148">
                  <c:v>39.116540427260588</c:v>
                </c:pt>
                <c:pt idx="149">
                  <c:v>39.299584273275002</c:v>
                </c:pt>
                <c:pt idx="150">
                  <c:v>39.477296429197338</c:v>
                </c:pt>
                <c:pt idx="151">
                  <c:v>39.649630752282292</c:v>
                </c:pt>
                <c:pt idx="152">
                  <c:v>39.816542572097092</c:v>
                </c:pt>
                <c:pt idx="153">
                  <c:v>39.977988695090971</c:v>
                </c:pt>
                <c:pt idx="154">
                  <c:v>40.13392740891959</c:v>
                </c:pt>
                <c:pt idx="155">
                  <c:v>40.284318486540144</c:v>
                </c:pt>
                <c:pt idx="156">
                  <c:v>40.429123190085647</c:v>
                </c:pt>
                <c:pt idx="157">
                  <c:v>40.56830427452195</c:v>
                </c:pt>
                <c:pt idx="158">
                  <c:v>40.701825991098588</c:v>
                </c:pt>
                <c:pt idx="159">
                  <c:v>40.829654090602048</c:v>
                </c:pt>
                <c:pt idx="160">
                  <c:v>40.951755826409965</c:v>
                </c:pt>
                <c:pt idx="161">
                  <c:v>41.06809995736586</c:v>
                </c:pt>
                <c:pt idx="162">
                  <c:v>41.178656750471021</c:v>
                </c:pt>
                <c:pt idx="163">
                  <c:v>41.283397983402438</c:v>
                </c:pt>
                <c:pt idx="164">
                  <c:v>41.38229694686612</c:v>
                </c:pt>
                <c:pt idx="165">
                  <c:v>41.475328446789035</c:v>
                </c:pt>
                <c:pt idx="166">
                  <c:v>41.562468806352285</c:v>
                </c:pt>
                <c:pt idx="167">
                  <c:v>41.643695867878989</c:v>
                </c:pt>
                <c:pt idx="168">
                  <c:v>41.718988994570566</c:v>
                </c:pt>
                <c:pt idx="169">
                  <c:v>41.78832907211023</c:v>
                </c:pt>
                <c:pt idx="170">
                  <c:v>41.851698510119149</c:v>
                </c:pt>
                <c:pt idx="171">
                  <c:v>41.909081243494597</c:v>
                </c:pt>
                <c:pt idx="172">
                  <c:v>41.960462733605709</c:v>
                </c:pt>
                <c:pt idx="173">
                  <c:v>42.005829969372769</c:v>
                </c:pt>
                <c:pt idx="174">
                  <c:v>42.045171468223998</c:v>
                </c:pt>
                <c:pt idx="175">
                  <c:v>42.07847727692797</c:v>
                </c:pt>
                <c:pt idx="176">
                  <c:v>42.10573897231518</c:v>
                </c:pt>
                <c:pt idx="177">
                  <c:v>42.126949661881895</c:v>
                </c:pt>
                <c:pt idx="178">
                  <c:v>42.142103984286905</c:v>
                </c:pt>
                <c:pt idx="179">
                  <c:v>42.151198109726863</c:v>
                </c:pt>
                <c:pt idx="180">
                  <c:v>42.154229740212088</c:v>
                </c:pt>
                <c:pt idx="181">
                  <c:v>42.154229740212088</c:v>
                </c:pt>
                <c:pt idx="182" formatCode="0.0">
                  <c:v>0</c:v>
                </c:pt>
                <c:pt idx="183" formatCode="0.0">
                  <c:v>0</c:v>
                </c:pt>
                <c:pt idx="184" formatCode="0.0">
                  <c:v>0</c:v>
                </c:pt>
                <c:pt idx="185" formatCode="0.0">
                  <c:v>0</c:v>
                </c:pt>
                <c:pt idx="186" formatCode="0.0">
                  <c:v>0</c:v>
                </c:pt>
                <c:pt idx="187" formatCode="0.0">
                  <c:v>0</c:v>
                </c:pt>
                <c:pt idx="188" formatCode="0.0">
                  <c:v>0</c:v>
                </c:pt>
                <c:pt idx="189" formatCode="0.0">
                  <c:v>0</c:v>
                </c:pt>
                <c:pt idx="190" formatCode="0.0">
                  <c:v>0</c:v>
                </c:pt>
                <c:pt idx="191" formatCode="0.0">
                  <c:v>0</c:v>
                </c:pt>
                <c:pt idx="192" formatCode="0.0">
                  <c:v>0</c:v>
                </c:pt>
                <c:pt idx="193" formatCode="0.0">
                  <c:v>0</c:v>
                </c:pt>
                <c:pt idx="194" formatCode="0.0">
                  <c:v>0</c:v>
                </c:pt>
                <c:pt idx="195" formatCode="0.0">
                  <c:v>0</c:v>
                </c:pt>
                <c:pt idx="196" formatCode="0.0">
                  <c:v>0</c:v>
                </c:pt>
                <c:pt idx="197" formatCode="0.0">
                  <c:v>0</c:v>
                </c:pt>
                <c:pt idx="198" formatCode="0.0">
                  <c:v>0</c:v>
                </c:pt>
                <c:pt idx="199" formatCode="0.0">
                  <c:v>0</c:v>
                </c:pt>
                <c:pt idx="200" formatCode="0.0">
                  <c:v>0</c:v>
                </c:pt>
                <c:pt idx="201" formatCode="0.0">
                  <c:v>0</c:v>
                </c:pt>
                <c:pt idx="202" formatCode="0.0">
                  <c:v>0</c:v>
                </c:pt>
                <c:pt idx="203" formatCode="0.0">
                  <c:v>0</c:v>
                </c:pt>
                <c:pt idx="204" formatCode="0.0">
                  <c:v>0</c:v>
                </c:pt>
                <c:pt idx="205" formatCode="0.0">
                  <c:v>0</c:v>
                </c:pt>
                <c:pt idx="206" formatCode="0.0">
                  <c:v>0</c:v>
                </c:pt>
                <c:pt idx="207" formatCode="0.0">
                  <c:v>0</c:v>
                </c:pt>
                <c:pt idx="208" formatCode="0.0">
                  <c:v>0</c:v>
                </c:pt>
                <c:pt idx="209" formatCode="0.0">
                  <c:v>0</c:v>
                </c:pt>
                <c:pt idx="210" formatCode="0.0">
                  <c:v>0</c:v>
                </c:pt>
                <c:pt idx="211" formatCode="0.0">
                  <c:v>0</c:v>
                </c:pt>
                <c:pt idx="212" formatCode="0.0">
                  <c:v>0</c:v>
                </c:pt>
                <c:pt idx="213" formatCode="0.0">
                  <c:v>0</c:v>
                </c:pt>
                <c:pt idx="214" formatCode="0.0">
                  <c:v>0</c:v>
                </c:pt>
                <c:pt idx="215" formatCode="0.0">
                  <c:v>0</c:v>
                </c:pt>
                <c:pt idx="216" formatCode="0.0">
                  <c:v>0</c:v>
                </c:pt>
                <c:pt idx="217" formatCode="0.0">
                  <c:v>0</c:v>
                </c:pt>
                <c:pt idx="218" formatCode="0.0">
                  <c:v>0</c:v>
                </c:pt>
                <c:pt idx="219" formatCode="0.0">
                  <c:v>0</c:v>
                </c:pt>
                <c:pt idx="220" formatCode="0.0">
                  <c:v>0</c:v>
                </c:pt>
                <c:pt idx="221" formatCode="0.0">
                  <c:v>0</c:v>
                </c:pt>
                <c:pt idx="222" formatCode="0.0">
                  <c:v>0</c:v>
                </c:pt>
                <c:pt idx="223" formatCode="0.0">
                  <c:v>0</c:v>
                </c:pt>
                <c:pt idx="224" formatCode="0.0">
                  <c:v>0</c:v>
                </c:pt>
                <c:pt idx="225" formatCode="0.0">
                  <c:v>0</c:v>
                </c:pt>
                <c:pt idx="226" formatCode="0.0">
                  <c:v>0</c:v>
                </c:pt>
                <c:pt idx="227" formatCode="0.0">
                  <c:v>0</c:v>
                </c:pt>
                <c:pt idx="228" formatCode="0.0">
                  <c:v>0</c:v>
                </c:pt>
                <c:pt idx="229" formatCode="0.0">
                  <c:v>0</c:v>
                </c:pt>
                <c:pt idx="230" formatCode="0.0">
                  <c:v>0</c:v>
                </c:pt>
                <c:pt idx="231" formatCode="0.0">
                  <c:v>0</c:v>
                </c:pt>
                <c:pt idx="232" formatCode="0.0">
                  <c:v>0</c:v>
                </c:pt>
                <c:pt idx="233" formatCode="0.0">
                  <c:v>0</c:v>
                </c:pt>
                <c:pt idx="234" formatCode="0.0">
                  <c:v>0</c:v>
                </c:pt>
                <c:pt idx="235" formatCode="0.0">
                  <c:v>0</c:v>
                </c:pt>
                <c:pt idx="236" formatCode="0.0">
                  <c:v>0</c:v>
                </c:pt>
                <c:pt idx="237" formatCode="0.0">
                  <c:v>0</c:v>
                </c:pt>
                <c:pt idx="238" formatCode="0.0">
                  <c:v>0</c:v>
                </c:pt>
                <c:pt idx="239" formatCode="0.0">
                  <c:v>0</c:v>
                </c:pt>
                <c:pt idx="240" formatCode="0.0">
                  <c:v>0</c:v>
                </c:pt>
                <c:pt idx="241" formatCode="0.0">
                  <c:v>0</c:v>
                </c:pt>
                <c:pt idx="242" formatCode="0.0">
                  <c:v>0</c:v>
                </c:pt>
                <c:pt idx="243" formatCode="0.0">
                  <c:v>0</c:v>
                </c:pt>
                <c:pt idx="244" formatCode="0.0">
                  <c:v>0</c:v>
                </c:pt>
                <c:pt idx="245" formatCode="0.0">
                  <c:v>0</c:v>
                </c:pt>
                <c:pt idx="246" formatCode="0.0">
                  <c:v>0</c:v>
                </c:pt>
                <c:pt idx="247" formatCode="0.0">
                  <c:v>0</c:v>
                </c:pt>
                <c:pt idx="248" formatCode="0.0">
                  <c:v>0</c:v>
                </c:pt>
                <c:pt idx="249" formatCode="0.0">
                  <c:v>0</c:v>
                </c:pt>
                <c:pt idx="250" formatCode="0.0">
                  <c:v>0</c:v>
                </c:pt>
                <c:pt idx="251" formatCode="0.0">
                  <c:v>0</c:v>
                </c:pt>
                <c:pt idx="252" formatCode="0.0">
                  <c:v>0</c:v>
                </c:pt>
                <c:pt idx="253" formatCode="0.0">
                  <c:v>0</c:v>
                </c:pt>
                <c:pt idx="254" formatCode="0.0">
                  <c:v>0</c:v>
                </c:pt>
                <c:pt idx="255" formatCode="0.0">
                  <c:v>0</c:v>
                </c:pt>
                <c:pt idx="256" formatCode="0.0">
                  <c:v>0</c:v>
                </c:pt>
                <c:pt idx="257" formatCode="0.0">
                  <c:v>0</c:v>
                </c:pt>
                <c:pt idx="258" formatCode="0.0">
                  <c:v>0</c:v>
                </c:pt>
                <c:pt idx="259" formatCode="0.0">
                  <c:v>0</c:v>
                </c:pt>
                <c:pt idx="260" formatCode="0.0">
                  <c:v>0</c:v>
                </c:pt>
                <c:pt idx="261" formatCode="0.0">
                  <c:v>0</c:v>
                </c:pt>
                <c:pt idx="262" formatCode="0.0">
                  <c:v>0</c:v>
                </c:pt>
                <c:pt idx="263" formatCode="0.0">
                  <c:v>0</c:v>
                </c:pt>
                <c:pt idx="264" formatCode="0.0">
                  <c:v>0</c:v>
                </c:pt>
                <c:pt idx="265" formatCode="0.0">
                  <c:v>0</c:v>
                </c:pt>
                <c:pt idx="266" formatCode="0.0">
                  <c:v>0</c:v>
                </c:pt>
                <c:pt idx="267" formatCode="0.0">
                  <c:v>0</c:v>
                </c:pt>
                <c:pt idx="268" formatCode="0.0">
                  <c:v>0</c:v>
                </c:pt>
                <c:pt idx="269" formatCode="0.0">
                  <c:v>0</c:v>
                </c:pt>
                <c:pt idx="270" formatCode="0.0">
                  <c:v>0</c:v>
                </c:pt>
                <c:pt idx="271" formatCode="0.0">
                  <c:v>0</c:v>
                </c:pt>
                <c:pt idx="272" formatCode="0.0">
                  <c:v>0</c:v>
                </c:pt>
                <c:pt idx="273" formatCode="0.0">
                  <c:v>0</c:v>
                </c:pt>
                <c:pt idx="274" formatCode="0.0">
                  <c:v>0</c:v>
                </c:pt>
                <c:pt idx="275" formatCode="0.0">
                  <c:v>0</c:v>
                </c:pt>
                <c:pt idx="276" formatCode="0.0">
                  <c:v>0</c:v>
                </c:pt>
                <c:pt idx="277" formatCode="0.0">
                  <c:v>0</c:v>
                </c:pt>
                <c:pt idx="278" formatCode="0.0">
                  <c:v>0</c:v>
                </c:pt>
                <c:pt idx="279" formatCode="0.0">
                  <c:v>0</c:v>
                </c:pt>
                <c:pt idx="280" formatCode="0.0">
                  <c:v>0</c:v>
                </c:pt>
                <c:pt idx="281" formatCode="0.0">
                  <c:v>0</c:v>
                </c:pt>
                <c:pt idx="282" formatCode="0.0">
                  <c:v>0</c:v>
                </c:pt>
                <c:pt idx="283" formatCode="0.0">
                  <c:v>0</c:v>
                </c:pt>
                <c:pt idx="284" formatCode="0.0">
                  <c:v>0</c:v>
                </c:pt>
                <c:pt idx="285" formatCode="0.0">
                  <c:v>0</c:v>
                </c:pt>
                <c:pt idx="286" formatCode="0.0">
                  <c:v>0</c:v>
                </c:pt>
                <c:pt idx="287" formatCode="0.0">
                  <c:v>0</c:v>
                </c:pt>
                <c:pt idx="288" formatCode="0.0">
                  <c:v>0</c:v>
                </c:pt>
                <c:pt idx="289" formatCode="0.0">
                  <c:v>0</c:v>
                </c:pt>
                <c:pt idx="290" formatCode="0.0">
                  <c:v>0</c:v>
                </c:pt>
                <c:pt idx="291" formatCode="0.0">
                  <c:v>0</c:v>
                </c:pt>
                <c:pt idx="292" formatCode="0.0">
                  <c:v>0</c:v>
                </c:pt>
                <c:pt idx="293" formatCode="0.0">
                  <c:v>0</c:v>
                </c:pt>
                <c:pt idx="294" formatCode="0.0">
                  <c:v>0</c:v>
                </c:pt>
                <c:pt idx="295" formatCode="0.0">
                  <c:v>0</c:v>
                </c:pt>
                <c:pt idx="296" formatCode="0.0">
                  <c:v>0</c:v>
                </c:pt>
                <c:pt idx="297" formatCode="0.0">
                  <c:v>0</c:v>
                </c:pt>
                <c:pt idx="298" formatCode="0.0">
                  <c:v>0</c:v>
                </c:pt>
                <c:pt idx="299" formatCode="0.0">
                  <c:v>0</c:v>
                </c:pt>
                <c:pt idx="300" formatCode="0.0">
                  <c:v>0</c:v>
                </c:pt>
                <c:pt idx="301" formatCode="0.0">
                  <c:v>0</c:v>
                </c:pt>
                <c:pt idx="302" formatCode="0.0">
                  <c:v>0</c:v>
                </c:pt>
                <c:pt idx="303" formatCode="0.0">
                  <c:v>0</c:v>
                </c:pt>
                <c:pt idx="304" formatCode="0.0">
                  <c:v>0</c:v>
                </c:pt>
                <c:pt idx="305" formatCode="0.0">
                  <c:v>0</c:v>
                </c:pt>
                <c:pt idx="306" formatCode="0.0">
                  <c:v>0</c:v>
                </c:pt>
                <c:pt idx="307" formatCode="0.0">
                  <c:v>0</c:v>
                </c:pt>
                <c:pt idx="308" formatCode="0.0">
                  <c:v>0</c:v>
                </c:pt>
                <c:pt idx="309" formatCode="0.0">
                  <c:v>0</c:v>
                </c:pt>
                <c:pt idx="310" formatCode="0.0">
                  <c:v>0</c:v>
                </c:pt>
                <c:pt idx="311" formatCode="0.0">
                  <c:v>0</c:v>
                </c:pt>
                <c:pt idx="312" formatCode="0.0">
                  <c:v>0</c:v>
                </c:pt>
                <c:pt idx="313" formatCode="0.0">
                  <c:v>0</c:v>
                </c:pt>
                <c:pt idx="314" formatCode="0.0">
                  <c:v>0</c:v>
                </c:pt>
                <c:pt idx="315" formatCode="0.0">
                  <c:v>0</c:v>
                </c:pt>
                <c:pt idx="316" formatCode="0.0">
                  <c:v>0</c:v>
                </c:pt>
                <c:pt idx="317" formatCode="0.0">
                  <c:v>0</c:v>
                </c:pt>
                <c:pt idx="318" formatCode="0.0">
                  <c:v>0</c:v>
                </c:pt>
                <c:pt idx="319" formatCode="0.0">
                  <c:v>0</c:v>
                </c:pt>
                <c:pt idx="320" formatCode="0.0">
                  <c:v>0</c:v>
                </c:pt>
                <c:pt idx="321" formatCode="0.0">
                  <c:v>0</c:v>
                </c:pt>
                <c:pt idx="322" formatCode="0.0">
                  <c:v>0</c:v>
                </c:pt>
                <c:pt idx="323" formatCode="0.0">
                  <c:v>0</c:v>
                </c:pt>
                <c:pt idx="324" formatCode="0.0">
                  <c:v>0</c:v>
                </c:pt>
                <c:pt idx="325" formatCode="0.0">
                  <c:v>0</c:v>
                </c:pt>
                <c:pt idx="326" formatCode="0.0">
                  <c:v>0</c:v>
                </c:pt>
                <c:pt idx="327" formatCode="0.0">
                  <c:v>0</c:v>
                </c:pt>
                <c:pt idx="328" formatCode="0.0">
                  <c:v>0</c:v>
                </c:pt>
                <c:pt idx="329" formatCode="0.0">
                  <c:v>0</c:v>
                </c:pt>
                <c:pt idx="330" formatCode="0.0">
                  <c:v>0</c:v>
                </c:pt>
                <c:pt idx="331" formatCode="0.0">
                  <c:v>0</c:v>
                </c:pt>
                <c:pt idx="332" formatCode="0.0">
                  <c:v>0</c:v>
                </c:pt>
                <c:pt idx="333" formatCode="0.0">
                  <c:v>0</c:v>
                </c:pt>
                <c:pt idx="334" formatCode="0.0">
                  <c:v>0</c:v>
                </c:pt>
                <c:pt idx="335" formatCode="0.0">
                  <c:v>0</c:v>
                </c:pt>
                <c:pt idx="336" formatCode="0.0">
                  <c:v>0</c:v>
                </c:pt>
                <c:pt idx="337" formatCode="0.0">
                  <c:v>0</c:v>
                </c:pt>
                <c:pt idx="338" formatCode="0.0">
                  <c:v>0</c:v>
                </c:pt>
                <c:pt idx="339" formatCode="0.0">
                  <c:v>0</c:v>
                </c:pt>
                <c:pt idx="340" formatCode="0.0">
                  <c:v>0</c:v>
                </c:pt>
                <c:pt idx="341" formatCode="0.0">
                  <c:v>0</c:v>
                </c:pt>
                <c:pt idx="342" formatCode="0.0">
                  <c:v>0</c:v>
                </c:pt>
                <c:pt idx="343" formatCode="0.0">
                  <c:v>0</c:v>
                </c:pt>
                <c:pt idx="344" formatCode="0.0">
                  <c:v>0</c:v>
                </c:pt>
                <c:pt idx="345" formatCode="0.0">
                  <c:v>0</c:v>
                </c:pt>
                <c:pt idx="346" formatCode="0.0">
                  <c:v>0</c:v>
                </c:pt>
                <c:pt idx="347" formatCode="0.0">
                  <c:v>0</c:v>
                </c:pt>
                <c:pt idx="348" formatCode="0.0">
                  <c:v>0</c:v>
                </c:pt>
                <c:pt idx="349" formatCode="0.0">
                  <c:v>0</c:v>
                </c:pt>
                <c:pt idx="350" formatCode="0.0">
                  <c:v>0</c:v>
                </c:pt>
                <c:pt idx="351" formatCode="0.0">
                  <c:v>0</c:v>
                </c:pt>
                <c:pt idx="352" formatCode="0.0">
                  <c:v>0</c:v>
                </c:pt>
                <c:pt idx="353" formatCode="0.0">
                  <c:v>0</c:v>
                </c:pt>
                <c:pt idx="354" formatCode="0.0">
                  <c:v>0</c:v>
                </c:pt>
                <c:pt idx="355" formatCode="0.0">
                  <c:v>0</c:v>
                </c:pt>
                <c:pt idx="356" formatCode="0.0">
                  <c:v>0</c:v>
                </c:pt>
                <c:pt idx="357" formatCode="0.0">
                  <c:v>0</c:v>
                </c:pt>
                <c:pt idx="358" formatCode="0.0">
                  <c:v>0</c:v>
                </c:pt>
                <c:pt idx="359" formatCode="0.0">
                  <c:v>0</c:v>
                </c:pt>
                <c:pt idx="360" formatCode="0.0">
                  <c:v>0</c:v>
                </c:pt>
                <c:pt idx="361" formatCode="0.0">
                  <c:v>0</c:v>
                </c:pt>
                <c:pt idx="362" formatCode="0.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357384"/>
        <c:axId val="256357776"/>
      </c:scatterChart>
      <c:valAx>
        <c:axId val="256357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lab angle</a:t>
                </a:r>
              </a:p>
            </c:rich>
          </c:tx>
          <c:layout>
            <c:manualLayout>
              <c:xMode val="edge"/>
              <c:yMode val="edge"/>
              <c:x val="0.44284128745837953"/>
              <c:y val="0.9461663947797714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357776"/>
        <c:crosses val="autoZero"/>
        <c:crossBetween val="midCat"/>
      </c:valAx>
      <c:valAx>
        <c:axId val="256357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lab energy</a:t>
                </a:r>
              </a:p>
            </c:rich>
          </c:tx>
          <c:layout>
            <c:manualLayout>
              <c:xMode val="edge"/>
              <c:yMode val="edge"/>
              <c:x val="1.2208657047724751E-2"/>
              <c:y val="0.4584013050570963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3573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923418423973366"/>
          <c:y val="0.47634584013050568"/>
          <c:w val="0.10321864594894579"/>
          <c:h val="6.68841761827079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Decay!$G$21</c:f>
              <c:strCache>
                <c:ptCount val="1"/>
                <c:pt idx="0">
                  <c:v>T1'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Decay!$A$22:$A$40</c:f>
              <c:numCache>
                <c:formatCode>General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</c:numCache>
            </c:numRef>
          </c:xVal>
          <c:yVal>
            <c:numRef>
              <c:f>Decay!$G$22:$G$40</c:f>
              <c:numCache>
                <c:formatCode>General</c:formatCode>
                <c:ptCount val="19"/>
                <c:pt idx="0">
                  <c:v>27870.078697261808</c:v>
                </c:pt>
                <c:pt idx="1">
                  <c:v>27690.449341611398</c:v>
                </c:pt>
                <c:pt idx="2">
                  <c:v>27157.019221736191</c:v>
                </c:pt>
                <c:pt idx="3">
                  <c:v>26285.99634190416</c:v>
                </c:pt>
                <c:pt idx="4">
                  <c:v>25103.846291567039</c:v>
                </c:pt>
                <c:pt idx="5">
                  <c:v>23646.488101816889</c:v>
                </c:pt>
                <c:pt idx="6">
                  <c:v>21958.202863801984</c:v>
                </c:pt>
                <c:pt idx="7">
                  <c:v>20090.288270179204</c:v>
                </c:pt>
                <c:pt idx="8">
                  <c:v>18099.499960680187</c:v>
                </c:pt>
                <c:pt idx="9">
                  <c:v>16046.327030717313</c:v>
                </c:pt>
                <c:pt idx="10">
                  <c:v>13993.154100828126</c:v>
                </c:pt>
                <c:pt idx="11">
                  <c:v>12002.365791547922</c:v>
                </c:pt>
                <c:pt idx="12">
                  <c:v>10134.45119828245</c:v>
                </c:pt>
                <c:pt idx="13">
                  <c:v>8446.1659607524689</c:v>
                </c:pt>
                <c:pt idx="14">
                  <c:v>6988.8077716001371</c:v>
                </c:pt>
                <c:pt idx="15">
                  <c:v>5806.6577219555602</c:v>
                </c:pt>
                <c:pt idx="16">
                  <c:v>4935.6348428897563</c:v>
                </c:pt>
                <c:pt idx="17">
                  <c:v>4402.2047238311861</c:v>
                </c:pt>
                <c:pt idx="18">
                  <c:v>4222.5753690230031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358560"/>
        <c:axId val="256713464"/>
      </c:scatterChart>
      <c:valAx>
        <c:axId val="256358560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713464"/>
        <c:crosses val="autoZero"/>
        <c:crossBetween val="midCat"/>
      </c:valAx>
      <c:valAx>
        <c:axId val="25671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358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Decay!$O$21</c:f>
              <c:strCache>
                <c:ptCount val="1"/>
                <c:pt idx="0">
                  <c:v>T2'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Decay!$A$22:$A$40</c:f>
              <c:numCache>
                <c:formatCode>General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</c:numCache>
            </c:numRef>
          </c:xVal>
          <c:yVal>
            <c:numRef>
              <c:f>Decay!$O$22:$O$40</c:f>
              <c:numCache>
                <c:formatCode>General</c:formatCode>
                <c:ptCount val="19"/>
                <c:pt idx="0">
                  <c:v>-35837.538107051572</c:v>
                </c:pt>
                <c:pt idx="1">
                  <c:v>-35657.908751401163</c:v>
                </c:pt>
                <c:pt idx="2">
                  <c:v>-35124.478631525955</c:v>
                </c:pt>
                <c:pt idx="3">
                  <c:v>-34253.455751693917</c:v>
                </c:pt>
                <c:pt idx="4">
                  <c:v>-33071.305701356796</c:v>
                </c:pt>
                <c:pt idx="5">
                  <c:v>-31613.947511606646</c:v>
                </c:pt>
                <c:pt idx="6">
                  <c:v>-29925.662273591741</c:v>
                </c:pt>
                <c:pt idx="7">
                  <c:v>-28057.747679968965</c:v>
                </c:pt>
                <c:pt idx="8">
                  <c:v>-26066.959370469947</c:v>
                </c:pt>
                <c:pt idx="9">
                  <c:v>-24013.786440507076</c:v>
                </c:pt>
                <c:pt idx="10">
                  <c:v>-21960.613510617888</c:v>
                </c:pt>
                <c:pt idx="11">
                  <c:v>-19969.825201337684</c:v>
                </c:pt>
                <c:pt idx="12">
                  <c:v>-18101.910608072212</c:v>
                </c:pt>
                <c:pt idx="13">
                  <c:v>-16413.625370542231</c:v>
                </c:pt>
                <c:pt idx="14">
                  <c:v>-14956.2671813899</c:v>
                </c:pt>
                <c:pt idx="15">
                  <c:v>-13774.117131745325</c:v>
                </c:pt>
                <c:pt idx="16">
                  <c:v>-12903.094252679519</c:v>
                </c:pt>
                <c:pt idx="17">
                  <c:v>-12369.664133620949</c:v>
                </c:pt>
                <c:pt idx="18">
                  <c:v>-12190.034778812766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714248"/>
        <c:axId val="256714640"/>
      </c:scatterChart>
      <c:valAx>
        <c:axId val="256714248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714640"/>
        <c:crosses val="autoZero"/>
        <c:crossBetween val="midCat"/>
      </c:valAx>
      <c:valAx>
        <c:axId val="25671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714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'Recoil-Decay'!$G$21</c:f>
              <c:strCache>
                <c:ptCount val="1"/>
                <c:pt idx="0">
                  <c:v>T1'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'Recoil-Decay'!$A$22:$A$40</c:f>
              <c:numCache>
                <c:formatCode>General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</c:numCache>
            </c:numRef>
          </c:xVal>
          <c:yVal>
            <c:numRef>
              <c:f>'Recoil-Decay'!$G$22:$G$40</c:f>
              <c:numCache>
                <c:formatCode>General</c:formatCode>
                <c:ptCount val="19"/>
                <c:pt idx="0">
                  <c:v>46980.888086659383</c:v>
                </c:pt>
                <c:pt idx="1">
                  <c:v>46980.863285675427</c:v>
                </c:pt>
                <c:pt idx="2">
                  <c:v>46980.789636288901</c:v>
                </c:pt>
                <c:pt idx="3">
                  <c:v>46980.669376299149</c:v>
                </c:pt>
                <c:pt idx="4">
                  <c:v>46980.506159745113</c:v>
                </c:pt>
                <c:pt idx="5">
                  <c:v>46980.304945879179</c:v>
                </c:pt>
                <c:pt idx="6">
                  <c:v>46980.071848482854</c:v>
                </c:pt>
                <c:pt idx="7">
                  <c:v>46979.813950102587</c:v>
                </c:pt>
                <c:pt idx="8">
                  <c:v>46979.539086850142</c:v>
                </c:pt>
                <c:pt idx="9">
                  <c:v>46979.255610306383</c:v>
                </c:pt>
                <c:pt idx="10">
                  <c:v>46978.972133762625</c:v>
                </c:pt>
                <c:pt idx="11">
                  <c:v>46978.697270510209</c:v>
                </c:pt>
                <c:pt idx="12">
                  <c:v>46978.439372129986</c:v>
                </c:pt>
                <c:pt idx="13">
                  <c:v>46978.206274733733</c:v>
                </c:pt>
                <c:pt idx="14">
                  <c:v>46978.005060867887</c:v>
                </c:pt>
                <c:pt idx="15">
                  <c:v>46977.841844313938</c:v>
                </c:pt>
                <c:pt idx="16">
                  <c:v>46977.721584324303</c:v>
                </c:pt>
                <c:pt idx="17">
                  <c:v>46977.647934937879</c:v>
                </c:pt>
                <c:pt idx="18">
                  <c:v>46977.623133954039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715424"/>
        <c:axId val="256715816"/>
      </c:scatterChart>
      <c:valAx>
        <c:axId val="256715424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715816"/>
        <c:crosses val="autoZero"/>
        <c:crossBetween val="midCat"/>
      </c:valAx>
      <c:valAx>
        <c:axId val="25671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715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'Recoil-Decay'!$N$21</c:f>
              <c:strCache>
                <c:ptCount val="1"/>
                <c:pt idx="0">
                  <c:v>T2'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'Recoil-Decay'!$A$22:$A$40</c:f>
              <c:numCache>
                <c:formatCode>General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</c:numCache>
            </c:numRef>
          </c:xVal>
          <c:yVal>
            <c:numRef>
              <c:f>'Recoil-Decay'!$N$22:$N$40</c:f>
              <c:numCache>
                <c:formatCode>General</c:formatCode>
                <c:ptCount val="19"/>
                <c:pt idx="0">
                  <c:v>55377.184934450393</c:v>
                </c:pt>
                <c:pt idx="1">
                  <c:v>55377.20973543435</c:v>
                </c:pt>
                <c:pt idx="2">
                  <c:v>55377.283384820876</c:v>
                </c:pt>
                <c:pt idx="3">
                  <c:v>55377.403644810627</c:v>
                </c:pt>
                <c:pt idx="4">
                  <c:v>55377.56686136467</c:v>
                </c:pt>
                <c:pt idx="5">
                  <c:v>55377.768075230604</c:v>
                </c:pt>
                <c:pt idx="6">
                  <c:v>55378.001172626922</c:v>
                </c:pt>
                <c:pt idx="7">
                  <c:v>55378.259071007196</c:v>
                </c:pt>
                <c:pt idx="8">
                  <c:v>55378.533934259634</c:v>
                </c:pt>
                <c:pt idx="9">
                  <c:v>55378.8174108034</c:v>
                </c:pt>
                <c:pt idx="10">
                  <c:v>55379.100887347158</c:v>
                </c:pt>
                <c:pt idx="11">
                  <c:v>55379.375750599567</c:v>
                </c:pt>
                <c:pt idx="12">
                  <c:v>55379.63364897979</c:v>
                </c:pt>
                <c:pt idx="13">
                  <c:v>55379.866746376043</c:v>
                </c:pt>
                <c:pt idx="14">
                  <c:v>55380.06796024189</c:v>
                </c:pt>
                <c:pt idx="15">
                  <c:v>55380.231176795838</c:v>
                </c:pt>
                <c:pt idx="16">
                  <c:v>55380.35143678548</c:v>
                </c:pt>
                <c:pt idx="17">
                  <c:v>55380.425086171897</c:v>
                </c:pt>
                <c:pt idx="18">
                  <c:v>55380.449887155737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716600"/>
        <c:axId val="256716992"/>
      </c:scatterChart>
      <c:valAx>
        <c:axId val="256716600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716992"/>
        <c:crosses val="autoZero"/>
        <c:crossBetween val="midCat"/>
      </c:valAx>
      <c:valAx>
        <c:axId val="25671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716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7" workbookViewId="0"/>
  </sheetViews>
  <sheetProtection password="C786" content="1" objects="1"/>
  <pageMargins left="0.75" right="0.75" top="1" bottom="1" header="0.5" footer="0.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77" workbookViewId="0"/>
  </sheetViews>
  <sheetProtection password="C786" content="1" objects="1"/>
  <pageMargins left="0.75" right="0.75" top="1" bottom="1" header="0.5" footer="0.5"/>
  <headerFooter alignWithMargins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/>
  <sheetViews>
    <sheetView zoomScale="77" workbookViewId="0"/>
  </sheetViews>
  <sheetProtection password="C786" content="1" objects="1"/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225</xdr:row>
      <xdr:rowOff>66675</xdr:rowOff>
    </xdr:from>
    <xdr:to>
      <xdr:col>13</xdr:col>
      <xdr:colOff>809625</xdr:colOff>
      <xdr:row>254</xdr:row>
      <xdr:rowOff>0</xdr:rowOff>
    </xdr:to>
    <xdr:graphicFrame macro="">
      <xdr:nvGraphicFramePr>
        <xdr:cNvPr id="217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571500</xdr:colOff>
      <xdr:row>232</xdr:row>
      <xdr:rowOff>0</xdr:rowOff>
    </xdr:from>
    <xdr:to>
      <xdr:col>18</xdr:col>
      <xdr:colOff>180975</xdr:colOff>
      <xdr:row>257</xdr:row>
      <xdr:rowOff>152400</xdr:rowOff>
    </xdr:to>
    <xdr:graphicFrame macro="">
      <xdr:nvGraphicFramePr>
        <xdr:cNvPr id="2171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2</xdr:row>
      <xdr:rowOff>0</xdr:rowOff>
    </xdr:from>
    <xdr:to>
      <xdr:col>8</xdr:col>
      <xdr:colOff>495300</xdr:colOff>
      <xdr:row>16</xdr:row>
      <xdr:rowOff>0</xdr:rowOff>
    </xdr:to>
    <xdr:graphicFrame macro="">
      <xdr:nvGraphicFramePr>
        <xdr:cNvPr id="134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9525</xdr:rowOff>
    </xdr:from>
    <xdr:to>
      <xdr:col>14</xdr:col>
      <xdr:colOff>514350</xdr:colOff>
      <xdr:row>16</xdr:row>
      <xdr:rowOff>0</xdr:rowOff>
    </xdr:to>
    <xdr:graphicFrame macro="">
      <xdr:nvGraphicFramePr>
        <xdr:cNvPr id="134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85725</xdr:colOff>
      <xdr:row>17</xdr:row>
      <xdr:rowOff>0</xdr:rowOff>
    </xdr:from>
    <xdr:to>
      <xdr:col>8</xdr:col>
      <xdr:colOff>504825</xdr:colOff>
      <xdr:row>31</xdr:row>
      <xdr:rowOff>0</xdr:rowOff>
    </xdr:to>
    <xdr:graphicFrame macro="">
      <xdr:nvGraphicFramePr>
        <xdr:cNvPr id="134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17</xdr:row>
      <xdr:rowOff>9525</xdr:rowOff>
    </xdr:from>
    <xdr:to>
      <xdr:col>14</xdr:col>
      <xdr:colOff>514350</xdr:colOff>
      <xdr:row>31</xdr:row>
      <xdr:rowOff>0</xdr:rowOff>
    </xdr:to>
    <xdr:graphicFrame macro="">
      <xdr:nvGraphicFramePr>
        <xdr:cNvPr id="134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76200</xdr:colOff>
      <xdr:row>32</xdr:row>
      <xdr:rowOff>0</xdr:rowOff>
    </xdr:from>
    <xdr:to>
      <xdr:col>8</xdr:col>
      <xdr:colOff>504825</xdr:colOff>
      <xdr:row>46</xdr:row>
      <xdr:rowOff>9525</xdr:rowOff>
    </xdr:to>
    <xdr:graphicFrame macro="">
      <xdr:nvGraphicFramePr>
        <xdr:cNvPr id="134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9525</xdr:colOff>
      <xdr:row>32</xdr:row>
      <xdr:rowOff>0</xdr:rowOff>
    </xdr:from>
    <xdr:to>
      <xdr:col>14</xdr:col>
      <xdr:colOff>514350</xdr:colOff>
      <xdr:row>46</xdr:row>
      <xdr:rowOff>9525</xdr:rowOff>
    </xdr:to>
    <xdr:graphicFrame macro="">
      <xdr:nvGraphicFramePr>
        <xdr:cNvPr id="1345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76200</xdr:colOff>
      <xdr:row>47</xdr:row>
      <xdr:rowOff>0</xdr:rowOff>
    </xdr:from>
    <xdr:to>
      <xdr:col>8</xdr:col>
      <xdr:colOff>504825</xdr:colOff>
      <xdr:row>61</xdr:row>
      <xdr:rowOff>9525</xdr:rowOff>
    </xdr:to>
    <xdr:graphicFrame macro="">
      <xdr:nvGraphicFramePr>
        <xdr:cNvPr id="1346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9525</xdr:colOff>
      <xdr:row>47</xdr:row>
      <xdr:rowOff>0</xdr:rowOff>
    </xdr:from>
    <xdr:to>
      <xdr:col>14</xdr:col>
      <xdr:colOff>514350</xdr:colOff>
      <xdr:row>61</xdr:row>
      <xdr:rowOff>9525</xdr:rowOff>
    </xdr:to>
    <xdr:graphicFrame macro="">
      <xdr:nvGraphicFramePr>
        <xdr:cNvPr id="134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114300</xdr:colOff>
      <xdr:row>62</xdr:row>
      <xdr:rowOff>0</xdr:rowOff>
    </xdr:from>
    <xdr:to>
      <xdr:col>8</xdr:col>
      <xdr:colOff>542925</xdr:colOff>
      <xdr:row>75</xdr:row>
      <xdr:rowOff>104775</xdr:rowOff>
    </xdr:to>
    <xdr:graphicFrame macro="">
      <xdr:nvGraphicFramePr>
        <xdr:cNvPr id="1348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4</xdr:row>
      <xdr:rowOff>142874</xdr:rowOff>
    </xdr:from>
    <xdr:to>
      <xdr:col>12</xdr:col>
      <xdr:colOff>600075</xdr:colOff>
      <xdr:row>18</xdr:row>
      <xdr:rowOff>114300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114299</xdr:colOff>
      <xdr:row>4</xdr:row>
      <xdr:rowOff>138112</xdr:rowOff>
    </xdr:from>
    <xdr:to>
      <xdr:col>21</xdr:col>
      <xdr:colOff>27213</xdr:colOff>
      <xdr:row>18</xdr:row>
      <xdr:rowOff>123825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5</xdr:row>
      <xdr:rowOff>33337</xdr:rowOff>
    </xdr:from>
    <xdr:to>
      <xdr:col>13</xdr:col>
      <xdr:colOff>205468</xdr:colOff>
      <xdr:row>19</xdr:row>
      <xdr:rowOff>23813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332013</xdr:colOff>
      <xdr:row>5</xdr:row>
      <xdr:rowOff>28575</xdr:rowOff>
    </xdr:from>
    <xdr:to>
      <xdr:col>20</xdr:col>
      <xdr:colOff>261256</xdr:colOff>
      <xdr:row>19</xdr:row>
      <xdr:rowOff>33338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tkin4.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inematics"/>
      <sheetName val="decay"/>
      <sheetName val="LF-100"/>
      <sheetName val="LF-140"/>
      <sheetName val="small plots"/>
      <sheetName val="lab angle vs cm"/>
      <sheetName val="lab KE vs cm"/>
      <sheetName val="Calculator"/>
      <sheetName val="plectrum plots"/>
      <sheetName val="Plotting Sheet"/>
      <sheetName val="mass_rmd.mas"/>
    </sheetNames>
    <sheetDataSet>
      <sheetData sheetId="0"/>
      <sheetData sheetId="1"/>
      <sheetData sheetId="2"/>
      <sheetData sheetId="3"/>
      <sheetData sheetId="4"/>
      <sheetData sheetId="7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253"/>
  <sheetViews>
    <sheetView tabSelected="1" zoomScaleNormal="75" workbookViewId="0">
      <selection activeCell="D7" sqref="D7"/>
    </sheetView>
  </sheetViews>
  <sheetFormatPr defaultRowHeight="12.75" x14ac:dyDescent="0.2"/>
  <cols>
    <col min="1" max="2" width="9.42578125" bestFit="1" customWidth="1"/>
    <col min="4" max="4" width="14.140625" bestFit="1" customWidth="1"/>
    <col min="5" max="7" width="9.42578125" bestFit="1" customWidth="1"/>
    <col min="8" max="8" width="11.85546875" customWidth="1"/>
    <col min="9" max="10" width="9.42578125" bestFit="1" customWidth="1"/>
    <col min="11" max="11" width="14.5703125" bestFit="1" customWidth="1"/>
    <col min="12" max="12" width="9.42578125" bestFit="1" customWidth="1"/>
    <col min="13" max="13" width="13.5703125" bestFit="1" customWidth="1"/>
    <col min="14" max="16" width="14.85546875" style="4" customWidth="1"/>
    <col min="17" max="17" width="13.28515625" customWidth="1"/>
    <col min="18" max="19" width="9.42578125" bestFit="1" customWidth="1"/>
    <col min="21" max="21" width="9.28515625" bestFit="1" customWidth="1"/>
    <col min="22" max="22" width="10" bestFit="1" customWidth="1"/>
    <col min="24" max="24" width="12.7109375" customWidth="1"/>
    <col min="25" max="25" width="10" bestFit="1" customWidth="1"/>
    <col min="26" max="26" width="13" customWidth="1"/>
    <col min="27" max="27" width="11" customWidth="1"/>
    <col min="28" max="28" width="9.42578125" bestFit="1" customWidth="1"/>
    <col min="29" max="29" width="16" customWidth="1"/>
    <col min="30" max="30" width="12.140625" customWidth="1"/>
    <col min="31" max="31" width="12.5703125" customWidth="1"/>
    <col min="32" max="37" width="9.28515625" bestFit="1" customWidth="1"/>
    <col min="38" max="39" width="14.42578125" bestFit="1" customWidth="1"/>
    <col min="40" max="49" width="9.28515625" bestFit="1" customWidth="1"/>
    <col min="50" max="50" width="9.7109375" bestFit="1" customWidth="1"/>
    <col min="51" max="51" width="9.28515625" bestFit="1" customWidth="1"/>
  </cols>
  <sheetData>
    <row r="1" spans="1:51" x14ac:dyDescent="0.2">
      <c r="C1" s="1"/>
      <c r="D1" s="2"/>
      <c r="E1" s="12" t="s">
        <v>98</v>
      </c>
      <c r="F1" s="2"/>
      <c r="J1" s="12" t="s">
        <v>109</v>
      </c>
      <c r="K1" s="1"/>
    </row>
    <row r="2" spans="1:51" x14ac:dyDescent="0.2">
      <c r="C2" s="1" t="s">
        <v>102</v>
      </c>
      <c r="D2" s="2" t="s">
        <v>103</v>
      </c>
      <c r="E2" s="12" t="s">
        <v>104</v>
      </c>
      <c r="F2" s="12" t="s">
        <v>123</v>
      </c>
      <c r="I2" t="s">
        <v>106</v>
      </c>
      <c r="J2" s="12" t="s">
        <v>110</v>
      </c>
      <c r="K2" s="1" t="s">
        <v>109</v>
      </c>
      <c r="R2" s="237" t="s">
        <v>108</v>
      </c>
      <c r="S2" s="237"/>
      <c r="U2" s="237" t="s">
        <v>159</v>
      </c>
      <c r="V2" s="237"/>
      <c r="W2" s="237"/>
      <c r="Y2" s="1" t="s">
        <v>109</v>
      </c>
      <c r="Z2" s="1" t="s">
        <v>489</v>
      </c>
      <c r="AA2" s="1" t="s">
        <v>500</v>
      </c>
      <c r="AB2" s="1" t="s">
        <v>501</v>
      </c>
      <c r="AC2" s="1" t="s">
        <v>589</v>
      </c>
      <c r="AD2" s="1" t="s">
        <v>489</v>
      </c>
      <c r="AE2" s="1" t="s">
        <v>592</v>
      </c>
      <c r="AF2" s="1" t="s">
        <v>593</v>
      </c>
    </row>
    <row r="3" spans="1:51" ht="13.5" thickBot="1" x14ac:dyDescent="0.25">
      <c r="B3" s="6"/>
      <c r="C3" s="7"/>
      <c r="D3" s="16"/>
      <c r="E3" s="17" t="s">
        <v>117</v>
      </c>
      <c r="F3" s="17" t="s">
        <v>117</v>
      </c>
      <c r="G3" s="6"/>
      <c r="H3" s="6"/>
      <c r="I3" s="6"/>
      <c r="J3" s="14" t="s">
        <v>118</v>
      </c>
      <c r="K3" s="7" t="s">
        <v>119</v>
      </c>
      <c r="R3" s="6"/>
      <c r="S3" s="6"/>
      <c r="U3" s="237" t="s">
        <v>160</v>
      </c>
      <c r="V3" s="237"/>
      <c r="W3" s="237"/>
      <c r="Y3" s="1" t="s">
        <v>117</v>
      </c>
      <c r="Z3" s="215" t="s">
        <v>489</v>
      </c>
      <c r="AA3" s="1">
        <f ca="1">Y5+E5</f>
        <v>3229.4134009299996</v>
      </c>
      <c r="AB3" s="1">
        <f ca="1">Y6</f>
        <v>113552.334109</v>
      </c>
      <c r="AC3" s="1">
        <f ca="1">AA5/AA3</f>
        <v>0.49314801462950414</v>
      </c>
      <c r="AD3" t="s">
        <v>489</v>
      </c>
      <c r="AE3">
        <f ca="1">SQRT(AE8^2-Y8^2)</f>
        <v>1545.4121448499029</v>
      </c>
      <c r="AF3">
        <f ca="1">SQRT(AF8^2-Y10^2)</f>
        <v>1545.4121448496289</v>
      </c>
      <c r="AH3">
        <f ca="1">1/SQRT(1-AC3^2)</f>
        <v>1.1494974003686917</v>
      </c>
    </row>
    <row r="4" spans="1:51" x14ac:dyDescent="0.2">
      <c r="C4" s="1"/>
      <c r="D4" s="2"/>
      <c r="G4" t="s">
        <v>125</v>
      </c>
      <c r="K4" s="1"/>
      <c r="L4" t="s">
        <v>585</v>
      </c>
      <c r="M4" s="221" t="s">
        <v>489</v>
      </c>
      <c r="U4" s="237" t="s">
        <v>162</v>
      </c>
      <c r="V4" s="237"/>
      <c r="W4" s="237"/>
      <c r="Y4" s="1"/>
      <c r="Z4" s="1" t="s">
        <v>525</v>
      </c>
      <c r="AA4" s="1" t="s">
        <v>504</v>
      </c>
      <c r="AB4" s="1" t="s">
        <v>505</v>
      </c>
      <c r="AC4" s="1" t="s">
        <v>128</v>
      </c>
      <c r="AD4" s="1" t="s">
        <v>553</v>
      </c>
      <c r="AE4" s="1" t="s">
        <v>489</v>
      </c>
      <c r="AM4" t="s">
        <v>489</v>
      </c>
      <c r="AN4" t="s">
        <v>489</v>
      </c>
      <c r="AO4" t="s">
        <v>489</v>
      </c>
    </row>
    <row r="5" spans="1:51" x14ac:dyDescent="0.2">
      <c r="B5" t="s">
        <v>98</v>
      </c>
      <c r="C5" s="192" t="s">
        <v>96</v>
      </c>
      <c r="D5" s="191">
        <v>3</v>
      </c>
      <c r="E5" s="190">
        <v>420</v>
      </c>
      <c r="F5" s="15">
        <f ca="1">E5*K6/(K5+K6)</f>
        <v>409.85960890377737</v>
      </c>
      <c r="G5" s="5" t="str">
        <f ca="1">IF((F5+R10)&gt;0,"above","BELOW")</f>
        <v>above</v>
      </c>
      <c r="I5">
        <f>INDEX(Z_values,MATCH(C5,Symbol_values,0))</f>
        <v>2</v>
      </c>
      <c r="J5" s="4">
        <f ca="1">mass_rmd.mas!H2</f>
        <v>14.931217930000001</v>
      </c>
      <c r="K5" s="77">
        <f ca="1">mass_rmd.mas!E2</f>
        <v>3.0160293216619873</v>
      </c>
      <c r="L5">
        <f ca="1">SQRT((mass_rmd.mas!A2*K5+E5)^2-(mass_rmd.mas!A2*K5)^2)</f>
        <v>1592.5788070865442</v>
      </c>
      <c r="M5" s="221" t="s">
        <v>489</v>
      </c>
      <c r="R5" s="13" t="s">
        <v>120</v>
      </c>
      <c r="S5" s="12" t="s">
        <v>126</v>
      </c>
      <c r="T5" s="1"/>
      <c r="U5" s="237" t="s">
        <v>161</v>
      </c>
      <c r="V5" s="237"/>
      <c r="W5" s="237"/>
      <c r="Y5">
        <f ca="1">mass_rmd.mas!E2*mass_rmd.mas!A2</f>
        <v>2809.4134009299996</v>
      </c>
      <c r="Z5">
        <f ca="1">SQRT((AA3+AB3)^2-(AA5+AB5)^2)</f>
        <v>116770.8878283293</v>
      </c>
      <c r="AA5">
        <f ca="1">SQRT(AA3^2-Y5^2)</f>
        <v>1592.5788070865442</v>
      </c>
      <c r="AB5">
        <f ca="1">SQRT(AB3^2-Y6^2)</f>
        <v>0</v>
      </c>
      <c r="AC5">
        <f ca="1">(AA5+AB5)/(AA3+AB3)</f>
        <v>1.3637223633351835E-2</v>
      </c>
      <c r="AD5">
        <f ca="1">SQRT(2*Y5*Y6/(Y5+Y6)*F5)</f>
        <v>1499.1093013213106</v>
      </c>
      <c r="AE5">
        <f>938*D5*D6/(D5+D6)*SQRT(2*E5/D5/938)</f>
        <v>1500.5535797698128</v>
      </c>
      <c r="AM5" t="s">
        <v>489</v>
      </c>
      <c r="AN5" t="s">
        <v>489</v>
      </c>
    </row>
    <row r="6" spans="1:51" x14ac:dyDescent="0.2">
      <c r="B6" t="s">
        <v>99</v>
      </c>
      <c r="C6" s="192" t="s">
        <v>48</v>
      </c>
      <c r="D6" s="191">
        <v>122</v>
      </c>
      <c r="E6" t="s">
        <v>489</v>
      </c>
      <c r="F6" s="2" t="s">
        <v>489</v>
      </c>
      <c r="G6" t="s">
        <v>124</v>
      </c>
      <c r="I6">
        <f>INDEX(Z_values,MATCH(C6,Symbol_values,0))</f>
        <v>50</v>
      </c>
      <c r="J6" s="4">
        <f ca="1">mass_rmd.mas!H3</f>
        <v>-89.941333</v>
      </c>
      <c r="K6" s="77">
        <f ca="1">mass_rmd.mas!E3</f>
        <v>121.90344400810946</v>
      </c>
      <c r="R6" s="13" t="s">
        <v>107</v>
      </c>
      <c r="S6" s="12" t="s">
        <v>107</v>
      </c>
      <c r="T6" s="1"/>
      <c r="U6" s="238" t="s">
        <v>429</v>
      </c>
      <c r="V6" s="238"/>
      <c r="W6" s="238"/>
      <c r="Y6">
        <f ca="1">mass_rmd.mas!E3*mass_rmd.mas!A2</f>
        <v>113552.334109</v>
      </c>
      <c r="AA6">
        <f ca="1">AA5/197</f>
        <v>8.0841563811499704</v>
      </c>
      <c r="AD6">
        <f ca="1">AD5/197</f>
        <v>7.6096918848797488</v>
      </c>
      <c r="AE6" s="216" t="s">
        <v>489</v>
      </c>
      <c r="AM6" t="s">
        <v>489</v>
      </c>
      <c r="AN6" t="s">
        <v>489</v>
      </c>
      <c r="AO6" t="s">
        <v>489</v>
      </c>
      <c r="AP6" t="s">
        <v>489</v>
      </c>
    </row>
    <row r="7" spans="1:51" x14ac:dyDescent="0.2">
      <c r="C7" s="1"/>
      <c r="D7" s="2"/>
      <c r="E7" t="s">
        <v>489</v>
      </c>
      <c r="F7" t="s">
        <v>489</v>
      </c>
      <c r="G7" s="12"/>
      <c r="R7" s="13" t="s">
        <v>108</v>
      </c>
      <c r="S7" s="12" t="s">
        <v>108</v>
      </c>
      <c r="T7" s="2"/>
      <c r="U7" s="2" t="s">
        <v>522</v>
      </c>
      <c r="Z7" t="s">
        <v>526</v>
      </c>
      <c r="AA7" t="s">
        <v>527</v>
      </c>
      <c r="AB7" t="s">
        <v>528</v>
      </c>
      <c r="AC7" t="s">
        <v>529</v>
      </c>
      <c r="AD7" t="s">
        <v>530</v>
      </c>
      <c r="AE7" t="s">
        <v>531</v>
      </c>
      <c r="AF7" t="s">
        <v>532</v>
      </c>
      <c r="AG7" t="s">
        <v>131</v>
      </c>
      <c r="AH7" t="s">
        <v>533</v>
      </c>
      <c r="AI7" t="s">
        <v>534</v>
      </c>
      <c r="AJ7" t="s">
        <v>535</v>
      </c>
    </row>
    <row r="8" spans="1:51" x14ac:dyDescent="0.2">
      <c r="B8" t="s">
        <v>100</v>
      </c>
      <c r="C8" s="192" t="s">
        <v>94</v>
      </c>
      <c r="D8" s="191">
        <v>3</v>
      </c>
      <c r="E8" t="s">
        <v>489</v>
      </c>
      <c r="G8" s="12" t="s">
        <v>105</v>
      </c>
      <c r="H8" t="s">
        <v>105</v>
      </c>
      <c r="I8">
        <f>INDEX(Z_values,MATCH(C8,Symbol_values,0))</f>
        <v>1</v>
      </c>
      <c r="J8" s="4">
        <f ca="1">mass_rmd.mas!H4</f>
        <v>14.949809929999999</v>
      </c>
      <c r="K8" s="77">
        <f ca="1">mass_rmd.mas!E4+H10/mass_rmd.mas!A2</f>
        <v>3.0160492809948254</v>
      </c>
      <c r="M8" s="221" t="s">
        <v>489</v>
      </c>
      <c r="R8" s="13" t="s">
        <v>117</v>
      </c>
      <c r="S8" s="12" t="s">
        <v>117</v>
      </c>
      <c r="T8" s="1"/>
      <c r="U8" s="237" t="s">
        <v>163</v>
      </c>
      <c r="V8" s="237"/>
      <c r="W8" s="237"/>
      <c r="Y8">
        <f ca="1">mass_rmd.mas!E4*mass_rmd.mas!A2+H10</f>
        <v>2809.43199293</v>
      </c>
      <c r="Z8">
        <f ca="1">Z5-Y5-Y6</f>
        <v>409.14031839929521</v>
      </c>
      <c r="AA8" s="4">
        <f ca="1">Z8+S10</f>
        <v>407.51576339929522</v>
      </c>
      <c r="AB8">
        <f ca="1">AA8/2*(AA8+2*Y10)/Z5</f>
        <v>397.00010838576168</v>
      </c>
      <c r="AC8">
        <f ca="1">AA8/2*(AA8+2*Y8)/Z5</f>
        <v>10.515655013533488</v>
      </c>
      <c r="AD8">
        <f ca="1">Z5-Y8-Y10</f>
        <v>407.51576339930762</v>
      </c>
      <c r="AE8">
        <f ca="1">Y8+AB8</f>
        <v>3206.4321013157614</v>
      </c>
      <c r="AF8">
        <f ca="1">Y10+AC8</f>
        <v>113564.45572701353</v>
      </c>
      <c r="AG8">
        <f ca="1">SQRT((AE8^2-Y8^2))/AE8</f>
        <v>0.48197251525012552</v>
      </c>
      <c r="AH8">
        <f ca="1">SQRT(AF8^2-Y10^2)/AF8</f>
        <v>1.3608238026205081E-2</v>
      </c>
      <c r="AI8">
        <f ca="1">AC5/AG8</f>
        <v>2.8294608513671431E-2</v>
      </c>
      <c r="AJ8">
        <f ca="1">AC5/AH8</f>
        <v>1.0021300044201855</v>
      </c>
    </row>
    <row r="9" spans="1:51" x14ac:dyDescent="0.2">
      <c r="C9" s="1"/>
      <c r="D9" s="2"/>
      <c r="G9" s="12" t="s">
        <v>117</v>
      </c>
      <c r="H9" t="s">
        <v>170</v>
      </c>
      <c r="M9" s="221" t="s">
        <v>489</v>
      </c>
      <c r="N9" s="212"/>
      <c r="O9" s="212"/>
      <c r="P9" s="212"/>
      <c r="R9" s="13"/>
      <c r="S9" s="12"/>
      <c r="Z9" t="s">
        <v>543</v>
      </c>
      <c r="AA9" t="s">
        <v>546</v>
      </c>
      <c r="AB9" t="s">
        <v>547</v>
      </c>
      <c r="AC9" t="s">
        <v>544</v>
      </c>
      <c r="AD9" t="s">
        <v>545</v>
      </c>
      <c r="AE9" t="s">
        <v>548</v>
      </c>
      <c r="AF9" t="s">
        <v>549</v>
      </c>
      <c r="AG9" t="s">
        <v>550</v>
      </c>
      <c r="AH9" t="s">
        <v>551</v>
      </c>
    </row>
    <row r="10" spans="1:51" x14ac:dyDescent="0.2">
      <c r="B10" t="s">
        <v>101</v>
      </c>
      <c r="C10" s="206" t="str">
        <f>INDEX(Symbol_values,MATCH(I10,Z_values,1))</f>
        <v>Sb</v>
      </c>
      <c r="D10" s="207">
        <f>D5+D6-D8</f>
        <v>122</v>
      </c>
      <c r="G10" s="190">
        <v>0</v>
      </c>
      <c r="H10" s="210">
        <v>0</v>
      </c>
      <c r="I10">
        <f>I5+I6-I8</f>
        <v>51</v>
      </c>
      <c r="J10" s="4">
        <f ca="1">mass_rmd.mas!H5</f>
        <v>-88.335369999999998</v>
      </c>
      <c r="K10" s="77">
        <f ca="1">mass_rmd.mas!E5+G10/mass_rmd.mas!A2</f>
        <v>121.90516808029332</v>
      </c>
      <c r="M10" s="221" t="s">
        <v>489</v>
      </c>
      <c r="R10" s="78">
        <f ca="1">J5+J6-J8-J10</f>
        <v>-1.6245550000000009</v>
      </c>
      <c r="S10" s="15">
        <f ca="1">R10-G10-N10-H10</f>
        <v>-1.6245550000000009</v>
      </c>
      <c r="U10" s="239" t="s">
        <v>521</v>
      </c>
      <c r="V10" s="240"/>
      <c r="W10" s="241"/>
      <c r="Y10">
        <f ca="1">mass_rmd.mas!E5*mass_rmd.mas!A2+G10</f>
        <v>113553.940072</v>
      </c>
      <c r="Z10">
        <f ca="1">SQRT((Z8+Y5)^2-Y5^2)</f>
        <v>1570.4408256548129</v>
      </c>
      <c r="AA10">
        <f ca="1">Z5/2+(Y5^2-Y6^2)/(2*Z5)</f>
        <v>3207.9933629221923</v>
      </c>
      <c r="AB10">
        <f ca="1">Z5/2-(Y5^2-Y6^2)/(2*Z5)</f>
        <v>113562.89446540711</v>
      </c>
      <c r="AC10">
        <f ca="1">AA10-Y5</f>
        <v>398.57996199219269</v>
      </c>
      <c r="AD10">
        <f ca="1">AB10-Y6</f>
        <v>10.560356407106156</v>
      </c>
      <c r="AE10">
        <f ca="1">SQRT(AA10^2-Y5^2)</f>
        <v>1548.6825882755218</v>
      </c>
      <c r="AF10">
        <f ca="1">SQRT(AB10^2-Y6^2)</f>
        <v>1548.6825882755163</v>
      </c>
      <c r="AG10">
        <f ca="1">AE10/AA10</f>
        <v>0.48275741657545446</v>
      </c>
      <c r="AH10">
        <f ca="1">AF10/AB10</f>
        <v>1.3637223633352066E-2</v>
      </c>
    </row>
    <row r="11" spans="1:51" x14ac:dyDescent="0.2">
      <c r="C11" s="1"/>
      <c r="D11" s="2"/>
      <c r="E11" t="s">
        <v>489</v>
      </c>
      <c r="F11" t="s">
        <v>489</v>
      </c>
      <c r="G11" s="209" t="s">
        <v>101</v>
      </c>
      <c r="H11" s="211" t="s">
        <v>100</v>
      </c>
      <c r="R11" s="12"/>
      <c r="Z11">
        <f ca="1">Z10/197.327</f>
        <v>7.958570421963608</v>
      </c>
      <c r="AA11" t="s">
        <v>489</v>
      </c>
      <c r="AE11">
        <f ca="1">AE10/197.327</f>
        <v>7.8483055449863519</v>
      </c>
      <c r="AG11" t="s">
        <v>552</v>
      </c>
    </row>
    <row r="12" spans="1:51" ht="13.5" thickBot="1" x14ac:dyDescent="0.25">
      <c r="B12" s="6"/>
      <c r="C12" s="6"/>
      <c r="D12" s="6"/>
      <c r="E12" s="6" t="s">
        <v>489</v>
      </c>
      <c r="F12" s="6"/>
      <c r="G12" s="6"/>
      <c r="H12" s="6"/>
      <c r="I12" s="6"/>
      <c r="J12" s="6"/>
      <c r="K12" s="6">
        <f ca="1">SQRT((Y10+K17)^2-Y10^2)</f>
        <v>27.961873663690344</v>
      </c>
      <c r="L12" s="6"/>
      <c r="M12" s="6"/>
      <c r="N12" s="8"/>
      <c r="O12" s="10"/>
      <c r="P12" s="10"/>
      <c r="Q12" s="9"/>
      <c r="R12" s="236" t="s">
        <v>138</v>
      </c>
      <c r="S12" s="236"/>
      <c r="T12" s="236"/>
      <c r="U12" s="236"/>
      <c r="V12" s="236"/>
      <c r="W12" s="236"/>
      <c r="Z12" t="s">
        <v>538</v>
      </c>
      <c r="AA12">
        <f>3.141592654</f>
        <v>3.1415926540000001</v>
      </c>
      <c r="AG12">
        <f ca="1">1/SQRT(1-AG10^2)</f>
        <v>1.1418730194211542</v>
      </c>
    </row>
    <row r="13" spans="1:51" x14ac:dyDescent="0.2">
      <c r="B13" s="221" t="s">
        <v>600</v>
      </c>
      <c r="C13" s="221" t="s">
        <v>600</v>
      </c>
      <c r="D13" t="s">
        <v>113</v>
      </c>
      <c r="E13" t="s">
        <v>116</v>
      </c>
      <c r="F13" t="s">
        <v>111</v>
      </c>
      <c r="G13" t="s">
        <v>484</v>
      </c>
      <c r="H13" t="s">
        <v>115</v>
      </c>
      <c r="I13" t="s">
        <v>539</v>
      </c>
      <c r="J13" t="s">
        <v>101</v>
      </c>
      <c r="K13" t="s">
        <v>101</v>
      </c>
      <c r="L13" t="s">
        <v>478</v>
      </c>
      <c r="M13" s="10" t="s">
        <v>478</v>
      </c>
      <c r="N13" s="9" t="s">
        <v>483</v>
      </c>
      <c r="O13" s="55" t="s">
        <v>186</v>
      </c>
      <c r="P13" s="55" t="s">
        <v>594</v>
      </c>
      <c r="Q13" t="s">
        <v>111</v>
      </c>
      <c r="R13" t="s">
        <v>113</v>
      </c>
      <c r="S13" t="s">
        <v>111</v>
      </c>
      <c r="T13" t="s">
        <v>115</v>
      </c>
      <c r="U13" t="s">
        <v>539</v>
      </c>
      <c r="V13" t="s">
        <v>101</v>
      </c>
      <c r="W13" t="s">
        <v>101</v>
      </c>
      <c r="X13" s="10" t="s">
        <v>478</v>
      </c>
      <c r="Y13" t="s">
        <v>540</v>
      </c>
    </row>
    <row r="14" spans="1:51" ht="13.5" thickBot="1" x14ac:dyDescent="0.25">
      <c r="B14" s="230" t="s">
        <v>413</v>
      </c>
      <c r="C14" s="230" t="s">
        <v>601</v>
      </c>
      <c r="D14" s="6" t="s">
        <v>112</v>
      </c>
      <c r="E14" s="230" t="s">
        <v>602</v>
      </c>
      <c r="F14" s="6" t="s">
        <v>114</v>
      </c>
      <c r="G14" s="6" t="s">
        <v>479</v>
      </c>
      <c r="H14" s="6" t="s">
        <v>116</v>
      </c>
      <c r="I14" s="6" t="s">
        <v>116</v>
      </c>
      <c r="J14" s="6" t="s">
        <v>112</v>
      </c>
      <c r="K14" s="6" t="s">
        <v>114</v>
      </c>
      <c r="L14" s="6" t="s">
        <v>479</v>
      </c>
      <c r="M14" s="8" t="s">
        <v>480</v>
      </c>
      <c r="N14" s="6"/>
      <c r="O14" s="6"/>
      <c r="P14" s="6"/>
      <c r="Q14" s="6" t="s">
        <v>112</v>
      </c>
      <c r="R14" s="6" t="s">
        <v>112</v>
      </c>
      <c r="S14" s="6" t="s">
        <v>114</v>
      </c>
      <c r="T14" s="6" t="s">
        <v>116</v>
      </c>
      <c r="U14" s="6" t="s">
        <v>116</v>
      </c>
      <c r="V14" s="6" t="s">
        <v>112</v>
      </c>
      <c r="W14" s="6" t="s">
        <v>114</v>
      </c>
      <c r="X14" s="8" t="s">
        <v>480</v>
      </c>
      <c r="Y14" s="8" t="s">
        <v>112</v>
      </c>
      <c r="Z14" t="s">
        <v>127</v>
      </c>
      <c r="AE14" t="s">
        <v>534</v>
      </c>
      <c r="AF14" t="s">
        <v>524</v>
      </c>
      <c r="AG14" t="s">
        <v>128</v>
      </c>
      <c r="AH14" t="s">
        <v>129</v>
      </c>
      <c r="AI14" t="s">
        <v>130</v>
      </c>
      <c r="AJ14" t="s">
        <v>135</v>
      </c>
      <c r="AK14" t="s">
        <v>131</v>
      </c>
      <c r="AL14" t="s">
        <v>136</v>
      </c>
      <c r="AM14" t="s">
        <v>137</v>
      </c>
      <c r="AN14" t="s">
        <v>132</v>
      </c>
      <c r="AO14" t="s">
        <v>133</v>
      </c>
      <c r="AP14" t="s">
        <v>134</v>
      </c>
      <c r="AQ14" t="s">
        <v>148</v>
      </c>
      <c r="AR14" t="s">
        <v>139</v>
      </c>
      <c r="AS14" t="s">
        <v>140</v>
      </c>
      <c r="AT14" t="s">
        <v>141</v>
      </c>
      <c r="AU14" t="s">
        <v>142</v>
      </c>
      <c r="AV14" t="s">
        <v>143</v>
      </c>
      <c r="AW14" t="s">
        <v>144</v>
      </c>
      <c r="AX14" t="s">
        <v>145</v>
      </c>
      <c r="AY14" t="s">
        <v>146</v>
      </c>
    </row>
    <row r="15" spans="1:51" x14ac:dyDescent="0.2">
      <c r="A15" t="s">
        <v>147</v>
      </c>
      <c r="G15" t="s">
        <v>489</v>
      </c>
      <c r="M15" s="4"/>
      <c r="N15"/>
      <c r="O15"/>
      <c r="P15"/>
      <c r="Z15">
        <f ca="1">Y5+Y6</f>
        <v>116361.74750993001</v>
      </c>
      <c r="AA15" t="s">
        <v>536</v>
      </c>
      <c r="AB15" t="s">
        <v>537</v>
      </c>
      <c r="AC15" t="s">
        <v>541</v>
      </c>
      <c r="AD15" t="s">
        <v>542</v>
      </c>
      <c r="AE15">
        <f ca="1">AG15/AK15</f>
        <v>2.8294608513672024E-2</v>
      </c>
      <c r="AF15">
        <f ca="1">SQRT(1/(1-AG15^2))</f>
        <v>1.0000929999060784</v>
      </c>
      <c r="AG15">
        <f ca="1">SQRT(E5*(E5+2*Y5))/(Z15+E5)</f>
        <v>1.3637223633351831E-2</v>
      </c>
      <c r="AH15">
        <f ca="1">SQRT(Z15*Z15+(2*E5*Y6))</f>
        <v>116770.88782832929</v>
      </c>
      <c r="AI15">
        <f ca="1">AH15+S10-Z15+Y8+Y10</f>
        <v>116770.88782832927</v>
      </c>
      <c r="AJ15">
        <f ca="1">(AI15*AI15+(Y8+Y10)*(Y8-Y10))/(2*AI15)</f>
        <v>3206.432101315741</v>
      </c>
      <c r="AK15">
        <f ca="1">SQRT(1-1/(POWER(AJ15/Y8,2)))</f>
        <v>0.48197251525011531</v>
      </c>
      <c r="AL15">
        <f ca="1">POWER(AJ15/Y8,2)*(1-AG15*AG15)</f>
        <v>1.3023456784859404</v>
      </c>
      <c r="AP15">
        <f ca="1">1-AL15</f>
        <v>-0.30234567848594041</v>
      </c>
    </row>
    <row r="16" spans="1:51" x14ac:dyDescent="0.2">
      <c r="A16" s="193">
        <v>1</v>
      </c>
      <c r="B16" s="193">
        <v>0</v>
      </c>
      <c r="C16">
        <f>B16/180*3.1415926</f>
        <v>0</v>
      </c>
      <c r="D16" s="208">
        <f t="shared" ref="D16:D26" ca="1" si="0">IF(ISNUMBER(F16),IF(ABS(AT16-1)&lt;0.000001,0,IF(ABS(AT16+1)&lt;0.000001,180,ROUND(DEGREES(ACOS(AT16)),3)))," ")</f>
        <v>0</v>
      </c>
      <c r="E16" t="e">
        <f ca="1">D16/B16</f>
        <v>#DIV/0!</v>
      </c>
      <c r="F16" s="4">
        <f t="shared" ref="F16:F26" ca="1" si="1">IF(AR16&gt;0.0000001,$Y$8*((1/SQRT(1-AR16*AR16))-1),"none")</f>
        <v>418.37539728023131</v>
      </c>
      <c r="G16">
        <f ca="1">SQRT((mass_rmd.mas!$A$2*$K$8+F16)^2-(mass_rmd.mas!$A$2*$K$8)^2)</f>
        <v>1589.2867662562201</v>
      </c>
      <c r="H16" s="77">
        <f t="shared" ref="H16:H26" ca="1" si="2">IF(ISNUMBER(F16),$AK$15*(1+AN16/AR16)/(1+$AG$15*$AK$15*AT16)/AR16," ")</f>
        <v>0.94554914785129485</v>
      </c>
      <c r="I16">
        <f ca="1">1/H16</f>
        <v>1.0575864853481616</v>
      </c>
      <c r="J16" s="11">
        <f t="shared" ref="J16:J26" ca="1" si="3">IF(ISNUMBER(F16),IF( AND( ( (F16*(F16+2*$Y$8)*AM16*AM16) &gt; ($E$5*($E$5+2*$Y$5)) ), ( B16&lt;(90) ) ), 180-AU16, AU16)," ")</f>
        <v>0</v>
      </c>
      <c r="K16" s="4">
        <f t="shared" ref="K16:K26" ca="1" si="4">IF(ISNUMBER(F16),$E$5+$S$10-F16," ")</f>
        <v>4.7719768701881549E-5</v>
      </c>
      <c r="L16" s="4">
        <f t="shared" ref="L16:L26" ca="1" si="5">SQRT(($Y$10+K16)^2-$Y$10^2)</f>
        <v>3.2920415801600882</v>
      </c>
      <c r="M16" s="4">
        <f t="shared" ref="M16:M26" ca="1" si="6">L16/197.32696</f>
        <v>1.6683181964390916E-2</v>
      </c>
      <c r="N16">
        <f ca="1">G16/$L$5</f>
        <v>0.99793288670194813</v>
      </c>
      <c r="O16">
        <f ca="1">F16/16</f>
        <v>26.148462330014457</v>
      </c>
      <c r="P16">
        <v>3.351</v>
      </c>
      <c r="Q16" t="str">
        <f t="shared" ref="Q16:Q26" ca="1" si="7">IF(ISNUMBER(S16),B16," ")</f>
        <v xml:space="preserve"> </v>
      </c>
      <c r="R16" s="11" t="str">
        <f t="shared" ref="R16:R26" ca="1" si="8">IF(ISNUMBER(S16), IF( ABS(AX16-1)&lt;0.000001,0, IF(ABS(AX16+1)&lt;0.000001,180,ROUND(DEGREES(ACOS(AX16)),3)))," ")</f>
        <v xml:space="preserve"> </v>
      </c>
      <c r="S16" s="4" t="str">
        <f ca="1">IF(AV16&gt;0.0000001,$Y$8*((1/SQRT(1-AV16*AV16))-1),"none")</f>
        <v>none</v>
      </c>
      <c r="T16" s="4" t="str">
        <f t="shared" ref="T16:T26" ca="1" si="9">IF(ISNUMBER(S16),ABS($AK$15*(1+AN16/AV16)/(1+$AG$15*$AK$15*AX16)/AV16)," ")</f>
        <v xml:space="preserve"> </v>
      </c>
      <c r="U16" s="4" t="e">
        <f ca="1">1/T16</f>
        <v>#VALUE!</v>
      </c>
      <c r="V16" s="11" t="str">
        <f t="shared" ref="V16:V26" ca="1" si="10">IF(ISNUMBER(S16),IF( AND( ( (S16*(S16+2*$Y$8)*AM16*AM16) &gt; ($E$5*($E$5+2*$Y$5)) ), ( B16&lt;90 ) ), 180-AY16, AY16)," ")</f>
        <v xml:space="preserve"> </v>
      </c>
      <c r="W16" s="4" t="str">
        <f t="shared" ref="W16:W26" ca="1" si="11">IF(ISNUMBER(S16),$E$5+$S$10-S16," ")</f>
        <v xml:space="preserve"> </v>
      </c>
      <c r="X16" s="4" t="e">
        <f ca="1">SQRT(($Y$10+W16)^2-$Y$10^2)</f>
        <v>#VALUE!</v>
      </c>
      <c r="Y16" s="4" t="e">
        <f ca="1">180-R16</f>
        <v>#VALUE!</v>
      </c>
      <c r="AA16">
        <f ca="1">D16/180*$AA$12</f>
        <v>0</v>
      </c>
      <c r="AB16">
        <f ca="1">$AA$12-AA16</f>
        <v>3.1415926540000001</v>
      </c>
      <c r="AC16">
        <f ca="1">($AF$15*(1+$AE$15*COS(AA16))/((SIN(AA16))^2+$AF$15^2*(COS(AA16)+$AE$15)^2)^1.5)</f>
        <v>0.94554914785129462</v>
      </c>
      <c r="AD16">
        <f t="shared" ref="AD16:AD26" ca="1" si="12">ABS($AF$15*(1+$AJ$8*COS(AB16))/((SIN(AB16))^2+$AF$15^2*(COS(AB16)+$AJ$8)^2)^1.5)</f>
        <v>220372.91465700537</v>
      </c>
      <c r="AM16">
        <f>COS(RADIANS(B16))</f>
        <v>1</v>
      </c>
      <c r="AN16">
        <f ca="1">-$AG$15*AM16</f>
        <v>-1.3637223633351831E-2</v>
      </c>
      <c r="AO16">
        <f ca="1">$AL$15+AN16*AN16</f>
        <v>1.3025316523543664</v>
      </c>
      <c r="AQ16">
        <f ca="1">AN16*AN16-AO16*$AP$15</f>
        <v>0.39400079004892002</v>
      </c>
      <c r="AR16">
        <f t="shared" ref="AR16:AR26" ca="1" si="13">IF(ISNUMBER(SQRT(AQ16)),(-AN16+SQRT(AQ16))/AO16,-100)</f>
        <v>0.49237348271660886</v>
      </c>
      <c r="AS16">
        <f t="shared" ref="AS16:AS26" ca="1" si="14">(AR16*AM16-$AG$15)/((1-$AG$15*AR16*AM16)*$AK$15)</f>
        <v>1.0000000000000002</v>
      </c>
      <c r="AT16">
        <f ca="1">IF(ABS(AS16)&lt;=1,AS16,IF(ABS(AS16)&lt;=1.00001,1*SIGN(AS16),0))</f>
        <v>1.0000000000000002</v>
      </c>
      <c r="AU16" s="4">
        <f t="shared" ref="AU16:AU26" ca="1" si="15">DEGREES(ASIN( SQRT( (F16*(F16+2*$Y$8)) / (K16*(K16+2*$Y$10)) ) * SIN(RADIANS(B16))  ))</f>
        <v>0</v>
      </c>
      <c r="AV16">
        <f t="shared" ref="AV16:AV26" ca="1" si="16">IF(ISNUMBER(SQRT(AQ16)),(-AN16-SQRT(AQ16))/AO16,-100)</f>
        <v>-0.47143391689691894</v>
      </c>
      <c r="AW16">
        <f t="shared" ref="AW16:AW26" ca="1" si="17">(AV16*AM16-$AG$15)/((1-$AG$15*AV16*AM16)*$AK$15)</f>
        <v>-1</v>
      </c>
      <c r="AX16">
        <f ca="1">IF(ABS(AW16)&lt;=1,AW16,IF(ABS(AW16)&lt;=1.00001,1*SIGN(AW16),0))</f>
        <v>-1</v>
      </c>
      <c r="AY16" s="4" t="str">
        <f t="shared" ref="AY16:AY26" ca="1" si="18">IF(ISNUMBER(S16),DEGREES(ASIN( SQRT( (S16*(S16+2*$Y$8)) / (W16*(W16+2*$Y$10)) ) * SIN(RADIANS(B16)) ) ),"ignore")</f>
        <v>ignore</v>
      </c>
    </row>
    <row r="17" spans="2:51" x14ac:dyDescent="0.2">
      <c r="B17">
        <f>B16+A16</f>
        <v>1</v>
      </c>
      <c r="C17">
        <f t="shared" ref="C17:C26" si="19">B17/180*3.1415926</f>
        <v>1.7453292222222222E-2</v>
      </c>
      <c r="D17" s="208">
        <f t="shared" ca="1" si="0"/>
        <v>1.028</v>
      </c>
      <c r="E17">
        <f t="shared" ref="E17:E26" ca="1" si="20">D17/B17</f>
        <v>1.028</v>
      </c>
      <c r="F17" s="4">
        <f t="shared" ca="1" si="1"/>
        <v>418.37200229089541</v>
      </c>
      <c r="G17">
        <f ca="1">SQRT((mass_rmd.mas!$A$2*$K$8+F17)^2-(mass_rmd.mas!$A$2*$K$8)^2)</f>
        <v>1589.2798710942459</v>
      </c>
      <c r="H17" s="77">
        <f t="shared" ca="1" si="2"/>
        <v>0.94555726396215356</v>
      </c>
      <c r="I17">
        <f t="shared" ref="I17:I26" ca="1" si="21">1/H17</f>
        <v>1.0575774076439495</v>
      </c>
      <c r="J17" s="11">
        <f t="shared" ca="1" si="3"/>
        <v>82.724733541715565</v>
      </c>
      <c r="K17" s="4">
        <f t="shared" ca="1" si="4"/>
        <v>3.4427091046040914E-3</v>
      </c>
      <c r="L17" s="4">
        <f t="shared" ca="1" si="5"/>
        <v>27.961873663690344</v>
      </c>
      <c r="M17" s="4">
        <f t="shared" ca="1" si="6"/>
        <v>0.14170326073887898</v>
      </c>
      <c r="N17">
        <f t="shared" ref="N17:N26" ca="1" si="22">G17/$L$5</f>
        <v>0.99792855714416207</v>
      </c>
      <c r="O17">
        <f t="shared" ref="O17:O26" ca="1" si="23">F17/16</f>
        <v>26.148250143180963</v>
      </c>
      <c r="P17"/>
      <c r="Q17" t="str">
        <f t="shared" ca="1" si="7"/>
        <v xml:space="preserve"> </v>
      </c>
      <c r="R17" s="11" t="str">
        <f t="shared" ca="1" si="8"/>
        <v xml:space="preserve"> </v>
      </c>
      <c r="S17" s="4" t="str">
        <f t="shared" ref="S17:S26" ca="1" si="24">IF(AV17&gt;0.0000001,$Y$8*((1/SQRT(1-AV17*AV17))-1),"none")</f>
        <v>none</v>
      </c>
      <c r="T17" s="4" t="str">
        <f t="shared" ca="1" si="9"/>
        <v xml:space="preserve"> </v>
      </c>
      <c r="U17" s="4" t="e">
        <f t="shared" ref="U17:U26" ca="1" si="25">1/T17</f>
        <v>#VALUE!</v>
      </c>
      <c r="V17" s="11" t="str">
        <f t="shared" ca="1" si="10"/>
        <v xml:space="preserve"> </v>
      </c>
      <c r="W17" s="4" t="str">
        <f t="shared" ca="1" si="11"/>
        <v xml:space="preserve"> </v>
      </c>
      <c r="X17" s="4" t="e">
        <f t="shared" ref="X17:X26" ca="1" si="26">SQRT(($Y$10+W17)^2-$Y$10^2)</f>
        <v>#VALUE!</v>
      </c>
      <c r="Y17" s="4" t="e">
        <f t="shared" ref="Y17:Y26" ca="1" si="27">180-R17</f>
        <v>#VALUE!</v>
      </c>
      <c r="AA17">
        <f t="shared" ref="AA17:AA26" ca="1" si="28">D17/180*$AA$12</f>
        <v>1.7941984712844444E-2</v>
      </c>
      <c r="AB17">
        <f t="shared" ref="AB17:AB26" ca="1" si="29">$AA$12-AA17</f>
        <v>3.1236506692871555</v>
      </c>
      <c r="AC17">
        <f t="shared" ref="AC17:AC26" ca="1" si="30">($AF$15*(1+$AE$15*COS(AA17))/((SIN(AA17))^2+$AF$15^2*(COS(AA17)+$AE$15)^2)^1.5)</f>
        <v>0.94555725782679834</v>
      </c>
      <c r="AD17">
        <f t="shared" ca="1" si="12"/>
        <v>332.76818587693589</v>
      </c>
      <c r="AM17">
        <f t="shared" ref="AM17:AM26" si="31">COS(RADIANS(B17))</f>
        <v>0.99984769515639127</v>
      </c>
      <c r="AN17">
        <f t="shared" ref="AN17:AN26" ca="1" si="32">-$AG$15*AM17</f>
        <v>-1.3635146618139096E-2</v>
      </c>
      <c r="AO17">
        <f t="shared" ref="AO17:AO26" ca="1" si="33">$AL$15+AN17*AN17</f>
        <v>1.3025315957092385</v>
      </c>
      <c r="AQ17">
        <f t="shared" ref="AQ17:AQ26" ca="1" si="34">AN17*AN17-AO17*$AP$15</f>
        <v>0.39400071627738248</v>
      </c>
      <c r="AR17">
        <f t="shared" ca="1" si="13"/>
        <v>0.49237186441535574</v>
      </c>
      <c r="AS17">
        <f t="shared" ca="1" si="14"/>
        <v>0.99983892514703654</v>
      </c>
      <c r="AT17">
        <f t="shared" ref="AT17:AT26" ca="1" si="35">IF(ABS(AS17)&lt;=1,AS17,IF(ABS(AS17)&lt;=1.00001,1*SIGN(AS17),0))</f>
        <v>0.99983892514703654</v>
      </c>
      <c r="AU17" s="4">
        <f t="shared" ca="1" si="15"/>
        <v>82.724733541715565</v>
      </c>
      <c r="AV17">
        <f t="shared" ca="1" si="16"/>
        <v>-0.47143548688247183</v>
      </c>
      <c r="AW17">
        <f t="shared" ca="1" si="17"/>
        <v>-0.99985616466317118</v>
      </c>
      <c r="AX17">
        <f t="shared" ref="AX17:AX26" ca="1" si="36">IF(ABS(AW17)&lt;=1,AW17,IF(ABS(AW17)&lt;=1.00001,1*SIGN(AW17),0))</f>
        <v>-0.99985616466317118</v>
      </c>
      <c r="AY17" s="4" t="str">
        <f t="shared" ca="1" si="18"/>
        <v>ignore</v>
      </c>
    </row>
    <row r="18" spans="2:51" x14ac:dyDescent="0.2">
      <c r="B18">
        <f>B16+A16*2</f>
        <v>2</v>
      </c>
      <c r="C18">
        <f t="shared" si="19"/>
        <v>3.4906584444444444E-2</v>
      </c>
      <c r="D18" s="208">
        <f t="shared" ca="1" si="0"/>
        <v>2.0569999999999999</v>
      </c>
      <c r="E18">
        <f t="shared" ca="1" si="20"/>
        <v>1.0285</v>
      </c>
      <c r="F18" s="4">
        <f t="shared" ca="1" si="1"/>
        <v>418.36181853184797</v>
      </c>
      <c r="G18">
        <f ca="1">SQRT((mass_rmd.mas!$A$2*$K$8+F18)^2-(mass_rmd.mas!$A$2*$K$8)^2)</f>
        <v>1589.25918792775</v>
      </c>
      <c r="H18" s="77">
        <f t="shared" ca="1" si="2"/>
        <v>0.94558161027402532</v>
      </c>
      <c r="I18">
        <f t="shared" ca="1" si="21"/>
        <v>1.0575501777262826</v>
      </c>
      <c r="J18" s="11">
        <f t="shared" ca="1" si="3"/>
        <v>85.579457235511541</v>
      </c>
      <c r="K18" s="4">
        <f t="shared" ca="1" si="4"/>
        <v>1.3626468152040161E-2</v>
      </c>
      <c r="L18" s="4">
        <f t="shared" ca="1" si="5"/>
        <v>55.629834460077838</v>
      </c>
      <c r="M18" s="4">
        <f t="shared" ca="1" si="6"/>
        <v>0.28191705005782197</v>
      </c>
      <c r="N18">
        <f t="shared" ca="1" si="22"/>
        <v>0.99791556992720054</v>
      </c>
      <c r="O18">
        <f t="shared" ca="1" si="23"/>
        <v>26.147613658240498</v>
      </c>
      <c r="P18"/>
      <c r="Q18" t="str">
        <f t="shared" ca="1" si="7"/>
        <v xml:space="preserve"> </v>
      </c>
      <c r="R18" s="11" t="str">
        <f t="shared" ca="1" si="8"/>
        <v xml:space="preserve"> </v>
      </c>
      <c r="S18" s="4" t="str">
        <f t="shared" ca="1" si="24"/>
        <v>none</v>
      </c>
      <c r="T18" s="4" t="str">
        <f t="shared" ca="1" si="9"/>
        <v xml:space="preserve"> </v>
      </c>
      <c r="U18" s="4" t="e">
        <f t="shared" ca="1" si="25"/>
        <v>#VALUE!</v>
      </c>
      <c r="V18" s="11" t="str">
        <f t="shared" ca="1" si="10"/>
        <v xml:space="preserve"> </v>
      </c>
      <c r="W18" s="4" t="str">
        <f t="shared" ca="1" si="11"/>
        <v xml:space="preserve"> </v>
      </c>
      <c r="X18" s="4" t="e">
        <f t="shared" ca="1" si="26"/>
        <v>#VALUE!</v>
      </c>
      <c r="Y18" s="4" t="e">
        <f t="shared" ca="1" si="27"/>
        <v>#VALUE!</v>
      </c>
      <c r="AA18">
        <f t="shared" ca="1" si="28"/>
        <v>3.5901422718211111E-2</v>
      </c>
      <c r="AB18">
        <f t="shared" ca="1" si="29"/>
        <v>3.105691231281789</v>
      </c>
      <c r="AC18">
        <f t="shared" ca="1" si="30"/>
        <v>0.94558161757084935</v>
      </c>
      <c r="AD18">
        <f t="shared" ca="1" si="12"/>
        <v>31.813376910040322</v>
      </c>
      <c r="AM18">
        <f t="shared" si="31"/>
        <v>0.99939082701909576</v>
      </c>
      <c r="AN18">
        <f t="shared" ca="1" si="32"/>
        <v>-1.3628916205179845E-2</v>
      </c>
      <c r="AO18">
        <f t="shared" ca="1" si="33"/>
        <v>1.3025314258428682</v>
      </c>
      <c r="AQ18">
        <f t="shared" ca="1" si="34"/>
        <v>0.39400049505264917</v>
      </c>
      <c r="AR18">
        <f t="shared" ca="1" si="13"/>
        <v>0.49236701002533495</v>
      </c>
      <c r="AS18">
        <f t="shared" ca="1" si="14"/>
        <v>0.99935575794702569</v>
      </c>
      <c r="AT18">
        <f t="shared" ca="1" si="35"/>
        <v>0.99935575794702569</v>
      </c>
      <c r="AU18" s="4">
        <f t="shared" ca="1" si="15"/>
        <v>85.579457235511541</v>
      </c>
      <c r="AV18">
        <f t="shared" ca="1" si="16"/>
        <v>-0.4714401963841815</v>
      </c>
      <c r="AW18">
        <f t="shared" ca="1" si="17"/>
        <v>-0.99942469499615783</v>
      </c>
      <c r="AX18">
        <f t="shared" ca="1" si="36"/>
        <v>-0.99942469499615783</v>
      </c>
      <c r="AY18" s="4" t="str">
        <f t="shared" ca="1" si="18"/>
        <v>ignore</v>
      </c>
    </row>
    <row r="19" spans="2:51" x14ac:dyDescent="0.2">
      <c r="B19">
        <f>B16+A16*3</f>
        <v>3</v>
      </c>
      <c r="C19">
        <f t="shared" si="19"/>
        <v>5.2359876666666666E-2</v>
      </c>
      <c r="D19" s="208">
        <f t="shared" ca="1" si="0"/>
        <v>3.085</v>
      </c>
      <c r="E19">
        <f t="shared" ca="1" si="20"/>
        <v>1.0283333333333333</v>
      </c>
      <c r="F19" s="4">
        <f t="shared" ca="1" si="1"/>
        <v>418.34484962936762</v>
      </c>
      <c r="G19">
        <f ca="1">SQRT((mass_rmd.mas!$A$2*$K$8+F19)^2-(mass_rmd.mas!$A$2*$K$8)^2)</f>
        <v>1589.2247237140159</v>
      </c>
      <c r="H19" s="77">
        <f t="shared" ca="1" si="2"/>
        <v>0.94562218072490312</v>
      </c>
      <c r="I19">
        <f t="shared" ca="1" si="21"/>
        <v>1.0575048051785454</v>
      </c>
      <c r="J19" s="11">
        <f t="shared" ca="1" si="3"/>
        <v>86.194734978959744</v>
      </c>
      <c r="K19" s="4">
        <f t="shared" ca="1" si="4"/>
        <v>3.0595370632397589E-2</v>
      </c>
      <c r="L19" s="4">
        <f t="shared" ca="1" si="5"/>
        <v>83.357367416847069</v>
      </c>
      <c r="M19" s="4">
        <f t="shared" ca="1" si="6"/>
        <v>0.42243273507506052</v>
      </c>
      <c r="N19">
        <f t="shared" ca="1" si="22"/>
        <v>0.9978939294196284</v>
      </c>
      <c r="O19">
        <f t="shared" ca="1" si="23"/>
        <v>26.146553101835476</v>
      </c>
      <c r="P19"/>
      <c r="Q19" t="str">
        <f t="shared" ca="1" si="7"/>
        <v xml:space="preserve"> </v>
      </c>
      <c r="R19" s="11" t="str">
        <f t="shared" ca="1" si="8"/>
        <v xml:space="preserve"> </v>
      </c>
      <c r="S19" s="4" t="str">
        <f t="shared" ca="1" si="24"/>
        <v>none</v>
      </c>
      <c r="T19" s="4" t="str">
        <f t="shared" ca="1" si="9"/>
        <v xml:space="preserve"> </v>
      </c>
      <c r="U19" s="4" t="e">
        <f t="shared" ca="1" si="25"/>
        <v>#VALUE!</v>
      </c>
      <c r="V19" s="11" t="str">
        <f t="shared" ca="1" si="10"/>
        <v xml:space="preserve"> </v>
      </c>
      <c r="W19" s="4" t="str">
        <f t="shared" ca="1" si="11"/>
        <v xml:space="preserve"> </v>
      </c>
      <c r="X19" s="4" t="e">
        <f t="shared" ca="1" si="26"/>
        <v>#VALUE!</v>
      </c>
      <c r="Y19" s="4" t="e">
        <f t="shared" ca="1" si="27"/>
        <v>#VALUE!</v>
      </c>
      <c r="AA19">
        <f t="shared" ca="1" si="28"/>
        <v>5.3843407431055555E-2</v>
      </c>
      <c r="AB19">
        <f t="shared" ca="1" si="29"/>
        <v>3.0877492465689445</v>
      </c>
      <c r="AC19">
        <f t="shared" ca="1" si="30"/>
        <v>0.94562217450325059</v>
      </c>
      <c r="AD19">
        <f t="shared" ca="1" si="12"/>
        <v>4.3195815093066772</v>
      </c>
      <c r="AM19">
        <f t="shared" si="31"/>
        <v>0.99862953475457383</v>
      </c>
      <c r="AN19">
        <f t="shared" ca="1" si="32"/>
        <v>-1.3618534292318218E-2</v>
      </c>
      <c r="AO19">
        <f t="shared" ca="1" si="33"/>
        <v>1.3025311429622115</v>
      </c>
      <c r="AQ19">
        <f t="shared" ca="1" si="34"/>
        <v>0.39400012664424833</v>
      </c>
      <c r="AR19">
        <f t="shared" ca="1" si="13"/>
        <v>0.492358921087583</v>
      </c>
      <c r="AS19">
        <f t="shared" ca="1" si="14"/>
        <v>0.99855067044837731</v>
      </c>
      <c r="AT19">
        <f t="shared" ca="1" si="35"/>
        <v>0.99855067044837731</v>
      </c>
      <c r="AU19" s="4">
        <f t="shared" ca="1" si="15"/>
        <v>86.194734978959744</v>
      </c>
      <c r="AV19">
        <f t="shared" ca="1" si="16"/>
        <v>-0.47144804403730844</v>
      </c>
      <c r="AW19">
        <f t="shared" ca="1" si="17"/>
        <v>-0.99870570002680858</v>
      </c>
      <c r="AX19">
        <f t="shared" ca="1" si="36"/>
        <v>-0.99870570002680858</v>
      </c>
      <c r="AY19" s="4" t="str">
        <f t="shared" ca="1" si="18"/>
        <v>ignore</v>
      </c>
    </row>
    <row r="20" spans="2:51" x14ac:dyDescent="0.2">
      <c r="B20">
        <f>B16+A16*4</f>
        <v>4</v>
      </c>
      <c r="C20">
        <f t="shared" si="19"/>
        <v>6.9813168888888888E-2</v>
      </c>
      <c r="D20" s="208">
        <f t="shared" ca="1" si="0"/>
        <v>4.1130000000000004</v>
      </c>
      <c r="E20">
        <f t="shared" ca="1" si="20"/>
        <v>1.0282500000000001</v>
      </c>
      <c r="F20" s="4">
        <f t="shared" ca="1" si="1"/>
        <v>418.32110162527198</v>
      </c>
      <c r="G20">
        <f ca="1">SQRT((mass_rmd.mas!$A$2*$K$8+F20)^2-(mass_rmd.mas!$A$2*$K$8)^2)</f>
        <v>1589.1764900452383</v>
      </c>
      <c r="H20" s="77">
        <f t="shared" ca="1" si="2"/>
        <v>0.94567896521180328</v>
      </c>
      <c r="I20">
        <f t="shared" ca="1" si="21"/>
        <v>1.0574413059679619</v>
      </c>
      <c r="J20" s="11">
        <f t="shared" ca="1" si="3"/>
        <v>86.246074386692342</v>
      </c>
      <c r="K20" s="4">
        <f t="shared" ca="1" si="4"/>
        <v>5.4343374728034632E-2</v>
      </c>
      <c r="L20" s="4">
        <f t="shared" ca="1" si="5"/>
        <v>111.09370633109693</v>
      </c>
      <c r="M20" s="4">
        <f t="shared" ca="1" si="6"/>
        <v>0.56299304631813574</v>
      </c>
      <c r="N20">
        <f t="shared" ca="1" si="22"/>
        <v>0.99786364290032836</v>
      </c>
      <c r="O20">
        <f t="shared" ca="1" si="23"/>
        <v>26.145068851579499</v>
      </c>
      <c r="P20"/>
      <c r="Q20" t="str">
        <f t="shared" ca="1" si="7"/>
        <v xml:space="preserve"> </v>
      </c>
      <c r="R20" s="11" t="str">
        <f t="shared" ca="1" si="8"/>
        <v xml:space="preserve"> </v>
      </c>
      <c r="S20" s="4" t="str">
        <f t="shared" ca="1" si="24"/>
        <v>none</v>
      </c>
      <c r="T20" s="4" t="str">
        <f t="shared" ca="1" si="9"/>
        <v xml:space="preserve"> </v>
      </c>
      <c r="U20" s="4" t="e">
        <f t="shared" ca="1" si="25"/>
        <v>#VALUE!</v>
      </c>
      <c r="V20" s="11" t="str">
        <f t="shared" ca="1" si="10"/>
        <v xml:space="preserve"> </v>
      </c>
      <c r="W20" s="4" t="str">
        <f t="shared" ca="1" si="11"/>
        <v xml:space="preserve"> </v>
      </c>
      <c r="X20" s="4" t="e">
        <f t="shared" ca="1" si="26"/>
        <v>#VALUE!</v>
      </c>
      <c r="Y20" s="4" t="e">
        <f t="shared" ca="1" si="27"/>
        <v>#VALUE!</v>
      </c>
      <c r="AA20">
        <f t="shared" ca="1" si="28"/>
        <v>7.1785392143900006E-2</v>
      </c>
      <c r="AB20">
        <f t="shared" ca="1" si="29"/>
        <v>3.0698072618561003</v>
      </c>
      <c r="AC20">
        <f t="shared" ca="1" si="30"/>
        <v>0.94567893569204498</v>
      </c>
      <c r="AD20">
        <f t="shared" ca="1" si="12"/>
        <v>1.214444909765986</v>
      </c>
      <c r="AM20">
        <f t="shared" si="31"/>
        <v>0.9975640502598242</v>
      </c>
      <c r="AN20">
        <f t="shared" ca="1" si="32"/>
        <v>-1.3604004041985449E-2</v>
      </c>
      <c r="AO20">
        <f t="shared" ca="1" si="33"/>
        <v>1.3025307474119148</v>
      </c>
      <c r="AQ20">
        <f t="shared" ca="1" si="34"/>
        <v>0.3939996115010288</v>
      </c>
      <c r="AR20">
        <f t="shared" ca="1" si="13"/>
        <v>0.49234760016989437</v>
      </c>
      <c r="AS20">
        <f t="shared" ca="1" si="14"/>
        <v>0.99742394930435985</v>
      </c>
      <c r="AT20">
        <f t="shared" ca="1" si="35"/>
        <v>0.99742394930435985</v>
      </c>
      <c r="AU20" s="4">
        <f t="shared" ca="1" si="15"/>
        <v>86.246074386692342</v>
      </c>
      <c r="AV20">
        <f t="shared" ca="1" si="16"/>
        <v>-0.47145902756764885</v>
      </c>
      <c r="AW20">
        <f t="shared" ca="1" si="17"/>
        <v>-0.99769936145963101</v>
      </c>
      <c r="AX20">
        <f t="shared" ca="1" si="36"/>
        <v>-0.99769936145963101</v>
      </c>
      <c r="AY20" s="4" t="str">
        <f t="shared" ca="1" si="18"/>
        <v>ignore</v>
      </c>
    </row>
    <row r="21" spans="2:51" x14ac:dyDescent="0.2">
      <c r="B21">
        <f>B16+A16*5</f>
        <v>5</v>
      </c>
      <c r="C21">
        <f t="shared" si="19"/>
        <v>8.726646111111111E-2</v>
      </c>
      <c r="D21" s="208">
        <f t="shared" ca="1" si="0"/>
        <v>5.1420000000000003</v>
      </c>
      <c r="E21">
        <f t="shared" ca="1" si="20"/>
        <v>1.0284</v>
      </c>
      <c r="F21" s="4">
        <f t="shared" ca="1" si="1"/>
        <v>418.29058297394278</v>
      </c>
      <c r="G21">
        <f ca="1">SQRT((mass_rmd.mas!$A$2*$K$8+F21)^2-(mass_rmd.mas!$A$2*$K$8)^2)</f>
        <v>1589.1145031436067</v>
      </c>
      <c r="H21" s="77">
        <f t="shared" ca="1" si="2"/>
        <v>0.94575194959130393</v>
      </c>
      <c r="I21">
        <f t="shared" ca="1" si="21"/>
        <v>1.0573597024379793</v>
      </c>
      <c r="J21" s="11">
        <f t="shared" ca="1" si="3"/>
        <v>86.071444209006856</v>
      </c>
      <c r="K21" s="4">
        <f t="shared" ca="1" si="4"/>
        <v>8.4862026057237472E-2</v>
      </c>
      <c r="L21" s="4">
        <f t="shared" ca="1" si="5"/>
        <v>138.82666185903548</v>
      </c>
      <c r="M21" s="4">
        <f t="shared" ca="1" si="6"/>
        <v>0.70353621146869882</v>
      </c>
      <c r="N21">
        <f t="shared" ca="1" si="22"/>
        <v>0.99782472055541471</v>
      </c>
      <c r="O21">
        <f t="shared" ca="1" si="23"/>
        <v>26.143161435871423</v>
      </c>
      <c r="P21"/>
      <c r="Q21" t="str">
        <f t="shared" ca="1" si="7"/>
        <v xml:space="preserve"> </v>
      </c>
      <c r="R21" s="11" t="str">
        <f t="shared" ca="1" si="8"/>
        <v xml:space="preserve"> </v>
      </c>
      <c r="S21" s="4" t="str">
        <f t="shared" ca="1" si="24"/>
        <v>none</v>
      </c>
      <c r="T21" s="4" t="str">
        <f t="shared" ca="1" si="9"/>
        <v xml:space="preserve"> </v>
      </c>
      <c r="U21" s="4" t="e">
        <f t="shared" ca="1" si="25"/>
        <v>#VALUE!</v>
      </c>
      <c r="V21" s="11" t="str">
        <f t="shared" ca="1" si="10"/>
        <v xml:space="preserve"> </v>
      </c>
      <c r="W21" s="4" t="str">
        <f t="shared" ca="1" si="11"/>
        <v xml:space="preserve"> </v>
      </c>
      <c r="X21" s="4" t="e">
        <f t="shared" ca="1" si="26"/>
        <v>#VALUE!</v>
      </c>
      <c r="Y21" s="4" t="e">
        <f t="shared" ca="1" si="27"/>
        <v>#VALUE!</v>
      </c>
      <c r="AA21">
        <f t="shared" ca="1" si="28"/>
        <v>8.9744830149266666E-2</v>
      </c>
      <c r="AB21">
        <f t="shared" ca="1" si="29"/>
        <v>3.0518478238507334</v>
      </c>
      <c r="AC21">
        <f t="shared" ca="1" si="30"/>
        <v>0.9457519677763554</v>
      </c>
      <c r="AD21">
        <f t="shared" ca="1" si="12"/>
        <v>2.624942218251209</v>
      </c>
      <c r="AM21">
        <f t="shared" si="31"/>
        <v>0.99619469809174555</v>
      </c>
      <c r="AN21">
        <f t="shared" ca="1" si="32"/>
        <v>-1.3585329880236545E-2</v>
      </c>
      <c r="AO21">
        <f t="shared" ca="1" si="33"/>
        <v>1.3025302396738954</v>
      </c>
      <c r="AQ21">
        <f t="shared" ca="1" si="34"/>
        <v>0.39399895025061332</v>
      </c>
      <c r="AR21">
        <f t="shared" ca="1" si="13"/>
        <v>0.49233305086592372</v>
      </c>
      <c r="AS21">
        <f t="shared" ca="1" si="14"/>
        <v>0.99597599563206285</v>
      </c>
      <c r="AT21">
        <f t="shared" ca="1" si="35"/>
        <v>0.99597599563206285</v>
      </c>
      <c r="AU21" s="4">
        <f t="shared" ca="1" si="15"/>
        <v>86.071444209006856</v>
      </c>
      <c r="AV21">
        <f t="shared" ca="1" si="16"/>
        <v>-0.47147314379207678</v>
      </c>
      <c r="AW21">
        <f t="shared" ca="1" si="17"/>
        <v>-0.99640593366289931</v>
      </c>
      <c r="AX21">
        <f t="shared" ca="1" si="36"/>
        <v>-0.99640593366289931</v>
      </c>
      <c r="AY21" s="4" t="str">
        <f t="shared" ca="1" si="18"/>
        <v>ignore</v>
      </c>
    </row>
    <row r="22" spans="2:51" x14ac:dyDescent="0.2">
      <c r="B22">
        <f>B16+A16*6</f>
        <v>6</v>
      </c>
      <c r="C22">
        <f t="shared" si="19"/>
        <v>0.10471975333333333</v>
      </c>
      <c r="D22" s="208">
        <f t="shared" ca="1" si="0"/>
        <v>6.17</v>
      </c>
      <c r="E22">
        <f t="shared" ca="1" si="20"/>
        <v>1.0283333333333333</v>
      </c>
      <c r="F22" s="4">
        <f t="shared" ca="1" si="1"/>
        <v>418.25330453816667</v>
      </c>
      <c r="G22">
        <f ca="1">SQRT((mass_rmd.mas!$A$2*$K$8+F22)^2-(mass_rmd.mas!$A$2*$K$8)^2)</f>
        <v>1589.03878385442</v>
      </c>
      <c r="H22" s="77">
        <f t="shared" ca="1" si="2"/>
        <v>0.94584111568030715</v>
      </c>
      <c r="I22">
        <f t="shared" ca="1" si="21"/>
        <v>1.057260023297611</v>
      </c>
      <c r="J22" s="11">
        <f t="shared" ca="1" si="3"/>
        <v>85.783758597950182</v>
      </c>
      <c r="K22" s="4">
        <f t="shared" ca="1" si="4"/>
        <v>0.12214046183333949</v>
      </c>
      <c r="L22" s="4">
        <f t="shared" ca="1" si="5"/>
        <v>166.55052171761147</v>
      </c>
      <c r="M22" s="4">
        <f t="shared" ca="1" si="6"/>
        <v>0.84403328221147</v>
      </c>
      <c r="N22">
        <f t="shared" ca="1" si="22"/>
        <v>0.99777717547390932</v>
      </c>
      <c r="O22">
        <f t="shared" ca="1" si="23"/>
        <v>26.140831533635417</v>
      </c>
      <c r="P22"/>
      <c r="Q22" t="str">
        <f t="shared" ca="1" si="7"/>
        <v xml:space="preserve"> </v>
      </c>
      <c r="R22" s="11" t="str">
        <f t="shared" ca="1" si="8"/>
        <v xml:space="preserve"> </v>
      </c>
      <c r="S22" s="4" t="str">
        <f t="shared" ca="1" si="24"/>
        <v>none</v>
      </c>
      <c r="T22" s="4" t="str">
        <f t="shared" ca="1" si="9"/>
        <v xml:space="preserve"> </v>
      </c>
      <c r="U22" s="4" t="e">
        <f t="shared" ca="1" si="25"/>
        <v>#VALUE!</v>
      </c>
      <c r="V22" s="11" t="str">
        <f t="shared" ca="1" si="10"/>
        <v xml:space="preserve"> </v>
      </c>
      <c r="W22" s="4" t="str">
        <f t="shared" ca="1" si="11"/>
        <v xml:space="preserve"> </v>
      </c>
      <c r="X22" s="4" t="e">
        <f t="shared" ca="1" si="26"/>
        <v>#VALUE!</v>
      </c>
      <c r="Y22" s="4" t="e">
        <f t="shared" ca="1" si="27"/>
        <v>#VALUE!</v>
      </c>
      <c r="AA22">
        <f t="shared" ca="1" si="28"/>
        <v>0.10768681486211111</v>
      </c>
      <c r="AB22">
        <f t="shared" ca="1" si="29"/>
        <v>3.0339058391378888</v>
      </c>
      <c r="AC22">
        <f t="shared" ca="1" si="30"/>
        <v>0.94584111309847141</v>
      </c>
      <c r="AD22">
        <f t="shared" ca="1" si="12"/>
        <v>2.9362530371389699</v>
      </c>
      <c r="AM22">
        <f t="shared" si="31"/>
        <v>0.99452189536827329</v>
      </c>
      <c r="AN22">
        <f t="shared" ca="1" si="32"/>
        <v>-1.3562517495402073E-2</v>
      </c>
      <c r="AO22">
        <f t="shared" ca="1" si="33"/>
        <v>1.3025296203667536</v>
      </c>
      <c r="AQ22">
        <f t="shared" ca="1" si="34"/>
        <v>0.39399814369863362</v>
      </c>
      <c r="AR22">
        <f t="shared" ca="1" si="13"/>
        <v>0.49231527779392881</v>
      </c>
      <c r="AS22">
        <f t="shared" ca="1" si="14"/>
        <v>0.99420732481510832</v>
      </c>
      <c r="AT22">
        <f t="shared" ca="1" si="35"/>
        <v>0.99420732481510832</v>
      </c>
      <c r="AU22" s="4">
        <f t="shared" ca="1" si="15"/>
        <v>85.783758597950182</v>
      </c>
      <c r="AV22">
        <f t="shared" ca="1" si="16"/>
        <v>-0.47149038861930376</v>
      </c>
      <c r="AW22">
        <f t="shared" ca="1" si="17"/>
        <v>-0.99482574365055354</v>
      </c>
      <c r="AX22">
        <f t="shared" ca="1" si="36"/>
        <v>-0.99482574365055354</v>
      </c>
      <c r="AY22" s="4" t="str">
        <f t="shared" ca="1" si="18"/>
        <v>ignore</v>
      </c>
    </row>
    <row r="23" spans="2:51" x14ac:dyDescent="0.2">
      <c r="B23">
        <f>B16+A16*7</f>
        <v>7</v>
      </c>
      <c r="C23">
        <f t="shared" si="19"/>
        <v>0.12217304555555555</v>
      </c>
      <c r="D23" s="208">
        <f t="shared" ca="1" si="0"/>
        <v>7.1980000000000004</v>
      </c>
      <c r="E23">
        <f t="shared" ca="1" si="20"/>
        <v>1.0282857142857142</v>
      </c>
      <c r="F23" s="4">
        <f t="shared" ca="1" si="1"/>
        <v>418.20927958379679</v>
      </c>
      <c r="G23">
        <f ca="1">SQRT((mass_rmd.mas!$A$2*$K$8+F23)^2-(mass_rmd.mas!$A$2*$K$8)^2)</f>
        <v>1588.9493576372558</v>
      </c>
      <c r="H23" s="77">
        <f t="shared" ca="1" si="2"/>
        <v>0.94594644125702165</v>
      </c>
      <c r="I23">
        <f t="shared" ca="1" si="21"/>
        <v>1.057142303607749</v>
      </c>
      <c r="J23" s="11">
        <f t="shared" ca="1" si="3"/>
        <v>85.431459009368695</v>
      </c>
      <c r="K23" s="4">
        <f t="shared" ca="1" si="4"/>
        <v>0.16616541620322778</v>
      </c>
      <c r="L23" s="4">
        <f t="shared" ca="1" si="5"/>
        <v>194.26142962102995</v>
      </c>
      <c r="M23" s="4">
        <f t="shared" ca="1" si="6"/>
        <v>0.98446471592644991</v>
      </c>
      <c r="N23">
        <f t="shared" ca="1" si="22"/>
        <v>0.99772102364219695</v>
      </c>
      <c r="O23">
        <f t="shared" ca="1" si="23"/>
        <v>26.138079973987299</v>
      </c>
      <c r="P23"/>
      <c r="Q23" t="str">
        <f t="shared" ca="1" si="7"/>
        <v xml:space="preserve"> </v>
      </c>
      <c r="R23" s="11" t="str">
        <f t="shared" ca="1" si="8"/>
        <v xml:space="preserve"> </v>
      </c>
      <c r="S23" s="4" t="str">
        <f t="shared" ca="1" si="24"/>
        <v>none</v>
      </c>
      <c r="T23" s="4" t="str">
        <f t="shared" ca="1" si="9"/>
        <v xml:space="preserve"> </v>
      </c>
      <c r="U23" s="4" t="e">
        <f t="shared" ca="1" si="25"/>
        <v>#VALUE!</v>
      </c>
      <c r="V23" s="11" t="str">
        <f t="shared" ca="1" si="10"/>
        <v xml:space="preserve"> </v>
      </c>
      <c r="W23" s="4" t="str">
        <f t="shared" ca="1" si="11"/>
        <v xml:space="preserve"> </v>
      </c>
      <c r="X23" s="4" t="e">
        <f t="shared" ca="1" si="26"/>
        <v>#VALUE!</v>
      </c>
      <c r="Y23" s="4" t="e">
        <f t="shared" ca="1" si="27"/>
        <v>#VALUE!</v>
      </c>
      <c r="AA23">
        <f t="shared" ca="1" si="28"/>
        <v>0.12562879957495557</v>
      </c>
      <c r="AB23">
        <f t="shared" ca="1" si="29"/>
        <v>3.0159638544250447</v>
      </c>
      <c r="AC23">
        <f t="shared" ca="1" si="30"/>
        <v>0.94594641556691983</v>
      </c>
      <c r="AD23">
        <f t="shared" ca="1" si="12"/>
        <v>2.9044161494224352</v>
      </c>
      <c r="AM23">
        <f t="shared" si="31"/>
        <v>0.99254615164132198</v>
      </c>
      <c r="AN23">
        <f t="shared" ca="1" si="32"/>
        <v>-1.3535573836355447E-2</v>
      </c>
      <c r="AO23">
        <f t="shared" ca="1" si="33"/>
        <v>1.3025288902450198</v>
      </c>
      <c r="AQ23">
        <f t="shared" ca="1" si="34"/>
        <v>0.39399719282774898</v>
      </c>
      <c r="AR23">
        <f t="shared" ca="1" si="13"/>
        <v>0.49229428659515462</v>
      </c>
      <c r="AS23">
        <f t="shared" ca="1" si="14"/>
        <v>0.99211856625027539</v>
      </c>
      <c r="AT23">
        <f t="shared" ca="1" si="35"/>
        <v>0.99211856625027539</v>
      </c>
      <c r="AU23" s="4">
        <f t="shared" ca="1" si="15"/>
        <v>85.431459009368695</v>
      </c>
      <c r="AV23">
        <f t="shared" ca="1" si="16"/>
        <v>-0.47151075705085532</v>
      </c>
      <c r="AW23">
        <f t="shared" ca="1" si="17"/>
        <v>-0.99295919105882935</v>
      </c>
      <c r="AX23">
        <f t="shared" ca="1" si="36"/>
        <v>-0.99295919105882935</v>
      </c>
      <c r="AY23" s="4" t="str">
        <f t="shared" ca="1" si="18"/>
        <v>ignore</v>
      </c>
    </row>
    <row r="24" spans="2:51" x14ac:dyDescent="0.2">
      <c r="B24">
        <f>B16+A16*8</f>
        <v>8</v>
      </c>
      <c r="C24">
        <f t="shared" si="19"/>
        <v>0.13962633777777778</v>
      </c>
      <c r="D24" s="208">
        <f t="shared" ca="1" si="0"/>
        <v>8.2260000000000009</v>
      </c>
      <c r="E24">
        <f t="shared" ca="1" si="20"/>
        <v>1.0282500000000001</v>
      </c>
      <c r="F24" s="4">
        <f t="shared" ca="1" si="1"/>
        <v>418.15852377323506</v>
      </c>
      <c r="G24">
        <f ca="1">SQRT((mass_rmd.mas!$A$2*$K$8+F24)^2-(mass_rmd.mas!$A$2*$K$8)^2)</f>
        <v>1588.8462545551806</v>
      </c>
      <c r="H24" s="77">
        <f t="shared" ca="1" si="2"/>
        <v>0.9460679000621729</v>
      </c>
      <c r="I24">
        <f t="shared" ca="1" si="21"/>
        <v>1.0570065847644581</v>
      </c>
      <c r="J24" s="11">
        <f t="shared" ca="1" si="3"/>
        <v>85.038780890096561</v>
      </c>
      <c r="K24" s="4">
        <f t="shared" ca="1" si="4"/>
        <v>0.21692122676495273</v>
      </c>
      <c r="L24" s="4">
        <f t="shared" ca="1" si="5"/>
        <v>221.956227721213</v>
      </c>
      <c r="M24" s="4">
        <f t="shared" ca="1" si="6"/>
        <v>1.1248145094882775</v>
      </c>
      <c r="N24">
        <f t="shared" ca="1" si="22"/>
        <v>0.99765628393725025</v>
      </c>
      <c r="O24">
        <f t="shared" ca="1" si="23"/>
        <v>26.134907735827191</v>
      </c>
      <c r="P24"/>
      <c r="Q24" t="str">
        <f t="shared" ca="1" si="7"/>
        <v xml:space="preserve"> </v>
      </c>
      <c r="R24" s="11" t="str">
        <f t="shared" ca="1" si="8"/>
        <v xml:space="preserve"> </v>
      </c>
      <c r="S24" s="4" t="str">
        <f t="shared" ca="1" si="24"/>
        <v>none</v>
      </c>
      <c r="T24" s="4" t="str">
        <f t="shared" ca="1" si="9"/>
        <v xml:space="preserve"> </v>
      </c>
      <c r="U24" s="4" t="e">
        <f t="shared" ca="1" si="25"/>
        <v>#VALUE!</v>
      </c>
      <c r="V24" s="11" t="str">
        <f t="shared" ca="1" si="10"/>
        <v xml:space="preserve"> </v>
      </c>
      <c r="W24" s="4" t="str">
        <f t="shared" ca="1" si="11"/>
        <v xml:space="preserve"> </v>
      </c>
      <c r="X24" s="4" t="e">
        <f t="shared" ca="1" si="26"/>
        <v>#VALUE!</v>
      </c>
      <c r="Y24" s="4" t="e">
        <f t="shared" ca="1" si="27"/>
        <v>#VALUE!</v>
      </c>
      <c r="AA24">
        <f t="shared" ca="1" si="28"/>
        <v>0.14357078428780001</v>
      </c>
      <c r="AB24">
        <f t="shared" ca="1" si="29"/>
        <v>2.9980218697122001</v>
      </c>
      <c r="AC24">
        <f t="shared" ca="1" si="30"/>
        <v>0.94606785249301995</v>
      </c>
      <c r="AD24">
        <f t="shared" ca="1" si="12"/>
        <v>2.7619201234228474</v>
      </c>
      <c r="AM24">
        <f t="shared" si="31"/>
        <v>0.99026806874157036</v>
      </c>
      <c r="AN24">
        <f t="shared" ca="1" si="32"/>
        <v>-1.3504507110396219E-2</v>
      </c>
      <c r="AO24">
        <f t="shared" ca="1" si="33"/>
        <v>1.3025280501982353</v>
      </c>
      <c r="AQ24">
        <f t="shared" ca="1" si="34"/>
        <v>0.3939960987964492</v>
      </c>
      <c r="AR24">
        <f t="shared" ca="1" si="13"/>
        <v>0.492270083931861</v>
      </c>
      <c r="AS24">
        <f t="shared" ca="1" si="14"/>
        <v>0.98971046303825261</v>
      </c>
      <c r="AT24">
        <f t="shared" ca="1" si="35"/>
        <v>0.98971046303825261</v>
      </c>
      <c r="AU24" s="4">
        <f t="shared" ca="1" si="15"/>
        <v>85.038780890096561</v>
      </c>
      <c r="AV24">
        <f t="shared" ca="1" si="16"/>
        <v>-0.471534243182265</v>
      </c>
      <c r="AW24">
        <f t="shared" ca="1" si="17"/>
        <v>-0.99080674811754865</v>
      </c>
      <c r="AX24">
        <f t="shared" ca="1" si="36"/>
        <v>-0.99080674811754865</v>
      </c>
      <c r="AY24" s="4" t="str">
        <f t="shared" ca="1" si="18"/>
        <v>ignore</v>
      </c>
    </row>
    <row r="25" spans="2:51" x14ac:dyDescent="0.2">
      <c r="B25">
        <f>B16+A16*9</f>
        <v>9</v>
      </c>
      <c r="C25">
        <f t="shared" si="19"/>
        <v>0.15707963000000003</v>
      </c>
      <c r="D25" s="208">
        <f t="shared" ca="1" si="0"/>
        <v>9.2539999999999996</v>
      </c>
      <c r="E25">
        <f t="shared" ca="1" si="20"/>
        <v>1.0282222222222221</v>
      </c>
      <c r="F25" s="4">
        <f t="shared" ca="1" si="1"/>
        <v>418.10105515773915</v>
      </c>
      <c r="G25">
        <f ca="1">SQRT((mass_rmd.mas!$A$2*$K$8+F25)^2-(mass_rmd.mas!$A$2*$K$8)^2)</f>
        <v>1588.7295092620082</v>
      </c>
      <c r="H25" s="77">
        <f t="shared" ca="1" si="2"/>
        <v>0.94620546180044751</v>
      </c>
      <c r="I25">
        <f t="shared" ca="1" si="21"/>
        <v>1.0568529144792631</v>
      </c>
      <c r="J25" s="11">
        <f t="shared" ca="1" si="3"/>
        <v>84.619194480390647</v>
      </c>
      <c r="K25" s="4">
        <f t="shared" ca="1" si="4"/>
        <v>0.2743898422608595</v>
      </c>
      <c r="L25" s="4">
        <f t="shared" ca="1" si="5"/>
        <v>249.63207065614233</v>
      </c>
      <c r="M25" s="4">
        <f t="shared" ca="1" si="6"/>
        <v>1.2650682433669596</v>
      </c>
      <c r="N25">
        <f t="shared" ca="1" si="22"/>
        <v>0.99758297811862895</v>
      </c>
      <c r="O25">
        <f t="shared" ca="1" si="23"/>
        <v>26.131315947358697</v>
      </c>
      <c r="P25"/>
      <c r="Q25" t="str">
        <f t="shared" ca="1" si="7"/>
        <v xml:space="preserve"> </v>
      </c>
      <c r="R25" s="11" t="str">
        <f t="shared" ca="1" si="8"/>
        <v xml:space="preserve"> </v>
      </c>
      <c r="S25" s="4" t="str">
        <f t="shared" ca="1" si="24"/>
        <v>none</v>
      </c>
      <c r="T25" s="4" t="str">
        <f t="shared" ca="1" si="9"/>
        <v xml:space="preserve"> </v>
      </c>
      <c r="U25" s="4" t="e">
        <f t="shared" ca="1" si="25"/>
        <v>#VALUE!</v>
      </c>
      <c r="V25" s="11" t="str">
        <f t="shared" ca="1" si="10"/>
        <v xml:space="preserve"> </v>
      </c>
      <c r="W25" s="4" t="str">
        <f t="shared" ca="1" si="11"/>
        <v xml:space="preserve"> </v>
      </c>
      <c r="X25" s="4" t="e">
        <f t="shared" ca="1" si="26"/>
        <v>#VALUE!</v>
      </c>
      <c r="Y25" s="4" t="e">
        <f t="shared" ca="1" si="27"/>
        <v>#VALUE!</v>
      </c>
      <c r="AA25">
        <f t="shared" ca="1" si="28"/>
        <v>0.16151276900064443</v>
      </c>
      <c r="AB25">
        <f t="shared" ca="1" si="29"/>
        <v>2.9800798849993555</v>
      </c>
      <c r="AC25">
        <f t="shared" ca="1" si="30"/>
        <v>0.94620539768733136</v>
      </c>
      <c r="AD25">
        <f t="shared" ca="1" si="12"/>
        <v>2.5897810073116894</v>
      </c>
      <c r="AM25">
        <f t="shared" si="31"/>
        <v>0.98768834059513777</v>
      </c>
      <c r="AN25">
        <f t="shared" ca="1" si="32"/>
        <v>-1.3469326780750066E-2</v>
      </c>
      <c r="AO25">
        <f t="shared" ca="1" si="33"/>
        <v>1.3025271012498671</v>
      </c>
      <c r="AQ25">
        <f t="shared" ca="1" si="34"/>
        <v>0.39399486293764291</v>
      </c>
      <c r="AR25">
        <f t="shared" ca="1" si="13"/>
        <v>0.49224267748499251</v>
      </c>
      <c r="AS25">
        <f t="shared" ca="1" si="14"/>
        <v>0.98698387161876799</v>
      </c>
      <c r="AT25">
        <f t="shared" ca="1" si="35"/>
        <v>0.98698387161876799</v>
      </c>
      <c r="AU25" s="4">
        <f t="shared" ca="1" si="15"/>
        <v>84.619194480390647</v>
      </c>
      <c r="AV25">
        <f t="shared" ca="1" si="16"/>
        <v>-0.47156084020448558</v>
      </c>
      <c r="AW25">
        <f t="shared" ca="1" si="17"/>
        <v>-0.98836895961598481</v>
      </c>
      <c r="AX25">
        <f t="shared" ca="1" si="36"/>
        <v>-0.98836895961598481</v>
      </c>
      <c r="AY25" s="4" t="str">
        <f t="shared" ca="1" si="18"/>
        <v>ignore</v>
      </c>
    </row>
    <row r="26" spans="2:51" x14ac:dyDescent="0.2">
      <c r="B26">
        <f>B16+A16*10</f>
        <v>10</v>
      </c>
      <c r="C26">
        <f t="shared" si="19"/>
        <v>0.17453292222222222</v>
      </c>
      <c r="D26" s="208">
        <f t="shared" ca="1" si="0"/>
        <v>10.282</v>
      </c>
      <c r="E26">
        <f t="shared" ca="1" si="20"/>
        <v>1.0282</v>
      </c>
      <c r="F26" s="4">
        <f t="shared" ca="1" si="1"/>
        <v>418.03689416856741</v>
      </c>
      <c r="G26">
        <f ca="1">SQRT((mass_rmd.mas!$A$2*$K$8+F26)^2-(mass_rmd.mas!$A$2*$K$8)^2)</f>
        <v>1588.5991609876398</v>
      </c>
      <c r="H26" s="77">
        <f t="shared" ca="1" si="2"/>
        <v>0.94635909214217429</v>
      </c>
      <c r="I26">
        <f t="shared" ca="1" si="21"/>
        <v>1.0566813467564458</v>
      </c>
      <c r="J26" s="11">
        <f t="shared" ca="1" si="3"/>
        <v>84.180785281557476</v>
      </c>
      <c r="K26" s="4">
        <f t="shared" ca="1" si="4"/>
        <v>0.3385508314325989</v>
      </c>
      <c r="L26" s="4">
        <f t="shared" ca="1" si="5"/>
        <v>277.28627132571233</v>
      </c>
      <c r="M26" s="4">
        <f t="shared" ca="1" si="6"/>
        <v>1.4052123000613415</v>
      </c>
      <c r="N26">
        <f t="shared" ca="1" si="22"/>
        <v>0.99750113081927494</v>
      </c>
      <c r="O26">
        <f t="shared" ca="1" si="23"/>
        <v>26.127305885535463</v>
      </c>
      <c r="P26">
        <v>3.3433999999999999</v>
      </c>
      <c r="Q26" t="str">
        <f t="shared" ca="1" si="7"/>
        <v xml:space="preserve"> </v>
      </c>
      <c r="R26" s="11" t="str">
        <f t="shared" ca="1" si="8"/>
        <v xml:space="preserve"> </v>
      </c>
      <c r="S26" s="4" t="str">
        <f t="shared" ca="1" si="24"/>
        <v>none</v>
      </c>
      <c r="T26" s="4" t="str">
        <f t="shared" ca="1" si="9"/>
        <v xml:space="preserve"> </v>
      </c>
      <c r="U26" s="4" t="e">
        <f t="shared" ca="1" si="25"/>
        <v>#VALUE!</v>
      </c>
      <c r="V26" s="11" t="str">
        <f t="shared" ca="1" si="10"/>
        <v xml:space="preserve"> </v>
      </c>
      <c r="W26" s="4" t="str">
        <f t="shared" ca="1" si="11"/>
        <v xml:space="preserve"> </v>
      </c>
      <c r="X26" s="4" t="e">
        <f t="shared" ca="1" si="26"/>
        <v>#VALUE!</v>
      </c>
      <c r="Y26" s="4" t="e">
        <f t="shared" ca="1" si="27"/>
        <v>#VALUE!</v>
      </c>
      <c r="AA26">
        <f t="shared" ca="1" si="28"/>
        <v>0.17945475371348887</v>
      </c>
      <c r="AB26">
        <f t="shared" ca="1" si="29"/>
        <v>2.9621379002865114</v>
      </c>
      <c r="AC26">
        <f t="shared" ca="1" si="30"/>
        <v>0.94635902145488271</v>
      </c>
      <c r="AD26">
        <f t="shared" ca="1" si="12"/>
        <v>2.4178257779447581</v>
      </c>
      <c r="AM26">
        <f t="shared" si="31"/>
        <v>0.98480775301220802</v>
      </c>
      <c r="AN26">
        <f t="shared" ca="1" si="32"/>
        <v>-1.3430043563686196E-2</v>
      </c>
      <c r="AO26">
        <f t="shared" ca="1" si="33"/>
        <v>1.3025260445560629</v>
      </c>
      <c r="AQ26">
        <f t="shared" ca="1" si="34"/>
        <v>0.39399348675703361</v>
      </c>
      <c r="AR26">
        <f t="shared" ca="1" si="13"/>
        <v>0.49221207595149286</v>
      </c>
      <c r="AS26">
        <f t="shared" ca="1" si="14"/>
        <v>0.98393976135041061</v>
      </c>
      <c r="AT26">
        <f t="shared" ca="1" si="35"/>
        <v>0.98393976135041061</v>
      </c>
      <c r="AU26" s="4">
        <f t="shared" ca="1" si="15"/>
        <v>84.180785281557476</v>
      </c>
      <c r="AV26">
        <f t="shared" ca="1" si="16"/>
        <v>-0.4715905404055169</v>
      </c>
      <c r="AW26">
        <f t="shared" ca="1" si="17"/>
        <v>-0.98564644286319669</v>
      </c>
      <c r="AX26">
        <f t="shared" ca="1" si="36"/>
        <v>-0.98564644286319669</v>
      </c>
      <c r="AY26" s="4" t="str">
        <f t="shared" ca="1" si="18"/>
        <v>ignore</v>
      </c>
    </row>
    <row r="27" spans="2:51" x14ac:dyDescent="0.2">
      <c r="D27" s="11"/>
      <c r="F27" s="4"/>
      <c r="H27" s="4"/>
      <c r="J27" s="11"/>
      <c r="L27" s="4"/>
      <c r="M27" s="4"/>
      <c r="S27" s="4"/>
      <c r="T27" s="4"/>
      <c r="U27" s="4"/>
      <c r="V27" s="4"/>
      <c r="W27" s="4"/>
      <c r="AT27" s="4"/>
      <c r="AX27" s="4"/>
    </row>
    <row r="28" spans="2:51" ht="13.5" thickBot="1" x14ac:dyDescent="0.2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8"/>
      <c r="N28" s="8"/>
      <c r="O28" s="8"/>
      <c r="P28" s="8"/>
      <c r="Q28" s="6"/>
      <c r="R28" s="6"/>
      <c r="S28" s="8"/>
      <c r="T28" s="8"/>
      <c r="U28" s="8"/>
      <c r="V28" s="8"/>
      <c r="W28" s="8"/>
      <c r="AT28" s="4"/>
      <c r="AX28" s="4"/>
    </row>
    <row r="29" spans="2:51" x14ac:dyDescent="0.2">
      <c r="B29" s="9"/>
      <c r="C29" s="9"/>
      <c r="D29" s="11"/>
      <c r="E29" s="9"/>
      <c r="F29" s="4"/>
      <c r="G29" s="9"/>
      <c r="H29" s="4"/>
      <c r="J29" s="11"/>
      <c r="L29" s="4"/>
      <c r="M29" s="4"/>
      <c r="Q29" s="9"/>
      <c r="R29" s="9"/>
      <c r="S29" s="10"/>
      <c r="T29" s="10"/>
      <c r="U29" s="10"/>
      <c r="V29" s="10"/>
      <c r="W29" s="10"/>
      <c r="AT29" s="4"/>
      <c r="AX29" s="4"/>
    </row>
    <row r="30" spans="2:51" x14ac:dyDescent="0.2">
      <c r="B30">
        <v>0</v>
      </c>
      <c r="D30" s="11">
        <f t="shared" ref="D30:D61" ca="1" si="37">IF(ISNUMBER(F30),IF(ABS(AS30-1)&lt;0.000001,0,IF(ABS(AS30+1)&lt;0.000001,180,ROUND(DEGREES(ACOS(AS30)),3)))," ")</f>
        <v>0</v>
      </c>
      <c r="F30" s="4">
        <f t="shared" ref="F30:F73" ca="1" si="38">IF(AQ30&gt;0.0000001,$Y$8*((1/SQRT(1-AQ30*AQ30))-1),"none")</f>
        <v>418.37539728023131</v>
      </c>
      <c r="H30" s="4">
        <f t="shared" ref="H30:H61" ca="1" si="39">IF(ISNUMBER(F30),$AK$15*(1+AM30/AQ30)/(1+$AG$15*$AK$15*AS30)/AQ30," ")</f>
        <v>0.94554914785129485</v>
      </c>
      <c r="J30" s="11">
        <f t="shared" ref="J30:J61" ca="1" si="40">IF(ISNUMBER(F30),IF( AND( ( (F30*(F30+2*$Y$8)*AL30*AL30) &gt; ($E$5*($E$5+2*$Y$5)) ), ( B30&lt;90 ) ), 180-AT30, AT30)," ")</f>
        <v>0</v>
      </c>
      <c r="L30" s="4">
        <f t="shared" ref="L30:L73" ca="1" si="41">IF(ISNUMBER(F30),$E$5+$S$10-F30," ")</f>
        <v>4.7719768701881549E-5</v>
      </c>
      <c r="M30" s="4">
        <f t="shared" ref="M30:M61" ca="1" si="42">SQRT(($Y$10+L30)^2-$Y$10^2)</f>
        <v>3.2920415801600882</v>
      </c>
      <c r="N30" s="4">
        <f t="shared" ref="N30:N61" ca="1" si="43">M30/197.32696</f>
        <v>1.6683181964390916E-2</v>
      </c>
      <c r="R30" t="str">
        <f ca="1">IF(ISNUMBER(T30),B30," ")</f>
        <v xml:space="preserve"> </v>
      </c>
      <c r="S30" s="11" t="str">
        <f t="shared" ref="S30:S61" ca="1" si="44">IF(ISNUMBER(T30), IF( ABS(AW30-1)&lt;0.000001,0, IF(ABS(AW30+1)&lt;0.000001,180,ROUND(DEGREES(ACOS(AW30)),3)))," ")</f>
        <v xml:space="preserve"> </v>
      </c>
      <c r="T30" s="4" t="str">
        <f ca="1">IF(AU30&gt;0.0000001,$Y$8*((1/SQRT(1-AU30*AU30))-1),"none")</f>
        <v>none</v>
      </c>
      <c r="U30" s="4" t="str">
        <f t="shared" ref="U30:U61" ca="1" si="45">IF(ISNUMBER(T30),ABS($AK$15*(1+AM30/AU30)/(1+$AG$15*$AK$15*AW30)/AU30)," ")</f>
        <v xml:space="preserve"> </v>
      </c>
      <c r="V30" s="11" t="str">
        <f t="shared" ref="V30:V61" ca="1" si="46">IF(ISNUMBER(T30),IF( AND( ( (T30*(T30+2*$Y$8)*AL30*AL30) &gt; ($E$5*($E$5+2*$Y$5)) ), ( B30&lt;90 ) ), 180-AX30, AX30)," ")</f>
        <v xml:space="preserve"> </v>
      </c>
      <c r="W30" s="4" t="str">
        <f ca="1">IF(ISNUMBER(T30),$E$5+$S$10-T30," ")</f>
        <v xml:space="preserve"> </v>
      </c>
      <c r="AL30">
        <f>COS(RADIANS(B30))</f>
        <v>1</v>
      </c>
      <c r="AM30">
        <f t="shared" ref="AM30:AM93" ca="1" si="47">-$AG$15*AL30</f>
        <v>-1.3637223633351831E-2</v>
      </c>
      <c r="AN30">
        <f t="shared" ref="AN30:AN93" ca="1" si="48">$AL$15+AM30*AM30</f>
        <v>1.3025316523543664</v>
      </c>
      <c r="AP30">
        <f ca="1">AM30*AM30-AN30*$AP$15</f>
        <v>0.39400079004892002</v>
      </c>
      <c r="AQ30">
        <f t="shared" ref="AQ30:AQ74" ca="1" si="49">IF(ISNUMBER(SQRT(AP30)),(-AM30+SQRT(AP30))/AN30,-100)</f>
        <v>0.49237348271660886</v>
      </c>
      <c r="AR30">
        <f t="shared" ref="AR30:AR61" ca="1" si="50">(AQ30*AL30-$AG$15)/((1-$AG$15*AQ30*AL30)*$AK$15)</f>
        <v>1.0000000000000002</v>
      </c>
      <c r="AS30">
        <f t="shared" ref="AS30:AS93" ca="1" si="51">IF(ABS(AR30)&lt;=1,AR30,IF(ABS(AR30)&lt;=1.00001,1*SIGN(AR30),0))</f>
        <v>1.0000000000000002</v>
      </c>
      <c r="AT30" s="4">
        <f ca="1">DEGREES(ASIN( SQRT( (F30*(F30+2*$Y$8)) / (L30*(L30+2*$Y$10)) ) * SIN(RADIANS(B30))  ))</f>
        <v>0</v>
      </c>
      <c r="AU30">
        <f t="shared" ref="AU30:AU74" ca="1" si="52">IF(ISNUMBER(SQRT(AP30)),(-AM30-SQRT(AP30))/AN30,-100)</f>
        <v>-0.47143391689691894</v>
      </c>
      <c r="AV30">
        <f t="shared" ref="AV30:AV61" ca="1" si="53">(AU30*AL30-$AG$15)/((1-$AG$15*AU30*AL30)*$AK$15)</f>
        <v>-1</v>
      </c>
      <c r="AW30">
        <f t="shared" ref="AW30:AW93" ca="1" si="54">IF(ABS(AV30)&lt;=1,AV30,IF(ABS(AV30)&lt;=1.00001,1*SIGN(AV30),0))</f>
        <v>-1</v>
      </c>
      <c r="AX30" s="4" t="str">
        <f ca="1">IF(ISNUMBER(T30),DEGREES(ASIN( SQRT( (T30*(T30+2*$Y$8)) / (W30*(W30+2*$Y$10)) ) * SIN(RADIANS(B30)) ) ),"ignore")</f>
        <v>ignore</v>
      </c>
    </row>
    <row r="31" spans="2:51" x14ac:dyDescent="0.2">
      <c r="B31">
        <v>1</v>
      </c>
      <c r="D31" s="11">
        <f t="shared" ca="1" si="37"/>
        <v>1.028</v>
      </c>
      <c r="F31" s="4">
        <f t="shared" ca="1" si="38"/>
        <v>418.37200229089541</v>
      </c>
      <c r="H31" s="4">
        <f t="shared" ca="1" si="39"/>
        <v>0.94555726396215356</v>
      </c>
      <c r="J31" s="11">
        <f t="shared" ca="1" si="40"/>
        <v>82.724733541715565</v>
      </c>
      <c r="L31" s="4">
        <f t="shared" ca="1" si="41"/>
        <v>3.4427091046040914E-3</v>
      </c>
      <c r="M31" s="4">
        <f t="shared" ca="1" si="42"/>
        <v>27.961873663690344</v>
      </c>
      <c r="N31" s="4">
        <f t="shared" ca="1" si="43"/>
        <v>0.14170326073887898</v>
      </c>
      <c r="R31" t="str">
        <f t="shared" ref="R31:R94" ca="1" si="55">IF(ISNUMBER(T31),B31," ")</f>
        <v xml:space="preserve"> </v>
      </c>
      <c r="S31" s="11" t="str">
        <f t="shared" ca="1" si="44"/>
        <v xml:space="preserve"> </v>
      </c>
      <c r="T31" s="4" t="str">
        <f t="shared" ref="T31:T94" ca="1" si="56">IF(AU31&gt;0.0000001,$Y$8*((1/SQRT(1-AU31*AU31))-1),"none")</f>
        <v>none</v>
      </c>
      <c r="U31" s="4" t="str">
        <f t="shared" ca="1" si="45"/>
        <v xml:space="preserve"> </v>
      </c>
      <c r="V31" s="11" t="str">
        <f t="shared" ca="1" si="46"/>
        <v xml:space="preserve"> </v>
      </c>
      <c r="W31" s="4" t="str">
        <f t="shared" ref="W31:W94" ca="1" si="57">IF(ISNUMBER(T31),$E$5+$S$10-T31," ")</f>
        <v xml:space="preserve"> </v>
      </c>
      <c r="AL31">
        <f t="shared" ref="AL31:AL94" si="58">COS(RADIANS(B31))</f>
        <v>0.99984769515639127</v>
      </c>
      <c r="AM31">
        <f t="shared" ca="1" si="47"/>
        <v>-1.3635146618139096E-2</v>
      </c>
      <c r="AN31">
        <f t="shared" ca="1" si="48"/>
        <v>1.3025315957092385</v>
      </c>
      <c r="AP31">
        <f t="shared" ref="AP31:AP94" ca="1" si="59">AM31*AM31-AN31*$AP$15</f>
        <v>0.39400071627738248</v>
      </c>
      <c r="AQ31">
        <f t="shared" ca="1" si="49"/>
        <v>0.49237186441535574</v>
      </c>
      <c r="AR31">
        <f t="shared" ca="1" si="50"/>
        <v>0.99983892514703654</v>
      </c>
      <c r="AS31">
        <f t="shared" ca="1" si="51"/>
        <v>0.99983892514703654</v>
      </c>
      <c r="AT31" s="4">
        <f t="shared" ref="AT31:AT94" ca="1" si="60">DEGREES(ASIN( SQRT( (F31*(F31+2*$Y$8)) / (L31*(L31+2*$Y$10)) ) * SIN(RADIANS(B31))  ))</f>
        <v>82.724733541715565</v>
      </c>
      <c r="AU31">
        <f t="shared" ca="1" si="52"/>
        <v>-0.47143548688247183</v>
      </c>
      <c r="AV31">
        <f t="shared" ca="1" si="53"/>
        <v>-0.99985616466317118</v>
      </c>
      <c r="AW31">
        <f t="shared" ca="1" si="54"/>
        <v>-0.99985616466317118</v>
      </c>
      <c r="AX31" s="4" t="str">
        <f t="shared" ref="AX31:AX94" ca="1" si="61">IF(ISNUMBER(T31),DEGREES(ASIN( SQRT( (T31*(T31+2*$Y$8)) / (W31*(W31+2*$Y$10)) ) * SIN(RADIANS(B31)) ) ),"ignore")</f>
        <v>ignore</v>
      </c>
    </row>
    <row r="32" spans="2:51" x14ac:dyDescent="0.2">
      <c r="B32">
        <v>2</v>
      </c>
      <c r="D32" s="11">
        <f t="shared" ca="1" si="37"/>
        <v>2.0569999999999999</v>
      </c>
      <c r="F32" s="4">
        <f t="shared" ca="1" si="38"/>
        <v>418.36181853184797</v>
      </c>
      <c r="H32" s="4">
        <f t="shared" ca="1" si="39"/>
        <v>0.94558161027402532</v>
      </c>
      <c r="J32" s="11">
        <f t="shared" ca="1" si="40"/>
        <v>85.579457235511541</v>
      </c>
      <c r="L32" s="4">
        <f t="shared" ca="1" si="41"/>
        <v>1.3626468152040161E-2</v>
      </c>
      <c r="M32" s="4">
        <f t="shared" ca="1" si="42"/>
        <v>55.629834460077838</v>
      </c>
      <c r="N32" s="4">
        <f t="shared" ca="1" si="43"/>
        <v>0.28191705005782197</v>
      </c>
      <c r="R32" t="str">
        <f t="shared" ca="1" si="55"/>
        <v xml:space="preserve"> </v>
      </c>
      <c r="S32" s="11" t="str">
        <f t="shared" ca="1" si="44"/>
        <v xml:space="preserve"> </v>
      </c>
      <c r="T32" s="4" t="str">
        <f t="shared" ca="1" si="56"/>
        <v>none</v>
      </c>
      <c r="U32" s="4" t="str">
        <f t="shared" ca="1" si="45"/>
        <v xml:space="preserve"> </v>
      </c>
      <c r="V32" s="11" t="str">
        <f t="shared" ca="1" si="46"/>
        <v xml:space="preserve"> </v>
      </c>
      <c r="W32" s="4" t="str">
        <f t="shared" ca="1" si="57"/>
        <v xml:space="preserve"> </v>
      </c>
      <c r="AL32">
        <f t="shared" si="58"/>
        <v>0.99939082701909576</v>
      </c>
      <c r="AM32">
        <f t="shared" ca="1" si="47"/>
        <v>-1.3628916205179845E-2</v>
      </c>
      <c r="AN32">
        <f t="shared" ca="1" si="48"/>
        <v>1.3025314258428682</v>
      </c>
      <c r="AP32">
        <f t="shared" ca="1" si="59"/>
        <v>0.39400049505264917</v>
      </c>
      <c r="AQ32">
        <f t="shared" ca="1" si="49"/>
        <v>0.49236701002533495</v>
      </c>
      <c r="AR32">
        <f t="shared" ca="1" si="50"/>
        <v>0.99935575794702569</v>
      </c>
      <c r="AS32">
        <f t="shared" ca="1" si="51"/>
        <v>0.99935575794702569</v>
      </c>
      <c r="AT32" s="4">
        <f t="shared" ca="1" si="60"/>
        <v>85.579457235511541</v>
      </c>
      <c r="AU32">
        <f t="shared" ca="1" si="52"/>
        <v>-0.4714401963841815</v>
      </c>
      <c r="AV32">
        <f t="shared" ca="1" si="53"/>
        <v>-0.99942469499615783</v>
      </c>
      <c r="AW32">
        <f t="shared" ca="1" si="54"/>
        <v>-0.99942469499615783</v>
      </c>
      <c r="AX32" s="4" t="str">
        <f t="shared" ca="1" si="61"/>
        <v>ignore</v>
      </c>
    </row>
    <row r="33" spans="2:50" x14ac:dyDescent="0.2">
      <c r="B33">
        <v>3</v>
      </c>
      <c r="D33" s="11">
        <f t="shared" ca="1" si="37"/>
        <v>3.085</v>
      </c>
      <c r="F33" s="4">
        <f t="shared" ca="1" si="38"/>
        <v>418.34484962936762</v>
      </c>
      <c r="H33" s="4">
        <f t="shared" ca="1" si="39"/>
        <v>0.94562218072490312</v>
      </c>
      <c r="J33" s="11">
        <f t="shared" ca="1" si="40"/>
        <v>86.194734978959744</v>
      </c>
      <c r="L33" s="4">
        <f t="shared" ca="1" si="41"/>
        <v>3.0595370632397589E-2</v>
      </c>
      <c r="M33" s="4">
        <f t="shared" ca="1" si="42"/>
        <v>83.357367416847069</v>
      </c>
      <c r="N33" s="4">
        <f t="shared" ca="1" si="43"/>
        <v>0.42243273507506052</v>
      </c>
      <c r="R33" t="str">
        <f t="shared" ca="1" si="55"/>
        <v xml:space="preserve"> </v>
      </c>
      <c r="S33" s="11" t="str">
        <f t="shared" ca="1" si="44"/>
        <v xml:space="preserve"> </v>
      </c>
      <c r="T33" s="4" t="str">
        <f t="shared" ca="1" si="56"/>
        <v>none</v>
      </c>
      <c r="U33" s="4" t="str">
        <f t="shared" ca="1" si="45"/>
        <v xml:space="preserve"> </v>
      </c>
      <c r="V33" s="11" t="str">
        <f t="shared" ca="1" si="46"/>
        <v xml:space="preserve"> </v>
      </c>
      <c r="W33" s="4" t="str">
        <f t="shared" ca="1" si="57"/>
        <v xml:space="preserve"> </v>
      </c>
      <c r="AL33">
        <f t="shared" si="58"/>
        <v>0.99862953475457383</v>
      </c>
      <c r="AM33">
        <f t="shared" ca="1" si="47"/>
        <v>-1.3618534292318218E-2</v>
      </c>
      <c r="AN33">
        <f t="shared" ca="1" si="48"/>
        <v>1.3025311429622115</v>
      </c>
      <c r="AP33">
        <f t="shared" ca="1" si="59"/>
        <v>0.39400012664424833</v>
      </c>
      <c r="AQ33">
        <f t="shared" ca="1" si="49"/>
        <v>0.492358921087583</v>
      </c>
      <c r="AR33">
        <f t="shared" ca="1" si="50"/>
        <v>0.99855067044837731</v>
      </c>
      <c r="AS33">
        <f t="shared" ca="1" si="51"/>
        <v>0.99855067044837731</v>
      </c>
      <c r="AT33" s="4">
        <f t="shared" ca="1" si="60"/>
        <v>86.194734978959744</v>
      </c>
      <c r="AU33">
        <f t="shared" ca="1" si="52"/>
        <v>-0.47144804403730844</v>
      </c>
      <c r="AV33">
        <f t="shared" ca="1" si="53"/>
        <v>-0.99870570002680858</v>
      </c>
      <c r="AW33">
        <f t="shared" ca="1" si="54"/>
        <v>-0.99870570002680858</v>
      </c>
      <c r="AX33" s="4" t="str">
        <f t="shared" ca="1" si="61"/>
        <v>ignore</v>
      </c>
    </row>
    <row r="34" spans="2:50" x14ac:dyDescent="0.2">
      <c r="B34">
        <v>4</v>
      </c>
      <c r="D34" s="11">
        <f t="shared" ca="1" si="37"/>
        <v>4.1130000000000004</v>
      </c>
      <c r="F34" s="4">
        <f t="shared" ca="1" si="38"/>
        <v>418.32110162527198</v>
      </c>
      <c r="H34" s="4">
        <f t="shared" ca="1" si="39"/>
        <v>0.94567896521180328</v>
      </c>
      <c r="J34" s="11">
        <f t="shared" ca="1" si="40"/>
        <v>86.246074386692342</v>
      </c>
      <c r="L34" s="4">
        <f t="shared" ca="1" si="41"/>
        <v>5.4343374728034632E-2</v>
      </c>
      <c r="M34" s="4">
        <f t="shared" ca="1" si="42"/>
        <v>111.09370633109693</v>
      </c>
      <c r="N34" s="4">
        <f t="shared" ca="1" si="43"/>
        <v>0.56299304631813574</v>
      </c>
      <c r="R34" t="str">
        <f t="shared" ca="1" si="55"/>
        <v xml:space="preserve"> </v>
      </c>
      <c r="S34" s="11" t="str">
        <f t="shared" ca="1" si="44"/>
        <v xml:space="preserve"> </v>
      </c>
      <c r="T34" s="4" t="str">
        <f t="shared" ca="1" si="56"/>
        <v>none</v>
      </c>
      <c r="U34" s="4" t="str">
        <f t="shared" ca="1" si="45"/>
        <v xml:space="preserve"> </v>
      </c>
      <c r="V34" s="11" t="str">
        <f t="shared" ca="1" si="46"/>
        <v xml:space="preserve"> </v>
      </c>
      <c r="W34" s="4" t="str">
        <f t="shared" ca="1" si="57"/>
        <v xml:space="preserve"> </v>
      </c>
      <c r="AL34">
        <f t="shared" si="58"/>
        <v>0.9975640502598242</v>
      </c>
      <c r="AM34">
        <f t="shared" ca="1" si="47"/>
        <v>-1.3604004041985449E-2</v>
      </c>
      <c r="AN34">
        <f t="shared" ca="1" si="48"/>
        <v>1.3025307474119148</v>
      </c>
      <c r="AP34">
        <f t="shared" ca="1" si="59"/>
        <v>0.3939996115010288</v>
      </c>
      <c r="AQ34">
        <f t="shared" ca="1" si="49"/>
        <v>0.49234760016989437</v>
      </c>
      <c r="AR34">
        <f t="shared" ca="1" si="50"/>
        <v>0.99742394930435985</v>
      </c>
      <c r="AS34">
        <f t="shared" ca="1" si="51"/>
        <v>0.99742394930435985</v>
      </c>
      <c r="AT34" s="4">
        <f t="shared" ca="1" si="60"/>
        <v>86.246074386692342</v>
      </c>
      <c r="AU34">
        <f t="shared" ca="1" si="52"/>
        <v>-0.47145902756764885</v>
      </c>
      <c r="AV34">
        <f t="shared" ca="1" si="53"/>
        <v>-0.99769936145963101</v>
      </c>
      <c r="AW34">
        <f t="shared" ca="1" si="54"/>
        <v>-0.99769936145963101</v>
      </c>
      <c r="AX34" s="4" t="str">
        <f t="shared" ca="1" si="61"/>
        <v>ignore</v>
      </c>
    </row>
    <row r="35" spans="2:50" x14ac:dyDescent="0.2">
      <c r="B35">
        <v>5</v>
      </c>
      <c r="D35" s="11">
        <f t="shared" ca="1" si="37"/>
        <v>5.1420000000000003</v>
      </c>
      <c r="F35" s="4">
        <f t="shared" ca="1" si="38"/>
        <v>418.29058297394278</v>
      </c>
      <c r="H35" s="4">
        <f t="shared" ca="1" si="39"/>
        <v>0.94575194959130393</v>
      </c>
      <c r="J35" s="11">
        <f t="shared" ca="1" si="40"/>
        <v>86.071444209006856</v>
      </c>
      <c r="L35" s="4">
        <f t="shared" ca="1" si="41"/>
        <v>8.4862026057237472E-2</v>
      </c>
      <c r="M35" s="4">
        <f t="shared" ca="1" si="42"/>
        <v>138.82666185903548</v>
      </c>
      <c r="N35" s="4">
        <f t="shared" ca="1" si="43"/>
        <v>0.70353621146869882</v>
      </c>
      <c r="R35" t="str">
        <f t="shared" ca="1" si="55"/>
        <v xml:space="preserve"> </v>
      </c>
      <c r="S35" s="11" t="str">
        <f t="shared" ca="1" si="44"/>
        <v xml:space="preserve"> </v>
      </c>
      <c r="T35" s="4" t="str">
        <f t="shared" ca="1" si="56"/>
        <v>none</v>
      </c>
      <c r="U35" s="4" t="str">
        <f t="shared" ca="1" si="45"/>
        <v xml:space="preserve"> </v>
      </c>
      <c r="V35" s="11" t="str">
        <f t="shared" ca="1" si="46"/>
        <v xml:space="preserve"> </v>
      </c>
      <c r="W35" s="4" t="str">
        <f t="shared" ca="1" si="57"/>
        <v xml:space="preserve"> </v>
      </c>
      <c r="AL35">
        <f t="shared" si="58"/>
        <v>0.99619469809174555</v>
      </c>
      <c r="AM35">
        <f t="shared" ca="1" si="47"/>
        <v>-1.3585329880236545E-2</v>
      </c>
      <c r="AN35">
        <f t="shared" ca="1" si="48"/>
        <v>1.3025302396738954</v>
      </c>
      <c r="AP35">
        <f t="shared" ca="1" si="59"/>
        <v>0.39399895025061332</v>
      </c>
      <c r="AQ35">
        <f t="shared" ca="1" si="49"/>
        <v>0.49233305086592372</v>
      </c>
      <c r="AR35">
        <f t="shared" ca="1" si="50"/>
        <v>0.99597599563206285</v>
      </c>
      <c r="AS35">
        <f t="shared" ca="1" si="51"/>
        <v>0.99597599563206285</v>
      </c>
      <c r="AT35" s="4">
        <f t="shared" ca="1" si="60"/>
        <v>86.071444209006856</v>
      </c>
      <c r="AU35">
        <f t="shared" ca="1" si="52"/>
        <v>-0.47147314379207678</v>
      </c>
      <c r="AV35">
        <f t="shared" ca="1" si="53"/>
        <v>-0.99640593366289931</v>
      </c>
      <c r="AW35">
        <f t="shared" ca="1" si="54"/>
        <v>-0.99640593366289931</v>
      </c>
      <c r="AX35" s="4" t="str">
        <f t="shared" ca="1" si="61"/>
        <v>ignore</v>
      </c>
    </row>
    <row r="36" spans="2:50" x14ac:dyDescent="0.2">
      <c r="B36">
        <v>6</v>
      </c>
      <c r="D36" s="11">
        <f t="shared" ca="1" si="37"/>
        <v>6.17</v>
      </c>
      <c r="F36" s="4">
        <f t="shared" ca="1" si="38"/>
        <v>418.25330453816667</v>
      </c>
      <c r="H36" s="4">
        <f t="shared" ca="1" si="39"/>
        <v>0.94584111568030715</v>
      </c>
      <c r="J36" s="11">
        <f t="shared" ca="1" si="40"/>
        <v>85.783758597950182</v>
      </c>
      <c r="L36" s="4">
        <f t="shared" ca="1" si="41"/>
        <v>0.12214046183333949</v>
      </c>
      <c r="M36" s="4">
        <f t="shared" ca="1" si="42"/>
        <v>166.55052171761147</v>
      </c>
      <c r="N36" s="4">
        <f t="shared" ca="1" si="43"/>
        <v>0.84403328221147</v>
      </c>
      <c r="R36" t="str">
        <f t="shared" ca="1" si="55"/>
        <v xml:space="preserve"> </v>
      </c>
      <c r="S36" s="11" t="str">
        <f t="shared" ca="1" si="44"/>
        <v xml:space="preserve"> </v>
      </c>
      <c r="T36" s="4" t="str">
        <f t="shared" ca="1" si="56"/>
        <v>none</v>
      </c>
      <c r="U36" s="4" t="str">
        <f t="shared" ca="1" si="45"/>
        <v xml:space="preserve"> </v>
      </c>
      <c r="V36" s="11" t="str">
        <f t="shared" ca="1" si="46"/>
        <v xml:space="preserve"> </v>
      </c>
      <c r="W36" s="4" t="str">
        <f t="shared" ca="1" si="57"/>
        <v xml:space="preserve"> </v>
      </c>
      <c r="AL36">
        <f t="shared" si="58"/>
        <v>0.99452189536827329</v>
      </c>
      <c r="AM36">
        <f t="shared" ca="1" si="47"/>
        <v>-1.3562517495402073E-2</v>
      </c>
      <c r="AN36">
        <f t="shared" ca="1" si="48"/>
        <v>1.3025296203667536</v>
      </c>
      <c r="AP36">
        <f t="shared" ca="1" si="59"/>
        <v>0.39399814369863362</v>
      </c>
      <c r="AQ36">
        <f t="shared" ca="1" si="49"/>
        <v>0.49231527779392881</v>
      </c>
      <c r="AR36">
        <f t="shared" ca="1" si="50"/>
        <v>0.99420732481510832</v>
      </c>
      <c r="AS36">
        <f t="shared" ca="1" si="51"/>
        <v>0.99420732481510832</v>
      </c>
      <c r="AT36" s="4">
        <f t="shared" ca="1" si="60"/>
        <v>85.783758597950182</v>
      </c>
      <c r="AU36">
        <f t="shared" ca="1" si="52"/>
        <v>-0.47149038861930376</v>
      </c>
      <c r="AV36">
        <f t="shared" ca="1" si="53"/>
        <v>-0.99482574365055354</v>
      </c>
      <c r="AW36">
        <f t="shared" ca="1" si="54"/>
        <v>-0.99482574365055354</v>
      </c>
      <c r="AX36" s="4" t="str">
        <f t="shared" ca="1" si="61"/>
        <v>ignore</v>
      </c>
    </row>
    <row r="37" spans="2:50" x14ac:dyDescent="0.2">
      <c r="B37">
        <v>7</v>
      </c>
      <c r="D37" s="11">
        <f t="shared" ca="1" si="37"/>
        <v>7.1980000000000004</v>
      </c>
      <c r="F37" s="4">
        <f t="shared" ca="1" si="38"/>
        <v>418.20927958379679</v>
      </c>
      <c r="H37" s="4">
        <f t="shared" ca="1" si="39"/>
        <v>0.94594644125702165</v>
      </c>
      <c r="J37" s="11">
        <f t="shared" ca="1" si="40"/>
        <v>85.431459009368695</v>
      </c>
      <c r="L37" s="4">
        <f t="shared" ca="1" si="41"/>
        <v>0.16616541620322778</v>
      </c>
      <c r="M37" s="4">
        <f t="shared" ca="1" si="42"/>
        <v>194.26142962102995</v>
      </c>
      <c r="N37" s="4">
        <f t="shared" ca="1" si="43"/>
        <v>0.98446471592644991</v>
      </c>
      <c r="R37" t="str">
        <f t="shared" ca="1" si="55"/>
        <v xml:space="preserve"> </v>
      </c>
      <c r="S37" s="11" t="str">
        <f t="shared" ca="1" si="44"/>
        <v xml:space="preserve"> </v>
      </c>
      <c r="T37" s="4" t="str">
        <f t="shared" ca="1" si="56"/>
        <v>none</v>
      </c>
      <c r="U37" s="4" t="str">
        <f t="shared" ca="1" si="45"/>
        <v xml:space="preserve"> </v>
      </c>
      <c r="V37" s="11" t="str">
        <f t="shared" ca="1" si="46"/>
        <v xml:space="preserve"> </v>
      </c>
      <c r="W37" s="4" t="str">
        <f t="shared" ca="1" si="57"/>
        <v xml:space="preserve"> </v>
      </c>
      <c r="AL37">
        <f t="shared" si="58"/>
        <v>0.99254615164132198</v>
      </c>
      <c r="AM37">
        <f t="shared" ca="1" si="47"/>
        <v>-1.3535573836355447E-2</v>
      </c>
      <c r="AN37">
        <f t="shared" ca="1" si="48"/>
        <v>1.3025288902450198</v>
      </c>
      <c r="AP37">
        <f t="shared" ca="1" si="59"/>
        <v>0.39399719282774898</v>
      </c>
      <c r="AQ37">
        <f t="shared" ca="1" si="49"/>
        <v>0.49229428659515462</v>
      </c>
      <c r="AR37">
        <f t="shared" ca="1" si="50"/>
        <v>0.99211856625027539</v>
      </c>
      <c r="AS37">
        <f t="shared" ca="1" si="51"/>
        <v>0.99211856625027539</v>
      </c>
      <c r="AT37" s="4">
        <f t="shared" ca="1" si="60"/>
        <v>85.431459009368695</v>
      </c>
      <c r="AU37">
        <f t="shared" ca="1" si="52"/>
        <v>-0.47151075705085532</v>
      </c>
      <c r="AV37">
        <f t="shared" ca="1" si="53"/>
        <v>-0.99295919105882935</v>
      </c>
      <c r="AW37">
        <f t="shared" ca="1" si="54"/>
        <v>-0.99295919105882935</v>
      </c>
      <c r="AX37" s="4" t="str">
        <f t="shared" ca="1" si="61"/>
        <v>ignore</v>
      </c>
    </row>
    <row r="38" spans="2:50" x14ac:dyDescent="0.2">
      <c r="B38">
        <v>8</v>
      </c>
      <c r="D38" s="11">
        <f t="shared" ca="1" si="37"/>
        <v>8.2260000000000009</v>
      </c>
      <c r="F38" s="4">
        <f t="shared" ca="1" si="38"/>
        <v>418.15852377323506</v>
      </c>
      <c r="H38" s="4">
        <f t="shared" ca="1" si="39"/>
        <v>0.9460679000621729</v>
      </c>
      <c r="J38" s="11">
        <f t="shared" ca="1" si="40"/>
        <v>85.038780890096561</v>
      </c>
      <c r="L38" s="4">
        <f t="shared" ca="1" si="41"/>
        <v>0.21692122676495273</v>
      </c>
      <c r="M38" s="4">
        <f t="shared" ca="1" si="42"/>
        <v>221.956227721213</v>
      </c>
      <c r="N38" s="4">
        <f t="shared" ca="1" si="43"/>
        <v>1.1248145094882775</v>
      </c>
      <c r="R38" t="str">
        <f t="shared" ca="1" si="55"/>
        <v xml:space="preserve"> </v>
      </c>
      <c r="S38" s="11" t="str">
        <f t="shared" ca="1" si="44"/>
        <v xml:space="preserve"> </v>
      </c>
      <c r="T38" s="4" t="str">
        <f t="shared" ca="1" si="56"/>
        <v>none</v>
      </c>
      <c r="U38" s="4" t="str">
        <f t="shared" ca="1" si="45"/>
        <v xml:space="preserve"> </v>
      </c>
      <c r="V38" s="11" t="str">
        <f t="shared" ca="1" si="46"/>
        <v xml:space="preserve"> </v>
      </c>
      <c r="W38" s="4" t="str">
        <f t="shared" ca="1" si="57"/>
        <v xml:space="preserve"> </v>
      </c>
      <c r="AL38">
        <f t="shared" si="58"/>
        <v>0.99026806874157036</v>
      </c>
      <c r="AM38">
        <f t="shared" ca="1" si="47"/>
        <v>-1.3504507110396219E-2</v>
      </c>
      <c r="AN38">
        <f t="shared" ca="1" si="48"/>
        <v>1.3025280501982353</v>
      </c>
      <c r="AP38">
        <f t="shared" ca="1" si="59"/>
        <v>0.3939960987964492</v>
      </c>
      <c r="AQ38">
        <f t="shared" ca="1" si="49"/>
        <v>0.492270083931861</v>
      </c>
      <c r="AR38">
        <f t="shared" ca="1" si="50"/>
        <v>0.98971046303825261</v>
      </c>
      <c r="AS38">
        <f t="shared" ca="1" si="51"/>
        <v>0.98971046303825261</v>
      </c>
      <c r="AT38" s="4">
        <f t="shared" ca="1" si="60"/>
        <v>85.038780890096561</v>
      </c>
      <c r="AU38">
        <f t="shared" ca="1" si="52"/>
        <v>-0.471534243182265</v>
      </c>
      <c r="AV38">
        <f t="shared" ca="1" si="53"/>
        <v>-0.99080674811754865</v>
      </c>
      <c r="AW38">
        <f t="shared" ca="1" si="54"/>
        <v>-0.99080674811754865</v>
      </c>
      <c r="AX38" s="4" t="str">
        <f t="shared" ca="1" si="61"/>
        <v>ignore</v>
      </c>
    </row>
    <row r="39" spans="2:50" x14ac:dyDescent="0.2">
      <c r="B39">
        <v>9</v>
      </c>
      <c r="D39" s="11">
        <f t="shared" ca="1" si="37"/>
        <v>9.2539999999999996</v>
      </c>
      <c r="F39" s="4">
        <f t="shared" ca="1" si="38"/>
        <v>418.10105515773915</v>
      </c>
      <c r="H39" s="4">
        <f t="shared" ca="1" si="39"/>
        <v>0.94620546180044751</v>
      </c>
      <c r="J39" s="11">
        <f t="shared" ca="1" si="40"/>
        <v>84.619194480390647</v>
      </c>
      <c r="L39" s="4">
        <f t="shared" ca="1" si="41"/>
        <v>0.2743898422608595</v>
      </c>
      <c r="M39" s="4">
        <f t="shared" ca="1" si="42"/>
        <v>249.63207065614233</v>
      </c>
      <c r="N39" s="4">
        <f t="shared" ca="1" si="43"/>
        <v>1.2650682433669596</v>
      </c>
      <c r="R39" t="str">
        <f t="shared" ca="1" si="55"/>
        <v xml:space="preserve"> </v>
      </c>
      <c r="S39" s="11" t="str">
        <f t="shared" ca="1" si="44"/>
        <v xml:space="preserve"> </v>
      </c>
      <c r="T39" s="4" t="str">
        <f t="shared" ca="1" si="56"/>
        <v>none</v>
      </c>
      <c r="U39" s="4" t="str">
        <f t="shared" ca="1" si="45"/>
        <v xml:space="preserve"> </v>
      </c>
      <c r="V39" s="11" t="str">
        <f t="shared" ca="1" si="46"/>
        <v xml:space="preserve"> </v>
      </c>
      <c r="W39" s="4" t="str">
        <f t="shared" ca="1" si="57"/>
        <v xml:space="preserve"> </v>
      </c>
      <c r="AL39">
        <f t="shared" si="58"/>
        <v>0.98768834059513777</v>
      </c>
      <c r="AM39">
        <f t="shared" ca="1" si="47"/>
        <v>-1.3469326780750066E-2</v>
      </c>
      <c r="AN39">
        <f t="shared" ca="1" si="48"/>
        <v>1.3025271012498671</v>
      </c>
      <c r="AP39">
        <f t="shared" ca="1" si="59"/>
        <v>0.39399486293764291</v>
      </c>
      <c r="AQ39">
        <f t="shared" ca="1" si="49"/>
        <v>0.49224267748499251</v>
      </c>
      <c r="AR39">
        <f t="shared" ca="1" si="50"/>
        <v>0.98698387161876799</v>
      </c>
      <c r="AS39">
        <f t="shared" ca="1" si="51"/>
        <v>0.98698387161876799</v>
      </c>
      <c r="AT39" s="4">
        <f t="shared" ca="1" si="60"/>
        <v>84.619194480390647</v>
      </c>
      <c r="AU39">
        <f t="shared" ca="1" si="52"/>
        <v>-0.47156084020448558</v>
      </c>
      <c r="AV39">
        <f t="shared" ca="1" si="53"/>
        <v>-0.98836895961598481</v>
      </c>
      <c r="AW39">
        <f t="shared" ca="1" si="54"/>
        <v>-0.98836895961598481</v>
      </c>
      <c r="AX39" s="4" t="str">
        <f t="shared" ca="1" si="61"/>
        <v>ignore</v>
      </c>
    </row>
    <row r="40" spans="2:50" x14ac:dyDescent="0.2">
      <c r="B40">
        <v>10</v>
      </c>
      <c r="D40" s="11">
        <f t="shared" ca="1" si="37"/>
        <v>10.282</v>
      </c>
      <c r="F40" s="4">
        <f t="shared" ca="1" si="38"/>
        <v>418.03689416856741</v>
      </c>
      <c r="H40" s="4">
        <f t="shared" ca="1" si="39"/>
        <v>0.94635909214217429</v>
      </c>
      <c r="J40" s="11">
        <f t="shared" ca="1" si="40"/>
        <v>84.180785281557476</v>
      </c>
      <c r="L40" s="4">
        <f t="shared" ca="1" si="41"/>
        <v>0.3385508314325989</v>
      </c>
      <c r="M40" s="4">
        <f t="shared" ca="1" si="42"/>
        <v>277.28627132571233</v>
      </c>
      <c r="N40" s="4">
        <f t="shared" ca="1" si="43"/>
        <v>1.4052123000613415</v>
      </c>
      <c r="R40" t="str">
        <f t="shared" ca="1" si="55"/>
        <v xml:space="preserve"> </v>
      </c>
      <c r="S40" s="11" t="str">
        <f t="shared" ca="1" si="44"/>
        <v xml:space="preserve"> </v>
      </c>
      <c r="T40" s="4" t="str">
        <f t="shared" ca="1" si="56"/>
        <v>none</v>
      </c>
      <c r="U40" s="4" t="str">
        <f t="shared" ca="1" si="45"/>
        <v xml:space="preserve"> </v>
      </c>
      <c r="V40" s="11" t="str">
        <f t="shared" ca="1" si="46"/>
        <v xml:space="preserve"> </v>
      </c>
      <c r="W40" s="4" t="str">
        <f t="shared" ca="1" si="57"/>
        <v xml:space="preserve"> </v>
      </c>
      <c r="AL40">
        <f t="shared" si="58"/>
        <v>0.98480775301220802</v>
      </c>
      <c r="AM40">
        <f t="shared" ca="1" si="47"/>
        <v>-1.3430043563686196E-2</v>
      </c>
      <c r="AN40">
        <f t="shared" ca="1" si="48"/>
        <v>1.3025260445560629</v>
      </c>
      <c r="AP40">
        <f t="shared" ca="1" si="59"/>
        <v>0.39399348675703361</v>
      </c>
      <c r="AQ40">
        <f t="shared" ca="1" si="49"/>
        <v>0.49221207595149286</v>
      </c>
      <c r="AR40">
        <f t="shared" ca="1" si="50"/>
        <v>0.98393976135041061</v>
      </c>
      <c r="AS40">
        <f t="shared" ca="1" si="51"/>
        <v>0.98393976135041061</v>
      </c>
      <c r="AT40" s="4">
        <f t="shared" ca="1" si="60"/>
        <v>84.180785281557476</v>
      </c>
      <c r="AU40">
        <f t="shared" ca="1" si="52"/>
        <v>-0.4715905404055169</v>
      </c>
      <c r="AV40">
        <f t="shared" ca="1" si="53"/>
        <v>-0.98564644286319669</v>
      </c>
      <c r="AW40">
        <f t="shared" ca="1" si="54"/>
        <v>-0.98564644286319669</v>
      </c>
      <c r="AX40" s="4" t="str">
        <f t="shared" ca="1" si="61"/>
        <v>ignore</v>
      </c>
    </row>
    <row r="41" spans="2:50" x14ac:dyDescent="0.2">
      <c r="B41">
        <v>11</v>
      </c>
      <c r="D41" s="11">
        <f t="shared" ca="1" si="37"/>
        <v>11.31</v>
      </c>
      <c r="F41" s="4">
        <f t="shared" ca="1" si="38"/>
        <v>417.96606360696666</v>
      </c>
      <c r="H41" s="4">
        <f t="shared" ca="1" si="39"/>
        <v>0.94652875272525117</v>
      </c>
      <c r="J41" s="11">
        <f t="shared" ca="1" si="40"/>
        <v>83.728700891948449</v>
      </c>
      <c r="L41" s="4">
        <f t="shared" ca="1" si="41"/>
        <v>0.40938139303335674</v>
      </c>
      <c r="M41" s="4">
        <f t="shared" ca="1" si="42"/>
        <v>304.91623101451353</v>
      </c>
      <c r="N41" s="4">
        <f t="shared" ca="1" si="43"/>
        <v>1.5452335099801542</v>
      </c>
      <c r="R41" t="str">
        <f t="shared" ca="1" si="55"/>
        <v xml:space="preserve"> </v>
      </c>
      <c r="S41" s="11" t="str">
        <f t="shared" ca="1" si="44"/>
        <v xml:space="preserve"> </v>
      </c>
      <c r="T41" s="4" t="str">
        <f t="shared" ca="1" si="56"/>
        <v>none</v>
      </c>
      <c r="U41" s="4" t="str">
        <f t="shared" ca="1" si="45"/>
        <v xml:space="preserve"> </v>
      </c>
      <c r="V41" s="11" t="str">
        <f t="shared" ca="1" si="46"/>
        <v xml:space="preserve"> </v>
      </c>
      <c r="W41" s="4" t="str">
        <f t="shared" ca="1" si="57"/>
        <v xml:space="preserve"> </v>
      </c>
      <c r="AL41">
        <f t="shared" si="58"/>
        <v>0.98162718344766398</v>
      </c>
      <c r="AM41">
        <f t="shared" ca="1" si="47"/>
        <v>-1.3386669425253076E-2</v>
      </c>
      <c r="AN41">
        <f t="shared" ca="1" si="48"/>
        <v>1.3025248814042414</v>
      </c>
      <c r="AP41">
        <f t="shared" ca="1" si="59"/>
        <v>0.39399197193128538</v>
      </c>
      <c r="AQ41">
        <f t="shared" ca="1" si="49"/>
        <v>0.4921782890412657</v>
      </c>
      <c r="AR41">
        <f t="shared" ca="1" si="50"/>
        <v>0.98057921403548443</v>
      </c>
      <c r="AS41">
        <f t="shared" ca="1" si="51"/>
        <v>0.98057921403548443</v>
      </c>
      <c r="AT41" s="4">
        <f t="shared" ca="1" si="60"/>
        <v>83.728700891948449</v>
      </c>
      <c r="AU41">
        <f t="shared" ca="1" si="52"/>
        <v>-0.47162333517225236</v>
      </c>
      <c r="AV41">
        <f t="shared" ca="1" si="53"/>
        <v>-0.98263988764271559</v>
      </c>
      <c r="AW41">
        <f t="shared" ca="1" si="54"/>
        <v>-0.98263988764271559</v>
      </c>
      <c r="AX41" s="4" t="str">
        <f t="shared" ca="1" si="61"/>
        <v>ignore</v>
      </c>
    </row>
    <row r="42" spans="2:50" x14ac:dyDescent="0.2">
      <c r="B42">
        <v>12</v>
      </c>
      <c r="D42" s="11">
        <f t="shared" ca="1" si="37"/>
        <v>12.337999999999999</v>
      </c>
      <c r="F42" s="4">
        <f t="shared" ca="1" si="38"/>
        <v>417.88858863300374</v>
      </c>
      <c r="H42" s="4">
        <f t="shared" ca="1" si="39"/>
        <v>0.94671440115732641</v>
      </c>
      <c r="J42" s="11">
        <f t="shared" ca="1" si="40"/>
        <v>83.266374811645562</v>
      </c>
      <c r="L42" s="4">
        <f t="shared" ca="1" si="41"/>
        <v>0.48685636699627821</v>
      </c>
      <c r="M42" s="4">
        <f t="shared" ca="1" si="42"/>
        <v>332.51940465822207</v>
      </c>
      <c r="N42" s="4">
        <f t="shared" ca="1" si="43"/>
        <v>1.6851189754214124</v>
      </c>
      <c r="R42" t="str">
        <f t="shared" ca="1" si="55"/>
        <v xml:space="preserve"> </v>
      </c>
      <c r="S42" s="11" t="str">
        <f t="shared" ca="1" si="44"/>
        <v xml:space="preserve"> </v>
      </c>
      <c r="T42" s="4" t="str">
        <f t="shared" ca="1" si="56"/>
        <v>none</v>
      </c>
      <c r="U42" s="4" t="str">
        <f t="shared" ca="1" si="45"/>
        <v xml:space="preserve"> </v>
      </c>
      <c r="V42" s="11" t="str">
        <f t="shared" ca="1" si="46"/>
        <v xml:space="preserve"> </v>
      </c>
      <c r="W42" s="4" t="str">
        <f t="shared" ca="1" si="57"/>
        <v xml:space="preserve"> </v>
      </c>
      <c r="AL42">
        <f t="shared" si="58"/>
        <v>0.97814760073380569</v>
      </c>
      <c r="AM42">
        <f t="shared" ca="1" si="47"/>
        <v>-1.3339217577633447E-2</v>
      </c>
      <c r="AN42">
        <f t="shared" ca="1" si="48"/>
        <v>1.3025236132115239</v>
      </c>
      <c r="AP42">
        <f t="shared" ca="1" si="59"/>
        <v>0.39399032030598019</v>
      </c>
      <c r="AQ42">
        <f t="shared" ca="1" si="49"/>
        <v>0.49214132747378037</v>
      </c>
      <c r="AR42">
        <f t="shared" ca="1" si="50"/>
        <v>0.9769034233902899</v>
      </c>
      <c r="AS42">
        <f t="shared" ca="1" si="51"/>
        <v>0.9769034233902899</v>
      </c>
      <c r="AT42" s="4">
        <f t="shared" ca="1" si="60"/>
        <v>83.266374811645562</v>
      </c>
      <c r="AU42">
        <f t="shared" ca="1" si="52"/>
        <v>-0.47165921499254243</v>
      </c>
      <c r="AV42">
        <f t="shared" ca="1" si="53"/>
        <v>-0.97935005616145199</v>
      </c>
      <c r="AW42">
        <f t="shared" ca="1" si="54"/>
        <v>-0.97935005616145199</v>
      </c>
      <c r="AX42" s="4" t="str">
        <f t="shared" ca="1" si="61"/>
        <v>ignore</v>
      </c>
    </row>
    <row r="43" spans="2:50" x14ac:dyDescent="0.2">
      <c r="B43">
        <v>13</v>
      </c>
      <c r="D43" s="11">
        <f t="shared" ca="1" si="37"/>
        <v>13.366</v>
      </c>
      <c r="F43" s="4">
        <f t="shared" ca="1" si="38"/>
        <v>417.80449675326093</v>
      </c>
      <c r="H43" s="4">
        <f t="shared" ca="1" si="39"/>
        <v>0.94691599101824131</v>
      </c>
      <c r="J43" s="11">
        <f t="shared" ca="1" si="40"/>
        <v>82.796185566034708</v>
      </c>
      <c r="L43" s="4">
        <f t="shared" ca="1" si="41"/>
        <v>0.57094824673907851</v>
      </c>
      <c r="M43" s="4">
        <f t="shared" ca="1" si="42"/>
        <v>360.09328231774532</v>
      </c>
      <c r="N43" s="4">
        <f t="shared" ca="1" si="43"/>
        <v>1.8248559766883619</v>
      </c>
      <c r="R43" t="str">
        <f t="shared" ca="1" si="55"/>
        <v xml:space="preserve"> </v>
      </c>
      <c r="S43" s="11" t="str">
        <f t="shared" ca="1" si="44"/>
        <v xml:space="preserve"> </v>
      </c>
      <c r="T43" s="4" t="str">
        <f t="shared" ca="1" si="56"/>
        <v>none</v>
      </c>
      <c r="U43" s="4" t="str">
        <f t="shared" ca="1" si="45"/>
        <v xml:space="preserve"> </v>
      </c>
      <c r="V43" s="11" t="str">
        <f t="shared" ca="1" si="46"/>
        <v xml:space="preserve"> </v>
      </c>
      <c r="W43" s="4" t="str">
        <f t="shared" ca="1" si="57"/>
        <v xml:space="preserve"> </v>
      </c>
      <c r="AL43">
        <f t="shared" si="58"/>
        <v>0.97437006478523525</v>
      </c>
      <c r="AM43">
        <f t="shared" ca="1" si="47"/>
        <v>-1.3287702475119765E-2</v>
      </c>
      <c r="AN43">
        <f t="shared" ca="1" si="48"/>
        <v>1.3025222415230078</v>
      </c>
      <c r="AP43">
        <f t="shared" ca="1" si="59"/>
        <v>0.39398853389336902</v>
      </c>
      <c r="AQ43">
        <f t="shared" ca="1" si="49"/>
        <v>0.49210120297432747</v>
      </c>
      <c r="AR43">
        <f t="shared" ca="1" si="50"/>
        <v>0.97291369446127962</v>
      </c>
      <c r="AS43">
        <f t="shared" ca="1" si="51"/>
        <v>0.97291369446127962</v>
      </c>
      <c r="AT43" s="4">
        <f t="shared" ca="1" si="60"/>
        <v>82.796185566034708</v>
      </c>
      <c r="AU43">
        <f t="shared" ca="1" si="52"/>
        <v>-0.47169816945747511</v>
      </c>
      <c r="AV43">
        <f t="shared" ca="1" si="53"/>
        <v>-0.97577778299266726</v>
      </c>
      <c r="AW43">
        <f t="shared" ca="1" si="54"/>
        <v>-0.97577778299266726</v>
      </c>
      <c r="AX43" s="4" t="str">
        <f t="shared" ca="1" si="61"/>
        <v>ignore</v>
      </c>
    </row>
    <row r="44" spans="2:50" x14ac:dyDescent="0.2">
      <c r="B44">
        <v>14</v>
      </c>
      <c r="D44" s="11">
        <f t="shared" ca="1" si="37"/>
        <v>14.393000000000001</v>
      </c>
      <c r="F44" s="4">
        <f t="shared" ca="1" si="38"/>
        <v>417.71381780740001</v>
      </c>
      <c r="H44" s="4">
        <f t="shared" ca="1" si="39"/>
        <v>0.94713347186274555</v>
      </c>
      <c r="J44" s="11">
        <f t="shared" ca="1" si="40"/>
        <v>82.319833408655569</v>
      </c>
      <c r="L44" s="4">
        <f t="shared" ca="1" si="41"/>
        <v>0.66162719260000813</v>
      </c>
      <c r="M44" s="4">
        <f t="shared" ca="1" si="42"/>
        <v>387.6353788145787</v>
      </c>
      <c r="N44" s="4">
        <f t="shared" ca="1" si="43"/>
        <v>1.9644319195642534</v>
      </c>
      <c r="R44" t="str">
        <f t="shared" ca="1" si="55"/>
        <v xml:space="preserve"> </v>
      </c>
      <c r="S44" s="11" t="str">
        <f t="shared" ca="1" si="44"/>
        <v xml:space="preserve"> </v>
      </c>
      <c r="T44" s="4" t="str">
        <f t="shared" ca="1" si="56"/>
        <v>none</v>
      </c>
      <c r="U44" s="4" t="str">
        <f t="shared" ca="1" si="45"/>
        <v xml:space="preserve"> </v>
      </c>
      <c r="V44" s="11" t="str">
        <f t="shared" ca="1" si="46"/>
        <v xml:space="preserve"> </v>
      </c>
      <c r="W44" s="4" t="str">
        <f t="shared" ca="1" si="57"/>
        <v xml:space="preserve"> </v>
      </c>
      <c r="AL44">
        <f t="shared" si="58"/>
        <v>0.97029572627599647</v>
      </c>
      <c r="AM44">
        <f t="shared" ca="1" si="47"/>
        <v>-1.3232139809711298E-2</v>
      </c>
      <c r="AN44">
        <f t="shared" ca="1" si="48"/>
        <v>1.3025207680098843</v>
      </c>
      <c r="AP44">
        <f t="shared" ca="1" si="59"/>
        <v>0.39398661486992037</v>
      </c>
      <c r="AQ44">
        <f t="shared" ca="1" si="49"/>
        <v>0.49205792826992345</v>
      </c>
      <c r="AR44">
        <f t="shared" ca="1" si="50"/>
        <v>0.96861144298755975</v>
      </c>
      <c r="AS44">
        <f t="shared" ca="1" si="51"/>
        <v>0.96861144298755975</v>
      </c>
      <c r="AT44" s="4">
        <f t="shared" ca="1" si="60"/>
        <v>82.319833408655569</v>
      </c>
      <c r="AU44">
        <f t="shared" ca="1" si="52"/>
        <v>-0.47174018726387623</v>
      </c>
      <c r="AV44">
        <f t="shared" ca="1" si="53"/>
        <v>-0.97192397501285488</v>
      </c>
      <c r="AW44">
        <f t="shared" ca="1" si="54"/>
        <v>-0.97192397501285488</v>
      </c>
      <c r="AX44" s="4" t="str">
        <f t="shared" ca="1" si="61"/>
        <v>ignore</v>
      </c>
    </row>
    <row r="45" spans="2:50" x14ac:dyDescent="0.2">
      <c r="B45">
        <v>15</v>
      </c>
      <c r="D45" s="11">
        <f t="shared" ca="1" si="37"/>
        <v>15.420999999999999</v>
      </c>
      <c r="F45" s="4">
        <f t="shared" ca="1" si="38"/>
        <v>417.61658395360729</v>
      </c>
      <c r="H45" s="4">
        <f t="shared" ca="1" si="39"/>
        <v>0.94736678922349637</v>
      </c>
      <c r="J45" s="11">
        <f t="shared" ca="1" si="40"/>
        <v>81.838566370684234</v>
      </c>
      <c r="L45" s="4">
        <f t="shared" ca="1" si="41"/>
        <v>0.75886104639272389</v>
      </c>
      <c r="M45" s="4">
        <f t="shared" ca="1" si="42"/>
        <v>415.14322762012876</v>
      </c>
      <c r="N45" s="4">
        <f t="shared" ca="1" si="43"/>
        <v>2.1038343043450762</v>
      </c>
      <c r="R45" t="str">
        <f t="shared" ca="1" si="55"/>
        <v xml:space="preserve"> </v>
      </c>
      <c r="S45" s="11" t="str">
        <f t="shared" ca="1" si="44"/>
        <v xml:space="preserve"> </v>
      </c>
      <c r="T45" s="4" t="str">
        <f t="shared" ca="1" si="56"/>
        <v>none</v>
      </c>
      <c r="U45" s="4" t="str">
        <f t="shared" ca="1" si="45"/>
        <v xml:space="preserve"> </v>
      </c>
      <c r="V45" s="11" t="str">
        <f t="shared" ca="1" si="46"/>
        <v xml:space="preserve"> </v>
      </c>
      <c r="W45" s="4" t="str">
        <f t="shared" ca="1" si="57"/>
        <v xml:space="preserve"> </v>
      </c>
      <c r="AL45">
        <f t="shared" si="58"/>
        <v>0.96592582628906831</v>
      </c>
      <c r="AM45">
        <f t="shared" ca="1" si="47"/>
        <v>-1.3172546506334178E-2</v>
      </c>
      <c r="AN45">
        <f t="shared" ca="1" si="48"/>
        <v>1.3025191944674019</v>
      </c>
      <c r="AP45">
        <f t="shared" ca="1" si="59"/>
        <v>0.39398456557366873</v>
      </c>
      <c r="AQ45">
        <f t="shared" ca="1" si="49"/>
        <v>0.49201151708486685</v>
      </c>
      <c r="AR45">
        <f t="shared" ca="1" si="50"/>
        <v>0.96399819471027182</v>
      </c>
      <c r="AS45">
        <f t="shared" ca="1" si="51"/>
        <v>0.96399819471027182</v>
      </c>
      <c r="AT45" s="4">
        <f t="shared" ca="1" si="60"/>
        <v>81.838566370684234</v>
      </c>
      <c r="AU45">
        <f t="shared" ca="1" si="52"/>
        <v>-0.47178525621702544</v>
      </c>
      <c r="AV45">
        <f t="shared" ca="1" si="53"/>
        <v>-0.96778961133234487</v>
      </c>
      <c r="AW45">
        <f t="shared" ca="1" si="54"/>
        <v>-0.96778961133234487</v>
      </c>
      <c r="AX45" s="4" t="str">
        <f t="shared" ca="1" si="61"/>
        <v>ignore</v>
      </c>
    </row>
    <row r="46" spans="2:50" x14ac:dyDescent="0.2">
      <c r="B46">
        <v>16</v>
      </c>
      <c r="D46" s="11">
        <f t="shared" ca="1" si="37"/>
        <v>16.448</v>
      </c>
      <c r="F46" s="4">
        <f t="shared" ca="1" si="38"/>
        <v>417.51282965292506</v>
      </c>
      <c r="H46" s="4">
        <f t="shared" ca="1" si="39"/>
        <v>0.94761588461434954</v>
      </c>
      <c r="J46" s="11">
        <f t="shared" ca="1" si="40"/>
        <v>81.353321553531345</v>
      </c>
      <c r="L46" s="4">
        <f t="shared" ca="1" si="41"/>
        <v>0.86261534707495002</v>
      </c>
      <c r="M46" s="4">
        <f t="shared" ca="1" si="42"/>
        <v>442.61437726033034</v>
      </c>
      <c r="N46" s="4">
        <f t="shared" ca="1" si="43"/>
        <v>2.2430507076191226</v>
      </c>
      <c r="R46" t="str">
        <f t="shared" ca="1" si="55"/>
        <v xml:space="preserve"> </v>
      </c>
      <c r="S46" s="11" t="str">
        <f t="shared" ca="1" si="44"/>
        <v xml:space="preserve"> </v>
      </c>
      <c r="T46" s="4" t="str">
        <f t="shared" ca="1" si="56"/>
        <v>none</v>
      </c>
      <c r="U46" s="4" t="str">
        <f t="shared" ca="1" si="45"/>
        <v xml:space="preserve"> </v>
      </c>
      <c r="V46" s="11" t="str">
        <f t="shared" ca="1" si="46"/>
        <v xml:space="preserve"> </v>
      </c>
      <c r="W46" s="4" t="str">
        <f t="shared" ca="1" si="57"/>
        <v xml:space="preserve"> </v>
      </c>
      <c r="AL46">
        <f t="shared" si="58"/>
        <v>0.96126169593831889</v>
      </c>
      <c r="AM46">
        <f t="shared" ca="1" si="47"/>
        <v>-1.3108940717685905E-2</v>
      </c>
      <c r="AN46">
        <f t="shared" ca="1" si="48"/>
        <v>1.3025175228126802</v>
      </c>
      <c r="AP46">
        <f t="shared" ca="1" si="59"/>
        <v>0.39398238850136591</v>
      </c>
      <c r="AQ46">
        <f t="shared" ca="1" si="49"/>
        <v>0.49196198413594772</v>
      </c>
      <c r="AR46">
        <f t="shared" ca="1" si="50"/>
        <v>0.95907558462942211</v>
      </c>
      <c r="AS46">
        <f t="shared" ca="1" si="51"/>
        <v>0.95907558462942211</v>
      </c>
      <c r="AT46" s="4">
        <f t="shared" ca="1" si="60"/>
        <v>81.353321553531345</v>
      </c>
      <c r="AU46">
        <f t="shared" ca="1" si="52"/>
        <v>-0.47183336323359215</v>
      </c>
      <c r="AV46">
        <f t="shared" ca="1" si="53"/>
        <v>-0.96337574321944119</v>
      </c>
      <c r="AW46">
        <f t="shared" ca="1" si="54"/>
        <v>-0.96337574321944119</v>
      </c>
      <c r="AX46" s="4" t="str">
        <f t="shared" ca="1" si="61"/>
        <v>ignore</v>
      </c>
    </row>
    <row r="47" spans="2:50" x14ac:dyDescent="0.2">
      <c r="B47">
        <v>17</v>
      </c>
      <c r="D47" s="11">
        <f t="shared" ca="1" si="37"/>
        <v>17.475999999999999</v>
      </c>
      <c r="F47" s="4">
        <f t="shared" ca="1" si="38"/>
        <v>417.40259165249864</v>
      </c>
      <c r="H47" s="4">
        <f t="shared" ca="1" si="39"/>
        <v>0.94788069553395993</v>
      </c>
      <c r="J47" s="11">
        <f t="shared" ca="1" si="40"/>
        <v>80.864816562702757</v>
      </c>
      <c r="L47" s="4">
        <f t="shared" ca="1" si="41"/>
        <v>0.97285334750137054</v>
      </c>
      <c r="M47" s="4">
        <f t="shared" ca="1" si="42"/>
        <v>470.04638907810016</v>
      </c>
      <c r="N47" s="4">
        <f t="shared" ca="1" si="43"/>
        <v>2.3820687709277037</v>
      </c>
      <c r="R47" t="str">
        <f t="shared" ca="1" si="55"/>
        <v xml:space="preserve"> </v>
      </c>
      <c r="S47" s="11" t="str">
        <f t="shared" ca="1" si="44"/>
        <v xml:space="preserve"> </v>
      </c>
      <c r="T47" s="4" t="str">
        <f t="shared" ca="1" si="56"/>
        <v>none</v>
      </c>
      <c r="U47" s="4" t="str">
        <f t="shared" ca="1" si="45"/>
        <v xml:space="preserve"> </v>
      </c>
      <c r="V47" s="11" t="str">
        <f t="shared" ca="1" si="46"/>
        <v xml:space="preserve"> </v>
      </c>
      <c r="W47" s="4" t="str">
        <f t="shared" ca="1" si="57"/>
        <v xml:space="preserve"> </v>
      </c>
      <c r="AL47">
        <f t="shared" si="58"/>
        <v>0.95630475596303544</v>
      </c>
      <c r="AM47">
        <f t="shared" ca="1" si="47"/>
        <v>-1.3041341818705863E-2</v>
      </c>
      <c r="AN47">
        <f t="shared" ca="1" si="48"/>
        <v>1.3025157550823727</v>
      </c>
      <c r="AP47">
        <f t="shared" ca="1" si="59"/>
        <v>0.39398008630543929</v>
      </c>
      <c r="AQ47">
        <f t="shared" ca="1" si="49"/>
        <v>0.49190934512731349</v>
      </c>
      <c r="AR47">
        <f t="shared" ca="1" si="50"/>
        <v>0.95384535620876942</v>
      </c>
      <c r="AS47">
        <f t="shared" ca="1" si="51"/>
        <v>0.95384535620876942</v>
      </c>
      <c r="AT47" s="4">
        <f t="shared" ca="1" si="60"/>
        <v>80.864816562702757</v>
      </c>
      <c r="AU47">
        <f t="shared" ca="1" si="52"/>
        <v>-0.47188449434478902</v>
      </c>
      <c r="AV47">
        <f t="shared" ca="1" si="53"/>
        <v>-0.95868349401788344</v>
      </c>
      <c r="AW47">
        <f t="shared" ca="1" si="54"/>
        <v>-0.95868349401788344</v>
      </c>
      <c r="AX47" s="4" t="str">
        <f t="shared" ca="1" si="61"/>
        <v>ignore</v>
      </c>
    </row>
    <row r="48" spans="2:50" x14ac:dyDescent="0.2">
      <c r="B48">
        <v>18</v>
      </c>
      <c r="D48" s="11">
        <f t="shared" ca="1" si="37"/>
        <v>18.503</v>
      </c>
      <c r="F48" s="4">
        <f t="shared" ca="1" si="38"/>
        <v>417.28590896773284</v>
      </c>
      <c r="H48" s="4">
        <f t="shared" ca="1" si="39"/>
        <v>0.94816115546970037</v>
      </c>
      <c r="J48" s="11">
        <f t="shared" ca="1" si="40"/>
        <v>80.373610464744459</v>
      </c>
      <c r="L48" s="4">
        <f t="shared" ca="1" si="41"/>
        <v>1.0895360322671763</v>
      </c>
      <c r="M48" s="4">
        <f t="shared" ca="1" si="42"/>
        <v>497.43683590576842</v>
      </c>
      <c r="N48" s="4">
        <f t="shared" ca="1" si="43"/>
        <v>2.5208761940373905</v>
      </c>
      <c r="R48" t="str">
        <f t="shared" ca="1" si="55"/>
        <v xml:space="preserve"> </v>
      </c>
      <c r="S48" s="11" t="str">
        <f t="shared" ca="1" si="44"/>
        <v xml:space="preserve"> </v>
      </c>
      <c r="T48" s="4" t="str">
        <f t="shared" ca="1" si="56"/>
        <v>none</v>
      </c>
      <c r="U48" s="4" t="str">
        <f t="shared" ca="1" si="45"/>
        <v xml:space="preserve"> </v>
      </c>
      <c r="V48" s="11" t="str">
        <f t="shared" ca="1" si="46"/>
        <v xml:space="preserve"> </v>
      </c>
      <c r="W48" s="4" t="str">
        <f t="shared" ca="1" si="57"/>
        <v xml:space="preserve"> </v>
      </c>
      <c r="AL48">
        <f t="shared" si="58"/>
        <v>0.95105651629515353</v>
      </c>
      <c r="AM48">
        <f t="shared" ca="1" si="47"/>
        <v>-1.2969770400673529E-2</v>
      </c>
      <c r="AN48">
        <f t="shared" ca="1" si="48"/>
        <v>1.3025138934301865</v>
      </c>
      <c r="AP48">
        <f t="shared" ca="1" si="59"/>
        <v>0.39397766179075983</v>
      </c>
      <c r="AQ48">
        <f t="shared" ca="1" si="49"/>
        <v>0.49185361674499117</v>
      </c>
      <c r="AR48">
        <f t="shared" ca="1" si="50"/>
        <v>0.94830936052942294</v>
      </c>
      <c r="AS48">
        <f t="shared" ca="1" si="51"/>
        <v>0.94830936052942294</v>
      </c>
      <c r="AT48" s="4">
        <f t="shared" ca="1" si="60"/>
        <v>80.373610464744459</v>
      </c>
      <c r="AU48">
        <f t="shared" ca="1" si="52"/>
        <v>-0.47193863469974412</v>
      </c>
      <c r="AV48">
        <f t="shared" ca="1" si="53"/>
        <v>-0.9537140590574098</v>
      </c>
      <c r="AW48">
        <f t="shared" ca="1" si="54"/>
        <v>-0.9537140590574098</v>
      </c>
      <c r="AX48" s="4" t="str">
        <f t="shared" ca="1" si="61"/>
        <v>ignore</v>
      </c>
    </row>
    <row r="49" spans="2:50" x14ac:dyDescent="0.2">
      <c r="B49">
        <v>19</v>
      </c>
      <c r="D49" s="11">
        <f t="shared" ca="1" si="37"/>
        <v>19.529</v>
      </c>
      <c r="F49" s="4">
        <f t="shared" ca="1" si="38"/>
        <v>417.16282286338742</v>
      </c>
      <c r="H49" s="4">
        <f t="shared" ca="1" si="39"/>
        <v>0.94845719390191596</v>
      </c>
      <c r="J49" s="11">
        <f t="shared" ca="1" si="40"/>
        <v>79.880145497503122</v>
      </c>
      <c r="L49" s="4">
        <f t="shared" ca="1" si="41"/>
        <v>1.2126221366125947</v>
      </c>
      <c r="M49" s="4">
        <f t="shared" ca="1" si="42"/>
        <v>524.78330129407527</v>
      </c>
      <c r="N49" s="4">
        <f t="shared" ca="1" si="43"/>
        <v>2.6594607310327754</v>
      </c>
      <c r="R49" t="str">
        <f t="shared" ca="1" si="55"/>
        <v xml:space="preserve"> </v>
      </c>
      <c r="S49" s="11" t="str">
        <f t="shared" ca="1" si="44"/>
        <v xml:space="preserve"> </v>
      </c>
      <c r="T49" s="4" t="str">
        <f t="shared" ca="1" si="56"/>
        <v>none</v>
      </c>
      <c r="U49" s="4" t="str">
        <f t="shared" ca="1" si="45"/>
        <v xml:space="preserve"> </v>
      </c>
      <c r="V49" s="11" t="str">
        <f t="shared" ca="1" si="46"/>
        <v xml:space="preserve"> </v>
      </c>
      <c r="W49" s="4" t="str">
        <f t="shared" ca="1" si="57"/>
        <v xml:space="preserve"> </v>
      </c>
      <c r="AL49">
        <f t="shared" si="58"/>
        <v>0.94551857559931685</v>
      </c>
      <c r="AM49">
        <f t="shared" ca="1" si="47"/>
        <v>-1.2894248264936164E-2</v>
      </c>
      <c r="AN49">
        <f t="shared" ca="1" si="48"/>
        <v>1.3025119401242582</v>
      </c>
      <c r="AP49">
        <f t="shared" ca="1" si="59"/>
        <v>0.39397511791122519</v>
      </c>
      <c r="AQ49">
        <f t="shared" ca="1" si="49"/>
        <v>0.49179481665107078</v>
      </c>
      <c r="AR49">
        <f t="shared" ca="1" si="50"/>
        <v>0.94246955539284505</v>
      </c>
      <c r="AS49">
        <f t="shared" ca="1" si="51"/>
        <v>0.94246955539284505</v>
      </c>
      <c r="AT49" s="4">
        <f t="shared" ca="1" si="60"/>
        <v>79.880145497503122</v>
      </c>
      <c r="AU49">
        <f t="shared" ca="1" si="52"/>
        <v>-0.47199576856909153</v>
      </c>
      <c r="AV49">
        <f t="shared" ca="1" si="53"/>
        <v>-0.94846870555718621</v>
      </c>
      <c r="AW49">
        <f t="shared" ca="1" si="54"/>
        <v>-0.94846870555718621</v>
      </c>
      <c r="AX49" s="4" t="str">
        <f t="shared" ca="1" si="61"/>
        <v>ignore</v>
      </c>
    </row>
    <row r="50" spans="2:50" x14ac:dyDescent="0.2">
      <c r="B50">
        <v>20</v>
      </c>
      <c r="D50" s="11">
        <f t="shared" ca="1" si="37"/>
        <v>20.556000000000001</v>
      </c>
      <c r="F50" s="4">
        <f t="shared" ca="1" si="38"/>
        <v>417.03337683361917</v>
      </c>
      <c r="H50" s="4">
        <f t="shared" ca="1" si="39"/>
        <v>0.94876873630852598</v>
      </c>
      <c r="J50" s="11">
        <f t="shared" ca="1" si="40"/>
        <v>79.384776267708006</v>
      </c>
      <c r="L50" s="4">
        <f t="shared" ca="1" si="41"/>
        <v>1.3420681663808409</v>
      </c>
      <c r="M50" s="4">
        <f t="shared" ca="1" si="42"/>
        <v>552.08337905115866</v>
      </c>
      <c r="N50" s="4">
        <f t="shared" ca="1" si="43"/>
        <v>2.7978101879801858</v>
      </c>
      <c r="R50" t="str">
        <f t="shared" ca="1" si="55"/>
        <v xml:space="preserve"> </v>
      </c>
      <c r="S50" s="11" t="str">
        <f t="shared" ca="1" si="44"/>
        <v xml:space="preserve"> </v>
      </c>
      <c r="T50" s="4" t="str">
        <f t="shared" ca="1" si="56"/>
        <v>none</v>
      </c>
      <c r="U50" s="4" t="str">
        <f t="shared" ca="1" si="45"/>
        <v xml:space="preserve"> </v>
      </c>
      <c r="V50" s="11" t="str">
        <f t="shared" ca="1" si="46"/>
        <v xml:space="preserve"> </v>
      </c>
      <c r="W50" s="4" t="str">
        <f t="shared" ca="1" si="57"/>
        <v xml:space="preserve"> </v>
      </c>
      <c r="AL50">
        <f t="shared" si="58"/>
        <v>0.93969262078590843</v>
      </c>
      <c r="AM50">
        <f t="shared" ca="1" si="47"/>
        <v>-1.2814798416267911E-2</v>
      </c>
      <c r="AN50">
        <f t="shared" ca="1" si="48"/>
        <v>1.3025098975443901</v>
      </c>
      <c r="AP50">
        <f t="shared" ca="1" si="59"/>
        <v>0.39397245776616091</v>
      </c>
      <c r="AQ50">
        <f t="shared" ca="1" si="49"/>
        <v>0.49173296347755086</v>
      </c>
      <c r="AR50">
        <f t="shared" ca="1" si="50"/>
        <v>0.93632800437399177</v>
      </c>
      <c r="AS50">
        <f t="shared" ca="1" si="51"/>
        <v>0.93632800437399177</v>
      </c>
      <c r="AT50" s="4">
        <f t="shared" ca="1" si="60"/>
        <v>79.384776267708006</v>
      </c>
      <c r="AU50">
        <f t="shared" ca="1" si="52"/>
        <v>-0.47205587934878152</v>
      </c>
      <c r="AV50">
        <f t="shared" ca="1" si="53"/>
        <v>-0.94294877252185028</v>
      </c>
      <c r="AW50">
        <f t="shared" ca="1" si="54"/>
        <v>-0.94294877252185028</v>
      </c>
      <c r="AX50" s="4" t="str">
        <f t="shared" ca="1" si="61"/>
        <v>ignore</v>
      </c>
    </row>
    <row r="51" spans="2:50" x14ac:dyDescent="0.2">
      <c r="B51">
        <v>21</v>
      </c>
      <c r="D51" s="11">
        <f t="shared" ca="1" si="37"/>
        <v>21.582999999999998</v>
      </c>
      <c r="F51" s="4">
        <f t="shared" ca="1" si="38"/>
        <v>416.89761658099087</v>
      </c>
      <c r="H51" s="4">
        <f t="shared" ca="1" si="39"/>
        <v>0.949095704169992</v>
      </c>
      <c r="J51" s="11">
        <f t="shared" ca="1" si="40"/>
        <v>78.887790606979024</v>
      </c>
      <c r="L51" s="4">
        <f t="shared" ca="1" si="41"/>
        <v>1.4778284190091426</v>
      </c>
      <c r="M51" s="4">
        <f t="shared" ca="1" si="42"/>
        <v>579.33467308196077</v>
      </c>
      <c r="N51" s="4">
        <f t="shared" ca="1" si="43"/>
        <v>2.9359124221138395</v>
      </c>
      <c r="R51" t="str">
        <f t="shared" ca="1" si="55"/>
        <v xml:space="preserve"> </v>
      </c>
      <c r="S51" s="11" t="str">
        <f t="shared" ca="1" si="44"/>
        <v xml:space="preserve"> </v>
      </c>
      <c r="T51" s="4" t="str">
        <f t="shared" ca="1" si="56"/>
        <v>none</v>
      </c>
      <c r="U51" s="4" t="str">
        <f t="shared" ca="1" si="45"/>
        <v xml:space="preserve"> </v>
      </c>
      <c r="V51" s="11" t="str">
        <f t="shared" ca="1" si="46"/>
        <v xml:space="preserve"> </v>
      </c>
      <c r="W51" s="4" t="str">
        <f t="shared" ca="1" si="57"/>
        <v xml:space="preserve"> </v>
      </c>
      <c r="AL51">
        <f t="shared" si="58"/>
        <v>0.93358042649720174</v>
      </c>
      <c r="AM51">
        <f t="shared" ca="1" si="47"/>
        <v>-1.2731445055862323E-2</v>
      </c>
      <c r="AN51">
        <f t="shared" ca="1" si="48"/>
        <v>1.3025077681791508</v>
      </c>
      <c r="AP51">
        <f t="shared" ca="1" si="59"/>
        <v>0.3939696845965438</v>
      </c>
      <c r="AQ51">
        <f t="shared" ca="1" si="49"/>
        <v>0.49166807681984914</v>
      </c>
      <c r="AR51">
        <f t="shared" ca="1" si="50"/>
        <v>0.92988687582535934</v>
      </c>
      <c r="AS51">
        <f t="shared" ca="1" si="51"/>
        <v>0.92988687582535934</v>
      </c>
      <c r="AT51" s="4">
        <f t="shared" ca="1" si="60"/>
        <v>78.887790606979024</v>
      </c>
      <c r="AU51">
        <f t="shared" ca="1" si="52"/>
        <v>-0.47211894956410877</v>
      </c>
      <c r="AV51">
        <f t="shared" ca="1" si="53"/>
        <v>-0.93715567062990746</v>
      </c>
      <c r="AW51">
        <f t="shared" ca="1" si="54"/>
        <v>-0.93715567062990746</v>
      </c>
      <c r="AX51" s="4" t="str">
        <f t="shared" ca="1" si="61"/>
        <v>ignore</v>
      </c>
    </row>
    <row r="52" spans="2:50" x14ac:dyDescent="0.2">
      <c r="B52">
        <v>22</v>
      </c>
      <c r="D52" s="11">
        <f t="shared" ca="1" si="37"/>
        <v>22.609000000000002</v>
      </c>
      <c r="F52" s="4">
        <f t="shared" ca="1" si="38"/>
        <v>416.75558999446264</v>
      </c>
      <c r="H52" s="4">
        <f t="shared" ca="1" si="39"/>
        <v>0.94943801497466673</v>
      </c>
      <c r="J52" s="11">
        <f t="shared" ca="1" si="40"/>
        <v>78.389424739894793</v>
      </c>
      <c r="L52" s="4">
        <f t="shared" ca="1" si="41"/>
        <v>1.6198550055373744</v>
      </c>
      <c r="M52" s="4">
        <f t="shared" ca="1" si="42"/>
        <v>606.5347973369328</v>
      </c>
      <c r="N52" s="4">
        <f t="shared" ca="1" si="43"/>
        <v>3.073755341575894</v>
      </c>
      <c r="R52" t="str">
        <f t="shared" ca="1" si="55"/>
        <v xml:space="preserve"> </v>
      </c>
      <c r="S52" s="11" t="str">
        <f t="shared" ca="1" si="44"/>
        <v xml:space="preserve"> </v>
      </c>
      <c r="T52" s="4" t="str">
        <f t="shared" ca="1" si="56"/>
        <v>none</v>
      </c>
      <c r="U52" s="4" t="str">
        <f t="shared" ca="1" si="45"/>
        <v xml:space="preserve"> </v>
      </c>
      <c r="V52" s="11" t="str">
        <f t="shared" ca="1" si="46"/>
        <v xml:space="preserve"> </v>
      </c>
      <c r="W52" s="4" t="str">
        <f t="shared" ca="1" si="57"/>
        <v xml:space="preserve"> </v>
      </c>
      <c r="AL52">
        <f t="shared" si="58"/>
        <v>0.92718385456678742</v>
      </c>
      <c r="AM52">
        <f t="shared" ca="1" si="47"/>
        <v>-1.2644213573960441E-2</v>
      </c>
      <c r="AN52">
        <f t="shared" ca="1" si="48"/>
        <v>1.3025055546228443</v>
      </c>
      <c r="AP52">
        <f t="shared" ca="1" si="59"/>
        <v>0.39396680178105392</v>
      </c>
      <c r="AQ52">
        <f t="shared" ca="1" si="49"/>
        <v>0.49160017722998084</v>
      </c>
      <c r="AR52">
        <f t="shared" ca="1" si="50"/>
        <v>0.92314844183274747</v>
      </c>
      <c r="AS52">
        <f t="shared" ca="1" si="51"/>
        <v>0.92314844183274747</v>
      </c>
      <c r="AT52" s="4">
        <f t="shared" ca="1" si="60"/>
        <v>78.389424739894793</v>
      </c>
      <c r="AU52">
        <f t="shared" ca="1" si="52"/>
        <v>-0.4721849608739605</v>
      </c>
      <c r="AV52">
        <f t="shared" ca="1" si="53"/>
        <v>-0.93109088211420432</v>
      </c>
      <c r="AW52">
        <f t="shared" ca="1" si="54"/>
        <v>-0.93109088211420432</v>
      </c>
      <c r="AX52" s="4" t="str">
        <f t="shared" ca="1" si="61"/>
        <v>ignore</v>
      </c>
    </row>
    <row r="53" spans="2:50" x14ac:dyDescent="0.2">
      <c r="B53">
        <v>23</v>
      </c>
      <c r="D53" s="11">
        <f t="shared" ca="1" si="37"/>
        <v>23.635000000000002</v>
      </c>
      <c r="F53" s="4">
        <f t="shared" ca="1" si="38"/>
        <v>416.60734712637952</v>
      </c>
      <c r="H53" s="4">
        <f t="shared" ca="1" si="39"/>
        <v>0.9497955822245423</v>
      </c>
      <c r="J53" s="11">
        <f t="shared" ca="1" si="40"/>
        <v>77.889874494802584</v>
      </c>
      <c r="L53" s="4">
        <f t="shared" ca="1" si="41"/>
        <v>1.7680978736204906</v>
      </c>
      <c r="M53" s="4">
        <f t="shared" ca="1" si="42"/>
        <v>633.68137587896979</v>
      </c>
      <c r="N53" s="4">
        <f t="shared" ca="1" si="43"/>
        <v>3.2113269057556542</v>
      </c>
      <c r="R53" t="str">
        <f t="shared" ca="1" si="55"/>
        <v xml:space="preserve"> </v>
      </c>
      <c r="S53" s="11" t="str">
        <f t="shared" ca="1" si="44"/>
        <v xml:space="preserve"> </v>
      </c>
      <c r="T53" s="4" t="str">
        <f t="shared" ca="1" si="56"/>
        <v>none</v>
      </c>
      <c r="U53" s="4" t="str">
        <f t="shared" ca="1" si="45"/>
        <v xml:space="preserve"> </v>
      </c>
      <c r="V53" s="11" t="str">
        <f t="shared" ca="1" si="46"/>
        <v xml:space="preserve"> </v>
      </c>
      <c r="W53" s="4" t="str">
        <f t="shared" ca="1" si="57"/>
        <v xml:space="preserve"> </v>
      </c>
      <c r="AL53">
        <f t="shared" si="58"/>
        <v>0.92050485345244037</v>
      </c>
      <c r="AM53">
        <f t="shared" ca="1" si="47"/>
        <v>-1.2553130542116684E-2</v>
      </c>
      <c r="AN53">
        <f t="shared" ca="1" si="48"/>
        <v>1.3025032595723478</v>
      </c>
      <c r="AP53">
        <f t="shared" ca="1" si="59"/>
        <v>0.39396381283195786</v>
      </c>
      <c r="AQ53">
        <f t="shared" ca="1" si="49"/>
        <v>0.49152928620940883</v>
      </c>
      <c r="AR53">
        <f t="shared" ca="1" si="50"/>
        <v>0.91611507712358586</v>
      </c>
      <c r="AS53">
        <f t="shared" ca="1" si="51"/>
        <v>0.91611507712358586</v>
      </c>
      <c r="AT53" s="4">
        <f t="shared" ca="1" si="60"/>
        <v>77.889874494802584</v>
      </c>
      <c r="AU53">
        <f t="shared" ca="1" si="52"/>
        <v>-0.47225389407528356</v>
      </c>
      <c r="AV53">
        <f t="shared" ca="1" si="53"/>
        <v>-0.92475596063418664</v>
      </c>
      <c r="AW53">
        <f t="shared" ca="1" si="54"/>
        <v>-0.92475596063418664</v>
      </c>
      <c r="AX53" s="4" t="str">
        <f t="shared" ca="1" si="61"/>
        <v>ignore</v>
      </c>
    </row>
    <row r="54" spans="2:50" x14ac:dyDescent="0.2">
      <c r="B54">
        <v>24</v>
      </c>
      <c r="D54" s="11">
        <f t="shared" ca="1" si="37"/>
        <v>24.661000000000001</v>
      </c>
      <c r="F54" s="4">
        <f t="shared" ca="1" si="38"/>
        <v>416.45294016848396</v>
      </c>
      <c r="H54" s="4">
        <f t="shared" ca="1" si="39"/>
        <v>0.95016831544141311</v>
      </c>
      <c r="J54" s="11">
        <f t="shared" ca="1" si="40"/>
        <v>77.389303712333415</v>
      </c>
      <c r="L54" s="4">
        <f t="shared" ca="1" si="41"/>
        <v>1.9225048315160507</v>
      </c>
      <c r="M54" s="4">
        <f t="shared" ca="1" si="42"/>
        <v>660.77204305026089</v>
      </c>
      <c r="N54" s="4">
        <f t="shared" ca="1" si="43"/>
        <v>3.3486151261351256</v>
      </c>
      <c r="R54" t="str">
        <f t="shared" ca="1" si="55"/>
        <v xml:space="preserve"> </v>
      </c>
      <c r="S54" s="11" t="str">
        <f t="shared" ca="1" si="44"/>
        <v xml:space="preserve"> </v>
      </c>
      <c r="T54" s="4" t="str">
        <f t="shared" ca="1" si="56"/>
        <v>none</v>
      </c>
      <c r="U54" s="4" t="str">
        <f t="shared" ca="1" si="45"/>
        <v xml:space="preserve"> </v>
      </c>
      <c r="V54" s="11" t="str">
        <f t="shared" ca="1" si="46"/>
        <v xml:space="preserve"> </v>
      </c>
      <c r="W54" s="4" t="str">
        <f t="shared" ca="1" si="57"/>
        <v xml:space="preserve"> </v>
      </c>
      <c r="AL54">
        <f t="shared" si="58"/>
        <v>0.91354545764260087</v>
      </c>
      <c r="AM54">
        <f t="shared" ca="1" si="47"/>
        <v>-1.245822370510489E-2</v>
      </c>
      <c r="AN54">
        <f t="shared" ca="1" si="48"/>
        <v>1.3025008858238269</v>
      </c>
      <c r="AP54">
        <f t="shared" ca="1" si="59"/>
        <v>0.39396072139082977</v>
      </c>
      <c r="AQ54">
        <f t="shared" ca="1" si="49"/>
        <v>0.49145542620156707</v>
      </c>
      <c r="AR54">
        <f t="shared" ca="1" si="50"/>
        <v>0.90878925792870358</v>
      </c>
      <c r="AS54">
        <f t="shared" ca="1" si="51"/>
        <v>0.90878925792870358</v>
      </c>
      <c r="AT54" s="4">
        <f t="shared" ca="1" si="60"/>
        <v>77.389303712333415</v>
      </c>
      <c r="AU54">
        <f t="shared" ca="1" si="52"/>
        <v>-0.47232572910777187</v>
      </c>
      <c r="AV54">
        <f t="shared" ca="1" si="53"/>
        <v>-0.9181525311396449</v>
      </c>
      <c r="AW54">
        <f t="shared" ca="1" si="54"/>
        <v>-0.9181525311396449</v>
      </c>
      <c r="AX54" s="4" t="str">
        <f t="shared" ca="1" si="61"/>
        <v>ignore</v>
      </c>
    </row>
    <row r="55" spans="2:50" x14ac:dyDescent="0.2">
      <c r="B55">
        <v>25</v>
      </c>
      <c r="D55" s="11">
        <f t="shared" ca="1" si="37"/>
        <v>25.687000000000001</v>
      </c>
      <c r="F55" s="4">
        <f t="shared" ca="1" si="38"/>
        <v>416.29242342696426</v>
      </c>
      <c r="H55" s="4">
        <f t="shared" ca="1" si="39"/>
        <v>0.95055612017347746</v>
      </c>
      <c r="J55" s="11">
        <f t="shared" ca="1" si="40"/>
        <v>76.887850635467629</v>
      </c>
      <c r="L55" s="4">
        <f t="shared" ca="1" si="41"/>
        <v>2.0830215730357509</v>
      </c>
      <c r="M55" s="4">
        <f t="shared" ca="1" si="42"/>
        <v>687.80444366575887</v>
      </c>
      <c r="N55" s="4">
        <f t="shared" ca="1" si="43"/>
        <v>3.4856080672694638</v>
      </c>
      <c r="R55" t="str">
        <f t="shared" ca="1" si="55"/>
        <v xml:space="preserve"> </v>
      </c>
      <c r="S55" s="11" t="str">
        <f t="shared" ca="1" si="44"/>
        <v xml:space="preserve"> </v>
      </c>
      <c r="T55" s="4" t="str">
        <f t="shared" ca="1" si="56"/>
        <v>none</v>
      </c>
      <c r="U55" s="4" t="str">
        <f t="shared" ca="1" si="45"/>
        <v xml:space="preserve"> </v>
      </c>
      <c r="V55" s="11" t="str">
        <f t="shared" ca="1" si="46"/>
        <v xml:space="preserve"> </v>
      </c>
      <c r="W55" s="4" t="str">
        <f t="shared" ca="1" si="57"/>
        <v xml:space="preserve"> </v>
      </c>
      <c r="AL55">
        <f t="shared" si="58"/>
        <v>0.90630778703664994</v>
      </c>
      <c r="AM55">
        <f t="shared" ca="1" si="47"/>
        <v>-1.2359521972467001E-2</v>
      </c>
      <c r="AN55">
        <f t="shared" ca="1" si="48"/>
        <v>1.3024984362693284</v>
      </c>
      <c r="AP55">
        <f t="shared" ca="1" si="59"/>
        <v>0.39395753122411442</v>
      </c>
      <c r="AQ55">
        <f t="shared" ca="1" si="49"/>
        <v>0.49137862058406101</v>
      </c>
      <c r="AR55">
        <f t="shared" ca="1" si="50"/>
        <v>0.90117356079845368</v>
      </c>
      <c r="AS55">
        <f t="shared" ca="1" si="51"/>
        <v>0.90117356079845368</v>
      </c>
      <c r="AT55" s="4">
        <f t="shared" ca="1" si="60"/>
        <v>76.887850635467629</v>
      </c>
      <c r="AU55">
        <f t="shared" ca="1" si="52"/>
        <v>-0.47240044505877177</v>
      </c>
      <c r="AV55">
        <f t="shared" ca="1" si="53"/>
        <v>-0.91128228972562975</v>
      </c>
      <c r="AW55">
        <f t="shared" ca="1" si="54"/>
        <v>-0.91128228972562975</v>
      </c>
      <c r="AX55" s="4" t="str">
        <f t="shared" ca="1" si="61"/>
        <v>ignore</v>
      </c>
    </row>
    <row r="56" spans="2:50" x14ac:dyDescent="0.2">
      <c r="B56">
        <v>26</v>
      </c>
      <c r="D56" s="11">
        <f t="shared" ca="1" si="37"/>
        <v>26.713000000000001</v>
      </c>
      <c r="F56" s="4">
        <f t="shared" ca="1" si="38"/>
        <v>416.1258532965536</v>
      </c>
      <c r="H56" s="4">
        <f t="shared" ca="1" si="39"/>
        <v>0.95095889800239208</v>
      </c>
      <c r="J56" s="11">
        <f t="shared" ca="1" si="40"/>
        <v>76.385632824359803</v>
      </c>
      <c r="L56" s="4">
        <f t="shared" ca="1" si="41"/>
        <v>2.2495917034464128</v>
      </c>
      <c r="M56" s="4">
        <f t="shared" ca="1" si="42"/>
        <v>714.7762332517226</v>
      </c>
      <c r="N56" s="4">
        <f t="shared" ca="1" si="43"/>
        <v>3.6222938479958469</v>
      </c>
      <c r="R56" t="str">
        <f t="shared" ca="1" si="55"/>
        <v xml:space="preserve"> </v>
      </c>
      <c r="S56" s="11" t="str">
        <f t="shared" ca="1" si="44"/>
        <v xml:space="preserve"> </v>
      </c>
      <c r="T56" s="4" t="str">
        <f t="shared" ca="1" si="56"/>
        <v>none</v>
      </c>
      <c r="U56" s="4" t="str">
        <f t="shared" ca="1" si="45"/>
        <v xml:space="preserve"> </v>
      </c>
      <c r="V56" s="11" t="str">
        <f t="shared" ca="1" si="46"/>
        <v xml:space="preserve"> </v>
      </c>
      <c r="W56" s="4" t="str">
        <f t="shared" ca="1" si="57"/>
        <v xml:space="preserve"> </v>
      </c>
      <c r="AL56">
        <f t="shared" si="58"/>
        <v>0.89879404629916704</v>
      </c>
      <c r="AM56">
        <f t="shared" ca="1" si="47"/>
        <v>-1.2257055409706921E-2</v>
      </c>
      <c r="AN56">
        <f t="shared" ca="1" si="48"/>
        <v>1.302495913893257</v>
      </c>
      <c r="AP56">
        <f t="shared" ca="1" si="59"/>
        <v>0.39395424621853842</v>
      </c>
      <c r="AQ56">
        <f t="shared" ca="1" si="49"/>
        <v>0.49129889366054863</v>
      </c>
      <c r="AR56">
        <f t="shared" ca="1" si="50"/>
        <v>0.89327066137414668</v>
      </c>
      <c r="AS56">
        <f t="shared" ca="1" si="51"/>
        <v>0.89327066137414668</v>
      </c>
      <c r="AT56" s="4">
        <f t="shared" ca="1" si="60"/>
        <v>76.385632824359803</v>
      </c>
      <c r="AU56">
        <f t="shared" ca="1" si="52"/>
        <v>-0.47247802016840901</v>
      </c>
      <c r="AV56">
        <f t="shared" ca="1" si="53"/>
        <v>-0.90414700347821553</v>
      </c>
      <c r="AW56">
        <f t="shared" ca="1" si="54"/>
        <v>-0.90414700347821553</v>
      </c>
      <c r="AX56" s="4" t="str">
        <f t="shared" ca="1" si="61"/>
        <v>ignore</v>
      </c>
    </row>
    <row r="57" spans="2:50" x14ac:dyDescent="0.2">
      <c r="B57">
        <v>27</v>
      </c>
      <c r="D57" s="11">
        <f t="shared" ca="1" si="37"/>
        <v>27.738</v>
      </c>
      <c r="F57" s="4">
        <f t="shared" ca="1" si="38"/>
        <v>415.9532882337208</v>
      </c>
      <c r="H57" s="4">
        <f t="shared" ca="1" si="39"/>
        <v>0.95137654655080284</v>
      </c>
      <c r="J57" s="11">
        <f t="shared" ca="1" si="40"/>
        <v>75.882750979538713</v>
      </c>
      <c r="L57" s="4">
        <f t="shared" ca="1" si="41"/>
        <v>2.4221567662792154</v>
      </c>
      <c r="M57" s="4">
        <f t="shared" ca="1" si="42"/>
        <v>741.68507832451417</v>
      </c>
      <c r="N57" s="4">
        <f t="shared" ca="1" si="43"/>
        <v>3.7586606428463405</v>
      </c>
      <c r="R57" t="str">
        <f t="shared" ca="1" si="55"/>
        <v xml:space="preserve"> </v>
      </c>
      <c r="S57" s="11" t="str">
        <f t="shared" ca="1" si="44"/>
        <v xml:space="preserve"> </v>
      </c>
      <c r="T57" s="4" t="str">
        <f t="shared" ca="1" si="56"/>
        <v>none</v>
      </c>
      <c r="U57" s="4" t="str">
        <f t="shared" ca="1" si="45"/>
        <v xml:space="preserve"> </v>
      </c>
      <c r="V57" s="11" t="str">
        <f t="shared" ca="1" si="46"/>
        <v xml:space="preserve"> </v>
      </c>
      <c r="W57" s="4" t="str">
        <f t="shared" ca="1" si="57"/>
        <v xml:space="preserve"> </v>
      </c>
      <c r="AL57">
        <f t="shared" si="58"/>
        <v>0.8910065241883679</v>
      </c>
      <c r="AM57">
        <f t="shared" ca="1" si="47"/>
        <v>-1.2150855229132281E-2</v>
      </c>
      <c r="AN57">
        <f t="shared" ca="1" si="48"/>
        <v>1.3024933217687398</v>
      </c>
      <c r="AP57">
        <f t="shared" ca="1" si="59"/>
        <v>0.39395087037637522</v>
      </c>
      <c r="AQ57">
        <f t="shared" ca="1" si="49"/>
        <v>0.4912162706523065</v>
      </c>
      <c r="AR57">
        <f t="shared" ca="1" si="50"/>
        <v>0.88508333311577081</v>
      </c>
      <c r="AS57">
        <f t="shared" ca="1" si="51"/>
        <v>0.88508333311577081</v>
      </c>
      <c r="AT57" s="4">
        <f t="shared" ca="1" si="60"/>
        <v>75.882750979538713</v>
      </c>
      <c r="AU57">
        <f t="shared" ca="1" si="52"/>
        <v>-0.47255843183493451</v>
      </c>
      <c r="AV57">
        <f t="shared" ca="1" si="53"/>
        <v>-0.89674851031077285</v>
      </c>
      <c r="AW57">
        <f t="shared" ca="1" si="54"/>
        <v>-0.89674851031077285</v>
      </c>
      <c r="AX57" s="4" t="str">
        <f t="shared" ca="1" si="61"/>
        <v>ignore</v>
      </c>
    </row>
    <row r="58" spans="2:50" x14ac:dyDescent="0.2">
      <c r="B58">
        <v>28</v>
      </c>
      <c r="D58" s="11">
        <f t="shared" ca="1" si="37"/>
        <v>28.763000000000002</v>
      </c>
      <c r="F58" s="4">
        <f t="shared" ca="1" si="38"/>
        <v>415.77478872895205</v>
      </c>
      <c r="H58" s="4">
        <f t="shared" ca="1" si="39"/>
        <v>0.95180895949037025</v>
      </c>
      <c r="J58" s="11">
        <f t="shared" ca="1" si="40"/>
        <v>75.379291945100505</v>
      </c>
      <c r="L58" s="4">
        <f t="shared" ca="1" si="41"/>
        <v>2.600656271047967</v>
      </c>
      <c r="M58" s="4">
        <f t="shared" ca="1" si="42"/>
        <v>768.52865666536809</v>
      </c>
      <c r="N58" s="4">
        <f t="shared" ca="1" si="43"/>
        <v>3.8946966834403574</v>
      </c>
      <c r="R58" t="str">
        <f t="shared" ca="1" si="55"/>
        <v xml:space="preserve"> </v>
      </c>
      <c r="S58" s="11" t="str">
        <f t="shared" ca="1" si="44"/>
        <v xml:space="preserve"> </v>
      </c>
      <c r="T58" s="4" t="str">
        <f t="shared" ca="1" si="56"/>
        <v>none</v>
      </c>
      <c r="U58" s="4" t="str">
        <f t="shared" ca="1" si="45"/>
        <v xml:space="preserve"> </v>
      </c>
      <c r="V58" s="11" t="str">
        <f t="shared" ca="1" si="46"/>
        <v xml:space="preserve"> </v>
      </c>
      <c r="W58" s="4" t="str">
        <f t="shared" ca="1" si="57"/>
        <v xml:space="preserve"> </v>
      </c>
      <c r="AL58">
        <f t="shared" si="58"/>
        <v>0.88294759285892699</v>
      </c>
      <c r="AM58">
        <f t="shared" ca="1" si="47"/>
        <v>-1.2040953780346871E-2</v>
      </c>
      <c r="AN58">
        <f t="shared" ca="1" si="48"/>
        <v>1.3024906630538808</v>
      </c>
      <c r="AP58">
        <f t="shared" ca="1" si="59"/>
        <v>0.39394740781056842</v>
      </c>
      <c r="AQ58">
        <f t="shared" ca="1" si="49"/>
        <v>0.4911307776894816</v>
      </c>
      <c r="AR58">
        <f t="shared" ca="1" si="50"/>
        <v>0.87661444598701033</v>
      </c>
      <c r="AS58">
        <f t="shared" ca="1" si="51"/>
        <v>0.87661444598701033</v>
      </c>
      <c r="AT58" s="4">
        <f t="shared" ca="1" si="60"/>
        <v>75.379291945100505</v>
      </c>
      <c r="AU58">
        <f t="shared" ca="1" si="52"/>
        <v>-0.47264165662029084</v>
      </c>
      <c r="AV58">
        <f t="shared" ca="1" si="53"/>
        <v>-0.88908871879040674</v>
      </c>
      <c r="AW58">
        <f t="shared" ca="1" si="54"/>
        <v>-0.88908871879040674</v>
      </c>
      <c r="AX58" s="4" t="str">
        <f t="shared" ca="1" si="61"/>
        <v>ignore</v>
      </c>
    </row>
    <row r="59" spans="2:50" x14ac:dyDescent="0.2">
      <c r="B59">
        <v>29</v>
      </c>
      <c r="D59" s="11">
        <f t="shared" ca="1" si="37"/>
        <v>29.788</v>
      </c>
      <c r="F59" s="4">
        <f t="shared" ca="1" si="38"/>
        <v>415.59041727815759</v>
      </c>
      <c r="H59" s="4">
        <f t="shared" ca="1" si="39"/>
        <v>0.95225602655031494</v>
      </c>
      <c r="J59" s="11">
        <f t="shared" ca="1" si="40"/>
        <v>74.875331090501788</v>
      </c>
      <c r="L59" s="4">
        <f t="shared" ca="1" si="41"/>
        <v>2.7850277218424253</v>
      </c>
      <c r="M59" s="4">
        <f t="shared" ca="1" si="42"/>
        <v>795.30465761766084</v>
      </c>
      <c r="N59" s="4">
        <f t="shared" ca="1" si="43"/>
        <v>4.0303902599911376</v>
      </c>
      <c r="R59" t="str">
        <f t="shared" ca="1" si="55"/>
        <v xml:space="preserve"> </v>
      </c>
      <c r="S59" s="11" t="str">
        <f t="shared" ca="1" si="44"/>
        <v xml:space="preserve"> </v>
      </c>
      <c r="T59" s="4" t="str">
        <f t="shared" ca="1" si="56"/>
        <v>none</v>
      </c>
      <c r="U59" s="4" t="str">
        <f t="shared" ca="1" si="45"/>
        <v xml:space="preserve"> </v>
      </c>
      <c r="V59" s="11" t="str">
        <f t="shared" ca="1" si="46"/>
        <v xml:space="preserve"> </v>
      </c>
      <c r="W59" s="4" t="str">
        <f t="shared" ca="1" si="57"/>
        <v xml:space="preserve"> </v>
      </c>
      <c r="AL59">
        <f t="shared" si="58"/>
        <v>0.87461970713939574</v>
      </c>
      <c r="AM59">
        <f t="shared" ca="1" si="47"/>
        <v>-1.1927384540396626E-2</v>
      </c>
      <c r="AN59">
        <f t="shared" ca="1" si="48"/>
        <v>1.3024879409879149</v>
      </c>
      <c r="AP59">
        <f t="shared" ca="1" si="59"/>
        <v>0.3939438627397211</v>
      </c>
      <c r="AQ59">
        <f t="shared" ca="1" si="49"/>
        <v>0.49104244180203588</v>
      </c>
      <c r="AR59">
        <f t="shared" ca="1" si="50"/>
        <v>0.86786696509860228</v>
      </c>
      <c r="AS59">
        <f t="shared" ca="1" si="51"/>
        <v>0.86786696509860228</v>
      </c>
      <c r="AT59" s="4">
        <f t="shared" ca="1" si="60"/>
        <v>74.875331090501788</v>
      </c>
      <c r="AU59">
        <f t="shared" ca="1" si="52"/>
        <v>-0.4727276702558979</v>
      </c>
      <c r="AV59">
        <f t="shared" ca="1" si="53"/>
        <v>-0.88116960795419808</v>
      </c>
      <c r="AW59">
        <f t="shared" ca="1" si="54"/>
        <v>-0.88116960795419808</v>
      </c>
      <c r="AX59" s="4" t="str">
        <f t="shared" ca="1" si="61"/>
        <v>ignore</v>
      </c>
    </row>
    <row r="60" spans="2:50" x14ac:dyDescent="0.2">
      <c r="B60">
        <v>30</v>
      </c>
      <c r="D60" s="11">
        <f t="shared" ca="1" si="37"/>
        <v>30.812999999999999</v>
      </c>
      <c r="F60" s="4">
        <f t="shared" ca="1" si="38"/>
        <v>415.40023835321773</v>
      </c>
      <c r="H60" s="4">
        <f t="shared" ca="1" si="39"/>
        <v>0.95271763352650207</v>
      </c>
      <c r="J60" s="11">
        <f t="shared" ca="1" si="40"/>
        <v>74.370934215594787</v>
      </c>
      <c r="L60" s="4">
        <f t="shared" ca="1" si="41"/>
        <v>2.9752066467822829</v>
      </c>
      <c r="M60" s="4">
        <f t="shared" ca="1" si="42"/>
        <v>822.01078240778168</v>
      </c>
      <c r="N60" s="4">
        <f t="shared" ca="1" si="43"/>
        <v>4.1657297229318369</v>
      </c>
      <c r="R60" t="str">
        <f t="shared" ca="1" si="55"/>
        <v xml:space="preserve"> </v>
      </c>
      <c r="S60" s="11" t="str">
        <f t="shared" ca="1" si="44"/>
        <v xml:space="preserve"> </v>
      </c>
      <c r="T60" s="4" t="str">
        <f t="shared" ca="1" si="56"/>
        <v>none</v>
      </c>
      <c r="U60" s="4" t="str">
        <f t="shared" ca="1" si="45"/>
        <v xml:space="preserve"> </v>
      </c>
      <c r="V60" s="11" t="str">
        <f t="shared" ca="1" si="46"/>
        <v xml:space="preserve"> </v>
      </c>
      <c r="W60" s="4" t="str">
        <f t="shared" ca="1" si="57"/>
        <v xml:space="preserve"> </v>
      </c>
      <c r="AL60">
        <f t="shared" si="58"/>
        <v>0.86602540378443871</v>
      </c>
      <c r="AM60">
        <f t="shared" ca="1" si="47"/>
        <v>-1.1810182103572211E-2</v>
      </c>
      <c r="AN60">
        <f t="shared" ca="1" si="48"/>
        <v>1.3024851588872599</v>
      </c>
      <c r="AP60">
        <f t="shared" ca="1" si="59"/>
        <v>0.39394023948295603</v>
      </c>
      <c r="AQ60">
        <f t="shared" ca="1" si="49"/>
        <v>0.49095129091038514</v>
      </c>
      <c r="AR60">
        <f t="shared" ca="1" si="50"/>
        <v>0.85884394931110231</v>
      </c>
      <c r="AS60">
        <f t="shared" ca="1" si="51"/>
        <v>0.85884394931110231</v>
      </c>
      <c r="AT60" s="4">
        <f t="shared" ca="1" si="60"/>
        <v>74.370934215594787</v>
      </c>
      <c r="AU60">
        <f t="shared" ca="1" si="52"/>
        <v>-0.47281644764865943</v>
      </c>
      <c r="AV60">
        <f t="shared" ca="1" si="53"/>
        <v>-0.87299322711488492</v>
      </c>
      <c r="AW60">
        <f t="shared" ca="1" si="54"/>
        <v>-0.87299322711488492</v>
      </c>
      <c r="AX60" s="4" t="str">
        <f t="shared" ca="1" si="61"/>
        <v>ignore</v>
      </c>
    </row>
    <row r="61" spans="2:50" x14ac:dyDescent="0.2">
      <c r="B61">
        <v>31</v>
      </c>
      <c r="D61" s="11">
        <f t="shared" ca="1" si="37"/>
        <v>31.837</v>
      </c>
      <c r="F61" s="4">
        <f t="shared" ca="1" si="38"/>
        <v>415.20431837170707</v>
      </c>
      <c r="H61" s="4">
        <f t="shared" ca="1" si="39"/>
        <v>0.95319366229108649</v>
      </c>
      <c r="J61" s="11">
        <f t="shared" ca="1" si="40"/>
        <v>73.866159087131322</v>
      </c>
      <c r="L61" s="4">
        <f t="shared" ca="1" si="41"/>
        <v>3.1711266282929387</v>
      </c>
      <c r="M61" s="4">
        <f t="shared" ca="1" si="42"/>
        <v>848.64474443995039</v>
      </c>
      <c r="N61" s="4">
        <f t="shared" ca="1" si="43"/>
        <v>4.3007034844095822</v>
      </c>
      <c r="R61" t="str">
        <f t="shared" ca="1" si="55"/>
        <v xml:space="preserve"> </v>
      </c>
      <c r="S61" s="11" t="str">
        <f t="shared" ca="1" si="44"/>
        <v xml:space="preserve"> </v>
      </c>
      <c r="T61" s="4" t="str">
        <f t="shared" ca="1" si="56"/>
        <v>none</v>
      </c>
      <c r="U61" s="4" t="str">
        <f t="shared" ca="1" si="45"/>
        <v xml:space="preserve"> </v>
      </c>
      <c r="V61" s="11" t="str">
        <f t="shared" ca="1" si="46"/>
        <v xml:space="preserve"> </v>
      </c>
      <c r="W61" s="4" t="str">
        <f t="shared" ca="1" si="57"/>
        <v xml:space="preserve"> </v>
      </c>
      <c r="AL61">
        <f t="shared" si="58"/>
        <v>0.85716730070211233</v>
      </c>
      <c r="AM61">
        <f t="shared" ca="1" si="47"/>
        <v>-1.1689382170871242E-2</v>
      </c>
      <c r="AN61">
        <f t="shared" ca="1" si="48"/>
        <v>1.302482320141477</v>
      </c>
      <c r="AP61">
        <f t="shared" ca="1" si="59"/>
        <v>0.39393654245465337</v>
      </c>
      <c r="AQ61">
        <f t="shared" ca="1" si="49"/>
        <v>0.49085735381573842</v>
      </c>
      <c r="AR61">
        <f t="shared" ca="1" si="50"/>
        <v>0.84954854979815586</v>
      </c>
      <c r="AS61">
        <f t="shared" ca="1" si="51"/>
        <v>0.84954854979815586</v>
      </c>
      <c r="AT61" s="4">
        <f t="shared" ca="1" si="60"/>
        <v>73.866159087131322</v>
      </c>
      <c r="AU61">
        <f t="shared" ca="1" si="52"/>
        <v>-0.47290796288718973</v>
      </c>
      <c r="AV61">
        <f t="shared" ca="1" si="53"/>
        <v>-0.86456169565560426</v>
      </c>
      <c r="AW61">
        <f t="shared" ca="1" si="54"/>
        <v>-0.86456169565560426</v>
      </c>
      <c r="AX61" s="4" t="str">
        <f t="shared" ca="1" si="61"/>
        <v>ignore</v>
      </c>
    </row>
    <row r="62" spans="2:50" x14ac:dyDescent="0.2">
      <c r="B62">
        <v>32</v>
      </c>
      <c r="D62" s="11">
        <f t="shared" ref="D62:D93" ca="1" si="62">IF(ISNUMBER(F62),IF(ABS(AS62-1)&lt;0.000001,0,IF(ABS(AS62+1)&lt;0.000001,180,ROUND(DEGREES(ACOS(AS62)),3)))," ")</f>
        <v>32.862000000000002</v>
      </c>
      <c r="F62" s="4">
        <f t="shared" ca="1" si="38"/>
        <v>415.00272566579957</v>
      </c>
      <c r="H62" s="4">
        <f t="shared" ref="H62:H93" ca="1" si="63">IF(ISNUMBER(F62),$AK$15*(1+AM62/AQ62)/(1+$AG$15*$AK$15*AS62)/AQ62," ")</f>
        <v>0.95368399080274679</v>
      </c>
      <c r="J62" s="11">
        <f t="shared" ref="J62:J93" ca="1" si="64">IF(ISNUMBER(F62),IF( AND( ( (F62*(F62+2*$Y$8)*AL62*AL62) &gt; ($E$5*($E$5+2*$Y$5)) ), ( B62&lt;90 ) ), 180-AT62, AT62)," ")</f>
        <v>73.361056686595234</v>
      </c>
      <c r="L62" s="4">
        <f t="shared" ca="1" si="41"/>
        <v>3.3727193342004398</v>
      </c>
      <c r="M62" s="4">
        <f t="shared" ref="M62:M80" ca="1" si="65">SQRT(($Y$10+L62)^2-$Y$10^2)</f>
        <v>875.20426961247017</v>
      </c>
      <c r="N62" s="4">
        <f t="shared" ref="N62:N80" ca="1" si="66">M62/197.32696</f>
        <v>4.4353000198881594</v>
      </c>
      <c r="R62" t="str">
        <f t="shared" ca="1" si="55"/>
        <v xml:space="preserve"> </v>
      </c>
      <c r="S62" s="11" t="str">
        <f t="shared" ref="S62:S93" ca="1" si="67">IF(ISNUMBER(T62), IF( ABS(AW62-1)&lt;0.000001,0, IF(ABS(AW62+1)&lt;0.000001,180,ROUND(DEGREES(ACOS(AW62)),3)))," ")</f>
        <v xml:space="preserve"> </v>
      </c>
      <c r="T62" s="4" t="str">
        <f t="shared" ca="1" si="56"/>
        <v>none</v>
      </c>
      <c r="U62" s="4" t="str">
        <f t="shared" ref="U62:U93" ca="1" si="68">IF(ISNUMBER(T62),ABS($AK$15*(1+AM62/AU62)/(1+$AG$15*$AK$15*AW62)/AU62)," ")</f>
        <v xml:space="preserve"> </v>
      </c>
      <c r="V62" s="11" t="str">
        <f t="shared" ref="V62:V93" ca="1" si="69">IF(ISNUMBER(T62),IF( AND( ( (T62*(T62+2*$Y$8)*AL62*AL62) &gt; ($E$5*($E$5+2*$Y$5)) ), ( B62&lt;90 ) ), 180-AX62, AX62)," ")</f>
        <v xml:space="preserve"> </v>
      </c>
      <c r="W62" s="4" t="str">
        <f t="shared" ca="1" si="57"/>
        <v xml:space="preserve"> </v>
      </c>
      <c r="AL62">
        <f t="shared" si="58"/>
        <v>0.84804809615642596</v>
      </c>
      <c r="AM62">
        <f t="shared" ca="1" si="47"/>
        <v>-1.1565021539123439E-2</v>
      </c>
      <c r="AN62">
        <f t="shared" ca="1" si="48"/>
        <v>1.3024794282091408</v>
      </c>
      <c r="AP62">
        <f t="shared" ca="1" si="59"/>
        <v>0.39393277615907279</v>
      </c>
      <c r="AQ62">
        <f t="shared" ca="1" si="49"/>
        <v>0.49076066019013886</v>
      </c>
      <c r="AR62">
        <f t="shared" ref="AR62:AR93" ca="1" si="70">(AQ62*AL62-$AG$15)/((1-$AG$15*AQ62*AL62)*$AK$15)</f>
        <v>0.83998400857139499</v>
      </c>
      <c r="AS62">
        <f t="shared" ca="1" si="51"/>
        <v>0.83998400857139499</v>
      </c>
      <c r="AT62" s="4">
        <f t="shared" ca="1" si="60"/>
        <v>73.361056686595234</v>
      </c>
      <c r="AU62">
        <f t="shared" ca="1" si="52"/>
        <v>-0.47300218924826015</v>
      </c>
      <c r="AV62">
        <f t="shared" ref="AV62:AV93" ca="1" si="71">(AU62*AL62-$AG$15)/((1-$AG$15*AU62*AL62)*$AK$15)</f>
        <v>-0.85587720281331148</v>
      </c>
      <c r="AW62">
        <f t="shared" ca="1" si="54"/>
        <v>-0.85587720281331148</v>
      </c>
      <c r="AX62" s="4" t="str">
        <f t="shared" ca="1" si="61"/>
        <v>ignore</v>
      </c>
    </row>
    <row r="63" spans="2:50" x14ac:dyDescent="0.2">
      <c r="B63">
        <v>33</v>
      </c>
      <c r="D63" s="11">
        <f t="shared" ca="1" si="62"/>
        <v>33.884999999999998</v>
      </c>
      <c r="F63" s="4">
        <f t="shared" ca="1" si="38"/>
        <v>414.79553045039478</v>
      </c>
      <c r="H63" s="4">
        <f t="shared" ca="1" si="63"/>
        <v>0.95418849311752862</v>
      </c>
      <c r="J63" s="11">
        <f t="shared" ca="1" si="64"/>
        <v>72.85567223116216</v>
      </c>
      <c r="L63" s="4">
        <f t="shared" ca="1" si="41"/>
        <v>3.5799145496052347</v>
      </c>
      <c r="M63" s="4">
        <f t="shared" ca="1" si="65"/>
        <v>901.68709663883953</v>
      </c>
      <c r="N63" s="4">
        <f t="shared" ca="1" si="66"/>
        <v>4.5695078697753182</v>
      </c>
      <c r="R63" t="str">
        <f t="shared" ca="1" si="55"/>
        <v xml:space="preserve"> </v>
      </c>
      <c r="S63" s="11" t="str">
        <f t="shared" ca="1" si="67"/>
        <v xml:space="preserve"> </v>
      </c>
      <c r="T63" s="4" t="str">
        <f t="shared" ca="1" si="56"/>
        <v>none</v>
      </c>
      <c r="U63" s="4" t="str">
        <f t="shared" ca="1" si="68"/>
        <v xml:space="preserve"> </v>
      </c>
      <c r="V63" s="11" t="str">
        <f t="shared" ca="1" si="69"/>
        <v xml:space="preserve"> </v>
      </c>
      <c r="W63" s="4" t="str">
        <f t="shared" ca="1" si="57"/>
        <v xml:space="preserve"> </v>
      </c>
      <c r="AL63">
        <f t="shared" si="58"/>
        <v>0.83867056794542405</v>
      </c>
      <c r="AM63">
        <f t="shared" ca="1" si="47"/>
        <v>-1.143713808978194E-2</v>
      </c>
      <c r="AN63">
        <f t="shared" ca="1" si="48"/>
        <v>1.3024764866136251</v>
      </c>
      <c r="AP63">
        <f t="shared" ca="1" si="59"/>
        <v>0.3939289451848651</v>
      </c>
      <c r="AQ63">
        <f t="shared" ca="1" si="49"/>
        <v>0.49066124056621391</v>
      </c>
      <c r="AR63">
        <f t="shared" ca="1" si="70"/>
        <v>0.83015365696810761</v>
      </c>
      <c r="AS63">
        <f t="shared" ca="1" si="51"/>
        <v>0.83015365696810761</v>
      </c>
      <c r="AT63" s="4">
        <f t="shared" ca="1" si="60"/>
        <v>72.85567223116216</v>
      </c>
      <c r="AU63">
        <f t="shared" ca="1" si="52"/>
        <v>-0.47309909920346582</v>
      </c>
      <c r="AV63">
        <f t="shared" ca="1" si="71"/>
        <v>-0.8469420074504781</v>
      </c>
      <c r="AW63">
        <f t="shared" ca="1" si="54"/>
        <v>-0.8469420074504781</v>
      </c>
      <c r="AX63" s="4" t="str">
        <f t="shared" ca="1" si="61"/>
        <v>ignore</v>
      </c>
    </row>
    <row r="64" spans="2:50" x14ac:dyDescent="0.2">
      <c r="B64">
        <v>34</v>
      </c>
      <c r="D64" s="11">
        <f t="shared" ca="1" si="62"/>
        <v>34.908999999999999</v>
      </c>
      <c r="F64" s="4">
        <f t="shared" ca="1" si="38"/>
        <v>414.58280479048045</v>
      </c>
      <c r="H64" s="4">
        <f t="shared" ca="1" si="63"/>
        <v>0.95470703940031909</v>
      </c>
      <c r="J64" s="11">
        <f t="shared" ca="1" si="64"/>
        <v>72.350046014198583</v>
      </c>
      <c r="L64" s="4">
        <f t="shared" ca="1" si="41"/>
        <v>3.7926402095195613</v>
      </c>
      <c r="M64" s="4">
        <f t="shared" ca="1" si="65"/>
        <v>928.09097735792534</v>
      </c>
      <c r="N64" s="4">
        <f t="shared" ca="1" si="66"/>
        <v>4.7033156409946484</v>
      </c>
      <c r="R64" t="str">
        <f t="shared" ca="1" si="55"/>
        <v xml:space="preserve"> </v>
      </c>
      <c r="S64" s="11" t="str">
        <f t="shared" ca="1" si="67"/>
        <v xml:space="preserve"> </v>
      </c>
      <c r="T64" s="4" t="str">
        <f t="shared" ca="1" si="56"/>
        <v>none</v>
      </c>
      <c r="U64" s="4" t="str">
        <f t="shared" ca="1" si="68"/>
        <v xml:space="preserve"> </v>
      </c>
      <c r="V64" s="11" t="str">
        <f t="shared" ca="1" si="69"/>
        <v xml:space="preserve"> </v>
      </c>
      <c r="W64" s="4" t="str">
        <f t="shared" ca="1" si="57"/>
        <v xml:space="preserve"> </v>
      </c>
      <c r="AL64">
        <f t="shared" si="58"/>
        <v>0.82903757255504162</v>
      </c>
      <c r="AM64">
        <f t="shared" ca="1" si="47"/>
        <v>-1.1305770777384247E-2</v>
      </c>
      <c r="AN64">
        <f t="shared" ca="1" si="48"/>
        <v>1.3024734989388111</v>
      </c>
      <c r="AP64">
        <f t="shared" ca="1" si="59"/>
        <v>0.39392505419948237</v>
      </c>
      <c r="AQ64">
        <f t="shared" ca="1" si="49"/>
        <v>0.49055912632663634</v>
      </c>
      <c r="AR64">
        <f t="shared" ca="1" si="70"/>
        <v>0.82006091410284743</v>
      </c>
      <c r="AS64">
        <f t="shared" ca="1" si="51"/>
        <v>0.82006091410284743</v>
      </c>
      <c r="AT64" s="4">
        <f t="shared" ca="1" si="60"/>
        <v>72.350046014198583</v>
      </c>
      <c r="AU64">
        <f t="shared" ca="1" si="52"/>
        <v>-0.47319866442611302</v>
      </c>
      <c r="AV64">
        <f t="shared" ca="1" si="71"/>
        <v>-0.83775843781467152</v>
      </c>
      <c r="AW64">
        <f t="shared" ca="1" si="54"/>
        <v>-0.83775843781467152</v>
      </c>
      <c r="AX64" s="4" t="str">
        <f t="shared" ca="1" si="61"/>
        <v>ignore</v>
      </c>
    </row>
    <row r="65" spans="2:50" x14ac:dyDescent="0.2">
      <c r="B65">
        <v>35</v>
      </c>
      <c r="D65" s="11">
        <f t="shared" ca="1" si="62"/>
        <v>35.932000000000002</v>
      </c>
      <c r="F65" s="4">
        <f t="shared" ca="1" si="38"/>
        <v>414.36462256776542</v>
      </c>
      <c r="H65" s="4">
        <f t="shared" ca="1" si="63"/>
        <v>0.9552394959369841</v>
      </c>
      <c r="J65" s="11">
        <f t="shared" ca="1" si="64"/>
        <v>71.844214101624885</v>
      </c>
      <c r="L65" s="4">
        <f t="shared" ca="1" si="41"/>
        <v>4.0108224322345905</v>
      </c>
      <c r="M65" s="4">
        <f t="shared" ca="1" si="65"/>
        <v>954.4136770369181</v>
      </c>
      <c r="N65" s="4">
        <f t="shared" ca="1" si="66"/>
        <v>4.8367120085208732</v>
      </c>
      <c r="R65" t="str">
        <f t="shared" ca="1" si="55"/>
        <v xml:space="preserve"> </v>
      </c>
      <c r="S65" s="11" t="str">
        <f t="shared" ca="1" si="67"/>
        <v xml:space="preserve"> </v>
      </c>
      <c r="T65" s="4" t="str">
        <f t="shared" ca="1" si="56"/>
        <v>none</v>
      </c>
      <c r="U65" s="4" t="str">
        <f t="shared" ca="1" si="68"/>
        <v xml:space="preserve"> </v>
      </c>
      <c r="V65" s="11" t="str">
        <f t="shared" ca="1" si="69"/>
        <v xml:space="preserve"> </v>
      </c>
      <c r="W65" s="4" t="str">
        <f t="shared" ca="1" si="57"/>
        <v xml:space="preserve"> </v>
      </c>
      <c r="AL65">
        <f t="shared" si="58"/>
        <v>0.8191520442889918</v>
      </c>
      <c r="AM65">
        <f t="shared" ca="1" si="47"/>
        <v>-1.1170959617686304E-2</v>
      </c>
      <c r="AN65">
        <f t="shared" ca="1" si="48"/>
        <v>1.3024704688247204</v>
      </c>
      <c r="AP65">
        <f t="shared" ca="1" si="59"/>
        <v>0.39392110794349094</v>
      </c>
      <c r="AQ65">
        <f t="shared" ca="1" si="49"/>
        <v>0.49045434969330254</v>
      </c>
      <c r="AR65">
        <f t="shared" ca="1" si="70"/>
        <v>0.80970928528417829</v>
      </c>
      <c r="AS65">
        <f t="shared" ca="1" si="51"/>
        <v>0.80970928528417829</v>
      </c>
      <c r="AT65" s="4">
        <f t="shared" ca="1" si="60"/>
        <v>71.844214101624885</v>
      </c>
      <c r="AU65">
        <f t="shared" ca="1" si="52"/>
        <v>-0.47330085579832554</v>
      </c>
      <c r="AV65">
        <f t="shared" ca="1" si="71"/>
        <v>-0.82832889128560139</v>
      </c>
      <c r="AW65">
        <f t="shared" ca="1" si="54"/>
        <v>-0.82832889128560139</v>
      </c>
      <c r="AX65" s="4" t="str">
        <f t="shared" ca="1" si="61"/>
        <v>ignore</v>
      </c>
    </row>
    <row r="66" spans="2:50" x14ac:dyDescent="0.2">
      <c r="B66">
        <v>36</v>
      </c>
      <c r="D66" s="11">
        <f t="shared" ca="1" si="62"/>
        <v>36.956000000000003</v>
      </c>
      <c r="F66" s="4">
        <f t="shared" ca="1" si="38"/>
        <v>414.1410594465957</v>
      </c>
      <c r="H66" s="4">
        <f t="shared" ca="1" si="63"/>
        <v>0.95578572514718896</v>
      </c>
      <c r="J66" s="11">
        <f t="shared" ca="1" si="64"/>
        <v>71.338208911872798</v>
      </c>
      <c r="L66" s="4">
        <f t="shared" ca="1" si="41"/>
        <v>4.2343855534043087</v>
      </c>
      <c r="M66" s="4">
        <f t="shared" ca="1" si="65"/>
        <v>980.65297468848053</v>
      </c>
      <c r="N66" s="4">
        <f t="shared" ca="1" si="66"/>
        <v>4.9696857169870778</v>
      </c>
      <c r="R66" t="str">
        <f t="shared" ca="1" si="55"/>
        <v xml:space="preserve"> </v>
      </c>
      <c r="S66" s="11" t="str">
        <f t="shared" ca="1" si="67"/>
        <v xml:space="preserve"> </v>
      </c>
      <c r="T66" s="4" t="str">
        <f t="shared" ca="1" si="56"/>
        <v>none</v>
      </c>
      <c r="U66" s="4" t="str">
        <f t="shared" ca="1" si="68"/>
        <v xml:space="preserve"> </v>
      </c>
      <c r="V66" s="11" t="str">
        <f t="shared" ca="1" si="69"/>
        <v xml:space="preserve"> </v>
      </c>
      <c r="W66" s="4" t="str">
        <f t="shared" ca="1" si="57"/>
        <v xml:space="preserve"> </v>
      </c>
      <c r="AL66">
        <f t="shared" si="58"/>
        <v>0.80901699437494745</v>
      </c>
      <c r="AM66">
        <f t="shared" ca="1" si="47"/>
        <v>-1.1032745675473299E-2</v>
      </c>
      <c r="AN66">
        <f t="shared" ca="1" si="48"/>
        <v>1.30246739996308</v>
      </c>
      <c r="AP66">
        <f t="shared" ca="1" si="59"/>
        <v>0.39391711122479584</v>
      </c>
      <c r="AQ66">
        <f t="shared" ca="1" si="49"/>
        <v>0.49034694371623111</v>
      </c>
      <c r="AR66">
        <f t="shared" ca="1" si="70"/>
        <v>0.79910236039775595</v>
      </c>
      <c r="AS66">
        <f t="shared" ca="1" si="51"/>
        <v>0.79910236039775595</v>
      </c>
      <c r="AT66" s="4">
        <f t="shared" ca="1" si="60"/>
        <v>71.338208911872798</v>
      </c>
      <c r="AU66">
        <f t="shared" ca="1" si="52"/>
        <v>-0.47340564341837177</v>
      </c>
      <c r="AV66">
        <f t="shared" ca="1" si="71"/>
        <v>-0.81865583410922083</v>
      </c>
      <c r="AW66">
        <f t="shared" ca="1" si="54"/>
        <v>-0.81865583410922083</v>
      </c>
      <c r="AX66" s="4" t="str">
        <f t="shared" ca="1" si="61"/>
        <v>ignore</v>
      </c>
    </row>
    <row r="67" spans="2:50" x14ac:dyDescent="0.2">
      <c r="B67">
        <v>37</v>
      </c>
      <c r="D67" s="11">
        <f t="shared" ca="1" si="62"/>
        <v>37.978000000000002</v>
      </c>
      <c r="F67" s="4">
        <f t="shared" ca="1" si="38"/>
        <v>413.91219283919389</v>
      </c>
      <c r="H67" s="4">
        <f t="shared" ca="1" si="63"/>
        <v>0.95634558559792759</v>
      </c>
      <c r="J67" s="11">
        <f t="shared" ca="1" si="64"/>
        <v>70.832059701784686</v>
      </c>
      <c r="L67" s="4">
        <f t="shared" ca="1" si="41"/>
        <v>4.4632521608061211</v>
      </c>
      <c r="M67" s="4">
        <f t="shared" ca="1" si="65"/>
        <v>1006.8066633707589</v>
      </c>
      <c r="N67" s="4">
        <f t="shared" ca="1" si="66"/>
        <v>5.1022255822050813</v>
      </c>
      <c r="R67" t="str">
        <f t="shared" ca="1" si="55"/>
        <v xml:space="preserve"> </v>
      </c>
      <c r="S67" s="11" t="str">
        <f t="shared" ca="1" si="67"/>
        <v xml:space="preserve"> </v>
      </c>
      <c r="T67" s="4" t="str">
        <f t="shared" ca="1" si="56"/>
        <v>none</v>
      </c>
      <c r="U67" s="4" t="str">
        <f t="shared" ca="1" si="68"/>
        <v xml:space="preserve"> </v>
      </c>
      <c r="V67" s="11" t="str">
        <f t="shared" ca="1" si="69"/>
        <v xml:space="preserve"> </v>
      </c>
      <c r="W67" s="4" t="str">
        <f t="shared" ca="1" si="57"/>
        <v xml:space="preserve"> </v>
      </c>
      <c r="AL67">
        <f t="shared" si="58"/>
        <v>0.79863551004729283</v>
      </c>
      <c r="AM67">
        <f t="shared" ca="1" si="47"/>
        <v>-1.0891171052050936E-2</v>
      </c>
      <c r="AN67">
        <f t="shared" ca="1" si="48"/>
        <v>1.3024642960928254</v>
      </c>
      <c r="AP67">
        <f t="shared" ca="1" si="59"/>
        <v>0.3939130689127831</v>
      </c>
      <c r="AQ67">
        <f t="shared" ca="1" si="49"/>
        <v>0.49023694226218822</v>
      </c>
      <c r="AR67">
        <f t="shared" ca="1" si="70"/>
        <v>0.78824381225698548</v>
      </c>
      <c r="AS67">
        <f t="shared" ca="1" si="51"/>
        <v>0.78824381225698548</v>
      </c>
      <c r="AT67" s="4">
        <f t="shared" ca="1" si="60"/>
        <v>70.832059701784686</v>
      </c>
      <c r="AU67">
        <f t="shared" ca="1" si="52"/>
        <v>-0.47351299660821117</v>
      </c>
      <c r="AV67">
        <f t="shared" ca="1" si="71"/>
        <v>-0.8087418011184565</v>
      </c>
      <c r="AW67">
        <f t="shared" ca="1" si="54"/>
        <v>-0.8087418011184565</v>
      </c>
      <c r="AX67" s="4" t="str">
        <f t="shared" ca="1" si="61"/>
        <v>ignore</v>
      </c>
    </row>
    <row r="68" spans="2:50" x14ac:dyDescent="0.2">
      <c r="B68">
        <v>38</v>
      </c>
      <c r="D68" s="11">
        <f t="shared" ca="1" si="62"/>
        <v>39.000999999999998</v>
      </c>
      <c r="F68" s="4">
        <f t="shared" ca="1" si="38"/>
        <v>413.67810187023724</v>
      </c>
      <c r="H68" s="4">
        <f t="shared" ca="1" si="63"/>
        <v>0.95691893201778888</v>
      </c>
      <c r="J68" s="11">
        <f t="shared" ca="1" si="64"/>
        <v>70.325792975546307</v>
      </c>
      <c r="L68" s="4">
        <f t="shared" ca="1" si="41"/>
        <v>4.6973431297627712</v>
      </c>
      <c r="M68" s="4">
        <f t="shared" ca="1" si="65"/>
        <v>1032.8725504840943</v>
      </c>
      <c r="N68" s="4">
        <f t="shared" ca="1" si="66"/>
        <v>5.2343204926690916</v>
      </c>
      <c r="R68" t="str">
        <f t="shared" ca="1" si="55"/>
        <v xml:space="preserve"> </v>
      </c>
      <c r="S68" s="11" t="str">
        <f t="shared" ca="1" si="67"/>
        <v xml:space="preserve"> </v>
      </c>
      <c r="T68" s="4" t="str">
        <f t="shared" ca="1" si="56"/>
        <v>none</v>
      </c>
      <c r="U68" s="4" t="str">
        <f t="shared" ca="1" si="68"/>
        <v xml:space="preserve"> </v>
      </c>
      <c r="V68" s="11" t="str">
        <f t="shared" ca="1" si="69"/>
        <v xml:space="preserve"> </v>
      </c>
      <c r="W68" s="4" t="str">
        <f t="shared" ca="1" si="57"/>
        <v xml:space="preserve"> </v>
      </c>
      <c r="AL68">
        <f t="shared" si="58"/>
        <v>0.7880107536067219</v>
      </c>
      <c r="AM68">
        <f t="shared" ca="1" si="47"/>
        <v>-1.0746278872420975E-2</v>
      </c>
      <c r="AN68">
        <f t="shared" ca="1" si="48"/>
        <v>1.3024611609955443</v>
      </c>
      <c r="AP68">
        <f t="shared" ca="1" si="59"/>
        <v>0.39390898593238738</v>
      </c>
      <c r="AQ68">
        <f t="shared" ca="1" si="49"/>
        <v>0.49012438000304304</v>
      </c>
      <c r="AR68">
        <f t="shared" ca="1" si="70"/>
        <v>0.77713739492249145</v>
      </c>
      <c r="AS68">
        <f t="shared" ca="1" si="51"/>
        <v>0.77713739492249145</v>
      </c>
      <c r="AT68" s="4">
        <f t="shared" ca="1" si="60"/>
        <v>70.325792975546307</v>
      </c>
      <c r="AU68">
        <f t="shared" ca="1" si="52"/>
        <v>-0.47362288392126051</v>
      </c>
      <c r="AV68">
        <f t="shared" ca="1" si="71"/>
        <v>-0.79858939544014129</v>
      </c>
      <c r="AW68">
        <f t="shared" ca="1" si="54"/>
        <v>-0.79858939544014129</v>
      </c>
      <c r="AX68" s="4" t="str">
        <f t="shared" ca="1" si="61"/>
        <v>ignore</v>
      </c>
    </row>
    <row r="69" spans="2:50" x14ac:dyDescent="0.2">
      <c r="B69">
        <v>39</v>
      </c>
      <c r="D69" s="11">
        <f t="shared" ca="1" si="62"/>
        <v>40.023000000000003</v>
      </c>
      <c r="F69" s="4">
        <f t="shared" ca="1" si="38"/>
        <v>413.43886734080695</v>
      </c>
      <c r="H69" s="4">
        <f t="shared" ca="1" si="63"/>
        <v>0.9575056153119873</v>
      </c>
      <c r="J69" s="11">
        <f t="shared" ca="1" si="64"/>
        <v>69.819432830592078</v>
      </c>
      <c r="L69" s="4">
        <f t="shared" ca="1" si="41"/>
        <v>4.9365776591930626</v>
      </c>
      <c r="M69" s="4">
        <f t="shared" ca="1" si="65"/>
        <v>1058.8484580638369</v>
      </c>
      <c r="N69" s="4">
        <f t="shared" ca="1" si="66"/>
        <v>5.3659594110396105</v>
      </c>
      <c r="R69" t="str">
        <f t="shared" ca="1" si="55"/>
        <v xml:space="preserve"> </v>
      </c>
      <c r="S69" s="11" t="str">
        <f t="shared" ca="1" si="67"/>
        <v xml:space="preserve"> </v>
      </c>
      <c r="T69" s="4" t="str">
        <f t="shared" ca="1" si="56"/>
        <v>none</v>
      </c>
      <c r="U69" s="4" t="str">
        <f t="shared" ca="1" si="68"/>
        <v xml:space="preserve"> </v>
      </c>
      <c r="V69" s="11" t="str">
        <f t="shared" ca="1" si="69"/>
        <v xml:space="preserve"> </v>
      </c>
      <c r="W69" s="4" t="str">
        <f t="shared" ca="1" si="57"/>
        <v xml:space="preserve"> </v>
      </c>
      <c r="AL69">
        <f t="shared" si="58"/>
        <v>0.7771459614569709</v>
      </c>
      <c r="AM69">
        <f t="shared" ca="1" si="47"/>
        <v>-1.0598113272144934E-2</v>
      </c>
      <c r="AN69">
        <f t="shared" ca="1" si="48"/>
        <v>1.3024579984908695</v>
      </c>
      <c r="AP69">
        <f t="shared" ca="1" si="59"/>
        <v>0.3939048672580911</v>
      </c>
      <c r="AQ69">
        <f t="shared" ca="1" si="49"/>
        <v>0.49000929240385871</v>
      </c>
      <c r="AR69">
        <f t="shared" ca="1" si="70"/>
        <v>0.76578694199166875</v>
      </c>
      <c r="AS69">
        <f t="shared" ca="1" si="51"/>
        <v>0.76578694199166875</v>
      </c>
      <c r="AT69" s="4">
        <f t="shared" ca="1" si="60"/>
        <v>69.819432830592078</v>
      </c>
      <c r="AU69">
        <f t="shared" ca="1" si="52"/>
        <v>-0.47373527315037844</v>
      </c>
      <c r="AV69">
        <f t="shared" ca="1" si="71"/>
        <v>-0.78820128818771207</v>
      </c>
      <c r="AW69">
        <f t="shared" ca="1" si="54"/>
        <v>-0.78820128818771207</v>
      </c>
      <c r="AX69" s="4" t="str">
        <f t="shared" ca="1" si="61"/>
        <v>ignore</v>
      </c>
    </row>
    <row r="70" spans="2:50" x14ac:dyDescent="0.2">
      <c r="B70">
        <v>40</v>
      </c>
      <c r="D70" s="11">
        <f t="shared" ca="1" si="62"/>
        <v>41.045000000000002</v>
      </c>
      <c r="F70" s="4">
        <f t="shared" ca="1" si="38"/>
        <v>413.1945716917329</v>
      </c>
      <c r="H70" s="4">
        <f t="shared" ca="1" si="63"/>
        <v>0.9581054825781804</v>
      </c>
      <c r="J70" s="11">
        <f t="shared" ca="1" si="64"/>
        <v>69.313001251466247</v>
      </c>
      <c r="L70" s="4">
        <f t="shared" ca="1" si="41"/>
        <v>5.1808733082671097</v>
      </c>
      <c r="M70" s="4">
        <f t="shared" ca="1" si="65"/>
        <v>1084.73222307847</v>
      </c>
      <c r="N70" s="4">
        <f t="shared" ca="1" si="66"/>
        <v>5.4971313756542441</v>
      </c>
      <c r="R70" t="str">
        <f t="shared" ca="1" si="55"/>
        <v xml:space="preserve"> </v>
      </c>
      <c r="S70" s="11" t="str">
        <f t="shared" ca="1" si="67"/>
        <v xml:space="preserve"> </v>
      </c>
      <c r="T70" s="4" t="str">
        <f t="shared" ca="1" si="56"/>
        <v>none</v>
      </c>
      <c r="U70" s="4" t="str">
        <f t="shared" ca="1" si="68"/>
        <v xml:space="preserve"> </v>
      </c>
      <c r="V70" s="11" t="str">
        <f t="shared" ca="1" si="69"/>
        <v xml:space="preserve"> </v>
      </c>
      <c r="W70" s="4" t="str">
        <f t="shared" ca="1" si="57"/>
        <v xml:space="preserve"> </v>
      </c>
      <c r="AL70">
        <f t="shared" si="58"/>
        <v>0.76604444311897801</v>
      </c>
      <c r="AM70">
        <f t="shared" ca="1" si="47"/>
        <v>-1.0446719383899969E-2</v>
      </c>
      <c r="AN70">
        <f t="shared" ca="1" si="48"/>
        <v>1.3024548124318263</v>
      </c>
      <c r="AP70">
        <f t="shared" ca="1" si="59"/>
        <v>0.39390071790786474</v>
      </c>
      <c r="AQ70">
        <f t="shared" ca="1" si="49"/>
        <v>0.4898917157107246</v>
      </c>
      <c r="AR70">
        <f t="shared" ca="1" si="70"/>
        <v>0.75419636485958641</v>
      </c>
      <c r="AS70">
        <f t="shared" ca="1" si="51"/>
        <v>0.75419636485958641</v>
      </c>
      <c r="AT70" s="4">
        <f t="shared" ca="1" si="60"/>
        <v>69.313001251466247</v>
      </c>
      <c r="AU70">
        <f t="shared" ca="1" si="52"/>
        <v>-0.47385013133607007</v>
      </c>
      <c r="AV70">
        <f t="shared" ca="1" si="71"/>
        <v>-0.7775802181392385</v>
      </c>
      <c r="AW70">
        <f t="shared" ca="1" si="54"/>
        <v>-0.7775802181392385</v>
      </c>
      <c r="AX70" s="4" t="str">
        <f t="shared" ca="1" si="61"/>
        <v>ignore</v>
      </c>
    </row>
    <row r="71" spans="2:50" x14ac:dyDescent="0.2">
      <c r="B71">
        <v>41</v>
      </c>
      <c r="D71" s="11">
        <f t="shared" ca="1" si="62"/>
        <v>42.066000000000003</v>
      </c>
      <c r="F71" s="4">
        <f t="shared" ca="1" si="38"/>
        <v>412.94529896636232</v>
      </c>
      <c r="H71" s="4">
        <f t="shared" ca="1" si="63"/>
        <v>0.95871837712310437</v>
      </c>
      <c r="J71" s="11">
        <f t="shared" ca="1" si="64"/>
        <v>68.806518360549063</v>
      </c>
      <c r="L71" s="4">
        <f t="shared" ca="1" si="41"/>
        <v>5.4301460336376977</v>
      </c>
      <c r="M71" s="4">
        <f t="shared" ca="1" si="65"/>
        <v>1110.5216976984793</v>
      </c>
      <c r="N71" s="4">
        <f t="shared" ca="1" si="66"/>
        <v>5.6278255018902597</v>
      </c>
      <c r="R71" t="str">
        <f t="shared" ca="1" si="55"/>
        <v xml:space="preserve"> </v>
      </c>
      <c r="S71" s="11" t="str">
        <f t="shared" ca="1" si="67"/>
        <v xml:space="preserve"> </v>
      </c>
      <c r="T71" s="4" t="str">
        <f t="shared" ca="1" si="56"/>
        <v>none</v>
      </c>
      <c r="U71" s="4" t="str">
        <f t="shared" ca="1" si="68"/>
        <v xml:space="preserve"> </v>
      </c>
      <c r="V71" s="11" t="str">
        <f t="shared" ca="1" si="69"/>
        <v xml:space="preserve"> </v>
      </c>
      <c r="W71" s="4" t="str">
        <f t="shared" ca="1" si="57"/>
        <v xml:space="preserve"> </v>
      </c>
      <c r="AL71">
        <f t="shared" si="58"/>
        <v>0.75470958022277201</v>
      </c>
      <c r="AM71">
        <f t="shared" ca="1" si="47"/>
        <v>-1.0292143323731026E-2</v>
      </c>
      <c r="AN71">
        <f t="shared" ca="1" si="48"/>
        <v>1.3024516067001366</v>
      </c>
      <c r="AP71">
        <f t="shared" ca="1" si="59"/>
        <v>0.39389654293705217</v>
      </c>
      <c r="AQ71">
        <f t="shared" ca="1" si="49"/>
        <v>0.48977168693833401</v>
      </c>
      <c r="AR71">
        <f t="shared" ca="1" si="70"/>
        <v>0.74236965095253427</v>
      </c>
      <c r="AS71">
        <f t="shared" ca="1" si="51"/>
        <v>0.74236965095253427</v>
      </c>
      <c r="AT71" s="4">
        <f t="shared" ca="1" si="60"/>
        <v>68.806518360549063</v>
      </c>
      <c r="AU71">
        <f t="shared" ca="1" si="52"/>
        <v>-0.47396742477490972</v>
      </c>
      <c r="AV71">
        <f t="shared" ca="1" si="71"/>
        <v>-0.76672899140034012</v>
      </c>
      <c r="AW71">
        <f t="shared" ca="1" si="54"/>
        <v>-0.76672899140034012</v>
      </c>
      <c r="AX71" s="4" t="str">
        <f t="shared" ca="1" si="61"/>
        <v>ignore</v>
      </c>
    </row>
    <row r="72" spans="2:50" x14ac:dyDescent="0.2">
      <c r="B72">
        <v>42</v>
      </c>
      <c r="D72" s="11">
        <f t="shared" ca="1" si="62"/>
        <v>43.088000000000001</v>
      </c>
      <c r="F72" s="4">
        <f t="shared" ca="1" si="38"/>
        <v>412.69113477277801</v>
      </c>
      <c r="H72" s="4">
        <f t="shared" ca="1" si="63"/>
        <v>0.95934413848005395</v>
      </c>
      <c r="J72" s="11">
        <f t="shared" ca="1" si="64"/>
        <v>68.300002632817169</v>
      </c>
      <c r="L72" s="4">
        <f t="shared" ca="1" si="41"/>
        <v>5.6843102272219994</v>
      </c>
      <c r="M72" s="4">
        <f t="shared" ca="1" si="65"/>
        <v>1136.2147495823926</v>
      </c>
      <c r="N72" s="4">
        <f t="shared" ca="1" si="66"/>
        <v>5.7580309836141632</v>
      </c>
      <c r="R72" t="str">
        <f t="shared" ca="1" si="55"/>
        <v xml:space="preserve"> </v>
      </c>
      <c r="S72" s="11" t="str">
        <f t="shared" ca="1" si="67"/>
        <v xml:space="preserve"> </v>
      </c>
      <c r="T72" s="4" t="str">
        <f t="shared" ca="1" si="56"/>
        <v>none</v>
      </c>
      <c r="U72" s="4" t="str">
        <f t="shared" ca="1" si="68"/>
        <v xml:space="preserve"> </v>
      </c>
      <c r="V72" s="11" t="str">
        <f t="shared" ca="1" si="69"/>
        <v xml:space="preserve"> </v>
      </c>
      <c r="W72" s="4" t="str">
        <f t="shared" ca="1" si="57"/>
        <v xml:space="preserve"> </v>
      </c>
      <c r="AL72">
        <f t="shared" si="58"/>
        <v>0.74314482547739424</v>
      </c>
      <c r="AM72">
        <f t="shared" ca="1" si="47"/>
        <v>-1.0134432177003444E-2</v>
      </c>
      <c r="AN72">
        <f t="shared" ca="1" si="48"/>
        <v>1.3024483852014908</v>
      </c>
      <c r="AP72">
        <f t="shared" ca="1" si="59"/>
        <v>0.39389234743221246</v>
      </c>
      <c r="AQ72">
        <f t="shared" ca="1" si="49"/>
        <v>0.48964924385731318</v>
      </c>
      <c r="AR72">
        <f t="shared" ca="1" si="70"/>
        <v>0.73031086193551109</v>
      </c>
      <c r="AS72">
        <f t="shared" ca="1" si="51"/>
        <v>0.73031086193551109</v>
      </c>
      <c r="AT72" s="4">
        <f t="shared" ca="1" si="60"/>
        <v>68.300002632817169</v>
      </c>
      <c r="AU72">
        <f t="shared" ca="1" si="52"/>
        <v>-0.47408711902818118</v>
      </c>
      <c r="AV72">
        <f t="shared" ca="1" si="71"/>
        <v>-0.75565048105154176</v>
      </c>
      <c r="AW72">
        <f t="shared" ca="1" si="54"/>
        <v>-0.75565048105154176</v>
      </c>
      <c r="AX72" s="4" t="str">
        <f t="shared" ca="1" si="61"/>
        <v>ignore</v>
      </c>
    </row>
    <row r="73" spans="2:50" x14ac:dyDescent="0.2">
      <c r="B73">
        <v>43</v>
      </c>
      <c r="D73" s="11">
        <f t="shared" ca="1" si="62"/>
        <v>44.107999999999997</v>
      </c>
      <c r="F73" s="4">
        <f t="shared" ca="1" si="38"/>
        <v>412.43216624549495</v>
      </c>
      <c r="H73" s="4">
        <f t="shared" ca="1" si="63"/>
        <v>0.95998260242723332</v>
      </c>
      <c r="J73" s="11">
        <f t="shared" ca="1" si="64"/>
        <v>67.793471080513157</v>
      </c>
      <c r="L73" s="4">
        <f t="shared" ca="1" si="41"/>
        <v>5.9432787545050587</v>
      </c>
      <c r="M73" s="4">
        <f t="shared" ca="1" si="65"/>
        <v>1161.8092621443113</v>
      </c>
      <c r="N73" s="4">
        <f t="shared" ca="1" si="66"/>
        <v>5.8877370945374681</v>
      </c>
      <c r="R73" t="str">
        <f t="shared" ca="1" si="55"/>
        <v xml:space="preserve"> </v>
      </c>
      <c r="S73" s="11" t="str">
        <f t="shared" ca="1" si="67"/>
        <v xml:space="preserve"> </v>
      </c>
      <c r="T73" s="4" t="str">
        <f t="shared" ca="1" si="56"/>
        <v>none</v>
      </c>
      <c r="U73" s="4" t="str">
        <f t="shared" ca="1" si="68"/>
        <v xml:space="preserve"> </v>
      </c>
      <c r="V73" s="11" t="str">
        <f t="shared" ca="1" si="69"/>
        <v xml:space="preserve"> </v>
      </c>
      <c r="W73" s="4" t="str">
        <f t="shared" ca="1" si="57"/>
        <v xml:space="preserve"> </v>
      </c>
      <c r="AL73">
        <f t="shared" si="58"/>
        <v>0.73135370161917046</v>
      </c>
      <c r="AM73">
        <f t="shared" ca="1" si="47"/>
        <v>-9.9736339840602942E-3</v>
      </c>
      <c r="AN73">
        <f t="shared" ca="1" si="48"/>
        <v>1.3024451518607885</v>
      </c>
      <c r="AP73">
        <f t="shared" ca="1" si="59"/>
        <v>0.39388813650492177</v>
      </c>
      <c r="AQ73">
        <f t="shared" ca="1" si="49"/>
        <v>0.48952442498130655</v>
      </c>
      <c r="AR73">
        <f t="shared" ca="1" si="70"/>
        <v>0.71802413189496372</v>
      </c>
      <c r="AS73">
        <f t="shared" ca="1" si="51"/>
        <v>0.71802413189496372</v>
      </c>
      <c r="AT73" s="4">
        <f t="shared" ca="1" si="60"/>
        <v>67.793471080513157</v>
      </c>
      <c r="AU73">
        <f t="shared" ca="1" si="52"/>
        <v>-0.47420917893073616</v>
      </c>
      <c r="AV73">
        <f t="shared" ca="1" si="71"/>
        <v>-0.74434762677962552</v>
      </c>
      <c r="AW73">
        <f t="shared" ca="1" si="54"/>
        <v>-0.74434762677962552</v>
      </c>
      <c r="AX73" s="4" t="str">
        <f t="shared" ca="1" si="61"/>
        <v>ignore</v>
      </c>
    </row>
    <row r="74" spans="2:50" x14ac:dyDescent="0.2">
      <c r="B74">
        <v>44</v>
      </c>
      <c r="D74" s="11">
        <f t="shared" ca="1" si="62"/>
        <v>45.128999999999998</v>
      </c>
      <c r="F74" s="4">
        <f ca="1">IF(AQ74&gt;0.0000001,$Y$8*((1/SQRT(1-AQ74*AQ74))-1),"none")</f>
        <v>412.16848200666777</v>
      </c>
      <c r="H74" s="4">
        <f t="shared" ca="1" si="63"/>
        <v>0.96063360100700457</v>
      </c>
      <c r="J74" s="11">
        <f t="shared" ca="1" si="64"/>
        <v>67.286939412569453</v>
      </c>
      <c r="L74" s="4">
        <f ca="1">IF(ISNUMBER(F74),$E$5+$S$10-F74," ")</f>
        <v>6.2069629933322403</v>
      </c>
      <c r="M74" s="4">
        <f t="shared" ca="1" si="65"/>
        <v>1187.3031348144098</v>
      </c>
      <c r="N74" s="4">
        <f t="shared" ca="1" si="66"/>
        <v>6.0169331895368465</v>
      </c>
      <c r="R74" t="str">
        <f t="shared" ca="1" si="55"/>
        <v xml:space="preserve"> </v>
      </c>
      <c r="S74" s="11" t="str">
        <f t="shared" ca="1" si="67"/>
        <v xml:space="preserve"> </v>
      </c>
      <c r="T74" s="4" t="str">
        <f t="shared" ca="1" si="56"/>
        <v>none</v>
      </c>
      <c r="U74" s="4" t="str">
        <f t="shared" ca="1" si="68"/>
        <v xml:space="preserve"> </v>
      </c>
      <c r="V74" s="11" t="str">
        <f t="shared" ca="1" si="69"/>
        <v xml:space="preserve"> </v>
      </c>
      <c r="W74" s="4" t="str">
        <f t="shared" ca="1" si="57"/>
        <v xml:space="preserve"> </v>
      </c>
      <c r="AL74">
        <f t="shared" si="58"/>
        <v>0.71933980033865119</v>
      </c>
      <c r="AM74">
        <f t="shared" ca="1" si="47"/>
        <v>-9.8097977255888411E-3</v>
      </c>
      <c r="AN74">
        <f t="shared" ca="1" si="48"/>
        <v>1.3024419106173575</v>
      </c>
      <c r="AP74">
        <f t="shared" ca="1" si="59"/>
        <v>0.39388391528554645</v>
      </c>
      <c r="AQ74">
        <f t="shared" ca="1" si="49"/>
        <v>0.48939726955382523</v>
      </c>
      <c r="AR74">
        <f t="shared" ca="1" si="70"/>
        <v>0.70551366549809524</v>
      </c>
      <c r="AS74">
        <f t="shared" ca="1" si="51"/>
        <v>0.70551366549809524</v>
      </c>
      <c r="AT74" s="4">
        <f t="shared" ca="1" si="60"/>
        <v>67.286939412569453</v>
      </c>
      <c r="AU74">
        <f t="shared" ca="1" si="52"/>
        <v>-0.47433356860006975</v>
      </c>
      <c r="AV74">
        <f t="shared" ca="1" si="71"/>
        <v>-0.73282343449252463</v>
      </c>
      <c r="AW74">
        <f t="shared" ca="1" si="54"/>
        <v>-0.73282343449252463</v>
      </c>
      <c r="AX74" s="4" t="str">
        <f t="shared" ca="1" si="61"/>
        <v>ignore</v>
      </c>
    </row>
    <row r="75" spans="2:50" x14ac:dyDescent="0.2">
      <c r="B75">
        <v>45</v>
      </c>
      <c r="D75" s="11">
        <f t="shared" ca="1" si="62"/>
        <v>46.149000000000001</v>
      </c>
      <c r="F75" s="4">
        <f t="shared" ref="F75:F138" ca="1" si="72">IF(AQ75&gt;0.0000001,$Y$8*((1/SQRT(1-AQ75*AQ75))-1),"none")</f>
        <v>411.90017212682403</v>
      </c>
      <c r="H75" s="4">
        <f t="shared" ca="1" si="63"/>
        <v>0.96129696254606822</v>
      </c>
      <c r="J75" s="11">
        <f t="shared" ca="1" si="64"/>
        <v>66.780422172562012</v>
      </c>
      <c r="L75" s="4">
        <f t="shared" ref="L75:L138" ca="1" si="73">IF(ISNUMBER(F75),$E$5+$S$10-F75," ")</f>
        <v>6.4752728731759817</v>
      </c>
      <c r="M75" s="4">
        <f t="shared" ca="1" si="65"/>
        <v>1212.6942832956418</v>
      </c>
      <c r="N75" s="4">
        <f t="shared" ca="1" si="66"/>
        <v>6.1456087059550386</v>
      </c>
      <c r="R75" t="str">
        <f t="shared" ca="1" si="55"/>
        <v xml:space="preserve"> </v>
      </c>
      <c r="S75" s="11" t="str">
        <f t="shared" ca="1" si="67"/>
        <v xml:space="preserve"> </v>
      </c>
      <c r="T75" s="4" t="str">
        <f t="shared" ca="1" si="56"/>
        <v>none</v>
      </c>
      <c r="U75" s="4" t="str">
        <f t="shared" ca="1" si="68"/>
        <v xml:space="preserve"> </v>
      </c>
      <c r="V75" s="11" t="str">
        <f t="shared" ca="1" si="69"/>
        <v xml:space="preserve"> </v>
      </c>
      <c r="W75" s="4" t="str">
        <f t="shared" ca="1" si="57"/>
        <v xml:space="preserve"> </v>
      </c>
      <c r="AL75">
        <f t="shared" si="58"/>
        <v>0.70710678118654757</v>
      </c>
      <c r="AM75">
        <f t="shared" ca="1" si="47"/>
        <v>-9.6429733077005291E-3</v>
      </c>
      <c r="AN75">
        <f t="shared" ca="1" si="48"/>
        <v>1.3024386654201534</v>
      </c>
      <c r="AP75">
        <f t="shared" ca="1" si="59"/>
        <v>0.39387968891699199</v>
      </c>
      <c r="AQ75">
        <f t="shared" ref="AQ75:AQ138" ca="1" si="74">IF(ISNUMBER(SQRT(AP75)),(-AM75+SQRT(AP75))/AN75,-100)</f>
        <v>0.48926781753486071</v>
      </c>
      <c r="AR75">
        <f t="shared" ca="1" si="70"/>
        <v>0.6927837361300645</v>
      </c>
      <c r="AS75">
        <f t="shared" ca="1" si="51"/>
        <v>0.6927837361300645</v>
      </c>
      <c r="AT75" s="4">
        <f t="shared" ca="1" si="60"/>
        <v>66.780422172562012</v>
      </c>
      <c r="AU75">
        <f t="shared" ref="AU75:AU138" ca="1" si="75">IF(ISNUMBER(SQRT(AP75)),(-AM75-SQRT(AP75))/AN75,-100)</f>
        <v>-0.47446025144561266</v>
      </c>
      <c r="AV75">
        <f t="shared" ca="1" si="71"/>
        <v>-0.72108097591731113</v>
      </c>
      <c r="AW75">
        <f t="shared" ca="1" si="54"/>
        <v>-0.72108097591731113</v>
      </c>
      <c r="AX75" s="4" t="str">
        <f t="shared" ca="1" si="61"/>
        <v>ignore</v>
      </c>
    </row>
    <row r="76" spans="2:50" x14ac:dyDescent="0.2">
      <c r="B76">
        <v>46</v>
      </c>
      <c r="D76" s="11">
        <f t="shared" ca="1" si="62"/>
        <v>47.168999999999997</v>
      </c>
      <c r="F76" s="4">
        <f t="shared" ca="1" si="72"/>
        <v>411.62732808516614</v>
      </c>
      <c r="H76" s="4">
        <f t="shared" ca="1" si="63"/>
        <v>0.96197251167659226</v>
      </c>
      <c r="J76" s="11">
        <f t="shared" ca="1" si="64"/>
        <v>66.273932858638432</v>
      </c>
      <c r="L76" s="4">
        <f t="shared" ca="1" si="73"/>
        <v>6.7481169148338722</v>
      </c>
      <c r="M76" s="4">
        <f t="shared" ca="1" si="65"/>
        <v>1237.9806398224471</v>
      </c>
      <c r="N76" s="4">
        <f t="shared" ca="1" si="66"/>
        <v>6.2737531649119154</v>
      </c>
      <c r="R76" t="str">
        <f t="shared" ca="1" si="55"/>
        <v xml:space="preserve"> </v>
      </c>
      <c r="S76" s="11" t="str">
        <f t="shared" ca="1" si="67"/>
        <v xml:space="preserve"> </v>
      </c>
      <c r="T76" s="4" t="str">
        <f t="shared" ca="1" si="56"/>
        <v>none</v>
      </c>
      <c r="U76" s="4" t="str">
        <f t="shared" ca="1" si="68"/>
        <v xml:space="preserve"> </v>
      </c>
      <c r="V76" s="11" t="str">
        <f t="shared" ca="1" si="69"/>
        <v xml:space="preserve"> </v>
      </c>
      <c r="W76" s="4" t="str">
        <f t="shared" ca="1" si="57"/>
        <v xml:space="preserve"> </v>
      </c>
      <c r="AL76">
        <f t="shared" si="58"/>
        <v>0.69465837045899725</v>
      </c>
      <c r="AM76">
        <f t="shared" ca="1" si="47"/>
        <v>-9.4732115467291086E-3</v>
      </c>
      <c r="AN76">
        <f t="shared" ca="1" si="48"/>
        <v>1.3024354202229496</v>
      </c>
      <c r="AP76">
        <f t="shared" ca="1" si="59"/>
        <v>0.39387546254843769</v>
      </c>
      <c r="AQ76">
        <f t="shared" ca="1" si="74"/>
        <v>0.48913610958727455</v>
      </c>
      <c r="AR76">
        <f t="shared" ca="1" si="70"/>
        <v>0.67983868401040759</v>
      </c>
      <c r="AS76">
        <f t="shared" ca="1" si="51"/>
        <v>0.67983868401040759</v>
      </c>
      <c r="AT76" s="4">
        <f t="shared" ca="1" si="60"/>
        <v>66.273932858638432</v>
      </c>
      <c r="AU76">
        <f t="shared" ca="1" si="75"/>
        <v>-0.47458919017823781</v>
      </c>
      <c r="AV76">
        <f t="shared" ca="1" si="71"/>
        <v>-0.7091233881808211</v>
      </c>
      <c r="AW76">
        <f t="shared" ca="1" si="54"/>
        <v>-0.7091233881808211</v>
      </c>
      <c r="AX76" s="4" t="str">
        <f t="shared" ca="1" si="61"/>
        <v>ignore</v>
      </c>
    </row>
    <row r="77" spans="2:50" x14ac:dyDescent="0.2">
      <c r="B77">
        <v>47</v>
      </c>
      <c r="D77" s="11">
        <f t="shared" ca="1" si="62"/>
        <v>48.188000000000002</v>
      </c>
      <c r="F77" s="4">
        <f t="shared" ca="1" si="72"/>
        <v>411.35004272945974</v>
      </c>
      <c r="H77" s="4">
        <f t="shared" ca="1" si="63"/>
        <v>0.96266006935833026</v>
      </c>
      <c r="J77" s="11">
        <f t="shared" ca="1" si="64"/>
        <v>65.767484027991799</v>
      </c>
      <c r="L77" s="4">
        <f t="shared" ca="1" si="73"/>
        <v>7.025402270540269</v>
      </c>
      <c r="M77" s="4">
        <f t="shared" ca="1" si="65"/>
        <v>1263.1601533840549</v>
      </c>
      <c r="N77" s="4">
        <f t="shared" ca="1" si="66"/>
        <v>6.4013561724361168</v>
      </c>
      <c r="R77" t="str">
        <f t="shared" ca="1" si="55"/>
        <v xml:space="preserve"> </v>
      </c>
      <c r="S77" s="11" t="str">
        <f t="shared" ca="1" si="67"/>
        <v xml:space="preserve"> </v>
      </c>
      <c r="T77" s="4" t="str">
        <f t="shared" ca="1" si="56"/>
        <v>none</v>
      </c>
      <c r="U77" s="4" t="str">
        <f t="shared" ca="1" si="68"/>
        <v xml:space="preserve"> </v>
      </c>
      <c r="V77" s="11" t="str">
        <f t="shared" ca="1" si="69"/>
        <v xml:space="preserve"> </v>
      </c>
      <c r="W77" s="4" t="str">
        <f t="shared" ca="1" si="57"/>
        <v xml:space="preserve"> </v>
      </c>
      <c r="AL77">
        <f t="shared" si="58"/>
        <v>0.68199836006249848</v>
      </c>
      <c r="AM77">
        <f t="shared" ca="1" si="47"/>
        <v>-9.3005641537514967E-3</v>
      </c>
      <c r="AN77">
        <f t="shared" ca="1" si="48"/>
        <v>1.3024321789795184</v>
      </c>
      <c r="AP77">
        <f t="shared" ca="1" si="59"/>
        <v>0.39387124132906232</v>
      </c>
      <c r="AQ77">
        <f t="shared" ca="1" si="74"/>
        <v>0.48900218706296489</v>
      </c>
      <c r="AR77">
        <f t="shared" ca="1" si="70"/>
        <v>0.66668291429001425</v>
      </c>
      <c r="AS77">
        <f t="shared" ca="1" si="51"/>
        <v>0.66668291429001425</v>
      </c>
      <c r="AT77" s="4">
        <f t="shared" ca="1" si="60"/>
        <v>65.767484027991799</v>
      </c>
      <c r="AU77">
        <f t="shared" ca="1" si="75"/>
        <v>-0.47472034681998404</v>
      </c>
      <c r="AV77">
        <f t="shared" ca="1" si="71"/>
        <v>-0.69695387337247239</v>
      </c>
      <c r="AW77">
        <f t="shared" ca="1" si="54"/>
        <v>-0.69695387337247239</v>
      </c>
      <c r="AX77" s="4" t="str">
        <f t="shared" ca="1" si="61"/>
        <v>ignore</v>
      </c>
    </row>
    <row r="78" spans="2:50" x14ac:dyDescent="0.2">
      <c r="B78">
        <v>48</v>
      </c>
      <c r="D78" s="11">
        <f t="shared" ca="1" si="62"/>
        <v>49.207999999999998</v>
      </c>
      <c r="F78" s="4">
        <f t="shared" ca="1" si="72"/>
        <v>411.06841023554358</v>
      </c>
      <c r="H78" s="4">
        <f t="shared" ca="1" si="63"/>
        <v>0.9633594529017464</v>
      </c>
      <c r="J78" s="11">
        <f t="shared" ca="1" si="64"/>
        <v>65.261087388207599</v>
      </c>
      <c r="L78" s="4">
        <f t="shared" ca="1" si="73"/>
        <v>7.3070347644564322</v>
      </c>
      <c r="M78" s="4">
        <f t="shared" ca="1" si="65"/>
        <v>1288.2307899792863</v>
      </c>
      <c r="N78" s="4">
        <f t="shared" ca="1" si="66"/>
        <v>6.5284074207563236</v>
      </c>
      <c r="R78" t="str">
        <f t="shared" ca="1" si="55"/>
        <v xml:space="preserve"> </v>
      </c>
      <c r="S78" s="11" t="str">
        <f t="shared" ca="1" si="67"/>
        <v xml:space="preserve"> </v>
      </c>
      <c r="T78" s="4" t="str">
        <f t="shared" ca="1" si="56"/>
        <v>none</v>
      </c>
      <c r="U78" s="4" t="str">
        <f t="shared" ca="1" si="68"/>
        <v xml:space="preserve"> </v>
      </c>
      <c r="V78" s="11" t="str">
        <f t="shared" ca="1" si="69"/>
        <v xml:space="preserve"> </v>
      </c>
      <c r="W78" s="4" t="str">
        <f t="shared" ca="1" si="57"/>
        <v xml:space="preserve"> </v>
      </c>
      <c r="AL78">
        <f t="shared" si="58"/>
        <v>0.66913060635885824</v>
      </c>
      <c r="AM78">
        <f t="shared" ca="1" si="47"/>
        <v>-9.1250837188360627E-3</v>
      </c>
      <c r="AN78">
        <f t="shared" ca="1" si="48"/>
        <v>1.3024289456388163</v>
      </c>
      <c r="AP78">
        <f t="shared" ca="1" si="59"/>
        <v>0.39386703040177168</v>
      </c>
      <c r="AQ78">
        <f t="shared" ca="1" si="74"/>
        <v>0.48886609198881908</v>
      </c>
      <c r="AR78">
        <f t="shared" ca="1" si="70"/>
        <v>0.65332089512999414</v>
      </c>
      <c r="AS78">
        <f t="shared" ca="1" si="51"/>
        <v>0.65332089512999414</v>
      </c>
      <c r="AT78" s="4">
        <f t="shared" ca="1" si="60"/>
        <v>65.261087388207599</v>
      </c>
      <c r="AU78">
        <f t="shared" ca="1" si="75"/>
        <v>-0.47485368271399248</v>
      </c>
      <c r="AV78">
        <f t="shared" ca="1" si="71"/>
        <v>-0.68457569808881635</v>
      </c>
      <c r="AW78">
        <f t="shared" ca="1" si="54"/>
        <v>-0.68457569808881635</v>
      </c>
      <c r="AX78" s="4" t="str">
        <f t="shared" ca="1" si="61"/>
        <v>ignore</v>
      </c>
    </row>
    <row r="79" spans="2:50" x14ac:dyDescent="0.2">
      <c r="B79">
        <v>49</v>
      </c>
      <c r="D79" s="11">
        <f t="shared" ca="1" si="62"/>
        <v>50.225999999999999</v>
      </c>
      <c r="F79" s="4">
        <f t="shared" ca="1" si="72"/>
        <v>410.78252606648243</v>
      </c>
      <c r="H79" s="4">
        <f t="shared" ca="1" si="63"/>
        <v>0.9640704759921831</v>
      </c>
      <c r="J79" s="11">
        <f t="shared" ca="1" si="64"/>
        <v>64.754753877299919</v>
      </c>
      <c r="L79" s="4">
        <f t="shared" ca="1" si="73"/>
        <v>7.5929189335175806</v>
      </c>
      <c r="M79" s="4">
        <f t="shared" ca="1" si="65"/>
        <v>1313.1905328302455</v>
      </c>
      <c r="N79" s="4">
        <f t="shared" ca="1" si="66"/>
        <v>6.6548966893841843</v>
      </c>
      <c r="R79" t="str">
        <f t="shared" ca="1" si="55"/>
        <v xml:space="preserve"> </v>
      </c>
      <c r="S79" s="11" t="str">
        <f t="shared" ca="1" si="67"/>
        <v xml:space="preserve"> </v>
      </c>
      <c r="T79" s="4" t="str">
        <f t="shared" ca="1" si="56"/>
        <v>none</v>
      </c>
      <c r="U79" s="4" t="str">
        <f t="shared" ca="1" si="68"/>
        <v xml:space="preserve"> </v>
      </c>
      <c r="V79" s="11" t="str">
        <f t="shared" ca="1" si="69"/>
        <v xml:space="preserve"> </v>
      </c>
      <c r="W79" s="4" t="str">
        <f t="shared" ca="1" si="57"/>
        <v xml:space="preserve"> </v>
      </c>
      <c r="AL79">
        <f t="shared" si="58"/>
        <v>0.65605902899050728</v>
      </c>
      <c r="AM79">
        <f t="shared" ca="1" si="47"/>
        <v>-8.9468236950232E-3</v>
      </c>
      <c r="AN79">
        <f t="shared" ca="1" si="48"/>
        <v>1.3024257241401702</v>
      </c>
      <c r="AP79">
        <f t="shared" ca="1" si="59"/>
        <v>0.3938628348969318</v>
      </c>
      <c r="AQ79">
        <f t="shared" ca="1" si="74"/>
        <v>0.48872786705245647</v>
      </c>
      <c r="AR79">
        <f t="shared" ca="1" si="70"/>
        <v>0.6397571557637669</v>
      </c>
      <c r="AS79">
        <f t="shared" ca="1" si="51"/>
        <v>0.6397571557637669</v>
      </c>
      <c r="AT79" s="4">
        <f t="shared" ca="1" si="60"/>
        <v>64.754753877299919</v>
      </c>
      <c r="AU79">
        <f t="shared" ca="1" si="75"/>
        <v>-0.47498915853465645</v>
      </c>
      <c r="AV79">
        <f t="shared" ca="1" si="71"/>
        <v>-0.67199219295937918</v>
      </c>
      <c r="AW79">
        <f t="shared" ca="1" si="54"/>
        <v>-0.67199219295937918</v>
      </c>
      <c r="AX79" s="4" t="str">
        <f t="shared" ca="1" si="61"/>
        <v>ignore</v>
      </c>
    </row>
    <row r="80" spans="2:50" x14ac:dyDescent="0.2">
      <c r="B80">
        <v>50</v>
      </c>
      <c r="D80" s="11">
        <f t="shared" ca="1" si="62"/>
        <v>51.244999999999997</v>
      </c>
      <c r="F80" s="4">
        <f t="shared" ca="1" si="72"/>
        <v>410.49248693139805</v>
      </c>
      <c r="H80" s="4">
        <f t="shared" ca="1" si="63"/>
        <v>0.96479294871509236</v>
      </c>
      <c r="J80" s="11">
        <f t="shared" ca="1" si="64"/>
        <v>64.248493734083468</v>
      </c>
      <c r="L80" s="4">
        <f t="shared" ca="1" si="73"/>
        <v>7.8829580686019654</v>
      </c>
      <c r="M80" s="4">
        <f t="shared" ca="1" si="65"/>
        <v>1338.0373826064899</v>
      </c>
      <c r="N80" s="4">
        <f t="shared" ca="1" si="66"/>
        <v>6.7808138462503544</v>
      </c>
      <c r="R80" t="str">
        <f t="shared" ca="1" si="55"/>
        <v xml:space="preserve"> </v>
      </c>
      <c r="S80" s="11" t="str">
        <f t="shared" ca="1" si="67"/>
        <v xml:space="preserve"> </v>
      </c>
      <c r="T80" s="4" t="str">
        <f t="shared" ca="1" si="56"/>
        <v>none</v>
      </c>
      <c r="U80" s="4" t="str">
        <f t="shared" ca="1" si="68"/>
        <v xml:space="preserve"> </v>
      </c>
      <c r="V80" s="11" t="str">
        <f t="shared" ca="1" si="69"/>
        <v xml:space="preserve"> </v>
      </c>
      <c r="W80" s="4" t="str">
        <f t="shared" ca="1" si="57"/>
        <v xml:space="preserve"> </v>
      </c>
      <c r="AL80">
        <f t="shared" si="58"/>
        <v>0.64278760968653936</v>
      </c>
      <c r="AM80">
        <f t="shared" ca="1" si="47"/>
        <v>-8.7658383820430064E-3</v>
      </c>
      <c r="AN80">
        <f t="shared" ca="1" si="48"/>
        <v>1.3024225184084806</v>
      </c>
      <c r="AP80">
        <f t="shared" ca="1" si="59"/>
        <v>0.39385865992611935</v>
      </c>
      <c r="AQ80">
        <f t="shared" ca="1" si="74"/>
        <v>0.48858755558776801</v>
      </c>
      <c r="AR80">
        <f t="shared" ca="1" si="70"/>
        <v>0.62599628454371603</v>
      </c>
      <c r="AS80">
        <f t="shared" ca="1" si="51"/>
        <v>0.62599628454371603</v>
      </c>
      <c r="AT80" s="4">
        <f t="shared" ca="1" si="60"/>
        <v>64.248493734083468</v>
      </c>
      <c r="AU80">
        <f t="shared" ca="1" si="75"/>
        <v>-0.47512673429798474</v>
      </c>
      <c r="AV80">
        <f t="shared" ca="1" si="71"/>
        <v>-0.65920675215334501</v>
      </c>
      <c r="AW80">
        <f t="shared" ca="1" si="54"/>
        <v>-0.65920675215334501</v>
      </c>
      <c r="AX80" s="4" t="str">
        <f t="shared" ca="1" si="61"/>
        <v>ignore</v>
      </c>
    </row>
    <row r="81" spans="2:50" x14ac:dyDescent="0.2">
      <c r="B81">
        <v>51</v>
      </c>
      <c r="D81" s="11">
        <f t="shared" ca="1" si="62"/>
        <v>52.262999999999998</v>
      </c>
      <c r="F81" s="4">
        <f t="shared" ca="1" si="72"/>
        <v>410.19839074399721</v>
      </c>
      <c r="H81" s="4">
        <f t="shared" ca="1" si="63"/>
        <v>0.96552667758236577</v>
      </c>
      <c r="J81" s="11">
        <f t="shared" ca="1" si="64"/>
        <v>63.742316560138541</v>
      </c>
      <c r="L81" s="4">
        <f t="shared" ca="1" si="73"/>
        <v>8.1770542560028048</v>
      </c>
      <c r="M81" s="4">
        <f t="shared" ref="M81:M144" ca="1" si="76">SQRT(($Y$10+L81)^2-$Y$10^2)</f>
        <v>1362.7693576386134</v>
      </c>
      <c r="N81" s="4">
        <f t="shared" ref="N81:N144" ca="1" si="77">M81/197.32696</f>
        <v>6.9061488487868727</v>
      </c>
      <c r="R81" t="str">
        <f t="shared" ca="1" si="55"/>
        <v xml:space="preserve"> </v>
      </c>
      <c r="S81" s="11" t="str">
        <f t="shared" ca="1" si="67"/>
        <v xml:space="preserve"> </v>
      </c>
      <c r="T81" s="4" t="str">
        <f t="shared" ca="1" si="56"/>
        <v>none</v>
      </c>
      <c r="U81" s="4" t="str">
        <f t="shared" ca="1" si="68"/>
        <v xml:space="preserve"> </v>
      </c>
      <c r="V81" s="11" t="str">
        <f t="shared" ca="1" si="69"/>
        <v xml:space="preserve"> </v>
      </c>
      <c r="W81" s="4" t="str">
        <f t="shared" ca="1" si="57"/>
        <v xml:space="preserve"> </v>
      </c>
      <c r="AL81">
        <f t="shared" si="58"/>
        <v>0.6293203910498375</v>
      </c>
      <c r="AM81">
        <f t="shared" ca="1" si="47"/>
        <v>-8.5821829097750598E-3</v>
      </c>
      <c r="AN81">
        <f t="shared" ca="1" si="48"/>
        <v>1.3024193323494373</v>
      </c>
      <c r="AP81">
        <f t="shared" ca="1" si="59"/>
        <v>0.39385451057589299</v>
      </c>
      <c r="AQ81">
        <f t="shared" ca="1" si="74"/>
        <v>0.48844520156025845</v>
      </c>
      <c r="AR81">
        <f t="shared" ca="1" si="70"/>
        <v>0.6120429269737333</v>
      </c>
      <c r="AS81">
        <f t="shared" ca="1" si="51"/>
        <v>0.6120429269737333</v>
      </c>
      <c r="AT81" s="4">
        <f t="shared" ca="1" si="60"/>
        <v>63.742316560138541</v>
      </c>
      <c r="AU81">
        <f t="shared" ca="1" si="75"/>
        <v>-0.47526636937217404</v>
      </c>
      <c r="AV81">
        <f t="shared" ca="1" si="71"/>
        <v>-0.6462228328666324</v>
      </c>
      <c r="AW81">
        <f t="shared" ca="1" si="54"/>
        <v>-0.6462228328666324</v>
      </c>
      <c r="AX81" s="4" t="str">
        <f t="shared" ca="1" si="61"/>
        <v>ignore</v>
      </c>
    </row>
    <row r="82" spans="2:50" x14ac:dyDescent="0.2">
      <c r="B82">
        <v>52</v>
      </c>
      <c r="D82" s="11">
        <f t="shared" ca="1" si="62"/>
        <v>53.28</v>
      </c>
      <c r="F82" s="4">
        <f t="shared" ca="1" si="72"/>
        <v>409.90033658083934</v>
      </c>
      <c r="H82" s="4">
        <f t="shared" ca="1" si="63"/>
        <v>0.96627146555978438</v>
      </c>
      <c r="J82" s="11">
        <f t="shared" ca="1" si="64"/>
        <v>63.236231374612672</v>
      </c>
      <c r="L82" s="4">
        <f t="shared" ca="1" si="73"/>
        <v>8.4751084191606765</v>
      </c>
      <c r="M82" s="4">
        <f t="shared" ca="1" si="76"/>
        <v>1387.3844941224486</v>
      </c>
      <c r="N82" s="4">
        <f t="shared" ca="1" si="77"/>
        <v>7.030891744962009</v>
      </c>
      <c r="R82" t="str">
        <f t="shared" ca="1" si="55"/>
        <v xml:space="preserve"> </v>
      </c>
      <c r="S82" s="11" t="str">
        <f t="shared" ca="1" si="67"/>
        <v xml:space="preserve"> </v>
      </c>
      <c r="T82" s="4" t="str">
        <f t="shared" ca="1" si="56"/>
        <v>none</v>
      </c>
      <c r="U82" s="4" t="str">
        <f t="shared" ca="1" si="68"/>
        <v xml:space="preserve"> </v>
      </c>
      <c r="V82" s="11" t="str">
        <f t="shared" ca="1" si="69"/>
        <v xml:space="preserve"> </v>
      </c>
      <c r="W82" s="4" t="str">
        <f t="shared" ca="1" si="57"/>
        <v xml:space="preserve"> </v>
      </c>
      <c r="AL82">
        <f t="shared" si="58"/>
        <v>0.61566147532565829</v>
      </c>
      <c r="AM82">
        <f t="shared" ca="1" si="47"/>
        <v>-8.3959132214553225E-3</v>
      </c>
      <c r="AN82">
        <f t="shared" ca="1" si="48"/>
        <v>1.3024161698447627</v>
      </c>
      <c r="AP82">
        <f t="shared" ca="1" si="59"/>
        <v>0.39385039190159676</v>
      </c>
      <c r="AQ82">
        <f t="shared" ca="1" si="74"/>
        <v>0.48830084955219805</v>
      </c>
      <c r="AR82">
        <f t="shared" ca="1" si="70"/>
        <v>0.5979017837289915</v>
      </c>
      <c r="AS82">
        <f t="shared" ca="1" si="51"/>
        <v>0.5979017837289915</v>
      </c>
      <c r="AT82" s="4">
        <f t="shared" ca="1" si="60"/>
        <v>63.236231374612672</v>
      </c>
      <c r="AU82">
        <f t="shared" ca="1" si="75"/>
        <v>-0.47540802248839403</v>
      </c>
      <c r="AV82">
        <f t="shared" ca="1" si="71"/>
        <v>-0.63304395478893172</v>
      </c>
      <c r="AW82">
        <f t="shared" ca="1" si="54"/>
        <v>-0.63304395478893172</v>
      </c>
      <c r="AX82" s="4" t="str">
        <f t="shared" ca="1" si="61"/>
        <v>ignore</v>
      </c>
    </row>
    <row r="83" spans="2:50" x14ac:dyDescent="0.2">
      <c r="B83">
        <v>53</v>
      </c>
      <c r="D83" s="11">
        <f t="shared" ca="1" si="62"/>
        <v>54.296999999999997</v>
      </c>
      <c r="F83" s="4">
        <f t="shared" ca="1" si="72"/>
        <v>409.59842463935399</v>
      </c>
      <c r="H83" s="4">
        <f t="shared" ca="1" si="63"/>
        <v>0.96702711209561953</v>
      </c>
      <c r="J83" s="11">
        <f t="shared" ca="1" si="64"/>
        <v>62.730246662677928</v>
      </c>
      <c r="L83" s="4">
        <f t="shared" ca="1" si="73"/>
        <v>8.77702036064602</v>
      </c>
      <c r="M83" s="4">
        <f t="shared" ca="1" si="76"/>
        <v>1411.8808463088294</v>
      </c>
      <c r="N83" s="4">
        <f t="shared" ca="1" si="77"/>
        <v>7.1550326742419248</v>
      </c>
      <c r="R83" t="str">
        <f t="shared" ca="1" si="55"/>
        <v xml:space="preserve"> </v>
      </c>
      <c r="S83" s="11" t="str">
        <f t="shared" ca="1" si="67"/>
        <v xml:space="preserve"> </v>
      </c>
      <c r="T83" s="4" t="str">
        <f t="shared" ca="1" si="56"/>
        <v>none</v>
      </c>
      <c r="U83" s="4" t="str">
        <f t="shared" ca="1" si="68"/>
        <v xml:space="preserve"> </v>
      </c>
      <c r="V83" s="11" t="str">
        <f t="shared" ca="1" si="69"/>
        <v xml:space="preserve"> </v>
      </c>
      <c r="W83" s="4" t="str">
        <f t="shared" ca="1" si="57"/>
        <v xml:space="preserve"> </v>
      </c>
      <c r="AL83">
        <f t="shared" si="58"/>
        <v>0.60181502315204838</v>
      </c>
      <c r="AM83">
        <f t="shared" ca="1" si="47"/>
        <v>-8.2070860566352943E-3</v>
      </c>
      <c r="AN83">
        <f t="shared" ca="1" si="48"/>
        <v>1.3024130347474814</v>
      </c>
      <c r="AP83">
        <f t="shared" ca="1" si="59"/>
        <v>0.39384630892120098</v>
      </c>
      <c r="AQ83">
        <f t="shared" ca="1" si="74"/>
        <v>0.48815454474758901</v>
      </c>
      <c r="AR83">
        <f t="shared" ca="1" si="70"/>
        <v>0.58357760866426223</v>
      </c>
      <c r="AS83">
        <f t="shared" ca="1" si="51"/>
        <v>0.58357760866426223</v>
      </c>
      <c r="AT83" s="4">
        <f t="shared" ca="1" si="60"/>
        <v>62.730246662677928</v>
      </c>
      <c r="AU83">
        <f t="shared" ca="1" si="75"/>
        <v>-0.47555165175177905</v>
      </c>
      <c r="AV83">
        <f t="shared" ca="1" si="71"/>
        <v>-0.61967369955025842</v>
      </c>
      <c r="AW83">
        <f t="shared" ca="1" si="54"/>
        <v>-0.61967369955025842</v>
      </c>
      <c r="AX83" s="4" t="str">
        <f t="shared" ca="1" si="61"/>
        <v>ignore</v>
      </c>
    </row>
    <row r="84" spans="2:50" x14ac:dyDescent="0.2">
      <c r="B84">
        <v>54</v>
      </c>
      <c r="D84" s="11">
        <f t="shared" ca="1" si="62"/>
        <v>55.314</v>
      </c>
      <c r="F84" s="4">
        <f t="shared" ca="1" si="72"/>
        <v>409.29275619564856</v>
      </c>
      <c r="H84" s="4">
        <f t="shared" ca="1" si="63"/>
        <v>0.96779341315041323</v>
      </c>
      <c r="J84" s="11">
        <f t="shared" ca="1" si="64"/>
        <v>62.224370418561463</v>
      </c>
      <c r="L84" s="4">
        <f t="shared" ca="1" si="73"/>
        <v>9.0826888043514487</v>
      </c>
      <c r="M84" s="4">
        <f t="shared" ca="1" si="76"/>
        <v>1436.256486704415</v>
      </c>
      <c r="N84" s="4">
        <f t="shared" ca="1" si="77"/>
        <v>7.2785618686083993</v>
      </c>
      <c r="R84" t="str">
        <f t="shared" ca="1" si="55"/>
        <v xml:space="preserve"> </v>
      </c>
      <c r="S84" s="11" t="str">
        <f t="shared" ca="1" si="67"/>
        <v xml:space="preserve"> </v>
      </c>
      <c r="T84" s="4" t="str">
        <f t="shared" ca="1" si="56"/>
        <v>none</v>
      </c>
      <c r="U84" s="4" t="str">
        <f t="shared" ca="1" si="68"/>
        <v xml:space="preserve"> </v>
      </c>
      <c r="V84" s="11" t="str">
        <f t="shared" ca="1" si="69"/>
        <v xml:space="preserve"> </v>
      </c>
      <c r="W84" s="4" t="str">
        <f t="shared" ca="1" si="57"/>
        <v xml:space="preserve"> </v>
      </c>
      <c r="AL84">
        <f t="shared" si="58"/>
        <v>0.58778525229247314</v>
      </c>
      <c r="AM84">
        <f t="shared" ca="1" si="47"/>
        <v>-8.015758933898583E-3</v>
      </c>
      <c r="AN84">
        <f t="shared" ca="1" si="48"/>
        <v>1.3024099308772268</v>
      </c>
      <c r="AP84">
        <f t="shared" ca="1" si="59"/>
        <v>0.39384226660918825</v>
      </c>
      <c r="AQ84">
        <f t="shared" ca="1" si="74"/>
        <v>0.48800633291695267</v>
      </c>
      <c r="AR84">
        <f t="shared" ca="1" si="70"/>
        <v>0.56907520681210122</v>
      </c>
      <c r="AS84">
        <f t="shared" ca="1" si="51"/>
        <v>0.56907520681210122</v>
      </c>
      <c r="AT84" s="4">
        <f t="shared" ca="1" si="60"/>
        <v>62.224370418561463</v>
      </c>
      <c r="AU84">
        <f t="shared" ca="1" si="75"/>
        <v>-0.47569721465262915</v>
      </c>
      <c r="AV84">
        <f t="shared" ca="1" si="71"/>
        <v>-0.6061157101465976</v>
      </c>
      <c r="AW84">
        <f t="shared" ca="1" si="54"/>
        <v>-0.6061157101465976</v>
      </c>
      <c r="AX84" s="4" t="str">
        <f t="shared" ca="1" si="61"/>
        <v>ignore</v>
      </c>
    </row>
    <row r="85" spans="2:50" x14ac:dyDescent="0.2">
      <c r="B85">
        <v>55</v>
      </c>
      <c r="D85" s="11">
        <f t="shared" ca="1" si="62"/>
        <v>56.331000000000003</v>
      </c>
      <c r="F85" s="4">
        <f t="shared" ca="1" si="72"/>
        <v>408.98343356213365</v>
      </c>
      <c r="H85" s="4">
        <f t="shared" ca="1" si="63"/>
        <v>0.9685701612279588</v>
      </c>
      <c r="J85" s="11">
        <f t="shared" ca="1" si="64"/>
        <v>61.718610183834762</v>
      </c>
      <c r="L85" s="4">
        <f t="shared" ca="1" si="73"/>
        <v>9.3920114378663584</v>
      </c>
      <c r="M85" s="4">
        <f t="shared" ca="1" si="76"/>
        <v>1460.5095062416628</v>
      </c>
      <c r="N85" s="4">
        <f t="shared" ca="1" si="77"/>
        <v>7.4014696534202056</v>
      </c>
      <c r="R85" t="str">
        <f t="shared" ca="1" si="55"/>
        <v xml:space="preserve"> </v>
      </c>
      <c r="S85" s="11" t="str">
        <f t="shared" ca="1" si="67"/>
        <v xml:space="preserve"> </v>
      </c>
      <c r="T85" s="4" t="str">
        <f t="shared" ca="1" si="56"/>
        <v>none</v>
      </c>
      <c r="U85" s="4" t="str">
        <f t="shared" ca="1" si="68"/>
        <v xml:space="preserve"> </v>
      </c>
      <c r="V85" s="11" t="str">
        <f t="shared" ca="1" si="69"/>
        <v xml:space="preserve"> </v>
      </c>
      <c r="W85" s="4" t="str">
        <f t="shared" ca="1" si="57"/>
        <v xml:space="preserve"> </v>
      </c>
      <c r="AL85">
        <f t="shared" si="58"/>
        <v>0.57357643635104616</v>
      </c>
      <c r="AM85">
        <f t="shared" ca="1" si="47"/>
        <v>-7.8219901333402096E-3</v>
      </c>
      <c r="AN85">
        <f t="shared" ca="1" si="48"/>
        <v>1.3024068620155864</v>
      </c>
      <c r="AP85">
        <f t="shared" ca="1" si="59"/>
        <v>0.39383826989049309</v>
      </c>
      <c r="AQ85">
        <f t="shared" ca="1" si="74"/>
        <v>0.48785626040194563</v>
      </c>
      <c r="AR85">
        <f t="shared" ca="1" si="70"/>
        <v>0.55439943237221456</v>
      </c>
      <c r="AS85">
        <f t="shared" ca="1" si="51"/>
        <v>0.55439943237221456</v>
      </c>
      <c r="AT85" s="4">
        <f t="shared" ca="1" si="60"/>
        <v>61.718610183834762</v>
      </c>
      <c r="AU85">
        <f t="shared" ca="1" si="75"/>
        <v>-0.47584466807781589</v>
      </c>
      <c r="AV85">
        <f t="shared" ca="1" si="71"/>
        <v>-0.59237369034421494</v>
      </c>
      <c r="AW85">
        <f t="shared" ca="1" si="54"/>
        <v>-0.59237369034421494</v>
      </c>
      <c r="AX85" s="4" t="str">
        <f t="shared" ca="1" si="61"/>
        <v>ignore</v>
      </c>
    </row>
    <row r="86" spans="2:50" x14ac:dyDescent="0.2">
      <c r="B86">
        <v>56</v>
      </c>
      <c r="D86" s="11">
        <f t="shared" ca="1" si="62"/>
        <v>57.347000000000001</v>
      </c>
      <c r="F86" s="4">
        <f t="shared" ca="1" si="72"/>
        <v>408.67056004498158</v>
      </c>
      <c r="H86" s="4">
        <f t="shared" ca="1" si="63"/>
        <v>0.96935714540751594</v>
      </c>
      <c r="J86" s="11">
        <f t="shared" ca="1" si="64"/>
        <v>61.212973081486751</v>
      </c>
      <c r="L86" s="4">
        <f t="shared" ca="1" si="73"/>
        <v>9.7048849550184286</v>
      </c>
      <c r="M86" s="4">
        <f t="shared" ca="1" si="76"/>
        <v>1484.6380144560396</v>
      </c>
      <c r="N86" s="4">
        <f t="shared" ca="1" si="77"/>
        <v>7.523746448311166</v>
      </c>
      <c r="R86" t="str">
        <f t="shared" ca="1" si="55"/>
        <v xml:space="preserve"> </v>
      </c>
      <c r="S86" s="11" t="str">
        <f t="shared" ca="1" si="67"/>
        <v xml:space="preserve"> </v>
      </c>
      <c r="T86" s="4" t="str">
        <f t="shared" ca="1" si="56"/>
        <v>none</v>
      </c>
      <c r="U86" s="4" t="str">
        <f t="shared" ca="1" si="68"/>
        <v xml:space="preserve"> </v>
      </c>
      <c r="V86" s="11" t="str">
        <f t="shared" ca="1" si="69"/>
        <v xml:space="preserve"> </v>
      </c>
      <c r="W86" s="4" t="str">
        <f t="shared" ca="1" si="57"/>
        <v xml:space="preserve"> </v>
      </c>
      <c r="AL86">
        <f t="shared" si="58"/>
        <v>0.55919290347074679</v>
      </c>
      <c r="AM86">
        <f t="shared" ca="1" si="47"/>
        <v>-7.6258386788138977E-3</v>
      </c>
      <c r="AN86">
        <f t="shared" ca="1" si="48"/>
        <v>1.3024038319014957</v>
      </c>
      <c r="AP86">
        <f t="shared" ca="1" si="59"/>
        <v>0.39383432363450172</v>
      </c>
      <c r="AQ86">
        <f t="shared" ca="1" si="74"/>
        <v>0.48770437409980971</v>
      </c>
      <c r="AR86">
        <f t="shared" ca="1" si="70"/>
        <v>0.53955518669330282</v>
      </c>
      <c r="AS86">
        <f t="shared" ca="1" si="51"/>
        <v>0.53955518669330282</v>
      </c>
      <c r="AT86" s="4">
        <f t="shared" ca="1" si="60"/>
        <v>61.212973081486751</v>
      </c>
      <c r="AU86">
        <f t="shared" ca="1" si="75"/>
        <v>-0.47599396832239377</v>
      </c>
      <c r="AV86">
        <f t="shared" ca="1" si="71"/>
        <v>-0.57845140406221063</v>
      </c>
      <c r="AW86">
        <f t="shared" ca="1" si="54"/>
        <v>-0.57845140406221063</v>
      </c>
      <c r="AX86" s="4" t="str">
        <f t="shared" ca="1" si="61"/>
        <v>ignore</v>
      </c>
    </row>
    <row r="87" spans="2:50" x14ac:dyDescent="0.2">
      <c r="B87">
        <v>57</v>
      </c>
      <c r="D87" s="11">
        <f t="shared" ca="1" si="62"/>
        <v>58.362000000000002</v>
      </c>
      <c r="F87" s="4">
        <f t="shared" ca="1" si="72"/>
        <v>408.35423990145932</v>
      </c>
      <c r="H87" s="4">
        <f t="shared" ca="1" si="63"/>
        <v>0.97015415137728411</v>
      </c>
      <c r="J87" s="11">
        <f t="shared" ca="1" si="64"/>
        <v>60.707465846385745</v>
      </c>
      <c r="L87" s="4">
        <f t="shared" ca="1" si="73"/>
        <v>10.02120509854069</v>
      </c>
      <c r="M87" s="4">
        <f t="shared" ca="1" si="76"/>
        <v>1508.6401396524404</v>
      </c>
      <c r="N87" s="4">
        <f t="shared" ca="1" si="77"/>
        <v>7.6453827680335236</v>
      </c>
      <c r="R87" t="str">
        <f t="shared" ca="1" si="55"/>
        <v xml:space="preserve"> </v>
      </c>
      <c r="S87" s="11" t="str">
        <f t="shared" ca="1" si="67"/>
        <v xml:space="preserve"> </v>
      </c>
      <c r="T87" s="4" t="str">
        <f t="shared" ca="1" si="56"/>
        <v>none</v>
      </c>
      <c r="U87" s="4" t="str">
        <f t="shared" ca="1" si="68"/>
        <v xml:space="preserve"> </v>
      </c>
      <c r="V87" s="11" t="str">
        <f t="shared" ca="1" si="69"/>
        <v xml:space="preserve"> </v>
      </c>
      <c r="W87" s="4" t="str">
        <f t="shared" ca="1" si="57"/>
        <v xml:space="preserve"> </v>
      </c>
      <c r="AL87">
        <f t="shared" si="58"/>
        <v>0.54463903501502708</v>
      </c>
      <c r="AM87">
        <f t="shared" ca="1" si="47"/>
        <v>-7.4273643199528634E-3</v>
      </c>
      <c r="AN87">
        <f t="shared" ca="1" si="48"/>
        <v>1.3024008442266817</v>
      </c>
      <c r="AP87">
        <f t="shared" ca="1" si="59"/>
        <v>0.39383043264911899</v>
      </c>
      <c r="AQ87">
        <f t="shared" ca="1" si="74"/>
        <v>0.48755072144766037</v>
      </c>
      <c r="AR87">
        <f t="shared" ca="1" si="70"/>
        <v>0.52454741624867696</v>
      </c>
      <c r="AS87">
        <f t="shared" ca="1" si="51"/>
        <v>0.52454741624867696</v>
      </c>
      <c r="AT87" s="4">
        <f t="shared" ca="1" si="60"/>
        <v>60.707465846385745</v>
      </c>
      <c r="AU87">
        <f t="shared" ca="1" si="75"/>
        <v>-0.47614507110141396</v>
      </c>
      <c r="AV87">
        <f t="shared" ca="1" si="71"/>
        <v>-0.56435267473291362</v>
      </c>
      <c r="AW87">
        <f t="shared" ca="1" si="54"/>
        <v>-0.56435267473291362</v>
      </c>
      <c r="AX87" s="4" t="str">
        <f t="shared" ca="1" si="61"/>
        <v>ignore</v>
      </c>
    </row>
    <row r="88" spans="2:50" x14ac:dyDescent="0.2">
      <c r="B88">
        <v>58</v>
      </c>
      <c r="D88" s="11">
        <f t="shared" ca="1" si="62"/>
        <v>59.377000000000002</v>
      </c>
      <c r="F88" s="4">
        <f t="shared" ca="1" si="72"/>
        <v>408.03457829715938</v>
      </c>
      <c r="H88" s="4">
        <f t="shared" ca="1" si="63"/>
        <v>0.97096096146915301</v>
      </c>
      <c r="J88" s="11">
        <f t="shared" ca="1" si="64"/>
        <v>60.202094852544455</v>
      </c>
      <c r="L88" s="4">
        <f t="shared" ca="1" si="73"/>
        <v>10.340866702840628</v>
      </c>
      <c r="M88" s="4">
        <f t="shared" ca="1" si="76"/>
        <v>1532.5140290574966</v>
      </c>
      <c r="N88" s="4">
        <f t="shared" ca="1" si="77"/>
        <v>7.766369223229793</v>
      </c>
      <c r="R88" t="str">
        <f t="shared" ca="1" si="55"/>
        <v xml:space="preserve"> </v>
      </c>
      <c r="S88" s="11" t="str">
        <f t="shared" ca="1" si="67"/>
        <v xml:space="preserve"> </v>
      </c>
      <c r="T88" s="4" t="str">
        <f t="shared" ca="1" si="56"/>
        <v>none</v>
      </c>
      <c r="U88" s="4" t="str">
        <f t="shared" ca="1" si="68"/>
        <v xml:space="preserve"> </v>
      </c>
      <c r="V88" s="11" t="str">
        <f t="shared" ca="1" si="69"/>
        <v xml:space="preserve"> </v>
      </c>
      <c r="W88" s="4" t="str">
        <f t="shared" ca="1" si="57"/>
        <v xml:space="preserve"> </v>
      </c>
      <c r="AL88">
        <f t="shared" si="58"/>
        <v>0.5299192642332049</v>
      </c>
      <c r="AM88">
        <f t="shared" ca="1" si="47"/>
        <v>-7.2266275139694757E-3</v>
      </c>
      <c r="AN88">
        <f t="shared" ca="1" si="48"/>
        <v>1.3023979026311661</v>
      </c>
      <c r="AP88">
        <f t="shared" ca="1" si="59"/>
        <v>0.39382660167491129</v>
      </c>
      <c r="AQ88">
        <f t="shared" ca="1" si="74"/>
        <v>0.48739535040662613</v>
      </c>
      <c r="AR88">
        <f t="shared" ca="1" si="70"/>
        <v>0.50938111060692903</v>
      </c>
      <c r="AS88">
        <f t="shared" ca="1" si="51"/>
        <v>0.50938111060692903</v>
      </c>
      <c r="AT88" s="4">
        <f t="shared" ca="1" si="60"/>
        <v>60.202094852544455</v>
      </c>
      <c r="AU88">
        <f t="shared" ca="1" si="75"/>
        <v>-0.47629793156193984</v>
      </c>
      <c r="AV88">
        <f t="shared" ca="1" si="71"/>
        <v>-0.55008138463970924</v>
      </c>
      <c r="AW88">
        <f t="shared" ca="1" si="54"/>
        <v>-0.55008138463970924</v>
      </c>
      <c r="AX88" s="4" t="str">
        <f t="shared" ca="1" si="61"/>
        <v>ignore</v>
      </c>
    </row>
    <row r="89" spans="2:50" x14ac:dyDescent="0.2">
      <c r="B89">
        <v>59</v>
      </c>
      <c r="D89" s="11">
        <f t="shared" ca="1" si="62"/>
        <v>60.392000000000003</v>
      </c>
      <c r="F89" s="4">
        <f t="shared" ca="1" si="72"/>
        <v>407.71168126314575</v>
      </c>
      <c r="H89" s="4">
        <f t="shared" ca="1" si="63"/>
        <v>0.97177735469476956</v>
      </c>
      <c r="J89" s="11">
        <f t="shared" ca="1" si="64"/>
        <v>59.696866137521845</v>
      </c>
      <c r="L89" s="4">
        <f t="shared" ca="1" si="73"/>
        <v>10.663763736854264</v>
      </c>
      <c r="M89" s="4">
        <f t="shared" ca="1" si="76"/>
        <v>1556.2578489732248</v>
      </c>
      <c r="N89" s="4">
        <f t="shared" ca="1" si="77"/>
        <v>7.8866965212114186</v>
      </c>
      <c r="R89" t="str">
        <f t="shared" ca="1" si="55"/>
        <v xml:space="preserve"> </v>
      </c>
      <c r="S89" s="11" t="str">
        <f t="shared" ca="1" si="67"/>
        <v xml:space="preserve"> </v>
      </c>
      <c r="T89" s="4" t="str">
        <f t="shared" ca="1" si="56"/>
        <v>none</v>
      </c>
      <c r="U89" s="4" t="str">
        <f t="shared" ca="1" si="68"/>
        <v xml:space="preserve"> </v>
      </c>
      <c r="V89" s="11" t="str">
        <f t="shared" ca="1" si="69"/>
        <v xml:space="preserve"> </v>
      </c>
      <c r="W89" s="4" t="str">
        <f t="shared" ca="1" si="57"/>
        <v xml:space="preserve"> </v>
      </c>
      <c r="AL89">
        <f t="shared" si="58"/>
        <v>0.51503807491005416</v>
      </c>
      <c r="AM89">
        <f t="shared" ca="1" si="47"/>
        <v>-7.0236894072394215E-3</v>
      </c>
      <c r="AN89">
        <f t="shared" ca="1" si="48"/>
        <v>1.3023950106988298</v>
      </c>
      <c r="AP89">
        <f t="shared" ca="1" si="59"/>
        <v>0.39382283537933072</v>
      </c>
      <c r="AQ89">
        <f t="shared" ca="1" si="74"/>
        <v>0.48723830944583724</v>
      </c>
      <c r="AR89">
        <f t="shared" ca="1" si="70"/>
        <v>0.49406130039892043</v>
      </c>
      <c r="AS89">
        <f t="shared" ca="1" si="51"/>
        <v>0.49406130039892043</v>
      </c>
      <c r="AT89" s="4">
        <f t="shared" ca="1" si="60"/>
        <v>59.696866137521845</v>
      </c>
      <c r="AU89">
        <f t="shared" ca="1" si="75"/>
        <v>-0.47645250429526209</v>
      </c>
      <c r="AV89">
        <f t="shared" ca="1" si="71"/>
        <v>-0.53564147423190844</v>
      </c>
      <c r="AW89">
        <f t="shared" ca="1" si="54"/>
        <v>-0.53564147423190844</v>
      </c>
      <c r="AX89" s="4" t="str">
        <f t="shared" ca="1" si="61"/>
        <v>ignore</v>
      </c>
    </row>
    <row r="90" spans="2:50" x14ac:dyDescent="0.2">
      <c r="B90">
        <v>60</v>
      </c>
      <c r="D90" s="11">
        <f t="shared" ca="1" si="62"/>
        <v>61.405999999999999</v>
      </c>
      <c r="F90" s="4">
        <f t="shared" ca="1" si="72"/>
        <v>407.38565565305515</v>
      </c>
      <c r="H90" s="4">
        <f t="shared" ca="1" si="63"/>
        <v>0.97260310678293038</v>
      </c>
      <c r="J90" s="11">
        <f t="shared" ca="1" si="64"/>
        <v>59.191785424369293</v>
      </c>
      <c r="L90" s="4">
        <f t="shared" ca="1" si="73"/>
        <v>10.98978934694486</v>
      </c>
      <c r="M90" s="4">
        <f t="shared" ca="1" si="76"/>
        <v>1579.8697849142034</v>
      </c>
      <c r="N90" s="4">
        <f t="shared" ca="1" si="77"/>
        <v>8.0063554666539396</v>
      </c>
      <c r="R90" t="str">
        <f t="shared" ca="1" si="55"/>
        <v xml:space="preserve"> </v>
      </c>
      <c r="S90" s="11" t="str">
        <f t="shared" ca="1" si="67"/>
        <v xml:space="preserve"> </v>
      </c>
      <c r="T90" s="4" t="str">
        <f t="shared" ca="1" si="56"/>
        <v>none</v>
      </c>
      <c r="U90" s="4" t="str">
        <f t="shared" ca="1" si="68"/>
        <v xml:space="preserve"> </v>
      </c>
      <c r="V90" s="11" t="str">
        <f t="shared" ca="1" si="69"/>
        <v xml:space="preserve"> </v>
      </c>
      <c r="W90" s="4" t="str">
        <f t="shared" ca="1" si="57"/>
        <v xml:space="preserve"> </v>
      </c>
      <c r="AL90">
        <f t="shared" si="58"/>
        <v>0.50000000000000011</v>
      </c>
      <c r="AM90">
        <f t="shared" ca="1" si="47"/>
        <v>-6.8186118166759175E-3</v>
      </c>
      <c r="AN90">
        <f t="shared" ca="1" si="48"/>
        <v>1.3023921719530469</v>
      </c>
      <c r="AP90">
        <f t="shared" ca="1" si="59"/>
        <v>0.39381913835102805</v>
      </c>
      <c r="AQ90">
        <f t="shared" ca="1" si="74"/>
        <v>0.48707964752627742</v>
      </c>
      <c r="AR90">
        <f t="shared" ca="1" si="70"/>
        <v>0.47859305528234458</v>
      </c>
      <c r="AS90">
        <f t="shared" ca="1" si="51"/>
        <v>0.47859305528234458</v>
      </c>
      <c r="AT90" s="4">
        <f t="shared" ca="1" si="60"/>
        <v>59.191785424369293</v>
      </c>
      <c r="AU90">
        <f t="shared" ca="1" si="75"/>
        <v>-0.47660874334931086</v>
      </c>
      <c r="AV90">
        <f t="shared" ca="1" si="71"/>
        <v>-0.52103694141627643</v>
      </c>
      <c r="AW90">
        <f t="shared" ca="1" si="54"/>
        <v>-0.52103694141627643</v>
      </c>
      <c r="AX90" s="4" t="str">
        <f t="shared" ca="1" si="61"/>
        <v>ignore</v>
      </c>
    </row>
    <row r="91" spans="2:50" x14ac:dyDescent="0.2">
      <c r="B91">
        <v>61</v>
      </c>
      <c r="D91" s="11">
        <f t="shared" ca="1" si="62"/>
        <v>62.42</v>
      </c>
      <c r="F91" s="4">
        <f t="shared" ca="1" si="72"/>
        <v>407.05660910017065</v>
      </c>
      <c r="H91" s="4">
        <f t="shared" ca="1" si="63"/>
        <v>0.97343799021833832</v>
      </c>
      <c r="J91" s="11">
        <f t="shared" ca="1" si="64"/>
        <v>58.686858141359799</v>
      </c>
      <c r="L91" s="4">
        <f t="shared" ca="1" si="73"/>
        <v>11.318835899829367</v>
      </c>
      <c r="M91" s="4">
        <f t="shared" ca="1" si="76"/>
        <v>1603.348041741099</v>
      </c>
      <c r="N91" s="4">
        <f t="shared" ca="1" si="77"/>
        <v>8.1253369622736749</v>
      </c>
      <c r="R91" t="str">
        <f t="shared" ca="1" si="55"/>
        <v xml:space="preserve"> </v>
      </c>
      <c r="S91" s="11" t="str">
        <f t="shared" ca="1" si="67"/>
        <v xml:space="preserve"> </v>
      </c>
      <c r="T91" s="4" t="str">
        <f t="shared" ca="1" si="56"/>
        <v>none</v>
      </c>
      <c r="U91" s="4" t="str">
        <f t="shared" ca="1" si="68"/>
        <v xml:space="preserve"> </v>
      </c>
      <c r="V91" s="11" t="str">
        <f t="shared" ca="1" si="69"/>
        <v xml:space="preserve"> </v>
      </c>
      <c r="W91" s="4" t="str">
        <f t="shared" ca="1" si="57"/>
        <v xml:space="preserve"> </v>
      </c>
      <c r="AL91">
        <f t="shared" si="58"/>
        <v>0.48480962024633711</v>
      </c>
      <c r="AM91">
        <f t="shared" ca="1" si="47"/>
        <v>-6.6114572108996747E-3</v>
      </c>
      <c r="AN91">
        <f t="shared" ca="1" si="48"/>
        <v>1.3023893898523919</v>
      </c>
      <c r="AP91">
        <f t="shared" ca="1" si="59"/>
        <v>0.39381551509426294</v>
      </c>
      <c r="AQ91">
        <f t="shared" ca="1" si="74"/>
        <v>0.48691941408450107</v>
      </c>
      <c r="AR91">
        <f t="shared" ca="1" si="70"/>
        <v>0.46298148190510247</v>
      </c>
      <c r="AS91">
        <f t="shared" ca="1" si="51"/>
        <v>0.46298148190510247</v>
      </c>
      <c r="AT91" s="4">
        <f t="shared" ca="1" si="60"/>
        <v>58.686858141359799</v>
      </c>
      <c r="AU91">
        <f t="shared" ca="1" si="75"/>
        <v>-0.47676660224126416</v>
      </c>
      <c r="AV91">
        <f t="shared" ca="1" si="71"/>
        <v>-0.50627184082484855</v>
      </c>
      <c r="AW91">
        <f t="shared" ca="1" si="54"/>
        <v>-0.50627184082484855</v>
      </c>
      <c r="AX91" s="4" t="str">
        <f t="shared" ca="1" si="61"/>
        <v>ignore</v>
      </c>
    </row>
    <row r="92" spans="2:50" x14ac:dyDescent="0.2">
      <c r="B92">
        <v>62</v>
      </c>
      <c r="D92" s="11">
        <f t="shared" ca="1" si="62"/>
        <v>63.433999999999997</v>
      </c>
      <c r="F92" s="4">
        <f t="shared" ca="1" si="72"/>
        <v>406.72464997449447</v>
      </c>
      <c r="H92" s="4">
        <f t="shared" ca="1" si="63"/>
        <v>0.97428177428173635</v>
      </c>
      <c r="J92" s="11">
        <f t="shared" ca="1" si="64"/>
        <v>58.182089439760091</v>
      </c>
      <c r="L92" s="4">
        <f t="shared" ca="1" si="73"/>
        <v>11.650795025505545</v>
      </c>
      <c r="M92" s="4">
        <f t="shared" ca="1" si="76"/>
        <v>1626.6908437866218</v>
      </c>
      <c r="N92" s="4">
        <f t="shared" ca="1" si="77"/>
        <v>8.2436320094660243</v>
      </c>
      <c r="R92" t="str">
        <f t="shared" ca="1" si="55"/>
        <v xml:space="preserve"> </v>
      </c>
      <c r="S92" s="11" t="str">
        <f t="shared" ca="1" si="67"/>
        <v xml:space="preserve"> </v>
      </c>
      <c r="T92" s="4" t="str">
        <f t="shared" ca="1" si="56"/>
        <v>none</v>
      </c>
      <c r="U92" s="4" t="str">
        <f t="shared" ca="1" si="68"/>
        <v xml:space="preserve"> </v>
      </c>
      <c r="V92" s="11" t="str">
        <f t="shared" ca="1" si="69"/>
        <v xml:space="preserve"> </v>
      </c>
      <c r="W92" s="4" t="str">
        <f t="shared" ca="1" si="57"/>
        <v xml:space="preserve"> </v>
      </c>
      <c r="AL92">
        <f t="shared" si="58"/>
        <v>0.46947156278589086</v>
      </c>
      <c r="AM92">
        <f t="shared" ca="1" si="47"/>
        <v>-6.4022886912103692E-3</v>
      </c>
      <c r="AN92">
        <f t="shared" ca="1" si="48"/>
        <v>1.302386667786426</v>
      </c>
      <c r="AP92">
        <f t="shared" ca="1" si="59"/>
        <v>0.39381197002341567</v>
      </c>
      <c r="AQ92">
        <f t="shared" ca="1" si="74"/>
        <v>0.48675765901622342</v>
      </c>
      <c r="AR92">
        <f t="shared" ca="1" si="70"/>
        <v>0.44723172186871168</v>
      </c>
      <c r="AS92">
        <f t="shared" ca="1" si="51"/>
        <v>0.44723172186871168</v>
      </c>
      <c r="AT92" s="4">
        <f t="shared" ca="1" si="60"/>
        <v>58.182089439760091</v>
      </c>
      <c r="AU92">
        <f t="shared" ca="1" si="75"/>
        <v>-0.47692603397034988</v>
      </c>
      <c r="AV92">
        <f t="shared" ca="1" si="71"/>
        <v>-0.49135028305867351</v>
      </c>
      <c r="AW92">
        <f t="shared" ca="1" si="54"/>
        <v>-0.49135028305867351</v>
      </c>
      <c r="AX92" s="4" t="str">
        <f t="shared" ca="1" si="61"/>
        <v>ignore</v>
      </c>
    </row>
    <row r="93" spans="2:50" x14ac:dyDescent="0.2">
      <c r="B93">
        <v>63</v>
      </c>
      <c r="D93" s="11">
        <f t="shared" ca="1" si="62"/>
        <v>64.447000000000003</v>
      </c>
      <c r="F93" s="4">
        <f t="shared" ca="1" si="72"/>
        <v>406.38988733985178</v>
      </c>
      <c r="H93" s="4">
        <f t="shared" ca="1" si="63"/>
        <v>0.97513422509144665</v>
      </c>
      <c r="J93" s="11">
        <f t="shared" ca="1" si="64"/>
        <v>57.677484209892015</v>
      </c>
      <c r="L93" s="4">
        <f t="shared" ca="1" si="73"/>
        <v>11.985557660148231</v>
      </c>
      <c r="M93" s="4">
        <f t="shared" ca="1" si="76"/>
        <v>1649.8964349721482</v>
      </c>
      <c r="N93" s="4">
        <f t="shared" ca="1" si="77"/>
        <v>8.3612317088964829</v>
      </c>
      <c r="R93" t="str">
        <f t="shared" ca="1" si="55"/>
        <v xml:space="preserve"> </v>
      </c>
      <c r="S93" s="11" t="str">
        <f t="shared" ca="1" si="67"/>
        <v xml:space="preserve"> </v>
      </c>
      <c r="T93" s="4" t="str">
        <f t="shared" ca="1" si="56"/>
        <v>none</v>
      </c>
      <c r="U93" s="4" t="str">
        <f t="shared" ca="1" si="68"/>
        <v xml:space="preserve"> </v>
      </c>
      <c r="V93" s="11" t="str">
        <f t="shared" ca="1" si="69"/>
        <v xml:space="preserve"> </v>
      </c>
      <c r="W93" s="4" t="str">
        <f t="shared" ca="1" si="57"/>
        <v xml:space="preserve"> </v>
      </c>
      <c r="AL93">
        <f t="shared" si="58"/>
        <v>0.4539904997395468</v>
      </c>
      <c r="AM93">
        <f t="shared" ca="1" si="47"/>
        <v>-6.1911699723653565E-3</v>
      </c>
      <c r="AN93">
        <f t="shared" ca="1" si="48"/>
        <v>1.302384009071567</v>
      </c>
      <c r="AP93">
        <f t="shared" ca="1" si="59"/>
        <v>0.39380850745760887</v>
      </c>
      <c r="AQ93">
        <f t="shared" ca="1" si="74"/>
        <v>0.4865944326597918</v>
      </c>
      <c r="AR93">
        <f t="shared" ca="1" si="70"/>
        <v>0.4313489496929549</v>
      </c>
      <c r="AS93">
        <f t="shared" ca="1" si="51"/>
        <v>0.4313489496929549</v>
      </c>
      <c r="AT93" s="4">
        <f t="shared" ca="1" si="60"/>
        <v>57.677484209892015</v>
      </c>
      <c r="AU93">
        <f t="shared" ca="1" si="75"/>
        <v>-0.47708699103083801</v>
      </c>
      <c r="AV93">
        <f t="shared" ca="1" si="71"/>
        <v>-0.47627643390713298</v>
      </c>
      <c r="AW93">
        <f t="shared" ca="1" si="54"/>
        <v>-0.47627643390713298</v>
      </c>
      <c r="AX93" s="4" t="str">
        <f t="shared" ca="1" si="61"/>
        <v>ignore</v>
      </c>
    </row>
    <row r="94" spans="2:50" x14ac:dyDescent="0.2">
      <c r="B94">
        <v>64</v>
      </c>
      <c r="D94" s="11">
        <f t="shared" ref="D94:D125" ca="1" si="78">IF(ISNUMBER(F94),IF(ABS(AS94-1)&lt;0.000001,0,IF(ABS(AS94+1)&lt;0.000001,180,ROUND(DEGREES(ACOS(AS94)),3)))," ")</f>
        <v>65.459000000000003</v>
      </c>
      <c r="F94" s="4">
        <f t="shared" ca="1" si="72"/>
        <v>406.05243091103944</v>
      </c>
      <c r="H94" s="4">
        <f t="shared" ref="H94:H125" ca="1" si="79">IF(ISNUMBER(F94),$AK$15*(1+AM94/AQ94)/(1+$AG$15*$AK$15*AS94)/AQ94," ")</f>
        <v>0.97599510564633507</v>
      </c>
      <c r="J94" s="11">
        <f t="shared" ref="J94:J125" ca="1" si="80">IF(ISNUMBER(F94),IF( AND( ( (F94*(F94+2*$Y$8)*AL94*AL94) &gt; ($E$5*($E$5+2*$Y$5)) ), ( B94&lt;90 ) ), 180-AT94, AT94)," ")</f>
        <v>57.17304709562746</v>
      </c>
      <c r="L94" s="4">
        <f t="shared" ca="1" si="73"/>
        <v>12.323014088960576</v>
      </c>
      <c r="M94" s="4">
        <f t="shared" ca="1" si="76"/>
        <v>1672.9630789128639</v>
      </c>
      <c r="N94" s="4">
        <f t="shared" ca="1" si="77"/>
        <v>8.4781272610334835</v>
      </c>
      <c r="R94" t="str">
        <f t="shared" ca="1" si="55"/>
        <v xml:space="preserve"> </v>
      </c>
      <c r="S94" s="11" t="str">
        <f t="shared" ref="S94:S125" ca="1" si="81">IF(ISNUMBER(T94), IF( ABS(AW94-1)&lt;0.000001,0, IF(ABS(AW94+1)&lt;0.000001,180,ROUND(DEGREES(ACOS(AW94)),3)))," ")</f>
        <v xml:space="preserve"> </v>
      </c>
      <c r="T94" s="4" t="str">
        <f t="shared" ca="1" si="56"/>
        <v>none</v>
      </c>
      <c r="U94" s="4" t="str">
        <f t="shared" ref="U94:U125" ca="1" si="82">IF(ISNUMBER(T94),ABS($AK$15*(1+AM94/AU94)/(1+$AG$15*$AK$15*AW94)/AU94)," ")</f>
        <v xml:space="preserve"> </v>
      </c>
      <c r="V94" s="11" t="str">
        <f t="shared" ref="V94:V125" ca="1" si="83">IF(ISNUMBER(T94),IF( AND( ( (T94*(T94+2*$Y$8)*AL94*AL94) &gt; ($E$5*($E$5+2*$Y$5)) ), ( B94&lt;90 ) ), 180-AX94, AX94)," ")</f>
        <v xml:space="preserve"> </v>
      </c>
      <c r="W94" s="4" t="str">
        <f t="shared" ca="1" si="57"/>
        <v xml:space="preserve"> </v>
      </c>
      <c r="AL94">
        <f t="shared" si="58"/>
        <v>0.43837114678907746</v>
      </c>
      <c r="AM94">
        <f t="shared" ref="AM94:AM157" ca="1" si="84">-$AG$15*AL94</f>
        <v>-5.9781653631715516E-3</v>
      </c>
      <c r="AN94">
        <f t="shared" ref="AN94:AN157" ca="1" si="85">$AL$15+AM94*AM94</f>
        <v>1.3023814169470498</v>
      </c>
      <c r="AP94">
        <f t="shared" ca="1" si="59"/>
        <v>0.39380513161544567</v>
      </c>
      <c r="AQ94">
        <f t="shared" ca="1" si="74"/>
        <v>0.48642978577954243</v>
      </c>
      <c r="AR94">
        <f t="shared" ref="AR94:AR125" ca="1" si="86">(AQ94*AL94-$AG$15)/((1-$AG$15*AQ94*AL94)*$AK$15)</f>
        <v>0.41533837078295566</v>
      </c>
      <c r="AS94">
        <f t="shared" ref="AS94:AS157" ca="1" si="87">IF(ABS(AR94)&lt;=1,AR94,IF(ABS(AR94)&lt;=1.00001,1*SIGN(AR94),0))</f>
        <v>0.41533837078295566</v>
      </c>
      <c r="AT94" s="4">
        <f t="shared" ca="1" si="60"/>
        <v>57.17304709562746</v>
      </c>
      <c r="AU94">
        <f t="shared" ca="1" si="75"/>
        <v>-0.47724942542522303</v>
      </c>
      <c r="AV94">
        <f t="shared" ref="AV94:AV125" ca="1" si="88">(AU94*AL94-$AG$15)/((1-$AG$15*AU94*AL94)*$AK$15)</f>
        <v>-0.46105451354250698</v>
      </c>
      <c r="AW94">
        <f t="shared" ref="AW94:AW157" ca="1" si="89">IF(ABS(AV94)&lt;=1,AV94,IF(ABS(AV94)&lt;=1.00001,1*SIGN(AV94),0))</f>
        <v>-0.46105451354250698</v>
      </c>
      <c r="AX94" s="4" t="str">
        <f t="shared" ca="1" si="61"/>
        <v>ignore</v>
      </c>
    </row>
    <row r="95" spans="2:50" x14ac:dyDescent="0.2">
      <c r="B95">
        <v>65</v>
      </c>
      <c r="D95" s="11">
        <f t="shared" ca="1" si="78"/>
        <v>66.471000000000004</v>
      </c>
      <c r="F95" s="4">
        <f t="shared" ca="1" si="72"/>
        <v>405.71239101105607</v>
      </c>
      <c r="H95" s="4">
        <f t="shared" ca="1" si="79"/>
        <v>0.97686417587022434</v>
      </c>
      <c r="J95" s="11">
        <f t="shared" ca="1" si="80"/>
        <v>56.66878250753556</v>
      </c>
      <c r="L95" s="4">
        <f t="shared" ca="1" si="73"/>
        <v>12.663053988943943</v>
      </c>
      <c r="M95" s="4">
        <f t="shared" ca="1" si="76"/>
        <v>1695.8890590235399</v>
      </c>
      <c r="N95" s="4">
        <f t="shared" ca="1" si="77"/>
        <v>8.5943099666844294</v>
      </c>
      <c r="R95" t="str">
        <f t="shared" ref="R95:R158" ca="1" si="90">IF(ISNUMBER(T95),B95," ")</f>
        <v xml:space="preserve"> </v>
      </c>
      <c r="S95" s="11" t="str">
        <f t="shared" ca="1" si="81"/>
        <v xml:space="preserve"> </v>
      </c>
      <c r="T95" s="4" t="str">
        <f t="shared" ref="T95:T158" ca="1" si="91">IF(AU95&gt;0.0000001,$Y$8*((1/SQRT(1-AU95*AU95))-1),"none")</f>
        <v>none</v>
      </c>
      <c r="U95" s="4" t="str">
        <f t="shared" ca="1" si="82"/>
        <v xml:space="preserve"> </v>
      </c>
      <c r="V95" s="11" t="str">
        <f t="shared" ca="1" si="83"/>
        <v xml:space="preserve"> </v>
      </c>
      <c r="W95" s="4" t="str">
        <f t="shared" ref="W95:W158" ca="1" si="92">IF(ISNUMBER(T95),$E$5+$S$10-T95," ")</f>
        <v xml:space="preserve"> </v>
      </c>
      <c r="AL95">
        <f t="shared" ref="AL95:AL158" si="93">COS(RADIANS(B95))</f>
        <v>0.42261826174069944</v>
      </c>
      <c r="AM95">
        <f t="shared" ca="1" si="84"/>
        <v>-5.7633397468963366E-3</v>
      </c>
      <c r="AN95">
        <f t="shared" ca="1" si="85"/>
        <v>1.3023788945709787</v>
      </c>
      <c r="AP95">
        <f t="shared" ref="AP95:AP158" ca="1" si="94">AM95*AM95-AN95*$AP$15</f>
        <v>0.39380184660986972</v>
      </c>
      <c r="AQ95">
        <f t="shared" ca="1" si="74"/>
        <v>0.48626376954905165</v>
      </c>
      <c r="AR95">
        <f t="shared" ca="1" si="86"/>
        <v>0.39920521939984477</v>
      </c>
      <c r="AS95">
        <f t="shared" ca="1" si="87"/>
        <v>0.39920521939984477</v>
      </c>
      <c r="AT95" s="4">
        <f t="shared" ref="AT95:AT158" ca="1" si="95">DEGREES(ASIN( SQRT( (F95*(F95+2*$Y$8)) / (L95*(L95+2*$Y$10)) ) * SIN(RADIANS(B95))  ))</f>
        <v>56.66878250753556</v>
      </c>
      <c r="AU95">
        <f t="shared" ca="1" si="75"/>
        <v>-0.47741328867759236</v>
      </c>
      <c r="AV95">
        <f t="shared" ca="1" si="88"/>
        <v>-0.44568879568945924</v>
      </c>
      <c r="AW95">
        <f t="shared" ca="1" si="89"/>
        <v>-0.44568879568945924</v>
      </c>
      <c r="AX95" s="4" t="str">
        <f t="shared" ref="AX95:AX158" ca="1" si="96">IF(ISNUMBER(T95),DEGREES(ASIN( SQRT( (T95*(T95+2*$Y$8)) / (W95*(W95+2*$Y$10)) ) * SIN(RADIANS(B95)) ) ),"ignore")</f>
        <v>ignore</v>
      </c>
    </row>
    <row r="96" spans="2:50" x14ac:dyDescent="0.2">
      <c r="B96">
        <v>66</v>
      </c>
      <c r="D96" s="11">
        <f t="shared" ca="1" si="78"/>
        <v>67.483000000000004</v>
      </c>
      <c r="F96" s="4">
        <f t="shared" ca="1" si="72"/>
        <v>405.3698785284268</v>
      </c>
      <c r="H96" s="4">
        <f t="shared" ca="1" si="79"/>
        <v>0.97774119265777737</v>
      </c>
      <c r="J96" s="11">
        <f t="shared" ca="1" si="80"/>
        <v>56.164694634785619</v>
      </c>
      <c r="L96" s="4">
        <f t="shared" ca="1" si="73"/>
        <v>13.005566471573218</v>
      </c>
      <c r="M96" s="4">
        <f t="shared" ca="1" si="76"/>
        <v>1718.6726786074512</v>
      </c>
      <c r="N96" s="4">
        <f t="shared" ca="1" si="77"/>
        <v>8.7097712274463213</v>
      </c>
      <c r="R96" t="str">
        <f t="shared" ca="1" si="90"/>
        <v xml:space="preserve"> </v>
      </c>
      <c r="S96" s="11" t="str">
        <f t="shared" ca="1" si="81"/>
        <v xml:space="preserve"> </v>
      </c>
      <c r="T96" s="4" t="str">
        <f t="shared" ca="1" si="91"/>
        <v>none</v>
      </c>
      <c r="U96" s="4" t="str">
        <f t="shared" ca="1" si="82"/>
        <v xml:space="preserve"> </v>
      </c>
      <c r="V96" s="11" t="str">
        <f t="shared" ca="1" si="83"/>
        <v xml:space="preserve"> </v>
      </c>
      <c r="W96" s="4" t="str">
        <f t="shared" ca="1" si="92"/>
        <v xml:space="preserve"> </v>
      </c>
      <c r="AL96">
        <f t="shared" si="93"/>
        <v>0.40673664307580021</v>
      </c>
      <c r="AM96">
        <f t="shared" ca="1" si="84"/>
        <v>-5.546758561503491E-3</v>
      </c>
      <c r="AN96">
        <f t="shared" ca="1" si="85"/>
        <v>1.3023764450164801</v>
      </c>
      <c r="AP96">
        <f t="shared" ca="1" si="94"/>
        <v>0.39379865644315437</v>
      </c>
      <c r="AQ96">
        <f t="shared" ca="1" si="74"/>
        <v>0.48609643553428589</v>
      </c>
      <c r="AR96">
        <f t="shared" ca="1" si="86"/>
        <v>0.38295475663616813</v>
      </c>
      <c r="AS96">
        <f t="shared" ca="1" si="87"/>
        <v>0.38295475663616813</v>
      </c>
      <c r="AT96" s="4">
        <f t="shared" ca="1" si="95"/>
        <v>56.164694634785619</v>
      </c>
      <c r="AU96">
        <f t="shared" ca="1" si="75"/>
        <v>-0.47757853184717908</v>
      </c>
      <c r="AV96">
        <f t="shared" ca="1" si="88"/>
        <v>-0.43018360676913997</v>
      </c>
      <c r="AW96">
        <f t="shared" ca="1" si="89"/>
        <v>-0.43018360676913997</v>
      </c>
      <c r="AX96" s="4" t="str">
        <f t="shared" ca="1" si="96"/>
        <v>ignore</v>
      </c>
    </row>
    <row r="97" spans="2:50" x14ac:dyDescent="0.2">
      <c r="B97">
        <v>67</v>
      </c>
      <c r="D97" s="11">
        <f t="shared" ca="1" si="78"/>
        <v>68.494</v>
      </c>
      <c r="F97" s="4">
        <f t="shared" ca="1" si="72"/>
        <v>405.02500487466</v>
      </c>
      <c r="H97" s="4">
        <f t="shared" ca="1" si="79"/>
        <v>0.97862590992186405</v>
      </c>
      <c r="J97" s="11">
        <f t="shared" ca="1" si="80"/>
        <v>55.660787455987006</v>
      </c>
      <c r="L97" s="4">
        <f t="shared" ca="1" si="73"/>
        <v>13.350440125340015</v>
      </c>
      <c r="M97" s="4">
        <f t="shared" ca="1" si="76"/>
        <v>1741.3122609423356</v>
      </c>
      <c r="N97" s="4">
        <f t="shared" ca="1" si="77"/>
        <v>8.8245025461413658</v>
      </c>
      <c r="R97" t="str">
        <f t="shared" ca="1" si="90"/>
        <v xml:space="preserve"> </v>
      </c>
      <c r="S97" s="11" t="str">
        <f t="shared" ca="1" si="81"/>
        <v xml:space="preserve"> </v>
      </c>
      <c r="T97" s="4" t="str">
        <f t="shared" ca="1" si="91"/>
        <v>none</v>
      </c>
      <c r="U97" s="4" t="str">
        <f t="shared" ca="1" si="82"/>
        <v xml:space="preserve"> </v>
      </c>
      <c r="V97" s="11" t="str">
        <f t="shared" ca="1" si="83"/>
        <v xml:space="preserve"> </v>
      </c>
      <c r="W97" s="4" t="str">
        <f t="shared" ca="1" si="92"/>
        <v xml:space="preserve"> </v>
      </c>
      <c r="AL97">
        <f t="shared" si="93"/>
        <v>0.39073112848927372</v>
      </c>
      <c r="AM97">
        <f t="shared" ca="1" si="84"/>
        <v>-5.3284877797201546E-3</v>
      </c>
      <c r="AN97">
        <f t="shared" ca="1" si="85"/>
        <v>1.302374071267959</v>
      </c>
      <c r="AP97">
        <f t="shared" ca="1" si="94"/>
        <v>0.39379556500202617</v>
      </c>
      <c r="AQ97">
        <f t="shared" ca="1" si="74"/>
        <v>0.48592783567665981</v>
      </c>
      <c r="AR97">
        <f t="shared" ca="1" si="86"/>
        <v>0.36659226839715886</v>
      </c>
      <c r="AS97">
        <f t="shared" ca="1" si="87"/>
        <v>0.36659226839715886</v>
      </c>
      <c r="AT97" s="4">
        <f t="shared" ca="1" si="95"/>
        <v>55.660787455987006</v>
      </c>
      <c r="AU97">
        <f t="shared" ca="1" si="75"/>
        <v>-0.47774510554209487</v>
      </c>
      <c r="AV97">
        <f t="shared" ca="1" si="88"/>
        <v>-0.41454332501761165</v>
      </c>
      <c r="AW97">
        <f t="shared" ca="1" si="89"/>
        <v>-0.41454332501761165</v>
      </c>
      <c r="AX97" s="4" t="str">
        <f t="shared" ca="1" si="96"/>
        <v>ignore</v>
      </c>
    </row>
    <row r="98" spans="2:50" x14ac:dyDescent="0.2">
      <c r="B98">
        <v>68</v>
      </c>
      <c r="D98" s="11">
        <f t="shared" ca="1" si="78"/>
        <v>69.504999999999995</v>
      </c>
      <c r="F98" s="4">
        <f t="shared" ca="1" si="72"/>
        <v>404.67788194183618</v>
      </c>
      <c r="H98" s="4">
        <f t="shared" ca="1" si="79"/>
        <v>0.97951807864244156</v>
      </c>
      <c r="J98" s="11">
        <f t="shared" ca="1" si="80"/>
        <v>55.157064749000057</v>
      </c>
      <c r="L98" s="4">
        <f t="shared" ca="1" si="73"/>
        <v>13.697563058163837</v>
      </c>
      <c r="M98" s="4">
        <f t="shared" ca="1" si="76"/>
        <v>1763.8061493574453</v>
      </c>
      <c r="N98" s="4">
        <f t="shared" ca="1" si="77"/>
        <v>8.9384955272074595</v>
      </c>
      <c r="R98" t="str">
        <f t="shared" ca="1" si="90"/>
        <v xml:space="preserve"> </v>
      </c>
      <c r="S98" s="11" t="str">
        <f t="shared" ca="1" si="81"/>
        <v xml:space="preserve"> </v>
      </c>
      <c r="T98" s="4" t="str">
        <f t="shared" ca="1" si="91"/>
        <v>none</v>
      </c>
      <c r="U98" s="4" t="str">
        <f t="shared" ca="1" si="82"/>
        <v xml:space="preserve"> </v>
      </c>
      <c r="V98" s="11" t="str">
        <f t="shared" ca="1" si="83"/>
        <v xml:space="preserve"> </v>
      </c>
      <c r="W98" s="4" t="str">
        <f t="shared" ca="1" si="92"/>
        <v xml:space="preserve"> </v>
      </c>
      <c r="AL98">
        <f t="shared" si="93"/>
        <v>0.37460659341591196</v>
      </c>
      <c r="AM98">
        <f t="shared" ca="1" si="84"/>
        <v>-5.1085938889408955E-3</v>
      </c>
      <c r="AN98">
        <f t="shared" ca="1" si="85"/>
        <v>1.3023717762174625</v>
      </c>
      <c r="AP98">
        <f t="shared" ca="1" si="94"/>
        <v>0.39379257605293017</v>
      </c>
      <c r="AQ98">
        <f t="shared" ca="1" si="74"/>
        <v>0.48575802227600662</v>
      </c>
      <c r="AR98">
        <f t="shared" ca="1" si="86"/>
        <v>0.35012306338897625</v>
      </c>
      <c r="AS98">
        <f t="shared" ca="1" si="87"/>
        <v>0.35012306338897625</v>
      </c>
      <c r="AT98" s="4">
        <f t="shared" ca="1" si="95"/>
        <v>55.157064749000057</v>
      </c>
      <c r="AU98">
        <f t="shared" ca="1" si="75"/>
        <v>-0.47791295993324295</v>
      </c>
      <c r="AV98">
        <f t="shared" ca="1" si="88"/>
        <v>-0.39877237957832601</v>
      </c>
      <c r="AW98">
        <f t="shared" ca="1" si="89"/>
        <v>-0.39877237957832601</v>
      </c>
      <c r="AX98" s="4" t="str">
        <f t="shared" ca="1" si="96"/>
        <v>ignore</v>
      </c>
    </row>
    <row r="99" spans="2:50" x14ac:dyDescent="0.2">
      <c r="B99">
        <v>69</v>
      </c>
      <c r="D99" s="11">
        <f t="shared" ca="1" si="78"/>
        <v>70.515000000000001</v>
      </c>
      <c r="F99" s="4">
        <f t="shared" ca="1" si="72"/>
        <v>404.32862206038425</v>
      </c>
      <c r="H99" s="4">
        <f t="shared" ca="1" si="79"/>
        <v>0.98041744691695276</v>
      </c>
      <c r="J99" s="11">
        <f t="shared" ca="1" si="80"/>
        <v>54.653530099931295</v>
      </c>
      <c r="L99" s="4">
        <f t="shared" ca="1" si="73"/>
        <v>14.046822939615765</v>
      </c>
      <c r="M99" s="4">
        <f t="shared" ca="1" si="76"/>
        <v>1786.1527073043485</v>
      </c>
      <c r="N99" s="4">
        <f t="shared" ca="1" si="77"/>
        <v>9.0517418770569833</v>
      </c>
      <c r="R99" t="str">
        <f t="shared" ca="1" si="90"/>
        <v xml:space="preserve"> </v>
      </c>
      <c r="S99" s="11" t="str">
        <f t="shared" ca="1" si="81"/>
        <v xml:space="preserve"> </v>
      </c>
      <c r="T99" s="4" t="str">
        <f t="shared" ca="1" si="91"/>
        <v>none</v>
      </c>
      <c r="U99" s="4" t="str">
        <f t="shared" ca="1" si="82"/>
        <v xml:space="preserve"> </v>
      </c>
      <c r="V99" s="11" t="str">
        <f t="shared" ca="1" si="83"/>
        <v xml:space="preserve"> </v>
      </c>
      <c r="W99" s="4" t="str">
        <f t="shared" ca="1" si="92"/>
        <v xml:space="preserve"> </v>
      </c>
      <c r="AL99">
        <f t="shared" si="93"/>
        <v>0.35836794954530038</v>
      </c>
      <c r="AM99">
        <f t="shared" ca="1" si="84"/>
        <v>-4.8871438709750074E-3</v>
      </c>
      <c r="AN99">
        <f t="shared" ca="1" si="85"/>
        <v>1.302369562661156</v>
      </c>
      <c r="AP99">
        <f t="shared" ca="1" si="94"/>
        <v>0.39378969323744029</v>
      </c>
      <c r="AQ99">
        <f t="shared" ca="1" si="74"/>
        <v>0.48558704797347019</v>
      </c>
      <c r="AR99">
        <f t="shared" ca="1" si="86"/>
        <v>0.33355247111499431</v>
      </c>
      <c r="AS99">
        <f t="shared" ca="1" si="87"/>
        <v>0.33355247111499431</v>
      </c>
      <c r="AT99" s="4">
        <f t="shared" ca="1" si="95"/>
        <v>54.653530099931295</v>
      </c>
      <c r="AU99">
        <f t="shared" ca="1" si="75"/>
        <v>-0.47808204476840599</v>
      </c>
      <c r="AV99">
        <f t="shared" ca="1" si="88"/>
        <v>-0.38287524956839297</v>
      </c>
      <c r="AW99">
        <f t="shared" ca="1" si="89"/>
        <v>-0.38287524956839297</v>
      </c>
      <c r="AX99" s="4" t="str">
        <f t="shared" ca="1" si="96"/>
        <v>ignore</v>
      </c>
    </row>
    <row r="100" spans="2:50" x14ac:dyDescent="0.2">
      <c r="B100">
        <v>70</v>
      </c>
      <c r="D100" s="11">
        <f t="shared" ca="1" si="78"/>
        <v>71.525000000000006</v>
      </c>
      <c r="F100" s="4">
        <f t="shared" ca="1" si="72"/>
        <v>403.97733795703567</v>
      </c>
      <c r="H100" s="4">
        <f t="shared" ca="1" si="79"/>
        <v>0.98132376001227462</v>
      </c>
      <c r="J100" s="11">
        <f t="shared" ca="1" si="80"/>
        <v>54.150186911294703</v>
      </c>
      <c r="L100" s="4">
        <f t="shared" ca="1" si="73"/>
        <v>14.398107042964341</v>
      </c>
      <c r="M100" s="4">
        <f t="shared" ca="1" si="76"/>
        <v>1808.3503184117096</v>
      </c>
      <c r="N100" s="4">
        <f t="shared" ca="1" si="77"/>
        <v>9.1642334043544249</v>
      </c>
      <c r="R100" t="str">
        <f t="shared" ca="1" si="90"/>
        <v xml:space="preserve"> </v>
      </c>
      <c r="S100" s="11" t="str">
        <f t="shared" ca="1" si="81"/>
        <v xml:space="preserve"> </v>
      </c>
      <c r="T100" s="4" t="str">
        <f t="shared" ca="1" si="91"/>
        <v>none</v>
      </c>
      <c r="U100" s="4" t="str">
        <f t="shared" ca="1" si="82"/>
        <v xml:space="preserve"> </v>
      </c>
      <c r="V100" s="11" t="str">
        <f t="shared" ca="1" si="83"/>
        <v xml:space="preserve"> </v>
      </c>
      <c r="W100" s="4" t="str">
        <f t="shared" ca="1" si="92"/>
        <v xml:space="preserve"> </v>
      </c>
      <c r="AL100">
        <f t="shared" si="93"/>
        <v>0.34202014332566882</v>
      </c>
      <c r="AM100">
        <f t="shared" ca="1" si="84"/>
        <v>-4.6642051816431912E-3</v>
      </c>
      <c r="AN100">
        <f t="shared" ca="1" si="85"/>
        <v>1.302367433295917</v>
      </c>
      <c r="AP100">
        <f t="shared" ca="1" si="94"/>
        <v>0.39378692006782323</v>
      </c>
      <c r="AQ100">
        <f t="shared" ca="1" si="74"/>
        <v>0.48541496573432258</v>
      </c>
      <c r="AR100">
        <f t="shared" ca="1" si="86"/>
        <v>0.31688583988118979</v>
      </c>
      <c r="AS100">
        <f t="shared" ca="1" si="87"/>
        <v>0.31688583988118979</v>
      </c>
      <c r="AT100" s="4">
        <f t="shared" ca="1" si="95"/>
        <v>54.150186911294703</v>
      </c>
      <c r="AU100">
        <f t="shared" ca="1" si="75"/>
        <v>-0.47825230938650609</v>
      </c>
      <c r="AV100">
        <f t="shared" ca="1" si="88"/>
        <v>-0.36685646311840003</v>
      </c>
      <c r="AW100">
        <f t="shared" ca="1" si="89"/>
        <v>-0.36685646311840003</v>
      </c>
      <c r="AX100" s="4" t="str">
        <f t="shared" ca="1" si="96"/>
        <v>ignore</v>
      </c>
    </row>
    <row r="101" spans="2:50" x14ac:dyDescent="0.2">
      <c r="B101">
        <v>71</v>
      </c>
      <c r="D101" s="11">
        <f t="shared" ca="1" si="78"/>
        <v>72.534999999999997</v>
      </c>
      <c r="F101" s="4">
        <f t="shared" ca="1" si="72"/>
        <v>403.62414271299946</v>
      </c>
      <c r="H101" s="4">
        <f t="shared" ca="1" si="79"/>
        <v>0.98223676041821539</v>
      </c>
      <c r="J101" s="11">
        <f t="shared" ca="1" si="80"/>
        <v>53.647038409490975</v>
      </c>
      <c r="L101" s="4">
        <f t="shared" ca="1" si="73"/>
        <v>14.751302287000556</v>
      </c>
      <c r="M101" s="4">
        <f t="shared" ca="1" si="76"/>
        <v>1830.3973865485582</v>
      </c>
      <c r="N101" s="4">
        <f t="shared" ca="1" si="77"/>
        <v>9.2759620203369977</v>
      </c>
      <c r="R101" t="str">
        <f t="shared" ca="1" si="90"/>
        <v xml:space="preserve"> </v>
      </c>
      <c r="S101" s="11" t="str">
        <f t="shared" ca="1" si="81"/>
        <v xml:space="preserve"> </v>
      </c>
      <c r="T101" s="4" t="str">
        <f t="shared" ca="1" si="91"/>
        <v>none</v>
      </c>
      <c r="U101" s="4" t="str">
        <f t="shared" ca="1" si="82"/>
        <v xml:space="preserve"> </v>
      </c>
      <c r="V101" s="11" t="str">
        <f t="shared" ca="1" si="83"/>
        <v xml:space="preserve"> </v>
      </c>
      <c r="W101" s="4" t="str">
        <f t="shared" ca="1" si="92"/>
        <v xml:space="preserve"> </v>
      </c>
      <c r="AL101">
        <f t="shared" si="93"/>
        <v>0.32556815445715676</v>
      </c>
      <c r="AM101">
        <f t="shared" ca="1" si="84"/>
        <v>-4.4398457302298779E-3</v>
      </c>
      <c r="AN101">
        <f t="shared" ca="1" si="85"/>
        <v>1.3023653907160486</v>
      </c>
      <c r="AP101">
        <f t="shared" ca="1" si="94"/>
        <v>0.39378425992275878</v>
      </c>
      <c r="AQ101">
        <f t="shared" ca="1" si="74"/>
        <v>0.4852418288307167</v>
      </c>
      <c r="AR101">
        <f t="shared" ca="1" si="86"/>
        <v>0.30012853481166901</v>
      </c>
      <c r="AS101">
        <f t="shared" ca="1" si="87"/>
        <v>0.30012853481166901</v>
      </c>
      <c r="AT101" s="4">
        <f t="shared" ca="1" si="95"/>
        <v>53.647038409490975</v>
      </c>
      <c r="AU101">
        <f t="shared" ca="1" si="75"/>
        <v>-0.47842370273203577</v>
      </c>
      <c r="AV101">
        <f t="shared" ca="1" si="88"/>
        <v>-0.35072059638556624</v>
      </c>
      <c r="AW101">
        <f t="shared" ca="1" si="89"/>
        <v>-0.35072059638556624</v>
      </c>
      <c r="AX101" s="4" t="str">
        <f t="shared" ca="1" si="96"/>
        <v>ignore</v>
      </c>
    </row>
    <row r="102" spans="2:50" x14ac:dyDescent="0.2">
      <c r="B102">
        <v>72</v>
      </c>
      <c r="D102" s="11">
        <f t="shared" ca="1" si="78"/>
        <v>73.543999999999997</v>
      </c>
      <c r="F102" s="4">
        <f t="shared" ca="1" si="72"/>
        <v>403.26914972236943</v>
      </c>
      <c r="H102" s="4">
        <f t="shared" ca="1" si="79"/>
        <v>0.98315618790259351</v>
      </c>
      <c r="J102" s="11">
        <f t="shared" ca="1" si="80"/>
        <v>53.144087651642756</v>
      </c>
      <c r="L102" s="4">
        <f t="shared" ca="1" si="73"/>
        <v>15.106295277630579</v>
      </c>
      <c r="M102" s="4">
        <f t="shared" ca="1" si="76"/>
        <v>1852.2923358610399</v>
      </c>
      <c r="N102" s="4">
        <f t="shared" ca="1" si="77"/>
        <v>9.3869197390008932</v>
      </c>
      <c r="R102" t="str">
        <f t="shared" ca="1" si="90"/>
        <v xml:space="preserve"> </v>
      </c>
      <c r="S102" s="11" t="str">
        <f t="shared" ca="1" si="81"/>
        <v xml:space="preserve"> </v>
      </c>
      <c r="T102" s="4" t="str">
        <f t="shared" ca="1" si="91"/>
        <v>none</v>
      </c>
      <c r="U102" s="4" t="str">
        <f t="shared" ca="1" si="82"/>
        <v xml:space="preserve"> </v>
      </c>
      <c r="V102" s="11" t="str">
        <f t="shared" ca="1" si="83"/>
        <v xml:space="preserve"> </v>
      </c>
      <c r="W102" s="4" t="str">
        <f t="shared" ca="1" si="92"/>
        <v xml:space="preserve"> </v>
      </c>
      <c r="AL102">
        <f t="shared" si="93"/>
        <v>0.30901699437494745</v>
      </c>
      <c r="AM102">
        <f t="shared" ca="1" si="84"/>
        <v>-4.2141338587973831E-3</v>
      </c>
      <c r="AN102">
        <f t="shared" ca="1" si="85"/>
        <v>1.3023634374101203</v>
      </c>
      <c r="AP102">
        <f t="shared" ca="1" si="94"/>
        <v>0.39378171604322426</v>
      </c>
      <c r="AQ102">
        <f t="shared" ca="1" si="74"/>
        <v>0.48506769082437828</v>
      </c>
      <c r="AR102">
        <f t="shared" ca="1" si="86"/>
        <v>0.28328593587532996</v>
      </c>
      <c r="AS102">
        <f t="shared" ca="1" si="87"/>
        <v>0.28328593587532996</v>
      </c>
      <c r="AT102" s="4">
        <f t="shared" ca="1" si="95"/>
        <v>53.144087651642756</v>
      </c>
      <c r="AU102">
        <f t="shared" ca="1" si="75"/>
        <v>-0.4785961733696536</v>
      </c>
      <c r="AV102">
        <f t="shared" ca="1" si="88"/>
        <v>-0.33447227254002043</v>
      </c>
      <c r="AW102">
        <f t="shared" ca="1" si="89"/>
        <v>-0.33447227254002043</v>
      </c>
      <c r="AX102" s="4" t="str">
        <f t="shared" ca="1" si="96"/>
        <v>ignore</v>
      </c>
    </row>
    <row r="103" spans="2:50" x14ac:dyDescent="0.2">
      <c r="B103">
        <v>73</v>
      </c>
      <c r="D103" s="11">
        <f t="shared" ca="1" si="78"/>
        <v>74.552000000000007</v>
      </c>
      <c r="F103" s="4">
        <f t="shared" ca="1" si="72"/>
        <v>402.91247265078903</v>
      </c>
      <c r="H103" s="4">
        <f t="shared" ca="1" si="79"/>
        <v>0.98408177956789566</v>
      </c>
      <c r="J103" s="11">
        <f t="shared" ca="1" si="80"/>
        <v>52.641337531863506</v>
      </c>
      <c r="L103" s="4">
        <f t="shared" ca="1" si="73"/>
        <v>15.462972349210986</v>
      </c>
      <c r="M103" s="4">
        <f t="shared" ca="1" si="76"/>
        <v>1874.033610816047</v>
      </c>
      <c r="N103" s="4">
        <f t="shared" ca="1" si="77"/>
        <v>9.4970986773223842</v>
      </c>
      <c r="R103" t="str">
        <f t="shared" ca="1" si="90"/>
        <v xml:space="preserve"> </v>
      </c>
      <c r="S103" s="11" t="str">
        <f t="shared" ca="1" si="81"/>
        <v xml:space="preserve"> </v>
      </c>
      <c r="T103" s="4" t="str">
        <f t="shared" ca="1" si="91"/>
        <v>none</v>
      </c>
      <c r="U103" s="4" t="str">
        <f t="shared" ca="1" si="82"/>
        <v xml:space="preserve"> </v>
      </c>
      <c r="V103" s="11" t="str">
        <f t="shared" ca="1" si="83"/>
        <v xml:space="preserve"> </v>
      </c>
      <c r="W103" s="4" t="str">
        <f t="shared" ca="1" si="92"/>
        <v xml:space="preserve"> </v>
      </c>
      <c r="AL103">
        <f t="shared" si="93"/>
        <v>0.29237170472273677</v>
      </c>
      <c r="AM103">
        <f t="shared" ca="1" si="84"/>
        <v>-3.9871383213682691E-3</v>
      </c>
      <c r="AN103">
        <f t="shared" ca="1" si="85"/>
        <v>1.3023615757579341</v>
      </c>
      <c r="AP103">
        <f t="shared" ca="1" si="94"/>
        <v>0.39377929152854479</v>
      </c>
      <c r="AQ103">
        <f t="shared" ca="1" si="74"/>
        <v>0.4848926055492459</v>
      </c>
      <c r="AR103">
        <f t="shared" ca="1" si="86"/>
        <v>0.26636343592464545</v>
      </c>
      <c r="AS103">
        <f t="shared" ca="1" si="87"/>
        <v>0.26636343592464545</v>
      </c>
      <c r="AT103" s="4">
        <f t="shared" ca="1" si="95"/>
        <v>52.641337531863506</v>
      </c>
      <c r="AU103">
        <f t="shared" ca="1" si="75"/>
        <v>-0.47876966949894367</v>
      </c>
      <c r="AV103">
        <f t="shared" ca="1" si="88"/>
        <v>-0.31811616072402982</v>
      </c>
      <c r="AW103">
        <f t="shared" ca="1" si="89"/>
        <v>-0.31811616072402982</v>
      </c>
      <c r="AX103" s="4" t="str">
        <f t="shared" ca="1" si="96"/>
        <v>ignore</v>
      </c>
    </row>
    <row r="104" spans="2:50" x14ac:dyDescent="0.2">
      <c r="B104">
        <v>74</v>
      </c>
      <c r="D104" s="11">
        <f t="shared" ca="1" si="78"/>
        <v>75.56</v>
      </c>
      <c r="F104" s="4">
        <f t="shared" ca="1" si="72"/>
        <v>402.55422539438615</v>
      </c>
      <c r="H104" s="4">
        <f t="shared" ca="1" si="79"/>
        <v>0.98501326990953797</v>
      </c>
      <c r="J104" s="11">
        <f t="shared" ca="1" si="80"/>
        <v>52.138790786996424</v>
      </c>
      <c r="L104" s="4">
        <f t="shared" ca="1" si="73"/>
        <v>15.821219605613862</v>
      </c>
      <c r="M104" s="4">
        <f t="shared" ca="1" si="76"/>
        <v>1895.6196762307027</v>
      </c>
      <c r="N104" s="4">
        <f t="shared" ca="1" si="77"/>
        <v>9.6064910554072416</v>
      </c>
      <c r="R104" t="str">
        <f t="shared" ca="1" si="90"/>
        <v xml:space="preserve"> </v>
      </c>
      <c r="S104" s="11" t="str">
        <f t="shared" ca="1" si="81"/>
        <v xml:space="preserve"> </v>
      </c>
      <c r="T104" s="4" t="str">
        <f t="shared" ca="1" si="91"/>
        <v>none</v>
      </c>
      <c r="U104" s="4" t="str">
        <f t="shared" ca="1" si="82"/>
        <v xml:space="preserve"> </v>
      </c>
      <c r="V104" s="11" t="str">
        <f t="shared" ca="1" si="83"/>
        <v xml:space="preserve"> </v>
      </c>
      <c r="W104" s="4" t="str">
        <f t="shared" ca="1" si="92"/>
        <v xml:space="preserve"> </v>
      </c>
      <c r="AL104">
        <f t="shared" si="93"/>
        <v>0.27563735581699916</v>
      </c>
      <c r="AM104">
        <f t="shared" ca="1" si="84"/>
        <v>-3.7589282629821889E-3</v>
      </c>
      <c r="AN104">
        <f t="shared" ca="1" si="85"/>
        <v>1.3023598080276266</v>
      </c>
      <c r="AP104">
        <f t="shared" ca="1" si="94"/>
        <v>0.39377698933261812</v>
      </c>
      <c r="AQ104">
        <f t="shared" ca="1" si="74"/>
        <v>0.48471662709406416</v>
      </c>
      <c r="AR104">
        <f t="shared" ca="1" si="86"/>
        <v>0.24936643874751627</v>
      </c>
      <c r="AS104">
        <f t="shared" ca="1" si="87"/>
        <v>0.24936643874751627</v>
      </c>
      <c r="AT104" s="4">
        <f t="shared" ca="1" si="95"/>
        <v>52.138790786996424</v>
      </c>
      <c r="AU104">
        <f t="shared" ca="1" si="75"/>
        <v>-0.47894413896933474</v>
      </c>
      <c r="AV104">
        <f t="shared" ca="1" si="88"/>
        <v>-0.30165697498401078</v>
      </c>
      <c r="AW104">
        <f t="shared" ca="1" si="89"/>
        <v>-0.30165697498401078</v>
      </c>
      <c r="AX104" s="4" t="str">
        <f t="shared" ca="1" si="96"/>
        <v>ignore</v>
      </c>
    </row>
    <row r="105" spans="2:50" x14ac:dyDescent="0.2">
      <c r="B105">
        <v>75</v>
      </c>
      <c r="D105" s="11">
        <f t="shared" ca="1" si="78"/>
        <v>76.566999999999993</v>
      </c>
      <c r="F105" s="4">
        <f t="shared" ca="1" si="72"/>
        <v>402.19452203901147</v>
      </c>
      <c r="H105" s="4">
        <f t="shared" ca="1" si="79"/>
        <v>0.98595039087573533</v>
      </c>
      <c r="J105" s="11">
        <f t="shared" ca="1" si="80"/>
        <v>51.636450001909765</v>
      </c>
      <c r="L105" s="4">
        <f t="shared" ca="1" si="73"/>
        <v>16.180922960988539</v>
      </c>
      <c r="M105" s="4">
        <f t="shared" ca="1" si="76"/>
        <v>1917.0490172954273</v>
      </c>
      <c r="N105" s="4">
        <f t="shared" ca="1" si="77"/>
        <v>9.7150891966076358</v>
      </c>
      <c r="R105" t="str">
        <f t="shared" ca="1" si="90"/>
        <v xml:space="preserve"> </v>
      </c>
      <c r="S105" s="11" t="str">
        <f t="shared" ca="1" si="81"/>
        <v xml:space="preserve"> </v>
      </c>
      <c r="T105" s="4" t="str">
        <f t="shared" ca="1" si="91"/>
        <v>none</v>
      </c>
      <c r="U105" s="4" t="str">
        <f t="shared" ca="1" si="82"/>
        <v xml:space="preserve"> </v>
      </c>
      <c r="V105" s="11" t="str">
        <f t="shared" ca="1" si="83"/>
        <v xml:space="preserve"> </v>
      </c>
      <c r="W105" s="4" t="str">
        <f t="shared" ca="1" si="92"/>
        <v xml:space="preserve"> </v>
      </c>
      <c r="AL105">
        <f t="shared" si="93"/>
        <v>0.25881904510252074</v>
      </c>
      <c r="AM105">
        <f t="shared" ca="1" si="84"/>
        <v>-3.5295731986336493E-3</v>
      </c>
      <c r="AN105">
        <f t="shared" ca="1" si="85"/>
        <v>1.3023581363729049</v>
      </c>
      <c r="AP105">
        <f t="shared" ca="1" si="94"/>
        <v>0.39377481226031535</v>
      </c>
      <c r="AQ105">
        <f t="shared" ca="1" si="74"/>
        <v>0.48453980978493827</v>
      </c>
      <c r="AR105">
        <f t="shared" ca="1" si="86"/>
        <v>0.23230035713312047</v>
      </c>
      <c r="AS105">
        <f t="shared" ca="1" si="87"/>
        <v>0.23230035713312047</v>
      </c>
      <c r="AT105" s="4">
        <f t="shared" ca="1" si="95"/>
        <v>51.636450001909765</v>
      </c>
      <c r="AU105">
        <f t="shared" ca="1" si="75"/>
        <v>-0.47911952929517437</v>
      </c>
      <c r="AV105">
        <f t="shared" ca="1" si="88"/>
        <v>-0.28509947317518736</v>
      </c>
      <c r="AW105">
        <f t="shared" ca="1" si="89"/>
        <v>-0.28509947317518736</v>
      </c>
      <c r="AX105" s="4" t="str">
        <f t="shared" ca="1" si="96"/>
        <v>ignore</v>
      </c>
    </row>
    <row r="106" spans="2:50" x14ac:dyDescent="0.2">
      <c r="B106">
        <v>76</v>
      </c>
      <c r="D106" s="11">
        <f t="shared" ca="1" si="78"/>
        <v>77.573999999999998</v>
      </c>
      <c r="F106" s="4">
        <f t="shared" ca="1" si="72"/>
        <v>401.83347681978358</v>
      </c>
      <c r="H106" s="4">
        <f t="shared" ca="1" si="79"/>
        <v>0.98689287192899067</v>
      </c>
      <c r="J106" s="11">
        <f t="shared" ca="1" si="80"/>
        <v>51.134317614353421</v>
      </c>
      <c r="L106" s="4">
        <f t="shared" ca="1" si="73"/>
        <v>16.541968180216429</v>
      </c>
      <c r="M106" s="4">
        <f t="shared" ca="1" si="76"/>
        <v>1938.3201395872629</v>
      </c>
      <c r="N106" s="4">
        <f t="shared" ca="1" si="77"/>
        <v>9.8228855275896549</v>
      </c>
      <c r="R106" t="str">
        <f t="shared" ca="1" si="90"/>
        <v xml:space="preserve"> </v>
      </c>
      <c r="S106" s="11" t="str">
        <f t="shared" ca="1" si="81"/>
        <v xml:space="preserve"> </v>
      </c>
      <c r="T106" s="4" t="str">
        <f t="shared" ca="1" si="91"/>
        <v>none</v>
      </c>
      <c r="U106" s="4" t="str">
        <f t="shared" ca="1" si="82"/>
        <v xml:space="preserve"> </v>
      </c>
      <c r="V106" s="11" t="str">
        <f t="shared" ca="1" si="83"/>
        <v xml:space="preserve"> </v>
      </c>
      <c r="W106" s="4" t="str">
        <f t="shared" ca="1" si="92"/>
        <v xml:space="preserve"> </v>
      </c>
      <c r="AL106">
        <f t="shared" si="93"/>
        <v>0.24192189559966767</v>
      </c>
      <c r="AM106">
        <f t="shared" ca="1" si="84"/>
        <v>-3.2991429920970626E-3</v>
      </c>
      <c r="AN106">
        <f t="shared" ca="1" si="85"/>
        <v>1.3023565628304228</v>
      </c>
      <c r="AP106">
        <f t="shared" ca="1" si="94"/>
        <v>0.39377276296406377</v>
      </c>
      <c r="AQ106">
        <f t="shared" ca="1" si="74"/>
        <v>0.48436220816785447</v>
      </c>
      <c r="AR106">
        <f t="shared" ca="1" si="86"/>
        <v>0.21517061095265425</v>
      </c>
      <c r="AS106">
        <f t="shared" ca="1" si="87"/>
        <v>0.21517061095265425</v>
      </c>
      <c r="AT106" s="4">
        <f t="shared" ca="1" si="95"/>
        <v>51.134317614353421</v>
      </c>
      <c r="AU106">
        <f t="shared" ca="1" si="75"/>
        <v>-0.4792957876709561</v>
      </c>
      <c r="AV106">
        <f t="shared" ca="1" si="88"/>
        <v>-0.26844845583877569</v>
      </c>
      <c r="AW106">
        <f t="shared" ca="1" si="89"/>
        <v>-0.26844845583877569</v>
      </c>
      <c r="AX106" s="4" t="str">
        <f t="shared" ca="1" si="96"/>
        <v>ignore</v>
      </c>
    </row>
    <row r="107" spans="2:50" x14ac:dyDescent="0.2">
      <c r="B107">
        <v>77</v>
      </c>
      <c r="D107" s="11">
        <f t="shared" ca="1" si="78"/>
        <v>78.581000000000003</v>
      </c>
      <c r="F107" s="4">
        <f t="shared" ca="1" si="72"/>
        <v>401.4712040809697</v>
      </c>
      <c r="H107" s="4">
        <f t="shared" ca="1" si="79"/>
        <v>0.98784044010921279</v>
      </c>
      <c r="J107" s="11">
        <f t="shared" ca="1" si="80"/>
        <v>50.632395919444356</v>
      </c>
      <c r="L107" s="4">
        <f t="shared" ca="1" si="73"/>
        <v>16.904240919030315</v>
      </c>
      <c r="M107" s="4">
        <f t="shared" ca="1" si="76"/>
        <v>1959.4315690845185</v>
      </c>
      <c r="N107" s="4">
        <f t="shared" ca="1" si="77"/>
        <v>9.9298725784075241</v>
      </c>
      <c r="R107" t="str">
        <f t="shared" ca="1" si="90"/>
        <v xml:space="preserve"> </v>
      </c>
      <c r="S107" s="11" t="str">
        <f t="shared" ca="1" si="81"/>
        <v xml:space="preserve"> </v>
      </c>
      <c r="T107" s="4" t="str">
        <f t="shared" ca="1" si="91"/>
        <v>none</v>
      </c>
      <c r="U107" s="4" t="str">
        <f t="shared" ca="1" si="82"/>
        <v xml:space="preserve"> </v>
      </c>
      <c r="V107" s="11" t="str">
        <f t="shared" ca="1" si="83"/>
        <v xml:space="preserve"> </v>
      </c>
      <c r="W107" s="4" t="str">
        <f t="shared" ca="1" si="92"/>
        <v xml:space="preserve"> </v>
      </c>
      <c r="AL107">
        <f t="shared" si="93"/>
        <v>0.22495105434386492</v>
      </c>
      <c r="AM107">
        <f t="shared" ca="1" si="84"/>
        <v>-3.0677078346455669E-3</v>
      </c>
      <c r="AN107">
        <f t="shared" ca="1" si="85"/>
        <v>1.302355089317299</v>
      </c>
      <c r="AP107">
        <f t="shared" ca="1" si="94"/>
        <v>0.39377084394061507</v>
      </c>
      <c r="AQ107">
        <f t="shared" ca="1" si="74"/>
        <v>0.48418387699117571</v>
      </c>
      <c r="AR107">
        <f t="shared" ca="1" si="86"/>
        <v>0.19798262525583449</v>
      </c>
      <c r="AS107">
        <f t="shared" ca="1" si="87"/>
        <v>0.19798262525583449</v>
      </c>
      <c r="AT107" s="4">
        <f t="shared" ca="1" si="95"/>
        <v>50.632395919444356</v>
      </c>
      <c r="AU107">
        <f t="shared" ca="1" si="75"/>
        <v>-0.47947286098669462</v>
      </c>
      <c r="AV107">
        <f t="shared" ca="1" si="88"/>
        <v>-0.25170876505160183</v>
      </c>
      <c r="AW107">
        <f t="shared" ca="1" si="89"/>
        <v>-0.25170876505160183</v>
      </c>
      <c r="AX107" s="4" t="str">
        <f t="shared" ca="1" si="96"/>
        <v>ignore</v>
      </c>
    </row>
    <row r="108" spans="2:50" x14ac:dyDescent="0.2">
      <c r="B108">
        <v>78</v>
      </c>
      <c r="D108" s="11">
        <f t="shared" ca="1" si="78"/>
        <v>79.587000000000003</v>
      </c>
      <c r="F108" s="4">
        <f t="shared" ca="1" si="72"/>
        <v>401.10781823621306</v>
      </c>
      <c r="H108" s="4">
        <f t="shared" ca="1" si="79"/>
        <v>0.9887928200984718</v>
      </c>
      <c r="J108" s="11">
        <f t="shared" ca="1" si="80"/>
        <v>50.130687073801049</v>
      </c>
      <c r="L108" s="4">
        <f t="shared" ca="1" si="73"/>
        <v>17.26762676378695</v>
      </c>
      <c r="M108" s="4">
        <f t="shared" ca="1" si="76"/>
        <v>1980.3818521629696</v>
      </c>
      <c r="N108" s="4">
        <f t="shared" ca="1" si="77"/>
        <v>10.036042982484346</v>
      </c>
      <c r="R108" t="str">
        <f t="shared" ca="1" si="90"/>
        <v xml:space="preserve"> </v>
      </c>
      <c r="S108" s="11" t="str">
        <f t="shared" ca="1" si="81"/>
        <v xml:space="preserve"> </v>
      </c>
      <c r="T108" s="4" t="str">
        <f t="shared" ca="1" si="91"/>
        <v>none</v>
      </c>
      <c r="U108" s="4" t="str">
        <f t="shared" ca="1" si="82"/>
        <v xml:space="preserve"> </v>
      </c>
      <c r="V108" s="11" t="str">
        <f t="shared" ca="1" si="83"/>
        <v xml:space="preserve"> </v>
      </c>
      <c r="W108" s="4" t="str">
        <f t="shared" ca="1" si="92"/>
        <v xml:space="preserve"> </v>
      </c>
      <c r="AL108">
        <f t="shared" si="93"/>
        <v>0.20791169081775945</v>
      </c>
      <c r="AM108">
        <f t="shared" ca="1" si="84"/>
        <v>-2.8353382236700883E-3</v>
      </c>
      <c r="AN108">
        <f t="shared" ca="1" si="85"/>
        <v>1.3023537176287829</v>
      </c>
      <c r="AP108">
        <f t="shared" ca="1" si="94"/>
        <v>0.39376905752800379</v>
      </c>
      <c r="AQ108">
        <f t="shared" ca="1" si="74"/>
        <v>0.48400487118811603</v>
      </c>
      <c r="AR108">
        <f t="shared" ca="1" si="86"/>
        <v>0.18074182838399971</v>
      </c>
      <c r="AS108">
        <f t="shared" ca="1" si="87"/>
        <v>0.18074182838399971</v>
      </c>
      <c r="AT108" s="4">
        <f t="shared" ca="1" si="95"/>
        <v>50.130687073801049</v>
      </c>
      <c r="AU108">
        <f t="shared" ca="1" si="75"/>
        <v>-0.47965069584344477</v>
      </c>
      <c r="AV108">
        <f t="shared" ca="1" si="88"/>
        <v>-0.23488528324808011</v>
      </c>
      <c r="AW108">
        <f t="shared" ca="1" si="89"/>
        <v>-0.23488528324808011</v>
      </c>
      <c r="AX108" s="4" t="str">
        <f t="shared" ca="1" si="96"/>
        <v>ignore</v>
      </c>
    </row>
    <row r="109" spans="2:50" x14ac:dyDescent="0.2">
      <c r="B109">
        <v>79</v>
      </c>
      <c r="D109" s="11">
        <f t="shared" ca="1" si="78"/>
        <v>80.593000000000004</v>
      </c>
      <c r="F109" s="4">
        <f t="shared" ca="1" si="72"/>
        <v>400.74343372913273</v>
      </c>
      <c r="H109" s="4">
        <f t="shared" ca="1" si="79"/>
        <v>0.98974973428739133</v>
      </c>
      <c r="J109" s="11">
        <f t="shared" ca="1" si="80"/>
        <v>49.629193099378874</v>
      </c>
      <c r="L109" s="4">
        <f t="shared" ca="1" si="73"/>
        <v>17.632011270867281</v>
      </c>
      <c r="M109" s="4">
        <f t="shared" ca="1" si="76"/>
        <v>2001.1695555907581</v>
      </c>
      <c r="N109" s="4">
        <f t="shared" ca="1" si="77"/>
        <v>10.14138947658626</v>
      </c>
      <c r="R109" t="str">
        <f t="shared" ca="1" si="90"/>
        <v xml:space="preserve"> </v>
      </c>
      <c r="S109" s="11" t="str">
        <f t="shared" ca="1" si="81"/>
        <v xml:space="preserve"> </v>
      </c>
      <c r="T109" s="4" t="str">
        <f t="shared" ca="1" si="91"/>
        <v>none</v>
      </c>
      <c r="U109" s="4" t="str">
        <f t="shared" ca="1" si="82"/>
        <v xml:space="preserve"> </v>
      </c>
      <c r="V109" s="11" t="str">
        <f t="shared" ca="1" si="83"/>
        <v xml:space="preserve"> </v>
      </c>
      <c r="W109" s="4" t="str">
        <f t="shared" ca="1" si="92"/>
        <v xml:space="preserve"> </v>
      </c>
      <c r="AL109">
        <f t="shared" si="93"/>
        <v>0.19080899537654492</v>
      </c>
      <c r="AM109">
        <f t="shared" ca="1" si="84"/>
        <v>-2.6021049412051386E-3</v>
      </c>
      <c r="AN109">
        <f t="shared" ca="1" si="85"/>
        <v>1.3023524494360654</v>
      </c>
      <c r="AP109">
        <f t="shared" ca="1" si="94"/>
        <v>0.3937674059026986</v>
      </c>
      <c r="AQ109">
        <f t="shared" ca="1" si="74"/>
        <v>0.483825245859204</v>
      </c>
      <c r="AR109">
        <f t="shared" ca="1" si="86"/>
        <v>0.16345365010062068</v>
      </c>
      <c r="AS109">
        <f t="shared" ca="1" si="87"/>
        <v>0.16345365010062068</v>
      </c>
      <c r="AT109" s="4">
        <f t="shared" ca="1" si="95"/>
        <v>49.629193099378874</v>
      </c>
      <c r="AU109">
        <f t="shared" ca="1" si="75"/>
        <v>-0.47982923856896259</v>
      </c>
      <c r="AV109">
        <f t="shared" ca="1" si="88"/>
        <v>-0.21798293201450561</v>
      </c>
      <c r="AW109">
        <f t="shared" ca="1" si="89"/>
        <v>-0.21798293201450561</v>
      </c>
      <c r="AX109" s="4" t="str">
        <f t="shared" ca="1" si="96"/>
        <v>ignore</v>
      </c>
    </row>
    <row r="110" spans="2:50" x14ac:dyDescent="0.2">
      <c r="B110">
        <v>80</v>
      </c>
      <c r="D110" s="11">
        <f t="shared" ca="1" si="78"/>
        <v>81.597999999999999</v>
      </c>
      <c r="F110" s="4">
        <f t="shared" ca="1" si="72"/>
        <v>400.37816499430369</v>
      </c>
      <c r="H110" s="4">
        <f t="shared" ca="1" si="79"/>
        <v>0.99071090284319163</v>
      </c>
      <c r="J110" s="11">
        <f t="shared" ca="1" si="80"/>
        <v>49.127915887016322</v>
      </c>
      <c r="L110" s="4">
        <f t="shared" ca="1" si="73"/>
        <v>17.997280005696325</v>
      </c>
      <c r="M110" s="4">
        <f t="shared" ca="1" si="76"/>
        <v>2021.7932665188143</v>
      </c>
      <c r="N110" s="4">
        <f t="shared" ca="1" si="77"/>
        <v>10.245904900773894</v>
      </c>
      <c r="R110" t="str">
        <f t="shared" ca="1" si="90"/>
        <v xml:space="preserve"> </v>
      </c>
      <c r="S110" s="11" t="str">
        <f t="shared" ca="1" si="81"/>
        <v xml:space="preserve"> </v>
      </c>
      <c r="T110" s="4" t="str">
        <f t="shared" ca="1" si="91"/>
        <v>none</v>
      </c>
      <c r="U110" s="4" t="str">
        <f t="shared" ca="1" si="82"/>
        <v xml:space="preserve"> </v>
      </c>
      <c r="V110" s="11" t="str">
        <f t="shared" ca="1" si="83"/>
        <v xml:space="preserve"> </v>
      </c>
      <c r="W110" s="4" t="str">
        <f t="shared" ca="1" si="92"/>
        <v xml:space="preserve"> </v>
      </c>
      <c r="AL110">
        <f t="shared" si="93"/>
        <v>0.17364817766693041</v>
      </c>
      <c r="AM110">
        <f t="shared" ca="1" si="84"/>
        <v>-2.3680790323679412E-3</v>
      </c>
      <c r="AN110">
        <f t="shared" ca="1" si="85"/>
        <v>1.3023512862842439</v>
      </c>
      <c r="AP110">
        <f t="shared" ca="1" si="94"/>
        <v>0.39376589107695048</v>
      </c>
      <c r="AQ110">
        <f t="shared" ca="1" si="74"/>
        <v>0.48364505625473736</v>
      </c>
      <c r="AR110">
        <f t="shared" ca="1" si="86"/>
        <v>0.1461235197400004</v>
      </c>
      <c r="AS110">
        <f t="shared" ca="1" si="87"/>
        <v>0.1461235197400004</v>
      </c>
      <c r="AT110" s="4">
        <f t="shared" ca="1" si="95"/>
        <v>49.127915887016322</v>
      </c>
      <c r="AU110">
        <f t="shared" ca="1" si="75"/>
        <v>-0.48000843523350079</v>
      </c>
      <c r="AV110">
        <f t="shared" ca="1" si="88"/>
        <v>-0.20100667085563792</v>
      </c>
      <c r="AW110">
        <f t="shared" ca="1" si="89"/>
        <v>-0.20100667085563792</v>
      </c>
      <c r="AX110" s="4" t="str">
        <f t="shared" ca="1" si="96"/>
        <v>ignore</v>
      </c>
    </row>
    <row r="111" spans="2:50" x14ac:dyDescent="0.2">
      <c r="B111">
        <v>81</v>
      </c>
      <c r="D111" s="11">
        <f t="shared" ca="1" si="78"/>
        <v>82.602000000000004</v>
      </c>
      <c r="F111" s="4">
        <f t="shared" ca="1" si="72"/>
        <v>400.01212641863037</v>
      </c>
      <c r="H111" s="4">
        <f t="shared" ca="1" si="79"/>
        <v>0.99167604377937846</v>
      </c>
      <c r="J111" s="11">
        <f t="shared" ca="1" si="80"/>
        <v>48.626857199715069</v>
      </c>
      <c r="L111" s="4">
        <f t="shared" ca="1" si="73"/>
        <v>18.36331858136964</v>
      </c>
      <c r="M111" s="4">
        <f t="shared" ca="1" si="76"/>
        <v>2042.2515924568706</v>
      </c>
      <c r="N111" s="4">
        <f t="shared" ca="1" si="77"/>
        <v>10.349582198280816</v>
      </c>
      <c r="R111" t="str">
        <f t="shared" ca="1" si="90"/>
        <v xml:space="preserve"> </v>
      </c>
      <c r="S111" s="11" t="str">
        <f t="shared" ca="1" si="81"/>
        <v xml:space="preserve"> </v>
      </c>
      <c r="T111" s="4" t="str">
        <f t="shared" ca="1" si="91"/>
        <v>none</v>
      </c>
      <c r="U111" s="4" t="str">
        <f t="shared" ca="1" si="82"/>
        <v xml:space="preserve"> </v>
      </c>
      <c r="V111" s="11" t="str">
        <f t="shared" ca="1" si="83"/>
        <v xml:space="preserve"> </v>
      </c>
      <c r="W111" s="4" t="str">
        <f t="shared" ca="1" si="92"/>
        <v xml:space="preserve"> </v>
      </c>
      <c r="AL111">
        <f t="shared" si="93"/>
        <v>0.15643446504023092</v>
      </c>
      <c r="AM111">
        <f t="shared" ca="1" si="84"/>
        <v>-2.1333317837173879E-3</v>
      </c>
      <c r="AN111">
        <f t="shared" ca="1" si="85"/>
        <v>1.3023502295904399</v>
      </c>
      <c r="AP111">
        <f t="shared" ca="1" si="94"/>
        <v>0.39376451489634123</v>
      </c>
      <c r="AQ111">
        <f t="shared" ca="1" si="74"/>
        <v>0.48346435775723845</v>
      </c>
      <c r="AR111">
        <f t="shared" ca="1" si="86"/>
        <v>0.1287568643749111</v>
      </c>
      <c r="AS111">
        <f t="shared" ca="1" si="87"/>
        <v>0.1287568643749111</v>
      </c>
      <c r="AT111" s="4">
        <f t="shared" ca="1" si="95"/>
        <v>48.626857199715069</v>
      </c>
      <c r="AU111">
        <f t="shared" ca="1" si="75"/>
        <v>-0.48018823166573643</v>
      </c>
      <c r="AV111">
        <f t="shared" ca="1" si="88"/>
        <v>-0.1839614959335783</v>
      </c>
      <c r="AW111">
        <f t="shared" ca="1" si="89"/>
        <v>-0.1839614959335783</v>
      </c>
      <c r="AX111" s="4" t="str">
        <f t="shared" ca="1" si="96"/>
        <v>ignore</v>
      </c>
    </row>
    <row r="112" spans="2:50" x14ac:dyDescent="0.2">
      <c r="B112">
        <v>82</v>
      </c>
      <c r="D112" s="11">
        <f t="shared" ca="1" si="78"/>
        <v>83.605999999999995</v>
      </c>
      <c r="F112" s="4">
        <f t="shared" ca="1" si="72"/>
        <v>399.64543230314746</v>
      </c>
      <c r="H112" s="4">
        <f t="shared" ca="1" si="79"/>
        <v>0.99264487302708371</v>
      </c>
      <c r="J112" s="11">
        <f t="shared" ca="1" si="80"/>
        <v>48.126018675714015</v>
      </c>
      <c r="L112" s="4">
        <f t="shared" ca="1" si="73"/>
        <v>18.730012696852555</v>
      </c>
      <c r="M112" s="4">
        <f t="shared" ca="1" si="76"/>
        <v>2062.5431612522507</v>
      </c>
      <c r="N112" s="4">
        <f t="shared" ca="1" si="77"/>
        <v>10.452414415406038</v>
      </c>
      <c r="R112" t="str">
        <f t="shared" ca="1" si="90"/>
        <v xml:space="preserve"> </v>
      </c>
      <c r="S112" s="11" t="str">
        <f t="shared" ca="1" si="81"/>
        <v xml:space="preserve"> </v>
      </c>
      <c r="T112" s="4" t="str">
        <f t="shared" ca="1" si="91"/>
        <v>none</v>
      </c>
      <c r="U112" s="4" t="str">
        <f t="shared" ca="1" si="82"/>
        <v xml:space="preserve"> </v>
      </c>
      <c r="V112" s="11" t="str">
        <f t="shared" ca="1" si="83"/>
        <v xml:space="preserve"> </v>
      </c>
      <c r="W112" s="4" t="str">
        <f t="shared" ca="1" si="92"/>
        <v xml:space="preserve"> </v>
      </c>
      <c r="AL112">
        <f t="shared" si="93"/>
        <v>0.13917310096006547</v>
      </c>
      <c r="AM112">
        <f t="shared" ca="1" si="84"/>
        <v>-1.8979347015394652E-3</v>
      </c>
      <c r="AN112">
        <f t="shared" ca="1" si="85"/>
        <v>1.3023492806420718</v>
      </c>
      <c r="AP112">
        <f t="shared" ca="1" si="94"/>
        <v>0.39376327903753494</v>
      </c>
      <c r="AQ112">
        <f t="shared" ca="1" si="74"/>
        <v>0.48328320586391604</v>
      </c>
      <c r="AR112">
        <f t="shared" ca="1" si="86"/>
        <v>0.11135910700388921</v>
      </c>
      <c r="AS112">
        <f t="shared" ca="1" si="87"/>
        <v>0.11135910700388921</v>
      </c>
      <c r="AT112" s="4">
        <f t="shared" ca="1" si="95"/>
        <v>48.126018675714015</v>
      </c>
      <c r="AU112">
        <f t="shared" ca="1" si="75"/>
        <v>-0.48036857346882811</v>
      </c>
      <c r="AV112">
        <f t="shared" ca="1" si="88"/>
        <v>-0.16685243877896969</v>
      </c>
      <c r="AW112">
        <f t="shared" ca="1" si="89"/>
        <v>-0.16685243877896969</v>
      </c>
      <c r="AX112" s="4" t="str">
        <f t="shared" ca="1" si="96"/>
        <v>ignore</v>
      </c>
    </row>
    <row r="113" spans="2:50" x14ac:dyDescent="0.2">
      <c r="B113">
        <v>83</v>
      </c>
      <c r="D113" s="11">
        <f t="shared" ca="1" si="78"/>
        <v>84.61</v>
      </c>
      <c r="F113" s="4">
        <f t="shared" ca="1" si="72"/>
        <v>399.27819682523784</v>
      </c>
      <c r="H113" s="4">
        <f t="shared" ca="1" si="79"/>
        <v>0.99361710450805441</v>
      </c>
      <c r="J113" s="11">
        <f t="shared" ca="1" si="80"/>
        <v>47.625401831330201</v>
      </c>
      <c r="L113" s="4">
        <f t="shared" ca="1" si="73"/>
        <v>19.097248174762171</v>
      </c>
      <c r="M113" s="4">
        <f t="shared" ca="1" si="76"/>
        <v>2082.6666210515341</v>
      </c>
      <c r="N113" s="4">
        <f t="shared" ca="1" si="77"/>
        <v>10.554394701319749</v>
      </c>
      <c r="R113" t="str">
        <f t="shared" ca="1" si="90"/>
        <v xml:space="preserve"> </v>
      </c>
      <c r="S113" s="11" t="str">
        <f t="shared" ca="1" si="81"/>
        <v xml:space="preserve"> </v>
      </c>
      <c r="T113" s="4" t="str">
        <f t="shared" ca="1" si="91"/>
        <v>none</v>
      </c>
      <c r="U113" s="4" t="str">
        <f t="shared" ca="1" si="82"/>
        <v xml:space="preserve"> </v>
      </c>
      <c r="V113" s="11" t="str">
        <f t="shared" ca="1" si="83"/>
        <v xml:space="preserve"> </v>
      </c>
      <c r="W113" s="4" t="str">
        <f t="shared" ca="1" si="92"/>
        <v xml:space="preserve"> </v>
      </c>
      <c r="AL113">
        <f t="shared" si="93"/>
        <v>0.12186934340514749</v>
      </c>
      <c r="AM113">
        <f t="shared" ca="1" si="84"/>
        <v>-1.6619594900657475E-3</v>
      </c>
      <c r="AN113">
        <f t="shared" ca="1" si="85"/>
        <v>1.302348440595287</v>
      </c>
      <c r="AP113">
        <f t="shared" ca="1" si="94"/>
        <v>0.39376218500623511</v>
      </c>
      <c r="AQ113">
        <f t="shared" ca="1" si="74"/>
        <v>0.48310165616913947</v>
      </c>
      <c r="AR113">
        <f t="shared" ca="1" si="86"/>
        <v>9.3935664758875617E-2</v>
      </c>
      <c r="AS113">
        <f t="shared" ca="1" si="87"/>
        <v>9.3935664758875617E-2</v>
      </c>
      <c r="AT113" s="4">
        <f t="shared" ca="1" si="95"/>
        <v>47.625401831330201</v>
      </c>
      <c r="AU113">
        <f t="shared" ca="1" si="75"/>
        <v>-0.48054940603659263</v>
      </c>
      <c r="AV113">
        <f t="shared" ca="1" si="88"/>
        <v>-0.14968456497457439</v>
      </c>
      <c r="AW113">
        <f t="shared" ca="1" si="89"/>
        <v>-0.14968456497457439</v>
      </c>
      <c r="AX113" s="4" t="str">
        <f t="shared" ca="1" si="96"/>
        <v>ignore</v>
      </c>
    </row>
    <row r="114" spans="2:50" x14ac:dyDescent="0.2">
      <c r="B114">
        <v>84</v>
      </c>
      <c r="D114" s="11">
        <f t="shared" ca="1" si="78"/>
        <v>85.613</v>
      </c>
      <c r="F114" s="4">
        <f t="shared" ca="1" si="72"/>
        <v>398.91053400129869</v>
      </c>
      <c r="H114" s="4">
        <f t="shared" ca="1" si="79"/>
        <v>0.99459245020928988</v>
      </c>
      <c r="J114" s="11">
        <f t="shared" ca="1" si="80"/>
        <v>47.125008063619795</v>
      </c>
      <c r="L114" s="4">
        <f t="shared" ca="1" si="73"/>
        <v>19.464910998701328</v>
      </c>
      <c r="M114" s="4">
        <f t="shared" ca="1" si="76"/>
        <v>2102.6206402652638</v>
      </c>
      <c r="N114" s="4">
        <f t="shared" ca="1" si="77"/>
        <v>10.655516307884456</v>
      </c>
      <c r="R114" t="str">
        <f t="shared" ca="1" si="90"/>
        <v xml:space="preserve"> </v>
      </c>
      <c r="S114" s="11" t="str">
        <f t="shared" ca="1" si="81"/>
        <v xml:space="preserve"> </v>
      </c>
      <c r="T114" s="4" t="str">
        <f t="shared" ca="1" si="91"/>
        <v>none</v>
      </c>
      <c r="U114" s="4" t="str">
        <f t="shared" ca="1" si="82"/>
        <v xml:space="preserve"> </v>
      </c>
      <c r="V114" s="11" t="str">
        <f t="shared" ca="1" si="83"/>
        <v xml:space="preserve"> </v>
      </c>
      <c r="W114" s="4" t="str">
        <f t="shared" ca="1" si="92"/>
        <v xml:space="preserve"> </v>
      </c>
      <c r="AL114">
        <f t="shared" si="93"/>
        <v>0.10452846326765346</v>
      </c>
      <c r="AM114">
        <f t="shared" ca="1" si="84"/>
        <v>-1.4254780296315925E-3</v>
      </c>
      <c r="AN114">
        <f t="shared" ca="1" si="85"/>
        <v>1.3023477104735535</v>
      </c>
      <c r="AP114">
        <f t="shared" ca="1" si="94"/>
        <v>0.39376123413535052</v>
      </c>
      <c r="AQ114">
        <f t="shared" ca="1" si="74"/>
        <v>0.48291976434693151</v>
      </c>
      <c r="AR114">
        <f t="shared" ca="1" si="86"/>
        <v>7.6491947133858165E-2</v>
      </c>
      <c r="AS114">
        <f t="shared" ca="1" si="87"/>
        <v>7.6491947133858165E-2</v>
      </c>
      <c r="AT114" s="4">
        <f t="shared" ca="1" si="95"/>
        <v>47.125008063619795</v>
      </c>
      <c r="AU114">
        <f t="shared" ca="1" si="75"/>
        <v>-0.48073067456980395</v>
      </c>
      <c r="AV114">
        <f t="shared" ca="1" si="88"/>
        <v>-0.13246297281131167</v>
      </c>
      <c r="AW114">
        <f t="shared" ca="1" si="89"/>
        <v>-0.13246297281131167</v>
      </c>
      <c r="AX114" s="4" t="str">
        <f t="shared" ca="1" si="96"/>
        <v>ignore</v>
      </c>
    </row>
    <row r="115" spans="2:50" x14ac:dyDescent="0.2">
      <c r="B115">
        <v>85</v>
      </c>
      <c r="D115" s="11">
        <f t="shared" ca="1" si="78"/>
        <v>86.616</v>
      </c>
      <c r="F115" s="4">
        <f t="shared" ca="1" si="72"/>
        <v>398.5425576498622</v>
      </c>
      <c r="H115" s="4">
        <f t="shared" ca="1" si="79"/>
        <v>0.9955706202593253</v>
      </c>
      <c r="J115" s="11">
        <f t="shared" ca="1" si="80"/>
        <v>46.6248386528639</v>
      </c>
      <c r="L115" s="4">
        <f t="shared" ca="1" si="73"/>
        <v>19.83288735013781</v>
      </c>
      <c r="M115" s="4">
        <f t="shared" ca="1" si="76"/>
        <v>2122.403907517903</v>
      </c>
      <c r="N115" s="4">
        <f t="shared" ca="1" si="77"/>
        <v>10.755772589401381</v>
      </c>
      <c r="R115" t="str">
        <f t="shared" ca="1" si="90"/>
        <v xml:space="preserve"> </v>
      </c>
      <c r="S115" s="11" t="str">
        <f t="shared" ca="1" si="81"/>
        <v xml:space="preserve"> </v>
      </c>
      <c r="T115" s="4" t="str">
        <f t="shared" ca="1" si="91"/>
        <v>none</v>
      </c>
      <c r="U115" s="4" t="str">
        <f t="shared" ca="1" si="82"/>
        <v xml:space="preserve"> </v>
      </c>
      <c r="V115" s="11" t="str">
        <f t="shared" ca="1" si="83"/>
        <v xml:space="preserve"> </v>
      </c>
      <c r="W115" s="4" t="str">
        <f t="shared" ca="1" si="92"/>
        <v xml:space="preserve"> </v>
      </c>
      <c r="AL115">
        <f t="shared" si="93"/>
        <v>8.7155742747658138E-2</v>
      </c>
      <c r="AM115">
        <f t="shared" ca="1" si="84"/>
        <v>-1.1885623547806961E-3</v>
      </c>
      <c r="AN115">
        <f t="shared" ca="1" si="85"/>
        <v>1.3023470911664117</v>
      </c>
      <c r="AP115">
        <f t="shared" ca="1" si="94"/>
        <v>0.39376042758337082</v>
      </c>
      <c r="AQ115">
        <f t="shared" ca="1" si="74"/>
        <v>0.48273758613348666</v>
      </c>
      <c r="AR115">
        <f t="shared" ca="1" si="86"/>
        <v>5.9033354235142957E-2</v>
      </c>
      <c r="AS115">
        <f t="shared" ca="1" si="87"/>
        <v>5.9033354235142957E-2</v>
      </c>
      <c r="AT115" s="4">
        <f t="shared" ca="1" si="95"/>
        <v>46.6248386528639</v>
      </c>
      <c r="AU115">
        <f t="shared" ca="1" si="75"/>
        <v>-0.48091232409260293</v>
      </c>
      <c r="AV115">
        <f t="shared" ca="1" si="88"/>
        <v>-0.11519279191686532</v>
      </c>
      <c r="AW115">
        <f t="shared" ca="1" si="89"/>
        <v>-0.11519279191686532</v>
      </c>
      <c r="AX115" s="4" t="str">
        <f t="shared" ca="1" si="96"/>
        <v>ignore</v>
      </c>
    </row>
    <row r="116" spans="2:50" x14ac:dyDescent="0.2">
      <c r="B116">
        <v>86</v>
      </c>
      <c r="D116" s="11">
        <f t="shared" ca="1" si="78"/>
        <v>87.617999999999995</v>
      </c>
      <c r="F116" s="4">
        <f t="shared" ca="1" si="72"/>
        <v>398.17438135518466</v>
      </c>
      <c r="H116" s="4">
        <f t="shared" ca="1" si="79"/>
        <v>0.99655132300615112</v>
      </c>
      <c r="J116" s="11">
        <f t="shared" ca="1" si="80"/>
        <v>46.124894764896965</v>
      </c>
      <c r="L116" s="4">
        <f t="shared" ca="1" si="73"/>
        <v>20.201063644815349</v>
      </c>
      <c r="M116" s="4">
        <f t="shared" ca="1" si="76"/>
        <v>2142.0151315990756</v>
      </c>
      <c r="N116" s="4">
        <f t="shared" ca="1" si="77"/>
        <v>10.855157002363365</v>
      </c>
      <c r="R116" t="str">
        <f t="shared" ca="1" si="90"/>
        <v xml:space="preserve"> </v>
      </c>
      <c r="S116" s="11" t="str">
        <f t="shared" ca="1" si="81"/>
        <v xml:space="preserve"> </v>
      </c>
      <c r="T116" s="4" t="str">
        <f t="shared" ca="1" si="91"/>
        <v>none</v>
      </c>
      <c r="U116" s="4" t="str">
        <f t="shared" ca="1" si="82"/>
        <v xml:space="preserve"> </v>
      </c>
      <c r="V116" s="11" t="str">
        <f t="shared" ca="1" si="83"/>
        <v xml:space="preserve"> </v>
      </c>
      <c r="W116" s="4" t="str">
        <f t="shared" ca="1" si="92"/>
        <v xml:space="preserve"> </v>
      </c>
      <c r="AL116">
        <f t="shared" si="93"/>
        <v>6.9756473744125233E-2</v>
      </c>
      <c r="AM116">
        <f t="shared" ca="1" si="84"/>
        <v>-9.5128463232267116E-4</v>
      </c>
      <c r="AN116">
        <f t="shared" ca="1" si="85"/>
        <v>1.302346583428392</v>
      </c>
      <c r="AP116">
        <f t="shared" ca="1" si="94"/>
        <v>0.39375976633295529</v>
      </c>
      <c r="AQ116">
        <f t="shared" ca="1" si="74"/>
        <v>0.48255517730972008</v>
      </c>
      <c r="AR116">
        <f t="shared" ca="1" si="86"/>
        <v>4.1565275053848605E-2</v>
      </c>
      <c r="AS116">
        <f t="shared" ca="1" si="87"/>
        <v>4.1565275053848605E-2</v>
      </c>
      <c r="AT116" s="4">
        <f t="shared" ca="1" si="95"/>
        <v>46.124894764896965</v>
      </c>
      <c r="AU116">
        <f t="shared" ca="1" si="75"/>
        <v>-0.48109429946901749</v>
      </c>
      <c r="AV116">
        <f t="shared" ca="1" si="88"/>
        <v>-9.7879181856998343E-2</v>
      </c>
      <c r="AW116">
        <f t="shared" ca="1" si="89"/>
        <v>-9.7879181856998343E-2</v>
      </c>
      <c r="AX116" s="4" t="str">
        <f t="shared" ca="1" si="96"/>
        <v>ignore</v>
      </c>
    </row>
    <row r="117" spans="2:50" x14ac:dyDescent="0.2">
      <c r="B117">
        <v>87</v>
      </c>
      <c r="D117" s="11">
        <f t="shared" ca="1" si="78"/>
        <v>88.619</v>
      </c>
      <c r="F117" s="4">
        <f t="shared" ca="1" si="72"/>
        <v>397.80611843131516</v>
      </c>
      <c r="H117" s="4">
        <f t="shared" ca="1" si="79"/>
        <v>0.99753426509677057</v>
      </c>
      <c r="J117" s="11">
        <f t="shared" ca="1" si="80"/>
        <v>45.625177453292345</v>
      </c>
      <c r="L117" s="4">
        <f t="shared" ca="1" si="73"/>
        <v>20.569326568684858</v>
      </c>
      <c r="M117" s="4">
        <f t="shared" ca="1" si="76"/>
        <v>2161.4530414053115</v>
      </c>
      <c r="N117" s="4">
        <f t="shared" ca="1" si="77"/>
        <v>10.953663105159636</v>
      </c>
      <c r="R117" t="str">
        <f t="shared" ca="1" si="90"/>
        <v xml:space="preserve"> </v>
      </c>
      <c r="S117" s="11" t="str">
        <f t="shared" ca="1" si="81"/>
        <v xml:space="preserve"> </v>
      </c>
      <c r="T117" s="4" t="str">
        <f t="shared" ca="1" si="91"/>
        <v>none</v>
      </c>
      <c r="U117" s="4" t="str">
        <f t="shared" ca="1" si="82"/>
        <v xml:space="preserve"> </v>
      </c>
      <c r="V117" s="11" t="str">
        <f t="shared" ca="1" si="83"/>
        <v xml:space="preserve"> </v>
      </c>
      <c r="W117" s="4" t="str">
        <f t="shared" ca="1" si="92"/>
        <v xml:space="preserve"> </v>
      </c>
      <c r="AL117">
        <f t="shared" si="93"/>
        <v>5.2335956242943966E-2</v>
      </c>
      <c r="AM117">
        <f t="shared" ca="1" si="84"/>
        <v>-7.1371713935034279E-4</v>
      </c>
      <c r="AN117">
        <f t="shared" ca="1" si="85"/>
        <v>1.3023461878780953</v>
      </c>
      <c r="AP117">
        <f t="shared" ca="1" si="94"/>
        <v>0.39375925118973576</v>
      </c>
      <c r="AQ117">
        <f t="shared" ca="1" si="74"/>
        <v>0.48237259368385438</v>
      </c>
      <c r="AR117">
        <f t="shared" ca="1" si="86"/>
        <v>2.4093085761187683E-2</v>
      </c>
      <c r="AS117">
        <f t="shared" ca="1" si="87"/>
        <v>2.4093085761187683E-2</v>
      </c>
      <c r="AT117" s="4">
        <f t="shared" ca="1" si="95"/>
        <v>45.625177453292345</v>
      </c>
      <c r="AU117">
        <f t="shared" ca="1" si="75"/>
        <v>-0.48127654541958576</v>
      </c>
      <c r="AV117">
        <f t="shared" ca="1" si="88"/>
        <v>-8.0527330709741718E-2</v>
      </c>
      <c r="AW117">
        <f t="shared" ca="1" si="89"/>
        <v>-8.0527330709741718E-2</v>
      </c>
      <c r="AX117" s="4" t="str">
        <f t="shared" ca="1" si="96"/>
        <v>ignore</v>
      </c>
    </row>
    <row r="118" spans="2:50" x14ac:dyDescent="0.2">
      <c r="B118">
        <v>88</v>
      </c>
      <c r="D118" s="11">
        <f t="shared" ca="1" si="78"/>
        <v>89.620999999999995</v>
      </c>
      <c r="F118" s="4">
        <f t="shared" ca="1" si="72"/>
        <v>397.43788188665928</v>
      </c>
      <c r="H118" s="4">
        <f t="shared" ca="1" si="79"/>
        <v>0.99851915155837334</v>
      </c>
      <c r="J118" s="11">
        <f t="shared" ca="1" si="80"/>
        <v>45.125687661423243</v>
      </c>
      <c r="L118" s="4">
        <f t="shared" ca="1" si="73"/>
        <v>20.93756311334073</v>
      </c>
      <c r="M118" s="4">
        <f t="shared" ca="1" si="76"/>
        <v>2180.7163858701674</v>
      </c>
      <c r="N118" s="4">
        <f t="shared" ca="1" si="77"/>
        <v>11.051284557721699</v>
      </c>
      <c r="R118" t="str">
        <f t="shared" ca="1" si="90"/>
        <v xml:space="preserve"> </v>
      </c>
      <c r="S118" s="11" t="str">
        <f t="shared" ca="1" si="81"/>
        <v xml:space="preserve"> </v>
      </c>
      <c r="T118" s="4" t="str">
        <f t="shared" ca="1" si="91"/>
        <v>none</v>
      </c>
      <c r="U118" s="4" t="str">
        <f t="shared" ca="1" si="82"/>
        <v xml:space="preserve"> </v>
      </c>
      <c r="V118" s="11" t="str">
        <f t="shared" ca="1" si="83"/>
        <v xml:space="preserve"> </v>
      </c>
      <c r="W118" s="4" t="str">
        <f t="shared" ca="1" si="92"/>
        <v xml:space="preserve"> </v>
      </c>
      <c r="AL118">
        <f t="shared" si="93"/>
        <v>3.489949670250108E-2</v>
      </c>
      <c r="AM118">
        <f t="shared" ca="1" si="84"/>
        <v>-4.7593224122343205E-4</v>
      </c>
      <c r="AN118">
        <f t="shared" ca="1" si="85"/>
        <v>1.3023459049974386</v>
      </c>
      <c r="AP118">
        <f t="shared" ca="1" si="94"/>
        <v>0.39375888278133492</v>
      </c>
      <c r="AQ118">
        <f t="shared" ca="1" si="74"/>
        <v>0.48218989107404986</v>
      </c>
      <c r="AR118">
        <f t="shared" ca="1" si="86"/>
        <v>6.6221480270653599E-3</v>
      </c>
      <c r="AS118">
        <f t="shared" ca="1" si="87"/>
        <v>6.6221480270653599E-3</v>
      </c>
      <c r="AT118" s="4">
        <f t="shared" ca="1" si="95"/>
        <v>45.125687661423243</v>
      </c>
      <c r="AU118">
        <f t="shared" ca="1" si="75"/>
        <v>-0.48145900653807955</v>
      </c>
      <c r="AV118">
        <f t="shared" ca="1" si="88"/>
        <v>-6.314245361265125E-2</v>
      </c>
      <c r="AW118">
        <f t="shared" ca="1" si="89"/>
        <v>-6.314245361265125E-2</v>
      </c>
      <c r="AX118" s="4" t="str">
        <f t="shared" ca="1" si="96"/>
        <v>ignore</v>
      </c>
    </row>
    <row r="119" spans="2:50" x14ac:dyDescent="0.2">
      <c r="B119">
        <v>89</v>
      </c>
      <c r="D119" s="11">
        <f t="shared" ca="1" si="78"/>
        <v>90.620999999999995</v>
      </c>
      <c r="F119" s="4">
        <f t="shared" ca="1" si="72"/>
        <v>397.06978438903866</v>
      </c>
      <c r="H119" s="4">
        <f t="shared" ca="1" si="79"/>
        <v>0.99950568588113142</v>
      </c>
      <c r="J119" s="11">
        <f t="shared" ca="1" si="80"/>
        <v>44.626426224397107</v>
      </c>
      <c r="L119" s="4">
        <f t="shared" ca="1" si="73"/>
        <v>21.305660610961354</v>
      </c>
      <c r="M119" s="4">
        <f t="shared" ca="1" si="76"/>
        <v>2199.8039338989106</v>
      </c>
      <c r="N119" s="4">
        <f t="shared" ca="1" si="77"/>
        <v>11.148015121192312</v>
      </c>
      <c r="R119" t="str">
        <f t="shared" ca="1" si="90"/>
        <v xml:space="preserve"> </v>
      </c>
      <c r="S119" s="11" t="str">
        <f t="shared" ca="1" si="81"/>
        <v xml:space="preserve"> </v>
      </c>
      <c r="T119" s="4" t="str">
        <f t="shared" ca="1" si="91"/>
        <v>none</v>
      </c>
      <c r="U119" s="4" t="str">
        <f t="shared" ca="1" si="82"/>
        <v xml:space="preserve"> </v>
      </c>
      <c r="V119" s="11" t="str">
        <f t="shared" ca="1" si="83"/>
        <v xml:space="preserve"> </v>
      </c>
      <c r="W119" s="4" t="str">
        <f t="shared" ca="1" si="92"/>
        <v xml:space="preserve"> </v>
      </c>
      <c r="AL119">
        <f t="shared" si="93"/>
        <v>1.7452406437283598E-2</v>
      </c>
      <c r="AM119">
        <f t="shared" ca="1" si="84"/>
        <v>-2.3800236952538551E-4</v>
      </c>
      <c r="AN119">
        <f t="shared" ca="1" si="85"/>
        <v>1.3023457351310683</v>
      </c>
      <c r="AP119">
        <f t="shared" ca="1" si="94"/>
        <v>0.39375866155660161</v>
      </c>
      <c r="AQ119">
        <f t="shared" ca="1" si="74"/>
        <v>0.48200712529108297</v>
      </c>
      <c r="AR119">
        <f t="shared" ca="1" si="86"/>
        <v>-1.0842192637500303E-2</v>
      </c>
      <c r="AS119">
        <f t="shared" ca="1" si="87"/>
        <v>-1.0842192637500303E-2</v>
      </c>
      <c r="AT119" s="4">
        <f t="shared" ca="1" si="95"/>
        <v>44.626426224397107</v>
      </c>
      <c r="AU119">
        <f t="shared" ca="1" si="75"/>
        <v>-0.48164162730831961</v>
      </c>
      <c r="AV119">
        <f t="shared" ca="1" si="88"/>
        <v>-4.572979128335921E-2</v>
      </c>
      <c r="AW119">
        <f t="shared" ca="1" si="89"/>
        <v>-4.572979128335921E-2</v>
      </c>
      <c r="AX119" s="4" t="str">
        <f t="shared" ca="1" si="96"/>
        <v>ignore</v>
      </c>
    </row>
    <row r="120" spans="2:50" x14ac:dyDescent="0.2">
      <c r="B120">
        <v>90</v>
      </c>
      <c r="D120" s="11">
        <f t="shared" ca="1" si="78"/>
        <v>91.620999999999995</v>
      </c>
      <c r="F120" s="4">
        <f t="shared" ca="1" si="72"/>
        <v>396.70193823126846</v>
      </c>
      <c r="H120" s="4">
        <f t="shared" ca="1" si="79"/>
        <v>1.0004935701025899</v>
      </c>
      <c r="J120" s="11">
        <f t="shared" ca="1" si="80"/>
        <v>44.127393870892845</v>
      </c>
      <c r="L120" s="4">
        <f t="shared" ca="1" si="73"/>
        <v>21.673506768731556</v>
      </c>
      <c r="M120" s="4">
        <f t="shared" ca="1" si="76"/>
        <v>2218.7144742910073</v>
      </c>
      <c r="N120" s="4">
        <f t="shared" ca="1" si="77"/>
        <v>11.243848657532691</v>
      </c>
      <c r="R120" t="str">
        <f t="shared" ca="1" si="90"/>
        <v xml:space="preserve"> </v>
      </c>
      <c r="S120" s="11" t="str">
        <f t="shared" ca="1" si="81"/>
        <v xml:space="preserve"> </v>
      </c>
      <c r="T120" s="4" t="str">
        <f t="shared" ca="1" si="91"/>
        <v>none</v>
      </c>
      <c r="U120" s="4" t="str">
        <f t="shared" ca="1" si="82"/>
        <v xml:space="preserve"> </v>
      </c>
      <c r="V120" s="11" t="str">
        <f t="shared" ca="1" si="83"/>
        <v xml:space="preserve"> </v>
      </c>
      <c r="W120" s="4" t="str">
        <f t="shared" ca="1" si="92"/>
        <v xml:space="preserve"> </v>
      </c>
      <c r="AL120">
        <f t="shared" si="93"/>
        <v>6.1257422745431001E-17</v>
      </c>
      <c r="AM120">
        <f t="shared" ca="1" si="84"/>
        <v>-8.3538117318221563E-19</v>
      </c>
      <c r="AN120">
        <f t="shared" ca="1" si="85"/>
        <v>1.3023456784859404</v>
      </c>
      <c r="AP120">
        <f t="shared" ca="1" si="94"/>
        <v>0.39375858778506406</v>
      </c>
      <c r="AQ120">
        <f t="shared" ca="1" si="74"/>
        <v>0.48182435212108154</v>
      </c>
      <c r="AR120">
        <f t="shared" ca="1" si="86"/>
        <v>-2.8294608513671961E-2</v>
      </c>
      <c r="AS120">
        <f t="shared" ca="1" si="87"/>
        <v>-2.8294608513671961E-2</v>
      </c>
      <c r="AT120" s="4">
        <f t="shared" ca="1" si="95"/>
        <v>44.127393870892845</v>
      </c>
      <c r="AU120">
        <f t="shared" ca="1" si="75"/>
        <v>-0.48182435212108154</v>
      </c>
      <c r="AV120">
        <f t="shared" ca="1" si="88"/>
        <v>-2.8294608513672083E-2</v>
      </c>
      <c r="AW120">
        <f t="shared" ca="1" si="89"/>
        <v>-2.8294608513672083E-2</v>
      </c>
      <c r="AX120" s="4" t="str">
        <f t="shared" ca="1" si="96"/>
        <v>ignore</v>
      </c>
    </row>
    <row r="121" spans="2:50" x14ac:dyDescent="0.2">
      <c r="B121">
        <v>91</v>
      </c>
      <c r="D121" s="11">
        <f t="shared" ca="1" si="78"/>
        <v>92.620999999999995</v>
      </c>
      <c r="F121" s="4">
        <f t="shared" ca="1" si="72"/>
        <v>396.33445529725157</v>
      </c>
      <c r="H121" s="4">
        <f t="shared" ca="1" si="79"/>
        <v>1.0014825048936484</v>
      </c>
      <c r="J121" s="11">
        <f t="shared" ca="1" si="80"/>
        <v>43.628591224894613</v>
      </c>
      <c r="L121" s="4">
        <f t="shared" ca="1" si="73"/>
        <v>22.040989702748448</v>
      </c>
      <c r="M121" s="4">
        <f t="shared" ca="1" si="76"/>
        <v>2237.4468156569551</v>
      </c>
      <c r="N121" s="4">
        <f t="shared" ca="1" si="77"/>
        <v>11.338779129101036</v>
      </c>
      <c r="R121" t="str">
        <f t="shared" ca="1" si="90"/>
        <v xml:space="preserve"> </v>
      </c>
      <c r="S121" s="11" t="str">
        <f t="shared" ca="1" si="81"/>
        <v xml:space="preserve"> </v>
      </c>
      <c r="T121" s="4" t="str">
        <f t="shared" ca="1" si="91"/>
        <v>none</v>
      </c>
      <c r="U121" s="4" t="str">
        <f t="shared" ca="1" si="82"/>
        <v xml:space="preserve"> </v>
      </c>
      <c r="V121" s="11" t="str">
        <f t="shared" ca="1" si="83"/>
        <v xml:space="preserve"> </v>
      </c>
      <c r="W121" s="4" t="str">
        <f t="shared" ca="1" si="92"/>
        <v xml:space="preserve"> </v>
      </c>
      <c r="AL121">
        <f t="shared" si="93"/>
        <v>-1.7452406437283477E-2</v>
      </c>
      <c r="AM121">
        <f t="shared" ca="1" si="84"/>
        <v>2.3800236952538386E-4</v>
      </c>
      <c r="AN121">
        <f t="shared" ca="1" si="85"/>
        <v>1.3023457351310683</v>
      </c>
      <c r="AP121">
        <f t="shared" ca="1" si="94"/>
        <v>0.39375866155660161</v>
      </c>
      <c r="AQ121">
        <f t="shared" ca="1" si="74"/>
        <v>0.48164162730831961</v>
      </c>
      <c r="AR121">
        <f t="shared" ca="1" si="86"/>
        <v>-4.5729791283359085E-2</v>
      </c>
      <c r="AS121">
        <f t="shared" ca="1" si="87"/>
        <v>-4.5729791283359085E-2</v>
      </c>
      <c r="AT121" s="4">
        <f t="shared" ca="1" si="95"/>
        <v>43.628591224894613</v>
      </c>
      <c r="AU121">
        <f t="shared" ca="1" si="75"/>
        <v>-0.48200712529108297</v>
      </c>
      <c r="AV121">
        <f t="shared" ca="1" si="88"/>
        <v>-1.0842192637500426E-2</v>
      </c>
      <c r="AW121">
        <f t="shared" ca="1" si="89"/>
        <v>-1.0842192637500426E-2</v>
      </c>
      <c r="AX121" s="4" t="str">
        <f t="shared" ca="1" si="96"/>
        <v>ignore</v>
      </c>
    </row>
    <row r="122" spans="2:50" x14ac:dyDescent="0.2">
      <c r="B122">
        <v>92</v>
      </c>
      <c r="D122" s="11">
        <f t="shared" ca="1" si="78"/>
        <v>93.62</v>
      </c>
      <c r="F122" s="4">
        <f t="shared" ca="1" si="72"/>
        <v>395.96744702860747</v>
      </c>
      <c r="H122" s="4">
        <f t="shared" ca="1" si="79"/>
        <v>1.0024721896461124</v>
      </c>
      <c r="J122" s="11">
        <f t="shared" ca="1" si="80"/>
        <v>43.130018807345095</v>
      </c>
      <c r="L122" s="4">
        <f t="shared" ca="1" si="73"/>
        <v>22.407997971392547</v>
      </c>
      <c r="M122" s="4">
        <f t="shared" ca="1" si="76"/>
        <v>2255.9997863312883</v>
      </c>
      <c r="N122" s="4">
        <f t="shared" ca="1" si="77"/>
        <v>11.43280059821166</v>
      </c>
      <c r="R122" t="str">
        <f t="shared" ca="1" si="90"/>
        <v xml:space="preserve"> </v>
      </c>
      <c r="S122" s="11" t="str">
        <f t="shared" ca="1" si="81"/>
        <v xml:space="preserve"> </v>
      </c>
      <c r="T122" s="4" t="str">
        <f t="shared" ca="1" si="91"/>
        <v>none</v>
      </c>
      <c r="U122" s="4" t="str">
        <f t="shared" ca="1" si="82"/>
        <v xml:space="preserve"> </v>
      </c>
      <c r="V122" s="11" t="str">
        <f t="shared" ca="1" si="83"/>
        <v xml:space="preserve"> </v>
      </c>
      <c r="W122" s="4" t="str">
        <f t="shared" ca="1" si="92"/>
        <v xml:space="preserve"> </v>
      </c>
      <c r="AL122">
        <f t="shared" si="93"/>
        <v>-3.4899496702500955E-2</v>
      </c>
      <c r="AM122">
        <f t="shared" ca="1" si="84"/>
        <v>4.7593224122343032E-4</v>
      </c>
      <c r="AN122">
        <f t="shared" ca="1" si="85"/>
        <v>1.3023459049974386</v>
      </c>
      <c r="AP122">
        <f t="shared" ca="1" si="94"/>
        <v>0.39375888278133492</v>
      </c>
      <c r="AQ122">
        <f t="shared" ca="1" si="74"/>
        <v>0.48145900653807955</v>
      </c>
      <c r="AR122">
        <f t="shared" ca="1" si="86"/>
        <v>-6.3142453612651125E-2</v>
      </c>
      <c r="AS122">
        <f t="shared" ca="1" si="87"/>
        <v>-6.3142453612651125E-2</v>
      </c>
      <c r="AT122" s="4">
        <f t="shared" ca="1" si="95"/>
        <v>43.130018807345095</v>
      </c>
      <c r="AU122">
        <f t="shared" ca="1" si="75"/>
        <v>-0.48218989107404986</v>
      </c>
      <c r="AV122">
        <f t="shared" ca="1" si="88"/>
        <v>6.6221480270652376E-3</v>
      </c>
      <c r="AW122">
        <f t="shared" ca="1" si="89"/>
        <v>6.6221480270652376E-3</v>
      </c>
      <c r="AX122" s="4" t="str">
        <f t="shared" ca="1" si="96"/>
        <v>ignore</v>
      </c>
    </row>
    <row r="123" spans="2:50" x14ac:dyDescent="0.2">
      <c r="B123">
        <v>93</v>
      </c>
      <c r="D123" s="11">
        <f t="shared" ca="1" si="78"/>
        <v>94.619</v>
      </c>
      <c r="F123" s="4">
        <f t="shared" ca="1" si="72"/>
        <v>395.60102439182987</v>
      </c>
      <c r="H123" s="4">
        <f t="shared" ca="1" si="79"/>
        <v>1.0034623225618036</v>
      </c>
      <c r="J123" s="11">
        <f t="shared" ca="1" si="80"/>
        <v>42.631677037707902</v>
      </c>
      <c r="L123" s="4">
        <f t="shared" ca="1" si="73"/>
        <v>22.774420608170146</v>
      </c>
      <c r="M123" s="4">
        <f t="shared" ca="1" si="76"/>
        <v>2274.3722342801134</v>
      </c>
      <c r="N123" s="4">
        <f t="shared" ca="1" si="77"/>
        <v>11.525907226666408</v>
      </c>
      <c r="R123" t="str">
        <f t="shared" ca="1" si="90"/>
        <v xml:space="preserve"> </v>
      </c>
      <c r="S123" s="11" t="str">
        <f t="shared" ca="1" si="81"/>
        <v xml:space="preserve"> </v>
      </c>
      <c r="T123" s="4" t="str">
        <f t="shared" ca="1" si="91"/>
        <v>none</v>
      </c>
      <c r="U123" s="4" t="str">
        <f t="shared" ca="1" si="82"/>
        <v xml:space="preserve"> </v>
      </c>
      <c r="V123" s="11" t="str">
        <f t="shared" ca="1" si="83"/>
        <v xml:space="preserve"> </v>
      </c>
      <c r="W123" s="4" t="str">
        <f t="shared" ca="1" si="92"/>
        <v xml:space="preserve"> </v>
      </c>
      <c r="AL123">
        <f t="shared" si="93"/>
        <v>-5.2335956242943842E-2</v>
      </c>
      <c r="AM123">
        <f t="shared" ca="1" si="84"/>
        <v>7.1371713935034105E-4</v>
      </c>
      <c r="AN123">
        <f t="shared" ca="1" si="85"/>
        <v>1.3023461878780953</v>
      </c>
      <c r="AP123">
        <f t="shared" ca="1" si="94"/>
        <v>0.39375925118973576</v>
      </c>
      <c r="AQ123">
        <f t="shared" ca="1" si="74"/>
        <v>0.48127654541958576</v>
      </c>
      <c r="AR123">
        <f t="shared" ca="1" si="86"/>
        <v>-8.0527330709741607E-2</v>
      </c>
      <c r="AS123">
        <f t="shared" ca="1" si="87"/>
        <v>-8.0527330709741607E-2</v>
      </c>
      <c r="AT123" s="4">
        <f t="shared" ca="1" si="95"/>
        <v>42.631677037707902</v>
      </c>
      <c r="AU123">
        <f t="shared" ca="1" si="75"/>
        <v>-0.48237259368385438</v>
      </c>
      <c r="AV123">
        <f t="shared" ca="1" si="88"/>
        <v>2.4093085761187558E-2</v>
      </c>
      <c r="AW123">
        <f t="shared" ca="1" si="89"/>
        <v>2.4093085761187558E-2</v>
      </c>
      <c r="AX123" s="4" t="str">
        <f t="shared" ca="1" si="96"/>
        <v>ignore</v>
      </c>
    </row>
    <row r="124" spans="2:50" x14ac:dyDescent="0.2">
      <c r="B124">
        <v>94</v>
      </c>
      <c r="D124" s="11">
        <f t="shared" ca="1" si="78"/>
        <v>95.617000000000004</v>
      </c>
      <c r="F124" s="4">
        <f t="shared" ca="1" si="72"/>
        <v>395.23529784600373</v>
      </c>
      <c r="H124" s="4">
        <f t="shared" ca="1" si="79"/>
        <v>1.0044526007431964</v>
      </c>
      <c r="J124" s="11">
        <f t="shared" ca="1" si="80"/>
        <v>42.133566235476785</v>
      </c>
      <c r="L124" s="4">
        <f t="shared" ca="1" si="73"/>
        <v>23.140147153996281</v>
      </c>
      <c r="M124" s="4">
        <f t="shared" ca="1" si="76"/>
        <v>2292.5630270020151</v>
      </c>
      <c r="N124" s="4">
        <f t="shared" ca="1" si="77"/>
        <v>11.618093275252479</v>
      </c>
      <c r="R124" t="str">
        <f t="shared" ca="1" si="90"/>
        <v xml:space="preserve"> </v>
      </c>
      <c r="S124" s="11" t="str">
        <f t="shared" ca="1" si="81"/>
        <v xml:space="preserve"> </v>
      </c>
      <c r="T124" s="4" t="str">
        <f t="shared" ca="1" si="91"/>
        <v>none</v>
      </c>
      <c r="U124" s="4" t="str">
        <f t="shared" ca="1" si="82"/>
        <v xml:space="preserve"> </v>
      </c>
      <c r="V124" s="11" t="str">
        <f t="shared" ca="1" si="83"/>
        <v xml:space="preserve"> </v>
      </c>
      <c r="W124" s="4" t="str">
        <f t="shared" ca="1" si="92"/>
        <v xml:space="preserve"> </v>
      </c>
      <c r="AL124">
        <f t="shared" si="93"/>
        <v>-6.975647374412533E-2</v>
      </c>
      <c r="AM124">
        <f t="shared" ca="1" si="84"/>
        <v>9.5128463232267246E-4</v>
      </c>
      <c r="AN124">
        <f t="shared" ca="1" si="85"/>
        <v>1.302346583428392</v>
      </c>
      <c r="AP124">
        <f t="shared" ca="1" si="94"/>
        <v>0.39375976633295529</v>
      </c>
      <c r="AQ124">
        <f t="shared" ca="1" si="74"/>
        <v>0.48109429946901749</v>
      </c>
      <c r="AR124">
        <f t="shared" ca="1" si="86"/>
        <v>-9.7879181856998426E-2</v>
      </c>
      <c r="AS124">
        <f t="shared" ca="1" si="87"/>
        <v>-9.7879181856998426E-2</v>
      </c>
      <c r="AT124" s="4">
        <f t="shared" ca="1" si="95"/>
        <v>42.133566235476785</v>
      </c>
      <c r="AU124">
        <f t="shared" ca="1" si="75"/>
        <v>-0.48255517730972008</v>
      </c>
      <c r="AV124">
        <f t="shared" ca="1" si="88"/>
        <v>4.1565275053848709E-2</v>
      </c>
      <c r="AW124">
        <f t="shared" ca="1" si="89"/>
        <v>4.1565275053848709E-2</v>
      </c>
      <c r="AX124" s="4" t="str">
        <f t="shared" ca="1" si="96"/>
        <v>ignore</v>
      </c>
    </row>
    <row r="125" spans="2:50" x14ac:dyDescent="0.2">
      <c r="B125">
        <v>95</v>
      </c>
      <c r="D125" s="11">
        <f t="shared" ca="1" si="78"/>
        <v>96.614999999999995</v>
      </c>
      <c r="F125" s="4">
        <f t="shared" ca="1" si="72"/>
        <v>394.87037731105625</v>
      </c>
      <c r="H125" s="4">
        <f t="shared" ca="1" si="79"/>
        <v>1.0054427202855776</v>
      </c>
      <c r="J125" s="11">
        <f t="shared" ca="1" si="80"/>
        <v>41.635686621597742</v>
      </c>
      <c r="L125" s="4">
        <f t="shared" ca="1" si="73"/>
        <v>23.505067688943768</v>
      </c>
      <c r="M125" s="4">
        <f t="shared" ca="1" si="76"/>
        <v>2310.5710514249531</v>
      </c>
      <c r="N125" s="4">
        <f t="shared" ca="1" si="77"/>
        <v>11.70935310321992</v>
      </c>
      <c r="R125" t="str">
        <f t="shared" ca="1" si="90"/>
        <v xml:space="preserve"> </v>
      </c>
      <c r="S125" s="11" t="str">
        <f t="shared" ca="1" si="81"/>
        <v xml:space="preserve"> </v>
      </c>
      <c r="T125" s="4" t="str">
        <f t="shared" ca="1" si="91"/>
        <v>none</v>
      </c>
      <c r="U125" s="4" t="str">
        <f t="shared" ca="1" si="82"/>
        <v xml:space="preserve"> </v>
      </c>
      <c r="V125" s="11" t="str">
        <f t="shared" ca="1" si="83"/>
        <v xml:space="preserve"> </v>
      </c>
      <c r="W125" s="4" t="str">
        <f t="shared" ca="1" si="92"/>
        <v xml:space="preserve"> </v>
      </c>
      <c r="AL125">
        <f t="shared" si="93"/>
        <v>-8.7155742747658235E-2</v>
      </c>
      <c r="AM125">
        <f t="shared" ca="1" si="84"/>
        <v>1.1885623547806974E-3</v>
      </c>
      <c r="AN125">
        <f t="shared" ca="1" si="85"/>
        <v>1.3023470911664117</v>
      </c>
      <c r="AP125">
        <f t="shared" ca="1" si="94"/>
        <v>0.39376042758337082</v>
      </c>
      <c r="AQ125">
        <f t="shared" ca="1" si="74"/>
        <v>0.48091232409260293</v>
      </c>
      <c r="AR125">
        <f t="shared" ca="1" si="86"/>
        <v>-0.11519279191686541</v>
      </c>
      <c r="AS125">
        <f t="shared" ca="1" si="87"/>
        <v>-0.11519279191686541</v>
      </c>
      <c r="AT125" s="4">
        <f t="shared" ca="1" si="95"/>
        <v>41.635686621597742</v>
      </c>
      <c r="AU125">
        <f t="shared" ca="1" si="75"/>
        <v>-0.48273758613348666</v>
      </c>
      <c r="AV125">
        <f t="shared" ca="1" si="88"/>
        <v>5.9033354235143047E-2</v>
      </c>
      <c r="AW125">
        <f t="shared" ca="1" si="89"/>
        <v>5.9033354235143047E-2</v>
      </c>
      <c r="AX125" s="4" t="str">
        <f t="shared" ca="1" si="96"/>
        <v>ignore</v>
      </c>
    </row>
    <row r="126" spans="2:50" x14ac:dyDescent="0.2">
      <c r="B126">
        <v>96</v>
      </c>
      <c r="D126" s="11">
        <f t="shared" ref="D126:D157" ca="1" si="97">IF(ISNUMBER(F126),IF(ABS(AS126-1)&lt;0.000001,0,IF(ABS(AS126+1)&lt;0.000001,180,ROUND(DEGREES(ACOS(AS126)),3)))," ")</f>
        <v>97.611999999999995</v>
      </c>
      <c r="F126" s="4">
        <f t="shared" ca="1" si="72"/>
        <v>394.50637213658104</v>
      </c>
      <c r="H126" s="4">
        <f t="shared" ref="H126:H157" ca="1" si="98">IF(ISNUMBER(F126),$AK$15*(1+AM126/AQ126)/(1+$AG$15*$AK$15*AS126)/AQ126," ")</f>
        <v>1.0064323763706855</v>
      </c>
      <c r="J126" s="11">
        <f t="shared" ref="J126:J157" ca="1" si="99">IF(ISNUMBER(F126),IF( AND( ( (F126*(F126+2*$Y$8)*AL126*AL126) &gt; ($E$5*($E$5+2*$Y$5)) ), ( B126&lt;90 ) ), 180-AT126, AT126)," ")</f>
        <v>41.138038319852321</v>
      </c>
      <c r="L126" s="4">
        <f t="shared" ca="1" si="73"/>
        <v>23.869072863418978</v>
      </c>
      <c r="M126" s="4">
        <f t="shared" ca="1" si="76"/>
        <v>2328.3952138015852</v>
      </c>
      <c r="N126" s="4">
        <f t="shared" ca="1" si="77"/>
        <v>11.799681167751153</v>
      </c>
      <c r="R126" t="str">
        <f t="shared" ca="1" si="90"/>
        <v xml:space="preserve"> </v>
      </c>
      <c r="S126" s="11" t="str">
        <f t="shared" ref="S126:S157" ca="1" si="100">IF(ISNUMBER(T126), IF( ABS(AW126-1)&lt;0.000001,0, IF(ABS(AW126+1)&lt;0.000001,180,ROUND(DEGREES(ACOS(AW126)),3)))," ")</f>
        <v xml:space="preserve"> </v>
      </c>
      <c r="T126" s="4" t="str">
        <f t="shared" ca="1" si="91"/>
        <v>none</v>
      </c>
      <c r="U126" s="4" t="str">
        <f t="shared" ref="U126:U157" ca="1" si="101">IF(ISNUMBER(T126),ABS($AK$15*(1+AM126/AU126)/(1+$AG$15*$AK$15*AW126)/AU126)," ")</f>
        <v xml:space="preserve"> </v>
      </c>
      <c r="V126" s="11" t="str">
        <f t="shared" ref="V126:V157" ca="1" si="102">IF(ISNUMBER(T126),IF( AND( ( (T126*(T126+2*$Y$8)*AL126*AL126) &gt; ($E$5*($E$5+2*$Y$5)) ), ( B126&lt;90 ) ), 180-AX126, AX126)," ")</f>
        <v xml:space="preserve"> </v>
      </c>
      <c r="W126" s="4" t="str">
        <f t="shared" ca="1" si="92"/>
        <v xml:space="preserve"> </v>
      </c>
      <c r="AL126">
        <f t="shared" si="93"/>
        <v>-0.10452846326765355</v>
      </c>
      <c r="AM126">
        <f t="shared" ca="1" si="84"/>
        <v>1.4254780296315938E-3</v>
      </c>
      <c r="AN126">
        <f t="shared" ca="1" si="85"/>
        <v>1.3023477104735535</v>
      </c>
      <c r="AP126">
        <f t="shared" ca="1" si="94"/>
        <v>0.39376123413535052</v>
      </c>
      <c r="AQ126">
        <f t="shared" ca="1" si="74"/>
        <v>0.48073067456980395</v>
      </c>
      <c r="AR126">
        <f t="shared" ref="AR126:AR157" ca="1" si="103">(AQ126*AL126-$AG$15)/((1-$AG$15*AQ126*AL126)*$AK$15)</f>
        <v>-0.13246297281131175</v>
      </c>
      <c r="AS126">
        <f t="shared" ca="1" si="87"/>
        <v>-0.13246297281131175</v>
      </c>
      <c r="AT126" s="4">
        <f t="shared" ca="1" si="95"/>
        <v>41.138038319852321</v>
      </c>
      <c r="AU126">
        <f t="shared" ca="1" si="75"/>
        <v>-0.48291976434693151</v>
      </c>
      <c r="AV126">
        <f t="shared" ref="AV126:AV157" ca="1" si="104">(AU126*AL126-$AG$15)/((1-$AG$15*AU126*AL126)*$AK$15)</f>
        <v>7.6491947133858262E-2</v>
      </c>
      <c r="AW126">
        <f t="shared" ca="1" si="89"/>
        <v>7.6491947133858262E-2</v>
      </c>
      <c r="AX126" s="4" t="str">
        <f t="shared" ca="1" si="96"/>
        <v>ignore</v>
      </c>
    </row>
    <row r="127" spans="2:50" x14ac:dyDescent="0.2">
      <c r="B127">
        <v>97</v>
      </c>
      <c r="D127" s="11">
        <f t="shared" ca="1" si="97"/>
        <v>98.608999999999995</v>
      </c>
      <c r="F127" s="4">
        <f t="shared" ca="1" si="72"/>
        <v>394.14339107121504</v>
      </c>
      <c r="H127" s="4">
        <f t="shared" ca="1" si="98"/>
        <v>1.0074212633618254</v>
      </c>
      <c r="J127" s="11">
        <f t="shared" ca="1" si="99"/>
        <v>40.640621358175501</v>
      </c>
      <c r="L127" s="4">
        <f t="shared" ca="1" si="73"/>
        <v>24.232053928784978</v>
      </c>
      <c r="M127" s="4">
        <f t="shared" ca="1" si="76"/>
        <v>2346.0344395898287</v>
      </c>
      <c r="N127" s="4">
        <f t="shared" ca="1" si="77"/>
        <v>11.889072023355697</v>
      </c>
      <c r="R127" t="str">
        <f t="shared" ca="1" si="90"/>
        <v xml:space="preserve"> </v>
      </c>
      <c r="S127" s="11" t="str">
        <f t="shared" ca="1" si="100"/>
        <v xml:space="preserve"> </v>
      </c>
      <c r="T127" s="4" t="str">
        <f t="shared" ca="1" si="91"/>
        <v>none</v>
      </c>
      <c r="U127" s="4" t="str">
        <f t="shared" ca="1" si="101"/>
        <v xml:space="preserve"> </v>
      </c>
      <c r="V127" s="11" t="str">
        <f t="shared" ca="1" si="102"/>
        <v xml:space="preserve"> </v>
      </c>
      <c r="W127" s="4" t="str">
        <f t="shared" ca="1" si="92"/>
        <v xml:space="preserve"> </v>
      </c>
      <c r="AL127">
        <f t="shared" si="93"/>
        <v>-0.12186934340514737</v>
      </c>
      <c r="AM127">
        <f t="shared" ca="1" si="84"/>
        <v>1.6619594900657458E-3</v>
      </c>
      <c r="AN127">
        <f t="shared" ca="1" si="85"/>
        <v>1.302348440595287</v>
      </c>
      <c r="AP127">
        <f t="shared" ca="1" si="94"/>
        <v>0.39376218500623511</v>
      </c>
      <c r="AQ127">
        <f t="shared" ca="1" si="74"/>
        <v>0.48054940603659263</v>
      </c>
      <c r="AR127">
        <f t="shared" ca="1" si="103"/>
        <v>-0.14968456497457425</v>
      </c>
      <c r="AS127">
        <f t="shared" ca="1" si="87"/>
        <v>-0.14968456497457425</v>
      </c>
      <c r="AT127" s="4">
        <f t="shared" ca="1" si="95"/>
        <v>40.640621358175501</v>
      </c>
      <c r="AU127">
        <f t="shared" ca="1" si="75"/>
        <v>-0.48310165616913947</v>
      </c>
      <c r="AV127">
        <f t="shared" ca="1" si="104"/>
        <v>9.3935664758875492E-2</v>
      </c>
      <c r="AW127">
        <f t="shared" ca="1" si="89"/>
        <v>9.3935664758875492E-2</v>
      </c>
      <c r="AX127" s="4" t="str">
        <f t="shared" ca="1" si="96"/>
        <v>ignore</v>
      </c>
    </row>
    <row r="128" spans="2:50" x14ac:dyDescent="0.2">
      <c r="B128">
        <v>98</v>
      </c>
      <c r="D128" s="11">
        <f t="shared" ca="1" si="97"/>
        <v>99.605000000000004</v>
      </c>
      <c r="F128" s="4">
        <f t="shared" ca="1" si="72"/>
        <v>393.78154223258809</v>
      </c>
      <c r="H128" s="4">
        <f t="shared" ca="1" si="98"/>
        <v>1.0084090749004109</v>
      </c>
      <c r="J128" s="11">
        <f t="shared" ca="1" si="99"/>
        <v>40.143435669932224</v>
      </c>
      <c r="L128" s="4">
        <f t="shared" ca="1" si="73"/>
        <v>24.593902767411919</v>
      </c>
      <c r="M128" s="4">
        <f t="shared" ca="1" si="76"/>
        <v>2363.4876733397537</v>
      </c>
      <c r="N128" s="4">
        <f t="shared" ca="1" si="77"/>
        <v>11.977520321296966</v>
      </c>
      <c r="R128" t="str">
        <f t="shared" ca="1" si="90"/>
        <v xml:space="preserve"> </v>
      </c>
      <c r="S128" s="11" t="str">
        <f t="shared" ca="1" si="100"/>
        <v xml:space="preserve"> </v>
      </c>
      <c r="T128" s="4" t="str">
        <f t="shared" ca="1" si="91"/>
        <v>none</v>
      </c>
      <c r="U128" s="4" t="str">
        <f t="shared" ca="1" si="101"/>
        <v xml:space="preserve"> </v>
      </c>
      <c r="V128" s="11" t="str">
        <f t="shared" ca="1" si="102"/>
        <v xml:space="preserve"> </v>
      </c>
      <c r="W128" s="4" t="str">
        <f t="shared" ca="1" si="92"/>
        <v xml:space="preserve"> </v>
      </c>
      <c r="AL128">
        <f t="shared" si="93"/>
        <v>-0.13917310096006535</v>
      </c>
      <c r="AM128">
        <f t="shared" ca="1" si="84"/>
        <v>1.8979347015394637E-3</v>
      </c>
      <c r="AN128">
        <f t="shared" ca="1" si="85"/>
        <v>1.3023492806420718</v>
      </c>
      <c r="AP128">
        <f t="shared" ca="1" si="94"/>
        <v>0.39376327903753494</v>
      </c>
      <c r="AQ128">
        <f t="shared" ca="1" si="74"/>
        <v>0.48036857346882811</v>
      </c>
      <c r="AR128">
        <f t="shared" ca="1" si="103"/>
        <v>-0.1668524387789696</v>
      </c>
      <c r="AS128">
        <f t="shared" ca="1" si="87"/>
        <v>-0.1668524387789696</v>
      </c>
      <c r="AT128" s="4">
        <f t="shared" ca="1" si="95"/>
        <v>40.143435669932224</v>
      </c>
      <c r="AU128">
        <f t="shared" ca="1" si="75"/>
        <v>-0.48328320586391604</v>
      </c>
      <c r="AV128">
        <f t="shared" ca="1" si="104"/>
        <v>0.1113591070038891</v>
      </c>
      <c r="AW128">
        <f t="shared" ca="1" si="89"/>
        <v>0.1113591070038891</v>
      </c>
      <c r="AX128" s="4" t="str">
        <f t="shared" ca="1" si="96"/>
        <v>ignore</v>
      </c>
    </row>
    <row r="129" spans="2:50" x14ac:dyDescent="0.2">
      <c r="B129">
        <v>99</v>
      </c>
      <c r="D129" s="11">
        <f t="shared" ca="1" si="97"/>
        <v>100.601</v>
      </c>
      <c r="F129" s="4">
        <f t="shared" ca="1" si="72"/>
        <v>393.4209330778404</v>
      </c>
      <c r="H129" s="4">
        <f t="shared" ca="1" si="98"/>
        <v>1.0093955040039253</v>
      </c>
      <c r="J129" s="11">
        <f t="shared" ca="1" si="99"/>
        <v>39.646481095147081</v>
      </c>
      <c r="L129" s="4">
        <f t="shared" ca="1" si="73"/>
        <v>24.954511922159611</v>
      </c>
      <c r="M129" s="4">
        <f t="shared" ca="1" si="76"/>
        <v>2380.7538785721595</v>
      </c>
      <c r="N129" s="4">
        <f t="shared" ca="1" si="77"/>
        <v>12.065020808976936</v>
      </c>
      <c r="R129" t="str">
        <f t="shared" ca="1" si="90"/>
        <v xml:space="preserve"> </v>
      </c>
      <c r="S129" s="11" t="str">
        <f t="shared" ca="1" si="100"/>
        <v xml:space="preserve"> </v>
      </c>
      <c r="T129" s="4" t="str">
        <f t="shared" ca="1" si="91"/>
        <v>none</v>
      </c>
      <c r="U129" s="4" t="str">
        <f t="shared" ca="1" si="101"/>
        <v xml:space="preserve"> </v>
      </c>
      <c r="V129" s="11" t="str">
        <f t="shared" ca="1" si="102"/>
        <v xml:space="preserve"> </v>
      </c>
      <c r="W129" s="4" t="str">
        <f t="shared" ca="1" si="92"/>
        <v xml:space="preserve"> </v>
      </c>
      <c r="AL129">
        <f t="shared" si="93"/>
        <v>-0.15643446504023081</v>
      </c>
      <c r="AM129">
        <f t="shared" ca="1" si="84"/>
        <v>2.1333317837173866E-3</v>
      </c>
      <c r="AN129">
        <f t="shared" ca="1" si="85"/>
        <v>1.3023502295904399</v>
      </c>
      <c r="AP129">
        <f t="shared" ca="1" si="94"/>
        <v>0.39376451489634123</v>
      </c>
      <c r="AQ129">
        <f t="shared" ca="1" si="74"/>
        <v>0.48018823166573643</v>
      </c>
      <c r="AR129">
        <f t="shared" ca="1" si="103"/>
        <v>-0.18396149593357819</v>
      </c>
      <c r="AS129">
        <f t="shared" ca="1" si="87"/>
        <v>-0.18396149593357819</v>
      </c>
      <c r="AT129" s="4">
        <f t="shared" ca="1" si="95"/>
        <v>39.646481095147081</v>
      </c>
      <c r="AU129">
        <f t="shared" ca="1" si="75"/>
        <v>-0.48346435775723845</v>
      </c>
      <c r="AV129">
        <f t="shared" ca="1" si="104"/>
        <v>0.12875686437491099</v>
      </c>
      <c r="AW129">
        <f t="shared" ca="1" si="89"/>
        <v>0.12875686437491099</v>
      </c>
      <c r="AX129" s="4" t="str">
        <f t="shared" ca="1" si="96"/>
        <v>ignore</v>
      </c>
    </row>
    <row r="130" spans="2:50" x14ac:dyDescent="0.2">
      <c r="B130">
        <v>100</v>
      </c>
      <c r="D130" s="11">
        <f t="shared" ca="1" si="97"/>
        <v>101.596</v>
      </c>
      <c r="F130" s="4">
        <f t="shared" ca="1" si="72"/>
        <v>393.0616703747238</v>
      </c>
      <c r="H130" s="4">
        <f t="shared" ca="1" si="98"/>
        <v>1.0103802431652489</v>
      </c>
      <c r="J130" s="11">
        <f t="shared" ca="1" si="99"/>
        <v>39.149757381704688</v>
      </c>
      <c r="L130" s="4">
        <f t="shared" ca="1" si="73"/>
        <v>25.31377462527621</v>
      </c>
      <c r="M130" s="4">
        <f t="shared" ca="1" si="76"/>
        <v>2397.8320376489746</v>
      </c>
      <c r="N130" s="4">
        <f t="shared" ca="1" si="77"/>
        <v>12.151568329279357</v>
      </c>
      <c r="R130" t="str">
        <f t="shared" ca="1" si="90"/>
        <v xml:space="preserve"> </v>
      </c>
      <c r="S130" s="11" t="str">
        <f t="shared" ca="1" si="100"/>
        <v xml:space="preserve"> </v>
      </c>
      <c r="T130" s="4" t="str">
        <f t="shared" ca="1" si="91"/>
        <v>none</v>
      </c>
      <c r="U130" s="4" t="str">
        <f t="shared" ca="1" si="101"/>
        <v xml:space="preserve"> </v>
      </c>
      <c r="V130" s="11" t="str">
        <f t="shared" ca="1" si="102"/>
        <v xml:space="preserve"> </v>
      </c>
      <c r="W130" s="4" t="str">
        <f t="shared" ca="1" si="92"/>
        <v xml:space="preserve"> </v>
      </c>
      <c r="AL130">
        <f t="shared" si="93"/>
        <v>-0.1736481776669303</v>
      </c>
      <c r="AM130">
        <f t="shared" ca="1" si="84"/>
        <v>2.3680790323679394E-3</v>
      </c>
      <c r="AN130">
        <f t="shared" ca="1" si="85"/>
        <v>1.3023512862842439</v>
      </c>
      <c r="AP130">
        <f t="shared" ca="1" si="94"/>
        <v>0.39376589107695048</v>
      </c>
      <c r="AQ130">
        <f t="shared" ca="1" si="74"/>
        <v>0.48000843523350079</v>
      </c>
      <c r="AR130">
        <f t="shared" ca="1" si="103"/>
        <v>-0.20100667085563778</v>
      </c>
      <c r="AS130">
        <f t="shared" ca="1" si="87"/>
        <v>-0.20100667085563778</v>
      </c>
      <c r="AT130" s="4">
        <f t="shared" ca="1" si="95"/>
        <v>39.149757381704688</v>
      </c>
      <c r="AU130">
        <f t="shared" ca="1" si="75"/>
        <v>-0.48364505625473736</v>
      </c>
      <c r="AV130">
        <f t="shared" ca="1" si="104"/>
        <v>0.14612351974000029</v>
      </c>
      <c r="AW130">
        <f t="shared" ca="1" si="89"/>
        <v>0.14612351974000029</v>
      </c>
      <c r="AX130" s="4" t="str">
        <f t="shared" ca="1" si="96"/>
        <v>ignore</v>
      </c>
    </row>
    <row r="131" spans="2:50" x14ac:dyDescent="0.2">
      <c r="B131">
        <v>101</v>
      </c>
      <c r="D131" s="11">
        <f t="shared" ca="1" si="97"/>
        <v>102.59099999999999</v>
      </c>
      <c r="F131" s="4">
        <f t="shared" ca="1" si="72"/>
        <v>392.70386017326507</v>
      </c>
      <c r="H131" s="4">
        <f t="shared" ca="1" si="98"/>
        <v>1.0113629844533423</v>
      </c>
      <c r="J131" s="11">
        <f t="shared" ca="1" si="99"/>
        <v>38.653264186499335</v>
      </c>
      <c r="L131" s="4">
        <f t="shared" ca="1" si="73"/>
        <v>25.671584826734943</v>
      </c>
      <c r="M131" s="4">
        <f t="shared" ca="1" si="76"/>
        <v>2414.7211516454354</v>
      </c>
      <c r="N131" s="4">
        <f t="shared" ca="1" si="77"/>
        <v>12.237157819921997</v>
      </c>
      <c r="R131" t="str">
        <f t="shared" ca="1" si="90"/>
        <v xml:space="preserve"> </v>
      </c>
      <c r="S131" s="11" t="str">
        <f t="shared" ca="1" si="100"/>
        <v xml:space="preserve"> </v>
      </c>
      <c r="T131" s="4" t="str">
        <f t="shared" ca="1" si="91"/>
        <v>none</v>
      </c>
      <c r="U131" s="4" t="str">
        <f t="shared" ca="1" si="101"/>
        <v xml:space="preserve"> </v>
      </c>
      <c r="V131" s="11" t="str">
        <f t="shared" ca="1" si="102"/>
        <v xml:space="preserve"> </v>
      </c>
      <c r="W131" s="4" t="str">
        <f t="shared" ca="1" si="92"/>
        <v xml:space="preserve"> </v>
      </c>
      <c r="AL131">
        <f t="shared" si="93"/>
        <v>-0.1908089953765448</v>
      </c>
      <c r="AM131">
        <f t="shared" ca="1" si="84"/>
        <v>2.6021049412051373E-3</v>
      </c>
      <c r="AN131">
        <f t="shared" ca="1" si="85"/>
        <v>1.3023524494360654</v>
      </c>
      <c r="AP131">
        <f t="shared" ca="1" si="94"/>
        <v>0.3937674059026986</v>
      </c>
      <c r="AQ131">
        <f t="shared" ca="1" si="74"/>
        <v>0.47982923856896259</v>
      </c>
      <c r="AR131">
        <f t="shared" ca="1" si="103"/>
        <v>-0.2179829320145055</v>
      </c>
      <c r="AS131">
        <f t="shared" ca="1" si="87"/>
        <v>-0.2179829320145055</v>
      </c>
      <c r="AT131" s="4">
        <f t="shared" ca="1" si="95"/>
        <v>38.653264186499335</v>
      </c>
      <c r="AU131">
        <f t="shared" ca="1" si="75"/>
        <v>-0.483825245859204</v>
      </c>
      <c r="AV131">
        <f t="shared" ca="1" si="104"/>
        <v>0.16345365010062057</v>
      </c>
      <c r="AW131">
        <f t="shared" ca="1" si="89"/>
        <v>0.16345365010062057</v>
      </c>
      <c r="AX131" s="4" t="str">
        <f t="shared" ca="1" si="96"/>
        <v>ignore</v>
      </c>
    </row>
    <row r="132" spans="2:50" x14ac:dyDescent="0.2">
      <c r="B132">
        <v>102</v>
      </c>
      <c r="D132" s="11">
        <f t="shared" ca="1" si="97"/>
        <v>103.58499999999999</v>
      </c>
      <c r="F132" s="4">
        <f t="shared" ca="1" si="72"/>
        <v>392.34760777802813</v>
      </c>
      <c r="H132" s="4">
        <f t="shared" ca="1" si="98"/>
        <v>1.0123434196152299</v>
      </c>
      <c r="J132" s="11">
        <f t="shared" ca="1" si="99"/>
        <v>38.15700107657316</v>
      </c>
      <c r="L132" s="4">
        <f t="shared" ca="1" si="73"/>
        <v>26.027837221971879</v>
      </c>
      <c r="M132" s="4">
        <f t="shared" ca="1" si="76"/>
        <v>2431.4202402150077</v>
      </c>
      <c r="N132" s="4">
        <f t="shared" ca="1" si="77"/>
        <v>12.321784312772099</v>
      </c>
      <c r="R132" t="str">
        <f t="shared" ca="1" si="90"/>
        <v xml:space="preserve"> </v>
      </c>
      <c r="S132" s="11" t="str">
        <f t="shared" ca="1" si="100"/>
        <v xml:space="preserve"> </v>
      </c>
      <c r="T132" s="4" t="str">
        <f t="shared" ca="1" si="91"/>
        <v>none</v>
      </c>
      <c r="U132" s="4" t="str">
        <f t="shared" ca="1" si="101"/>
        <v xml:space="preserve"> </v>
      </c>
      <c r="V132" s="11" t="str">
        <f t="shared" ca="1" si="102"/>
        <v xml:space="preserve"> </v>
      </c>
      <c r="W132" s="4" t="str">
        <f t="shared" ca="1" si="92"/>
        <v xml:space="preserve"> </v>
      </c>
      <c r="AL132">
        <f t="shared" si="93"/>
        <v>-0.20791169081775934</v>
      </c>
      <c r="AM132">
        <f t="shared" ca="1" si="84"/>
        <v>2.8353382236700865E-3</v>
      </c>
      <c r="AN132">
        <f t="shared" ca="1" si="85"/>
        <v>1.3023537176287829</v>
      </c>
      <c r="AP132">
        <f t="shared" ca="1" si="94"/>
        <v>0.39376905752800379</v>
      </c>
      <c r="AQ132">
        <f t="shared" ca="1" si="74"/>
        <v>0.47965069584344477</v>
      </c>
      <c r="AR132">
        <f t="shared" ca="1" si="103"/>
        <v>-0.23488528324808</v>
      </c>
      <c r="AS132">
        <f t="shared" ca="1" si="87"/>
        <v>-0.23488528324808</v>
      </c>
      <c r="AT132" s="4">
        <f t="shared" ca="1" si="95"/>
        <v>38.15700107657316</v>
      </c>
      <c r="AU132">
        <f t="shared" ca="1" si="75"/>
        <v>-0.48400487118811603</v>
      </c>
      <c r="AV132">
        <f t="shared" ca="1" si="104"/>
        <v>0.18074182838399958</v>
      </c>
      <c r="AW132">
        <f t="shared" ca="1" si="89"/>
        <v>0.18074182838399958</v>
      </c>
      <c r="AX132" s="4" t="str">
        <f t="shared" ca="1" si="96"/>
        <v>ignore</v>
      </c>
    </row>
    <row r="133" spans="2:50" x14ac:dyDescent="0.2">
      <c r="B133">
        <v>103</v>
      </c>
      <c r="D133" s="11">
        <f t="shared" ca="1" si="97"/>
        <v>104.57899999999999</v>
      </c>
      <c r="F133" s="4">
        <f t="shared" ca="1" si="72"/>
        <v>391.99301772094697</v>
      </c>
      <c r="H133" s="4">
        <f t="shared" ca="1" si="98"/>
        <v>1.0133212401792635</v>
      </c>
      <c r="J133" s="11">
        <f t="shared" ca="1" si="99"/>
        <v>37.660967530215395</v>
      </c>
      <c r="L133" s="4">
        <f t="shared" ca="1" si="73"/>
        <v>26.382427279053047</v>
      </c>
      <c r="M133" s="4">
        <f t="shared" ca="1" si="76"/>
        <v>2447.9283414490114</v>
      </c>
      <c r="N133" s="4">
        <f t="shared" ca="1" si="77"/>
        <v>12.405442933134992</v>
      </c>
      <c r="R133" t="str">
        <f t="shared" ca="1" si="90"/>
        <v xml:space="preserve"> </v>
      </c>
      <c r="S133" s="11" t="str">
        <f t="shared" ca="1" si="100"/>
        <v xml:space="preserve"> </v>
      </c>
      <c r="T133" s="4" t="str">
        <f t="shared" ca="1" si="91"/>
        <v>none</v>
      </c>
      <c r="U133" s="4" t="str">
        <f t="shared" ca="1" si="101"/>
        <v xml:space="preserve"> </v>
      </c>
      <c r="V133" s="11" t="str">
        <f t="shared" ca="1" si="102"/>
        <v xml:space="preserve"> </v>
      </c>
      <c r="W133" s="4" t="str">
        <f t="shared" ca="1" si="92"/>
        <v xml:space="preserve"> </v>
      </c>
      <c r="AL133">
        <f t="shared" si="93"/>
        <v>-0.22495105434386503</v>
      </c>
      <c r="AM133">
        <f t="shared" ca="1" si="84"/>
        <v>3.0677078346455682E-3</v>
      </c>
      <c r="AN133">
        <f t="shared" ca="1" si="85"/>
        <v>1.302355089317299</v>
      </c>
      <c r="AP133">
        <f t="shared" ca="1" si="94"/>
        <v>0.39377084394061507</v>
      </c>
      <c r="AQ133">
        <f t="shared" ca="1" si="74"/>
        <v>0.47947286098669462</v>
      </c>
      <c r="AR133">
        <f t="shared" ca="1" si="103"/>
        <v>-0.25170876505160189</v>
      </c>
      <c r="AS133">
        <f t="shared" ca="1" si="87"/>
        <v>-0.25170876505160189</v>
      </c>
      <c r="AT133" s="4">
        <f t="shared" ca="1" si="95"/>
        <v>37.660967530215395</v>
      </c>
      <c r="AU133">
        <f t="shared" ca="1" si="75"/>
        <v>-0.48418387699117571</v>
      </c>
      <c r="AV133">
        <f t="shared" ca="1" si="104"/>
        <v>0.1979826252558346</v>
      </c>
      <c r="AW133">
        <f t="shared" ca="1" si="89"/>
        <v>0.1979826252558346</v>
      </c>
      <c r="AX133" s="4" t="str">
        <f t="shared" ca="1" si="96"/>
        <v>ignore</v>
      </c>
    </row>
    <row r="134" spans="2:50" x14ac:dyDescent="0.2">
      <c r="B134">
        <v>104</v>
      </c>
      <c r="D134" s="11">
        <f t="shared" ca="1" si="97"/>
        <v>105.572</v>
      </c>
      <c r="F134" s="4">
        <f t="shared" ca="1" si="72"/>
        <v>391.6401937347419</v>
      </c>
      <c r="H134" s="4">
        <f t="shared" ca="1" si="98"/>
        <v>1.0142961375596173</v>
      </c>
      <c r="J134" s="11">
        <f t="shared" ca="1" si="99"/>
        <v>37.16516293803847</v>
      </c>
      <c r="L134" s="4">
        <f t="shared" ca="1" si="73"/>
        <v>26.735251265258114</v>
      </c>
      <c r="M134" s="4">
        <f t="shared" ca="1" si="76"/>
        <v>2464.2445117378093</v>
      </c>
      <c r="N134" s="4">
        <f t="shared" ca="1" si="77"/>
        <v>12.488128899050636</v>
      </c>
      <c r="R134" t="str">
        <f t="shared" ca="1" si="90"/>
        <v xml:space="preserve"> </v>
      </c>
      <c r="S134" s="11" t="str">
        <f t="shared" ca="1" si="100"/>
        <v xml:space="preserve"> </v>
      </c>
      <c r="T134" s="4" t="str">
        <f t="shared" ca="1" si="91"/>
        <v>none</v>
      </c>
      <c r="U134" s="4" t="str">
        <f t="shared" ca="1" si="101"/>
        <v xml:space="preserve"> </v>
      </c>
      <c r="V134" s="11" t="str">
        <f t="shared" ca="1" si="102"/>
        <v xml:space="preserve"> </v>
      </c>
      <c r="W134" s="4" t="str">
        <f t="shared" ca="1" si="92"/>
        <v xml:space="preserve"> </v>
      </c>
      <c r="AL134">
        <f t="shared" si="93"/>
        <v>-0.24192189559966779</v>
      </c>
      <c r="AM134">
        <f t="shared" ca="1" si="84"/>
        <v>3.2991429920970639E-3</v>
      </c>
      <c r="AN134">
        <f t="shared" ca="1" si="85"/>
        <v>1.3023565628304228</v>
      </c>
      <c r="AP134">
        <f t="shared" ca="1" si="94"/>
        <v>0.39377276296406377</v>
      </c>
      <c r="AQ134">
        <f t="shared" ca="1" si="74"/>
        <v>0.4792957876709561</v>
      </c>
      <c r="AR134">
        <f t="shared" ca="1" si="103"/>
        <v>-0.2684484558387758</v>
      </c>
      <c r="AS134">
        <f t="shared" ca="1" si="87"/>
        <v>-0.2684484558387758</v>
      </c>
      <c r="AT134" s="4">
        <f t="shared" ca="1" si="95"/>
        <v>37.16516293803847</v>
      </c>
      <c r="AU134">
        <f t="shared" ca="1" si="75"/>
        <v>-0.48436220816785447</v>
      </c>
      <c r="AV134">
        <f t="shared" ca="1" si="104"/>
        <v>0.21517061095265438</v>
      </c>
      <c r="AW134">
        <f t="shared" ca="1" si="89"/>
        <v>0.21517061095265438</v>
      </c>
      <c r="AX134" s="4" t="str">
        <f t="shared" ca="1" si="96"/>
        <v>ignore</v>
      </c>
    </row>
    <row r="135" spans="2:50" x14ac:dyDescent="0.2">
      <c r="B135">
        <v>105</v>
      </c>
      <c r="D135" s="11">
        <f t="shared" ca="1" si="97"/>
        <v>106.565</v>
      </c>
      <c r="F135" s="4">
        <f t="shared" ca="1" si="72"/>
        <v>391.28923872692991</v>
      </c>
      <c r="H135" s="4">
        <f t="shared" ca="1" si="98"/>
        <v>1.0152678031619728</v>
      </c>
      <c r="J135" s="11">
        <f t="shared" ca="1" si="99"/>
        <v>36.669586604041946</v>
      </c>
      <c r="L135" s="4">
        <f t="shared" ca="1" si="73"/>
        <v>27.086206273070104</v>
      </c>
      <c r="M135" s="4">
        <f t="shared" ca="1" si="76"/>
        <v>2480.3678256242865</v>
      </c>
      <c r="N135" s="4">
        <f t="shared" ca="1" si="77"/>
        <v>12.569837520551101</v>
      </c>
      <c r="R135" t="str">
        <f t="shared" ca="1" si="90"/>
        <v xml:space="preserve"> </v>
      </c>
      <c r="S135" s="11" t="str">
        <f t="shared" ca="1" si="100"/>
        <v xml:space="preserve"> </v>
      </c>
      <c r="T135" s="4" t="str">
        <f t="shared" ca="1" si="91"/>
        <v>none</v>
      </c>
      <c r="U135" s="4" t="str">
        <f t="shared" ca="1" si="101"/>
        <v xml:space="preserve"> </v>
      </c>
      <c r="V135" s="11" t="str">
        <f t="shared" ca="1" si="102"/>
        <v xml:space="preserve"> </v>
      </c>
      <c r="W135" s="4" t="str">
        <f t="shared" ca="1" si="92"/>
        <v xml:space="preserve"> </v>
      </c>
      <c r="AL135">
        <f t="shared" si="93"/>
        <v>-0.25881904510252085</v>
      </c>
      <c r="AM135">
        <f t="shared" ca="1" si="84"/>
        <v>3.529573198633651E-3</v>
      </c>
      <c r="AN135">
        <f t="shared" ca="1" si="85"/>
        <v>1.3023581363729049</v>
      </c>
      <c r="AP135">
        <f t="shared" ca="1" si="94"/>
        <v>0.39377481226031535</v>
      </c>
      <c r="AQ135">
        <f t="shared" ca="1" si="74"/>
        <v>0.47911952929517437</v>
      </c>
      <c r="AR135">
        <f t="shared" ca="1" si="103"/>
        <v>-0.28509947317518747</v>
      </c>
      <c r="AS135">
        <f t="shared" ca="1" si="87"/>
        <v>-0.28509947317518747</v>
      </c>
      <c r="AT135" s="4">
        <f t="shared" ca="1" si="95"/>
        <v>36.669586604041946</v>
      </c>
      <c r="AU135">
        <f t="shared" ca="1" si="75"/>
        <v>-0.48453980978493827</v>
      </c>
      <c r="AV135">
        <f t="shared" ca="1" si="104"/>
        <v>0.23230035713312058</v>
      </c>
      <c r="AW135">
        <f t="shared" ca="1" si="89"/>
        <v>0.23230035713312058</v>
      </c>
      <c r="AX135" s="4" t="str">
        <f t="shared" ca="1" si="96"/>
        <v>ignore</v>
      </c>
    </row>
    <row r="136" spans="2:50" x14ac:dyDescent="0.2">
      <c r="B136">
        <v>106</v>
      </c>
      <c r="D136" s="11">
        <f t="shared" ca="1" si="97"/>
        <v>107.557</v>
      </c>
      <c r="F136" s="4">
        <f t="shared" ca="1" si="72"/>
        <v>390.94025475440338</v>
      </c>
      <c r="H136" s="4">
        <f t="shared" ca="1" si="98"/>
        <v>1.0162359284903633</v>
      </c>
      <c r="J136" s="11">
        <f t="shared" ca="1" si="99"/>
        <v>36.174237746644351</v>
      </c>
      <c r="L136" s="4">
        <f t="shared" ca="1" si="73"/>
        <v>27.43519024559663</v>
      </c>
      <c r="M136" s="4">
        <f t="shared" ca="1" si="76"/>
        <v>2496.297375652277</v>
      </c>
      <c r="N136" s="4">
        <f t="shared" ca="1" si="77"/>
        <v>12.650564198892422</v>
      </c>
      <c r="R136" t="str">
        <f t="shared" ca="1" si="90"/>
        <v xml:space="preserve"> </v>
      </c>
      <c r="S136" s="11" t="str">
        <f t="shared" ca="1" si="100"/>
        <v xml:space="preserve"> </v>
      </c>
      <c r="T136" s="4" t="str">
        <f t="shared" ca="1" si="91"/>
        <v>none</v>
      </c>
      <c r="U136" s="4" t="str">
        <f t="shared" ca="1" si="101"/>
        <v xml:space="preserve"> </v>
      </c>
      <c r="V136" s="11" t="str">
        <f t="shared" ca="1" si="102"/>
        <v xml:space="preserve"> </v>
      </c>
      <c r="W136" s="4" t="str">
        <f t="shared" ca="1" si="92"/>
        <v xml:space="preserve"> </v>
      </c>
      <c r="AL136">
        <f t="shared" si="93"/>
        <v>-0.27563735581699905</v>
      </c>
      <c r="AM136">
        <f t="shared" ca="1" si="84"/>
        <v>3.7589282629821876E-3</v>
      </c>
      <c r="AN136">
        <f t="shared" ca="1" si="85"/>
        <v>1.3023598080276266</v>
      </c>
      <c r="AP136">
        <f t="shared" ca="1" si="94"/>
        <v>0.39377698933261812</v>
      </c>
      <c r="AQ136">
        <f t="shared" ca="1" si="74"/>
        <v>0.47894413896933474</v>
      </c>
      <c r="AR136">
        <f t="shared" ca="1" si="103"/>
        <v>-0.30165697498401067</v>
      </c>
      <c r="AS136">
        <f t="shared" ca="1" si="87"/>
        <v>-0.30165697498401067</v>
      </c>
      <c r="AT136" s="4">
        <f t="shared" ca="1" si="95"/>
        <v>36.174237746644351</v>
      </c>
      <c r="AU136">
        <f t="shared" ca="1" si="75"/>
        <v>-0.48471662709406416</v>
      </c>
      <c r="AV136">
        <f t="shared" ca="1" si="104"/>
        <v>0.24936643874751613</v>
      </c>
      <c r="AW136">
        <f t="shared" ca="1" si="89"/>
        <v>0.24936643874751613</v>
      </c>
      <c r="AX136" s="4" t="str">
        <f t="shared" ca="1" si="96"/>
        <v>ignore</v>
      </c>
    </row>
    <row r="137" spans="2:50" x14ac:dyDescent="0.2">
      <c r="B137">
        <v>107</v>
      </c>
      <c r="D137" s="11">
        <f t="shared" ca="1" si="97"/>
        <v>108.54900000000001</v>
      </c>
      <c r="F137" s="4">
        <f t="shared" ca="1" si="72"/>
        <v>390.59334299860694</v>
      </c>
      <c r="H137" s="4">
        <f t="shared" ca="1" si="98"/>
        <v>1.017200205255117</v>
      </c>
      <c r="J137" s="11">
        <f t="shared" ca="1" si="99"/>
        <v>35.67911549971199</v>
      </c>
      <c r="L137" s="4">
        <f t="shared" ca="1" si="73"/>
        <v>27.782102001393071</v>
      </c>
      <c r="M137" s="4">
        <f t="shared" ca="1" si="76"/>
        <v>2512.0322722196411</v>
      </c>
      <c r="N137" s="4">
        <f t="shared" ca="1" si="77"/>
        <v>12.73030442581004</v>
      </c>
      <c r="R137" t="str">
        <f t="shared" ca="1" si="90"/>
        <v xml:space="preserve"> </v>
      </c>
      <c r="S137" s="11" t="str">
        <f t="shared" ca="1" si="100"/>
        <v xml:space="preserve"> </v>
      </c>
      <c r="T137" s="4" t="str">
        <f t="shared" ca="1" si="91"/>
        <v>none</v>
      </c>
      <c r="U137" s="4" t="str">
        <f t="shared" ca="1" si="101"/>
        <v xml:space="preserve"> </v>
      </c>
      <c r="V137" s="11" t="str">
        <f t="shared" ca="1" si="102"/>
        <v xml:space="preserve"> </v>
      </c>
      <c r="W137" s="4" t="str">
        <f t="shared" ca="1" si="92"/>
        <v xml:space="preserve"> </v>
      </c>
      <c r="AL137">
        <f t="shared" si="93"/>
        <v>-0.29237170472273666</v>
      </c>
      <c r="AM137">
        <f t="shared" ca="1" si="84"/>
        <v>3.9871383213682674E-3</v>
      </c>
      <c r="AN137">
        <f t="shared" ca="1" si="85"/>
        <v>1.3023615757579341</v>
      </c>
      <c r="AP137">
        <f t="shared" ca="1" si="94"/>
        <v>0.39377929152854479</v>
      </c>
      <c r="AQ137">
        <f t="shared" ca="1" si="74"/>
        <v>0.47876966949894367</v>
      </c>
      <c r="AR137">
        <f t="shared" ca="1" si="103"/>
        <v>-0.31811616072402971</v>
      </c>
      <c r="AS137">
        <f t="shared" ca="1" si="87"/>
        <v>-0.31811616072402971</v>
      </c>
      <c r="AT137" s="4">
        <f t="shared" ca="1" si="95"/>
        <v>35.67911549971199</v>
      </c>
      <c r="AU137">
        <f t="shared" ca="1" si="75"/>
        <v>-0.4848926055492459</v>
      </c>
      <c r="AV137">
        <f t="shared" ca="1" si="104"/>
        <v>0.26636343592464534</v>
      </c>
      <c r="AW137">
        <f t="shared" ca="1" si="89"/>
        <v>0.26636343592464534</v>
      </c>
      <c r="AX137" s="4" t="str">
        <f t="shared" ca="1" si="96"/>
        <v>ignore</v>
      </c>
    </row>
    <row r="138" spans="2:50" x14ac:dyDescent="0.2">
      <c r="B138">
        <v>108</v>
      </c>
      <c r="D138" s="11">
        <f t="shared" ca="1" si="97"/>
        <v>109.54</v>
      </c>
      <c r="F138" s="4">
        <f t="shared" ca="1" si="72"/>
        <v>390.24860374128809</v>
      </c>
      <c r="H138" s="4">
        <f t="shared" ca="1" si="98"/>
        <v>1.0181603254818652</v>
      </c>
      <c r="J138" s="11">
        <f t="shared" ca="1" si="99"/>
        <v>35.184218913566369</v>
      </c>
      <c r="L138" s="4">
        <f t="shared" ca="1" si="73"/>
        <v>28.12684125871192</v>
      </c>
      <c r="M138" s="4">
        <f t="shared" ca="1" si="76"/>
        <v>2527.5716434180472</v>
      </c>
      <c r="N138" s="4">
        <f t="shared" ca="1" si="77"/>
        <v>12.809053782706869</v>
      </c>
      <c r="R138" t="str">
        <f t="shared" ca="1" si="90"/>
        <v xml:space="preserve"> </v>
      </c>
      <c r="S138" s="11" t="str">
        <f t="shared" ca="1" si="100"/>
        <v xml:space="preserve"> </v>
      </c>
      <c r="T138" s="4" t="str">
        <f t="shared" ca="1" si="91"/>
        <v>none</v>
      </c>
      <c r="U138" s="4" t="str">
        <f t="shared" ca="1" si="101"/>
        <v xml:space="preserve"> </v>
      </c>
      <c r="V138" s="11" t="str">
        <f t="shared" ca="1" si="102"/>
        <v xml:space="preserve"> </v>
      </c>
      <c r="W138" s="4" t="str">
        <f t="shared" ca="1" si="92"/>
        <v xml:space="preserve"> </v>
      </c>
      <c r="AL138">
        <f t="shared" si="93"/>
        <v>-0.30901699437494734</v>
      </c>
      <c r="AM138">
        <f t="shared" ca="1" si="84"/>
        <v>4.2141338587973814E-3</v>
      </c>
      <c r="AN138">
        <f t="shared" ca="1" si="85"/>
        <v>1.3023634374101203</v>
      </c>
      <c r="AP138">
        <f t="shared" ca="1" si="94"/>
        <v>0.39378171604322426</v>
      </c>
      <c r="AQ138">
        <f t="shared" ca="1" si="74"/>
        <v>0.4785961733696536</v>
      </c>
      <c r="AR138">
        <f t="shared" ca="1" si="103"/>
        <v>-0.33447227254002038</v>
      </c>
      <c r="AS138">
        <f t="shared" ca="1" si="87"/>
        <v>-0.33447227254002038</v>
      </c>
      <c r="AT138" s="4">
        <f t="shared" ca="1" si="95"/>
        <v>35.184218913566369</v>
      </c>
      <c r="AU138">
        <f t="shared" ca="1" si="75"/>
        <v>-0.48506769082437828</v>
      </c>
      <c r="AV138">
        <f t="shared" ca="1" si="104"/>
        <v>0.2832859358753298</v>
      </c>
      <c r="AW138">
        <f t="shared" ca="1" si="89"/>
        <v>0.2832859358753298</v>
      </c>
      <c r="AX138" s="4" t="str">
        <f t="shared" ca="1" si="96"/>
        <v>ignore</v>
      </c>
    </row>
    <row r="139" spans="2:50" x14ac:dyDescent="0.2">
      <c r="B139">
        <v>109</v>
      </c>
      <c r="D139" s="11">
        <f t="shared" ca="1" si="97"/>
        <v>110.53100000000001</v>
      </c>
      <c r="F139" s="4">
        <f t="shared" ref="F139:F202" ca="1" si="105">IF(AQ139&gt;0.0000001,$Y$8*((1/SQRT(1-AQ139*AQ139))-1),"none")</f>
        <v>389.90613634083167</v>
      </c>
      <c r="H139" s="4">
        <f t="shared" ca="1" si="98"/>
        <v>1.0191159816215607</v>
      </c>
      <c r="J139" s="11">
        <f t="shared" ca="1" si="99"/>
        <v>34.689546955982536</v>
      </c>
      <c r="L139" s="4">
        <f t="shared" ref="L139:L202" ca="1" si="106">IF(ISNUMBER(F139),$E$5+$S$10-F139," ")</f>
        <v>28.469308659168348</v>
      </c>
      <c r="M139" s="4">
        <f t="shared" ca="1" si="76"/>
        <v>2542.9146348798763</v>
      </c>
      <c r="N139" s="4">
        <f t="shared" ca="1" si="77"/>
        <v>12.88680793987743</v>
      </c>
      <c r="R139" t="str">
        <f t="shared" ca="1" si="90"/>
        <v xml:space="preserve"> </v>
      </c>
      <c r="S139" s="11" t="str">
        <f t="shared" ca="1" si="100"/>
        <v xml:space="preserve"> </v>
      </c>
      <c r="T139" s="4" t="str">
        <f t="shared" ca="1" si="91"/>
        <v>none</v>
      </c>
      <c r="U139" s="4" t="str">
        <f t="shared" ca="1" si="101"/>
        <v xml:space="preserve"> </v>
      </c>
      <c r="V139" s="11" t="str">
        <f t="shared" ca="1" si="102"/>
        <v xml:space="preserve"> </v>
      </c>
      <c r="W139" s="4" t="str">
        <f t="shared" ca="1" si="92"/>
        <v xml:space="preserve"> </v>
      </c>
      <c r="AL139">
        <f t="shared" si="93"/>
        <v>-0.32556815445715664</v>
      </c>
      <c r="AM139">
        <f t="shared" ca="1" si="84"/>
        <v>4.4398457302298761E-3</v>
      </c>
      <c r="AN139">
        <f t="shared" ca="1" si="85"/>
        <v>1.3023653907160486</v>
      </c>
      <c r="AP139">
        <f t="shared" ca="1" si="94"/>
        <v>0.39378425992275878</v>
      </c>
      <c r="AQ139">
        <f t="shared" ref="AQ139:AQ202" ca="1" si="107">IF(ISNUMBER(SQRT(AP139)),(-AM139+SQRT(AP139))/AN139,-100)</f>
        <v>0.47842370273203577</v>
      </c>
      <c r="AR139">
        <f t="shared" ca="1" si="103"/>
        <v>-0.35072059638556613</v>
      </c>
      <c r="AS139">
        <f t="shared" ca="1" si="87"/>
        <v>-0.35072059638556613</v>
      </c>
      <c r="AT139" s="4">
        <f t="shared" ca="1" si="95"/>
        <v>34.689546955982536</v>
      </c>
      <c r="AU139">
        <f t="shared" ref="AU139:AU202" ca="1" si="108">IF(ISNUMBER(SQRT(AP139)),(-AM139-SQRT(AP139))/AN139,-100)</f>
        <v>-0.4852418288307167</v>
      </c>
      <c r="AV139">
        <f t="shared" ca="1" si="104"/>
        <v>0.3001285348116689</v>
      </c>
      <c r="AW139">
        <f t="shared" ca="1" si="89"/>
        <v>0.3001285348116689</v>
      </c>
      <c r="AX139" s="4" t="str">
        <f t="shared" ca="1" si="96"/>
        <v>ignore</v>
      </c>
    </row>
    <row r="140" spans="2:50" x14ac:dyDescent="0.2">
      <c r="B140">
        <v>110</v>
      </c>
      <c r="D140" s="11">
        <f t="shared" ca="1" si="97"/>
        <v>111.52200000000001</v>
      </c>
      <c r="F140" s="4">
        <f t="shared" ca="1" si="105"/>
        <v>389.5660392091749</v>
      </c>
      <c r="H140" s="4">
        <f t="shared" ca="1" si="98"/>
        <v>1.0200668666614581</v>
      </c>
      <c r="J140" s="11">
        <f t="shared" ca="1" si="99"/>
        <v>34.195098513178863</v>
      </c>
      <c r="L140" s="4">
        <f t="shared" ca="1" si="106"/>
        <v>28.80940579082511</v>
      </c>
      <c r="M140" s="4">
        <f t="shared" ca="1" si="76"/>
        <v>2558.060409612523</v>
      </c>
      <c r="N140" s="4">
        <f t="shared" ca="1" si="77"/>
        <v>12.96356265566815</v>
      </c>
      <c r="R140" t="str">
        <f t="shared" ca="1" si="90"/>
        <v xml:space="preserve"> </v>
      </c>
      <c r="S140" s="11" t="str">
        <f t="shared" ca="1" si="100"/>
        <v xml:space="preserve"> </v>
      </c>
      <c r="T140" s="4" t="str">
        <f t="shared" ca="1" si="91"/>
        <v>none</v>
      </c>
      <c r="U140" s="4" t="str">
        <f t="shared" ca="1" si="101"/>
        <v xml:space="preserve"> </v>
      </c>
      <c r="V140" s="11" t="str">
        <f t="shared" ca="1" si="102"/>
        <v xml:space="preserve"> </v>
      </c>
      <c r="W140" s="4" t="str">
        <f t="shared" ca="1" si="92"/>
        <v xml:space="preserve"> </v>
      </c>
      <c r="AL140">
        <f t="shared" si="93"/>
        <v>-0.34202014332566871</v>
      </c>
      <c r="AM140">
        <f t="shared" ca="1" si="84"/>
        <v>4.6642051816431903E-3</v>
      </c>
      <c r="AN140">
        <f t="shared" ca="1" si="85"/>
        <v>1.302367433295917</v>
      </c>
      <c r="AP140">
        <f t="shared" ca="1" si="94"/>
        <v>0.39378692006782323</v>
      </c>
      <c r="AQ140">
        <f t="shared" ca="1" si="107"/>
        <v>0.47825230938650609</v>
      </c>
      <c r="AR140">
        <f t="shared" ca="1" si="103"/>
        <v>-0.36685646311839992</v>
      </c>
      <c r="AS140">
        <f t="shared" ca="1" si="87"/>
        <v>-0.36685646311839992</v>
      </c>
      <c r="AT140" s="4">
        <f t="shared" ca="1" si="95"/>
        <v>34.195098513178863</v>
      </c>
      <c r="AU140">
        <f t="shared" ca="1" si="108"/>
        <v>-0.48541496573432258</v>
      </c>
      <c r="AV140">
        <f t="shared" ca="1" si="104"/>
        <v>0.31688583988118968</v>
      </c>
      <c r="AW140">
        <f t="shared" ca="1" si="89"/>
        <v>0.31688583988118968</v>
      </c>
      <c r="AX140" s="4" t="str">
        <f t="shared" ca="1" si="96"/>
        <v>ignore</v>
      </c>
    </row>
    <row r="141" spans="2:50" x14ac:dyDescent="0.2">
      <c r="B141">
        <v>111</v>
      </c>
      <c r="D141" s="11">
        <f t="shared" ca="1" si="97"/>
        <v>112.512</v>
      </c>
      <c r="F141" s="4">
        <f t="shared" ca="1" si="105"/>
        <v>389.22840978929503</v>
      </c>
      <c r="H141" s="4">
        <f t="shared" ca="1" si="98"/>
        <v>1.0210126742370058</v>
      </c>
      <c r="J141" s="11">
        <f t="shared" ca="1" si="99"/>
        <v>33.700872390795695</v>
      </c>
      <c r="L141" s="4">
        <f t="shared" ca="1" si="106"/>
        <v>29.147035210704985</v>
      </c>
      <c r="M141" s="4">
        <f t="shared" ca="1" si="76"/>
        <v>2573.008147839093</v>
      </c>
      <c r="N141" s="4">
        <f t="shared" ca="1" si="77"/>
        <v>13.039313775670049</v>
      </c>
      <c r="R141" t="str">
        <f t="shared" ca="1" si="90"/>
        <v xml:space="preserve"> </v>
      </c>
      <c r="S141" s="11" t="str">
        <f t="shared" ca="1" si="100"/>
        <v xml:space="preserve"> </v>
      </c>
      <c r="T141" s="4" t="str">
        <f t="shared" ca="1" si="91"/>
        <v>none</v>
      </c>
      <c r="U141" s="4" t="str">
        <f t="shared" ca="1" si="101"/>
        <v xml:space="preserve"> </v>
      </c>
      <c r="V141" s="11" t="str">
        <f t="shared" ca="1" si="102"/>
        <v xml:space="preserve"> </v>
      </c>
      <c r="W141" s="4" t="str">
        <f t="shared" ca="1" si="92"/>
        <v xml:space="preserve"> </v>
      </c>
      <c r="AL141">
        <f t="shared" si="93"/>
        <v>-0.35836794954530027</v>
      </c>
      <c r="AM141">
        <f t="shared" ca="1" si="84"/>
        <v>4.8871438709750057E-3</v>
      </c>
      <c r="AN141">
        <f t="shared" ca="1" si="85"/>
        <v>1.302369562661156</v>
      </c>
      <c r="AP141">
        <f t="shared" ca="1" si="94"/>
        <v>0.39378969323744029</v>
      </c>
      <c r="AQ141">
        <f t="shared" ca="1" si="107"/>
        <v>0.47808204476840599</v>
      </c>
      <c r="AR141">
        <f t="shared" ca="1" si="103"/>
        <v>-0.38287524956839281</v>
      </c>
      <c r="AS141">
        <f t="shared" ca="1" si="87"/>
        <v>-0.38287524956839281</v>
      </c>
      <c r="AT141" s="4">
        <f t="shared" ca="1" si="95"/>
        <v>33.700872390795695</v>
      </c>
      <c r="AU141">
        <f t="shared" ca="1" si="108"/>
        <v>-0.48558704797347019</v>
      </c>
      <c r="AV141">
        <f t="shared" ca="1" si="104"/>
        <v>0.3335524711149942</v>
      </c>
      <c r="AW141">
        <f t="shared" ca="1" si="89"/>
        <v>0.3335524711149942</v>
      </c>
      <c r="AX141" s="4" t="str">
        <f t="shared" ca="1" si="96"/>
        <v>ignore</v>
      </c>
    </row>
    <row r="142" spans="2:50" x14ac:dyDescent="0.2">
      <c r="B142">
        <v>112</v>
      </c>
      <c r="D142" s="11">
        <f t="shared" ca="1" si="97"/>
        <v>113.501</v>
      </c>
      <c r="F142" s="4">
        <f t="shared" ca="1" si="105"/>
        <v>388.89334453327416</v>
      </c>
      <c r="H142" s="4">
        <f t="shared" ca="1" si="98"/>
        <v>1.0219530987445948</v>
      </c>
      <c r="J142" s="11">
        <f t="shared" ca="1" si="99"/>
        <v>33.206867314870408</v>
      </c>
      <c r="L142" s="4">
        <f t="shared" ca="1" si="106"/>
        <v>29.482100466725853</v>
      </c>
      <c r="M142" s="4">
        <f t="shared" ca="1" si="76"/>
        <v>2587.7570468341182</v>
      </c>
      <c r="N142" s="4">
        <f t="shared" ca="1" si="77"/>
        <v>13.114057231886196</v>
      </c>
      <c r="R142" t="str">
        <f t="shared" ca="1" si="90"/>
        <v xml:space="preserve"> </v>
      </c>
      <c r="S142" s="11" t="str">
        <f t="shared" ca="1" si="100"/>
        <v xml:space="preserve"> </v>
      </c>
      <c r="T142" s="4" t="str">
        <f t="shared" ca="1" si="91"/>
        <v>none</v>
      </c>
      <c r="U142" s="4" t="str">
        <f t="shared" ca="1" si="101"/>
        <v xml:space="preserve"> </v>
      </c>
      <c r="V142" s="11" t="str">
        <f t="shared" ca="1" si="102"/>
        <v xml:space="preserve"> </v>
      </c>
      <c r="W142" s="4" t="str">
        <f t="shared" ca="1" si="92"/>
        <v xml:space="preserve"> </v>
      </c>
      <c r="AL142">
        <f t="shared" si="93"/>
        <v>-0.37460659341591207</v>
      </c>
      <c r="AM142">
        <f t="shared" ca="1" si="84"/>
        <v>5.1085938889408964E-3</v>
      </c>
      <c r="AN142">
        <f t="shared" ca="1" si="85"/>
        <v>1.3023717762174625</v>
      </c>
      <c r="AP142">
        <f t="shared" ca="1" si="94"/>
        <v>0.39379257605293017</v>
      </c>
      <c r="AQ142">
        <f t="shared" ca="1" si="107"/>
        <v>0.47791295993324295</v>
      </c>
      <c r="AR142">
        <f t="shared" ca="1" si="103"/>
        <v>-0.39877237957832617</v>
      </c>
      <c r="AS142">
        <f t="shared" ca="1" si="87"/>
        <v>-0.39877237957832617</v>
      </c>
      <c r="AT142" s="4">
        <f t="shared" ca="1" si="95"/>
        <v>33.206867314870408</v>
      </c>
      <c r="AU142">
        <f t="shared" ca="1" si="108"/>
        <v>-0.48575802227600662</v>
      </c>
      <c r="AV142">
        <f t="shared" ca="1" si="104"/>
        <v>0.35012306338897636</v>
      </c>
      <c r="AW142">
        <f t="shared" ca="1" si="89"/>
        <v>0.35012306338897636</v>
      </c>
      <c r="AX142" s="4" t="str">
        <f t="shared" ca="1" si="96"/>
        <v>ignore</v>
      </c>
    </row>
    <row r="143" spans="2:50" x14ac:dyDescent="0.2">
      <c r="B143">
        <v>113</v>
      </c>
      <c r="D143" s="11">
        <f t="shared" ca="1" si="97"/>
        <v>114.491</v>
      </c>
      <c r="F143" s="4">
        <f t="shared" ca="1" si="105"/>
        <v>388.56093888093341</v>
      </c>
      <c r="H143" s="4">
        <f t="shared" ca="1" si="98"/>
        <v>1.022887835455107</v>
      </c>
      <c r="J143" s="11">
        <f t="shared" ca="1" si="99"/>
        <v>32.71308193280683</v>
      </c>
      <c r="L143" s="4">
        <f t="shared" ca="1" si="106"/>
        <v>29.814506119066607</v>
      </c>
      <c r="M143" s="4">
        <f t="shared" ca="1" si="76"/>
        <v>2602.306320750758</v>
      </c>
      <c r="N143" s="4">
        <f t="shared" ca="1" si="77"/>
        <v>13.187789041856004</v>
      </c>
      <c r="R143" t="str">
        <f t="shared" ca="1" si="90"/>
        <v xml:space="preserve"> </v>
      </c>
      <c r="S143" s="11" t="str">
        <f t="shared" ca="1" si="100"/>
        <v xml:space="preserve"> </v>
      </c>
      <c r="T143" s="4" t="str">
        <f t="shared" ca="1" si="91"/>
        <v>none</v>
      </c>
      <c r="U143" s="4" t="str">
        <f t="shared" ca="1" si="101"/>
        <v xml:space="preserve"> </v>
      </c>
      <c r="V143" s="11" t="str">
        <f t="shared" ca="1" si="102"/>
        <v xml:space="preserve"> </v>
      </c>
      <c r="W143" s="4" t="str">
        <f t="shared" ca="1" si="92"/>
        <v xml:space="preserve"> </v>
      </c>
      <c r="AL143">
        <f t="shared" si="93"/>
        <v>-0.39073112848927377</v>
      </c>
      <c r="AM143">
        <f t="shared" ca="1" si="84"/>
        <v>5.3284877797201554E-3</v>
      </c>
      <c r="AN143">
        <f t="shared" ca="1" si="85"/>
        <v>1.302374071267959</v>
      </c>
      <c r="AP143">
        <f t="shared" ca="1" si="94"/>
        <v>0.39379556500202617</v>
      </c>
      <c r="AQ143">
        <f t="shared" ca="1" si="107"/>
        <v>0.47774510554209487</v>
      </c>
      <c r="AR143">
        <f t="shared" ca="1" si="103"/>
        <v>-0.41454332501761171</v>
      </c>
      <c r="AS143">
        <f t="shared" ca="1" si="87"/>
        <v>-0.41454332501761171</v>
      </c>
      <c r="AT143" s="4">
        <f t="shared" ca="1" si="95"/>
        <v>32.71308193280683</v>
      </c>
      <c r="AU143">
        <f t="shared" ca="1" si="108"/>
        <v>-0.48592783567665981</v>
      </c>
      <c r="AV143">
        <f t="shared" ca="1" si="104"/>
        <v>0.36659226839715892</v>
      </c>
      <c r="AW143">
        <f t="shared" ca="1" si="89"/>
        <v>0.36659226839715892</v>
      </c>
      <c r="AX143" s="4" t="str">
        <f t="shared" ca="1" si="96"/>
        <v>ignore</v>
      </c>
    </row>
    <row r="144" spans="2:50" x14ac:dyDescent="0.2">
      <c r="B144">
        <v>114</v>
      </c>
      <c r="D144" s="11">
        <f t="shared" ca="1" si="97"/>
        <v>115.479</v>
      </c>
      <c r="F144" s="4">
        <f t="shared" ca="1" si="105"/>
        <v>388.23128723903142</v>
      </c>
      <c r="H144" s="4">
        <f t="shared" ca="1" si="98"/>
        <v>1.02381658062821</v>
      </c>
      <c r="J144" s="11">
        <f t="shared" ca="1" si="99"/>
        <v>32.21951481433959</v>
      </c>
      <c r="L144" s="4">
        <f t="shared" ca="1" si="106"/>
        <v>30.144157760968596</v>
      </c>
      <c r="M144" s="4">
        <f t="shared" ca="1" si="76"/>
        <v>2616.6552004546725</v>
      </c>
      <c r="N144" s="4">
        <f t="shared" ca="1" si="77"/>
        <v>13.260505307813348</v>
      </c>
      <c r="R144" t="str">
        <f t="shared" ca="1" si="90"/>
        <v xml:space="preserve"> </v>
      </c>
      <c r="S144" s="11" t="str">
        <f t="shared" ca="1" si="100"/>
        <v xml:space="preserve"> </v>
      </c>
      <c r="T144" s="4" t="str">
        <f t="shared" ca="1" si="91"/>
        <v>none</v>
      </c>
      <c r="U144" s="4" t="str">
        <f t="shared" ca="1" si="101"/>
        <v xml:space="preserve"> </v>
      </c>
      <c r="V144" s="11" t="str">
        <f t="shared" ca="1" si="102"/>
        <v xml:space="preserve"> </v>
      </c>
      <c r="W144" s="4" t="str">
        <f t="shared" ca="1" si="92"/>
        <v xml:space="preserve"> </v>
      </c>
      <c r="AL144">
        <f t="shared" si="93"/>
        <v>-0.40673664307580026</v>
      </c>
      <c r="AM144">
        <f t="shared" ca="1" si="84"/>
        <v>5.5467585615034919E-3</v>
      </c>
      <c r="AN144">
        <f t="shared" ca="1" si="85"/>
        <v>1.3023764450164801</v>
      </c>
      <c r="AP144">
        <f t="shared" ca="1" si="94"/>
        <v>0.39379865644315437</v>
      </c>
      <c r="AQ144">
        <f t="shared" ca="1" si="107"/>
        <v>0.47757853184717908</v>
      </c>
      <c r="AR144">
        <f t="shared" ca="1" si="103"/>
        <v>-0.43018360676914003</v>
      </c>
      <c r="AS144">
        <f t="shared" ca="1" si="87"/>
        <v>-0.43018360676914003</v>
      </c>
      <c r="AT144" s="4">
        <f t="shared" ca="1" si="95"/>
        <v>32.21951481433959</v>
      </c>
      <c r="AU144">
        <f t="shared" ca="1" si="108"/>
        <v>-0.48609643553428589</v>
      </c>
      <c r="AV144">
        <f t="shared" ca="1" si="104"/>
        <v>0.38295475663616818</v>
      </c>
      <c r="AW144">
        <f t="shared" ca="1" si="89"/>
        <v>0.38295475663616818</v>
      </c>
      <c r="AX144" s="4" t="str">
        <f t="shared" ca="1" si="96"/>
        <v>ignore</v>
      </c>
    </row>
    <row r="145" spans="2:50" x14ac:dyDescent="0.2">
      <c r="B145">
        <v>115</v>
      </c>
      <c r="D145" s="11">
        <f t="shared" ca="1" si="97"/>
        <v>116.467</v>
      </c>
      <c r="F145" s="4">
        <f t="shared" ca="1" si="105"/>
        <v>387.90448296102664</v>
      </c>
      <c r="H145" s="4">
        <f t="shared" ca="1" si="98"/>
        <v>1.0247390316273361</v>
      </c>
      <c r="J145" s="11">
        <f t="shared" ca="1" si="99"/>
        <v>31.726164452497269</v>
      </c>
      <c r="L145" s="4">
        <f t="shared" ca="1" si="106"/>
        <v>30.470962038973369</v>
      </c>
      <c r="M145" s="4">
        <f t="shared" ref="M145:M208" ca="1" si="109">SQRT(($Y$10+L145)^2-$Y$10^2)</f>
        <v>2630.802933354792</v>
      </c>
      <c r="N145" s="4">
        <f t="shared" ref="N145:N208" ca="1" si="110">M145/197.32696</f>
        <v>13.332202215828957</v>
      </c>
      <c r="R145" t="str">
        <f t="shared" ca="1" si="90"/>
        <v xml:space="preserve"> </v>
      </c>
      <c r="S145" s="11" t="str">
        <f t="shared" ca="1" si="100"/>
        <v xml:space="preserve"> </v>
      </c>
      <c r="T145" s="4" t="str">
        <f t="shared" ca="1" si="91"/>
        <v>none</v>
      </c>
      <c r="U145" s="4" t="str">
        <f t="shared" ca="1" si="101"/>
        <v xml:space="preserve"> </v>
      </c>
      <c r="V145" s="11" t="str">
        <f t="shared" ca="1" si="102"/>
        <v xml:space="preserve"> </v>
      </c>
      <c r="W145" s="4" t="str">
        <f t="shared" ca="1" si="92"/>
        <v xml:space="preserve"> </v>
      </c>
      <c r="AL145">
        <f t="shared" si="93"/>
        <v>-0.42261826174069933</v>
      </c>
      <c r="AM145">
        <f t="shared" ca="1" si="84"/>
        <v>5.7633397468963348E-3</v>
      </c>
      <c r="AN145">
        <f t="shared" ca="1" si="85"/>
        <v>1.3023788945709787</v>
      </c>
      <c r="AP145">
        <f t="shared" ca="1" si="94"/>
        <v>0.39380184660986972</v>
      </c>
      <c r="AQ145">
        <f t="shared" ca="1" si="107"/>
        <v>0.47741328867759236</v>
      </c>
      <c r="AR145">
        <f t="shared" ca="1" si="103"/>
        <v>-0.44568879568945913</v>
      </c>
      <c r="AS145">
        <f t="shared" ca="1" si="87"/>
        <v>-0.44568879568945913</v>
      </c>
      <c r="AT145" s="4">
        <f t="shared" ca="1" si="95"/>
        <v>31.726164452497269</v>
      </c>
      <c r="AU145">
        <f t="shared" ca="1" si="108"/>
        <v>-0.48626376954905165</v>
      </c>
      <c r="AV145">
        <f t="shared" ca="1" si="104"/>
        <v>0.39920521939984466</v>
      </c>
      <c r="AW145">
        <f t="shared" ca="1" si="89"/>
        <v>0.39920521939984466</v>
      </c>
      <c r="AX145" s="4" t="str">
        <f t="shared" ca="1" si="96"/>
        <v>ignore</v>
      </c>
    </row>
    <row r="146" spans="2:50" x14ac:dyDescent="0.2">
      <c r="B146">
        <v>116</v>
      </c>
      <c r="D146" s="11">
        <f t="shared" ca="1" si="97"/>
        <v>117.455</v>
      </c>
      <c r="F146" s="4">
        <f t="shared" ca="1" si="105"/>
        <v>387.580618327401</v>
      </c>
      <c r="H146" s="4">
        <f t="shared" ca="1" si="98"/>
        <v>1.0256548870352891</v>
      </c>
      <c r="J146" s="11">
        <f t="shared" ca="1" si="99"/>
        <v>31.233029264566767</v>
      </c>
      <c r="L146" s="4">
        <f t="shared" ca="1" si="106"/>
        <v>30.794826672599015</v>
      </c>
      <c r="M146" s="4">
        <f t="shared" ca="1" si="109"/>
        <v>2644.7487832245179</v>
      </c>
      <c r="N146" s="4">
        <f t="shared" ca="1" si="110"/>
        <v>13.402876034904292</v>
      </c>
      <c r="R146" t="str">
        <f t="shared" ca="1" si="90"/>
        <v xml:space="preserve"> </v>
      </c>
      <c r="S146" s="11" t="str">
        <f t="shared" ca="1" si="100"/>
        <v xml:space="preserve"> </v>
      </c>
      <c r="T146" s="4" t="str">
        <f t="shared" ca="1" si="91"/>
        <v>none</v>
      </c>
      <c r="U146" s="4" t="str">
        <f t="shared" ca="1" si="101"/>
        <v xml:space="preserve"> </v>
      </c>
      <c r="V146" s="11" t="str">
        <f t="shared" ca="1" si="102"/>
        <v xml:space="preserve"> </v>
      </c>
      <c r="W146" s="4" t="str">
        <f t="shared" ca="1" si="92"/>
        <v xml:space="preserve"> </v>
      </c>
      <c r="AL146">
        <f t="shared" si="93"/>
        <v>-0.43837114678907751</v>
      </c>
      <c r="AM146">
        <f t="shared" ca="1" si="84"/>
        <v>5.9781653631715524E-3</v>
      </c>
      <c r="AN146">
        <f t="shared" ca="1" si="85"/>
        <v>1.3023814169470498</v>
      </c>
      <c r="AP146">
        <f t="shared" ca="1" si="94"/>
        <v>0.39380513161544567</v>
      </c>
      <c r="AQ146">
        <f t="shared" ca="1" si="107"/>
        <v>0.47724942542522303</v>
      </c>
      <c r="AR146">
        <f t="shared" ca="1" si="103"/>
        <v>-0.46105451354250704</v>
      </c>
      <c r="AS146">
        <f t="shared" ca="1" si="87"/>
        <v>-0.46105451354250704</v>
      </c>
      <c r="AT146" s="4">
        <f t="shared" ca="1" si="95"/>
        <v>31.233029264566767</v>
      </c>
      <c r="AU146">
        <f t="shared" ca="1" si="108"/>
        <v>-0.48642978577954243</v>
      </c>
      <c r="AV146">
        <f t="shared" ca="1" si="104"/>
        <v>0.41533837078295571</v>
      </c>
      <c r="AW146">
        <f t="shared" ca="1" si="89"/>
        <v>0.41533837078295571</v>
      </c>
      <c r="AX146" s="4" t="str">
        <f t="shared" ca="1" si="96"/>
        <v>ignore</v>
      </c>
    </row>
    <row r="147" spans="2:50" x14ac:dyDescent="0.2">
      <c r="B147">
        <v>117</v>
      </c>
      <c r="D147" s="11">
        <f t="shared" ca="1" si="97"/>
        <v>118.44199999999999</v>
      </c>
      <c r="F147" s="4">
        <f t="shared" ca="1" si="105"/>
        <v>387.25978452652555</v>
      </c>
      <c r="H147" s="4">
        <f t="shared" ca="1" si="98"/>
        <v>1.026563846770411</v>
      </c>
      <c r="J147" s="11">
        <f t="shared" ca="1" si="99"/>
        <v>30.740107593050819</v>
      </c>
      <c r="L147" s="4">
        <f t="shared" ca="1" si="106"/>
        <v>31.115660473474463</v>
      </c>
      <c r="M147" s="4">
        <f t="shared" ca="1" si="109"/>
        <v>2658.4920300308095</v>
      </c>
      <c r="N147" s="4">
        <f t="shared" ca="1" si="110"/>
        <v>13.472523116105419</v>
      </c>
      <c r="R147" t="str">
        <f t="shared" ca="1" si="90"/>
        <v xml:space="preserve"> </v>
      </c>
      <c r="S147" s="11" t="str">
        <f t="shared" ca="1" si="100"/>
        <v xml:space="preserve"> </v>
      </c>
      <c r="T147" s="4" t="str">
        <f t="shared" ca="1" si="91"/>
        <v>none</v>
      </c>
      <c r="U147" s="4" t="str">
        <f t="shared" ca="1" si="101"/>
        <v xml:space="preserve"> </v>
      </c>
      <c r="V147" s="11" t="str">
        <f t="shared" ca="1" si="102"/>
        <v xml:space="preserve"> </v>
      </c>
      <c r="W147" s="4" t="str">
        <f t="shared" ca="1" si="92"/>
        <v xml:space="preserve"> </v>
      </c>
      <c r="AL147">
        <f t="shared" si="93"/>
        <v>-0.45399049973954669</v>
      </c>
      <c r="AM147">
        <f t="shared" ca="1" si="84"/>
        <v>6.1911699723653547E-3</v>
      </c>
      <c r="AN147">
        <f t="shared" ca="1" si="85"/>
        <v>1.302384009071567</v>
      </c>
      <c r="AP147">
        <f t="shared" ca="1" si="94"/>
        <v>0.39380850745760887</v>
      </c>
      <c r="AQ147">
        <f t="shared" ca="1" si="107"/>
        <v>0.47708699103083801</v>
      </c>
      <c r="AR147">
        <f t="shared" ca="1" si="103"/>
        <v>-0.47627643390713287</v>
      </c>
      <c r="AS147">
        <f t="shared" ca="1" si="87"/>
        <v>-0.47627643390713287</v>
      </c>
      <c r="AT147" s="4">
        <f t="shared" ca="1" si="95"/>
        <v>30.740107593050819</v>
      </c>
      <c r="AU147">
        <f t="shared" ca="1" si="108"/>
        <v>-0.4865944326597918</v>
      </c>
      <c r="AV147">
        <f t="shared" ca="1" si="104"/>
        <v>0.43134894969295479</v>
      </c>
      <c r="AW147">
        <f t="shared" ca="1" si="89"/>
        <v>0.43134894969295479</v>
      </c>
      <c r="AX147" s="4" t="str">
        <f t="shared" ca="1" si="96"/>
        <v>ignore</v>
      </c>
    </row>
    <row r="148" spans="2:50" x14ac:dyDescent="0.2">
      <c r="B148">
        <v>118</v>
      </c>
      <c r="D148" s="11">
        <f t="shared" ca="1" si="97"/>
        <v>119.429</v>
      </c>
      <c r="F148" s="4">
        <f t="shared" ca="1" si="105"/>
        <v>386.94207163608371</v>
      </c>
      <c r="H148" s="4">
        <f t="shared" ca="1" si="98"/>
        <v>1.0274656122032519</v>
      </c>
      <c r="J148" s="11">
        <f t="shared" ca="1" si="99"/>
        <v>30.247397706632771</v>
      </c>
      <c r="L148" s="4">
        <f t="shared" ca="1" si="106"/>
        <v>31.433373363916303</v>
      </c>
      <c r="M148" s="4">
        <f t="shared" ca="1" si="109"/>
        <v>2672.03196975933</v>
      </c>
      <c r="N148" s="4">
        <f t="shared" ca="1" si="110"/>
        <v>13.541139891676888</v>
      </c>
      <c r="R148" t="str">
        <f t="shared" ca="1" si="90"/>
        <v xml:space="preserve"> </v>
      </c>
      <c r="S148" s="11" t="str">
        <f t="shared" ca="1" si="100"/>
        <v xml:space="preserve"> </v>
      </c>
      <c r="T148" s="4" t="str">
        <f t="shared" ca="1" si="91"/>
        <v>none</v>
      </c>
      <c r="U148" s="4" t="str">
        <f t="shared" ca="1" si="101"/>
        <v xml:space="preserve"> </v>
      </c>
      <c r="V148" s="11" t="str">
        <f t="shared" ca="1" si="102"/>
        <v xml:space="preserve"> </v>
      </c>
      <c r="W148" s="4" t="str">
        <f t="shared" ca="1" si="92"/>
        <v xml:space="preserve"> </v>
      </c>
      <c r="AL148">
        <f t="shared" si="93"/>
        <v>-0.46947156278589092</v>
      </c>
      <c r="AM148">
        <f t="shared" ca="1" si="84"/>
        <v>6.4022886912103701E-3</v>
      </c>
      <c r="AN148">
        <f t="shared" ca="1" si="85"/>
        <v>1.302386667786426</v>
      </c>
      <c r="AP148">
        <f t="shared" ca="1" si="94"/>
        <v>0.39381197002341567</v>
      </c>
      <c r="AQ148">
        <f t="shared" ca="1" si="107"/>
        <v>0.47692603397034988</v>
      </c>
      <c r="AR148">
        <f t="shared" ca="1" si="103"/>
        <v>-0.49135028305867351</v>
      </c>
      <c r="AS148">
        <f t="shared" ca="1" si="87"/>
        <v>-0.49135028305867351</v>
      </c>
      <c r="AT148" s="4">
        <f t="shared" ca="1" si="95"/>
        <v>30.247397706632771</v>
      </c>
      <c r="AU148">
        <f t="shared" ca="1" si="108"/>
        <v>-0.48675765901622342</v>
      </c>
      <c r="AV148">
        <f t="shared" ca="1" si="104"/>
        <v>0.44723172186871174</v>
      </c>
      <c r="AW148">
        <f t="shared" ca="1" si="89"/>
        <v>0.44723172186871174</v>
      </c>
      <c r="AX148" s="4" t="str">
        <f t="shared" ca="1" si="96"/>
        <v>ignore</v>
      </c>
    </row>
    <row r="149" spans="2:50" x14ac:dyDescent="0.2">
      <c r="B149">
        <v>119</v>
      </c>
      <c r="D149" s="11">
        <f t="shared" ca="1" si="97"/>
        <v>120.416</v>
      </c>
      <c r="F149" s="4">
        <f t="shared" ca="1" si="105"/>
        <v>386.62756860503208</v>
      </c>
      <c r="H149" s="4">
        <f t="shared" ca="1" si="98"/>
        <v>1.0283598862736738</v>
      </c>
      <c r="J149" s="11">
        <f t="shared" ca="1" si="99"/>
        <v>29.754897801140753</v>
      </c>
      <c r="L149" s="4">
        <f t="shared" ca="1" si="106"/>
        <v>31.747876394967932</v>
      </c>
      <c r="M149" s="4">
        <f t="shared" ca="1" si="109"/>
        <v>2685.3679142324754</v>
      </c>
      <c r="N149" s="4">
        <f t="shared" ca="1" si="110"/>
        <v>13.608722874119559</v>
      </c>
      <c r="R149" t="str">
        <f t="shared" ca="1" si="90"/>
        <v xml:space="preserve"> </v>
      </c>
      <c r="S149" s="11" t="str">
        <f t="shared" ca="1" si="100"/>
        <v xml:space="preserve"> </v>
      </c>
      <c r="T149" s="4" t="str">
        <f t="shared" ca="1" si="91"/>
        <v>none</v>
      </c>
      <c r="U149" s="4" t="str">
        <f t="shared" ca="1" si="101"/>
        <v xml:space="preserve"> </v>
      </c>
      <c r="V149" s="11" t="str">
        <f t="shared" ca="1" si="102"/>
        <v xml:space="preserve"> </v>
      </c>
      <c r="W149" s="4" t="str">
        <f t="shared" ca="1" si="92"/>
        <v xml:space="preserve"> </v>
      </c>
      <c r="AL149">
        <f t="shared" si="93"/>
        <v>-0.484809620246337</v>
      </c>
      <c r="AM149">
        <f t="shared" ca="1" si="84"/>
        <v>6.6114572108996739E-3</v>
      </c>
      <c r="AN149">
        <f t="shared" ca="1" si="85"/>
        <v>1.3023893898523919</v>
      </c>
      <c r="AP149">
        <f t="shared" ca="1" si="94"/>
        <v>0.39381551509426294</v>
      </c>
      <c r="AQ149">
        <f t="shared" ca="1" si="107"/>
        <v>0.47676660224126427</v>
      </c>
      <c r="AR149">
        <f t="shared" ca="1" si="103"/>
        <v>-0.50627184082484855</v>
      </c>
      <c r="AS149">
        <f t="shared" ca="1" si="87"/>
        <v>-0.50627184082484855</v>
      </c>
      <c r="AT149" s="4">
        <f t="shared" ca="1" si="95"/>
        <v>29.754897801140753</v>
      </c>
      <c r="AU149">
        <f t="shared" ca="1" si="108"/>
        <v>-0.48691941408450101</v>
      </c>
      <c r="AV149">
        <f t="shared" ca="1" si="104"/>
        <v>0.4629814819051023</v>
      </c>
      <c r="AW149">
        <f t="shared" ca="1" si="89"/>
        <v>0.4629814819051023</v>
      </c>
      <c r="AX149" s="4" t="str">
        <f t="shared" ca="1" si="96"/>
        <v>ignore</v>
      </c>
    </row>
    <row r="150" spans="2:50" x14ac:dyDescent="0.2">
      <c r="B150">
        <v>120</v>
      </c>
      <c r="D150" s="11">
        <f t="shared" ca="1" si="97"/>
        <v>121.402</v>
      </c>
      <c r="F150" s="4">
        <f t="shared" ca="1" si="105"/>
        <v>386.31636323609143</v>
      </c>
      <c r="H150" s="4">
        <f t="shared" ca="1" si="98"/>
        <v>1.0292463736083215</v>
      </c>
      <c r="J150" s="11">
        <f t="shared" ca="1" si="99"/>
        <v>29.262606000511102</v>
      </c>
      <c r="L150" s="4">
        <f t="shared" ca="1" si="106"/>
        <v>32.05908176390858</v>
      </c>
      <c r="M150" s="4">
        <f t="shared" ca="1" si="109"/>
        <v>2698.4991909370106</v>
      </c>
      <c r="N150" s="4">
        <f t="shared" ca="1" si="110"/>
        <v>13.675268655317096</v>
      </c>
      <c r="R150" t="str">
        <f t="shared" ca="1" si="90"/>
        <v xml:space="preserve"> </v>
      </c>
      <c r="S150" s="11" t="str">
        <f t="shared" ca="1" si="100"/>
        <v xml:space="preserve"> </v>
      </c>
      <c r="T150" s="4" t="str">
        <f t="shared" ca="1" si="91"/>
        <v>none</v>
      </c>
      <c r="U150" s="4" t="str">
        <f t="shared" ca="1" si="101"/>
        <v xml:space="preserve"> </v>
      </c>
      <c r="V150" s="11" t="str">
        <f t="shared" ca="1" si="102"/>
        <v xml:space="preserve"> </v>
      </c>
      <c r="W150" s="4" t="str">
        <f t="shared" ca="1" si="92"/>
        <v xml:space="preserve"> </v>
      </c>
      <c r="AL150">
        <f t="shared" si="93"/>
        <v>-0.49999999999999978</v>
      </c>
      <c r="AM150">
        <f t="shared" ca="1" si="84"/>
        <v>6.8186118166759131E-3</v>
      </c>
      <c r="AN150">
        <f t="shared" ca="1" si="85"/>
        <v>1.3023921719530469</v>
      </c>
      <c r="AP150">
        <f t="shared" ca="1" si="94"/>
        <v>0.39381913835102805</v>
      </c>
      <c r="AQ150">
        <f t="shared" ca="1" si="107"/>
        <v>0.47660874334931086</v>
      </c>
      <c r="AR150">
        <f t="shared" ca="1" si="103"/>
        <v>-0.5210369414162761</v>
      </c>
      <c r="AS150">
        <f t="shared" ca="1" si="87"/>
        <v>-0.5210369414162761</v>
      </c>
      <c r="AT150" s="4">
        <f t="shared" ca="1" si="95"/>
        <v>29.262606000511102</v>
      </c>
      <c r="AU150">
        <f t="shared" ca="1" si="108"/>
        <v>-0.48707964752627742</v>
      </c>
      <c r="AV150">
        <f t="shared" ca="1" si="104"/>
        <v>0.47859305528234425</v>
      </c>
      <c r="AW150">
        <f t="shared" ca="1" si="89"/>
        <v>0.47859305528234425</v>
      </c>
      <c r="AX150" s="4" t="str">
        <f t="shared" ca="1" si="96"/>
        <v>ignore</v>
      </c>
    </row>
    <row r="151" spans="2:50" x14ac:dyDescent="0.2">
      <c r="B151">
        <v>121</v>
      </c>
      <c r="D151" s="11">
        <f t="shared" ca="1" si="97"/>
        <v>122.387</v>
      </c>
      <c r="F151" s="4">
        <f t="shared" ca="1" si="105"/>
        <v>386.00854216877423</v>
      </c>
      <c r="H151" s="4">
        <f t="shared" ca="1" si="98"/>
        <v>1.0301247806383977</v>
      </c>
      <c r="J151" s="11">
        <f t="shared" ca="1" si="99"/>
        <v>28.770520357759668</v>
      </c>
      <c r="L151" s="4">
        <f t="shared" ca="1" si="106"/>
        <v>32.366902831225786</v>
      </c>
      <c r="M151" s="4">
        <f t="shared" ca="1" si="109"/>
        <v>2711.4251428404364</v>
      </c>
      <c r="N151" s="4">
        <f t="shared" ca="1" si="110"/>
        <v>13.740773905605378</v>
      </c>
      <c r="R151" t="str">
        <f t="shared" ca="1" si="90"/>
        <v xml:space="preserve"> </v>
      </c>
      <c r="S151" s="11" t="str">
        <f t="shared" ca="1" si="100"/>
        <v xml:space="preserve"> </v>
      </c>
      <c r="T151" s="4" t="str">
        <f t="shared" ca="1" si="91"/>
        <v>none</v>
      </c>
      <c r="U151" s="4" t="str">
        <f t="shared" ca="1" si="101"/>
        <v xml:space="preserve"> </v>
      </c>
      <c r="V151" s="11" t="str">
        <f t="shared" ca="1" si="102"/>
        <v xml:space="preserve"> </v>
      </c>
      <c r="W151" s="4" t="str">
        <f t="shared" ca="1" si="92"/>
        <v xml:space="preserve"> </v>
      </c>
      <c r="AL151">
        <f t="shared" si="93"/>
        <v>-0.51503807491005427</v>
      </c>
      <c r="AM151">
        <f t="shared" ca="1" si="84"/>
        <v>7.0236894072394232E-3</v>
      </c>
      <c r="AN151">
        <f t="shared" ca="1" si="85"/>
        <v>1.3023950106988298</v>
      </c>
      <c r="AP151">
        <f t="shared" ca="1" si="94"/>
        <v>0.39382283537933072</v>
      </c>
      <c r="AQ151">
        <f t="shared" ca="1" si="107"/>
        <v>0.47645250429526209</v>
      </c>
      <c r="AR151">
        <f t="shared" ca="1" si="103"/>
        <v>-0.53564147423190855</v>
      </c>
      <c r="AS151">
        <f t="shared" ca="1" si="87"/>
        <v>-0.53564147423190855</v>
      </c>
      <c r="AT151" s="4">
        <f t="shared" ca="1" si="95"/>
        <v>28.770520357759668</v>
      </c>
      <c r="AU151">
        <f t="shared" ca="1" si="108"/>
        <v>-0.48723830944583724</v>
      </c>
      <c r="AV151">
        <f t="shared" ca="1" si="104"/>
        <v>0.49406130039892054</v>
      </c>
      <c r="AW151">
        <f t="shared" ca="1" si="89"/>
        <v>0.49406130039892054</v>
      </c>
      <c r="AX151" s="4" t="str">
        <f t="shared" ca="1" si="96"/>
        <v>ignore</v>
      </c>
    </row>
    <row r="152" spans="2:50" x14ac:dyDescent="0.2">
      <c r="B152">
        <v>122</v>
      </c>
      <c r="D152" s="11">
        <f t="shared" ca="1" si="97"/>
        <v>123.373</v>
      </c>
      <c r="F152" s="4">
        <f t="shared" ca="1" si="105"/>
        <v>385.70419086292958</v>
      </c>
      <c r="H152" s="4">
        <f t="shared" ca="1" si="98"/>
        <v>1.0309948157176665</v>
      </c>
      <c r="J152" s="11">
        <f t="shared" ca="1" si="99"/>
        <v>28.278638855953989</v>
      </c>
      <c r="L152" s="4">
        <f t="shared" ca="1" si="106"/>
        <v>32.671254137070434</v>
      </c>
      <c r="M152" s="4">
        <f t="shared" ca="1" si="109"/>
        <v>2724.1451282120811</v>
      </c>
      <c r="N152" s="4">
        <f t="shared" ca="1" si="110"/>
        <v>13.80523537286583</v>
      </c>
      <c r="R152" t="str">
        <f t="shared" ca="1" si="90"/>
        <v xml:space="preserve"> </v>
      </c>
      <c r="S152" s="11" t="str">
        <f t="shared" ca="1" si="100"/>
        <v xml:space="preserve"> </v>
      </c>
      <c r="T152" s="4" t="str">
        <f t="shared" ca="1" si="91"/>
        <v>none</v>
      </c>
      <c r="U152" s="4" t="str">
        <f t="shared" ca="1" si="101"/>
        <v xml:space="preserve"> </v>
      </c>
      <c r="V152" s="11" t="str">
        <f t="shared" ca="1" si="102"/>
        <v xml:space="preserve"> </v>
      </c>
      <c r="W152" s="4" t="str">
        <f t="shared" ca="1" si="92"/>
        <v xml:space="preserve"> </v>
      </c>
      <c r="AL152">
        <f t="shared" si="93"/>
        <v>-0.52991926423320479</v>
      </c>
      <c r="AM152">
        <f t="shared" ca="1" si="84"/>
        <v>7.226627513969474E-3</v>
      </c>
      <c r="AN152">
        <f t="shared" ca="1" si="85"/>
        <v>1.3023979026311661</v>
      </c>
      <c r="AP152">
        <f t="shared" ca="1" si="94"/>
        <v>0.39382660167491129</v>
      </c>
      <c r="AQ152">
        <f t="shared" ca="1" si="107"/>
        <v>0.47629793156193984</v>
      </c>
      <c r="AR152">
        <f t="shared" ca="1" si="103"/>
        <v>-0.55008138463970913</v>
      </c>
      <c r="AS152">
        <f t="shared" ca="1" si="87"/>
        <v>-0.55008138463970913</v>
      </c>
      <c r="AT152" s="4">
        <f t="shared" ca="1" si="95"/>
        <v>28.278638855953989</v>
      </c>
      <c r="AU152">
        <f t="shared" ca="1" si="108"/>
        <v>-0.48739535040662613</v>
      </c>
      <c r="AV152">
        <f t="shared" ca="1" si="104"/>
        <v>0.50938111060692892</v>
      </c>
      <c r="AW152">
        <f t="shared" ca="1" si="89"/>
        <v>0.50938111060692892</v>
      </c>
      <c r="AX152" s="4" t="str">
        <f t="shared" ca="1" si="96"/>
        <v>ignore</v>
      </c>
    </row>
    <row r="153" spans="2:50" x14ac:dyDescent="0.2">
      <c r="B153">
        <v>123</v>
      </c>
      <c r="D153" s="11">
        <f t="shared" ca="1" si="97"/>
        <v>124.357</v>
      </c>
      <c r="F153" s="4">
        <f t="shared" ca="1" si="105"/>
        <v>385.40339358280227</v>
      </c>
      <c r="H153" s="4">
        <f t="shared" ca="1" si="98"/>
        <v>1.0318561892406202</v>
      </c>
      <c r="J153" s="11">
        <f t="shared" ca="1" si="99"/>
        <v>27.786959409189471</v>
      </c>
      <c r="L153" s="4">
        <f t="shared" ca="1" si="106"/>
        <v>32.972051417197747</v>
      </c>
      <c r="M153" s="4">
        <f t="shared" ca="1" si="109"/>
        <v>2736.6585204465136</v>
      </c>
      <c r="N153" s="4">
        <f t="shared" ca="1" si="110"/>
        <v>13.868649881630535</v>
      </c>
      <c r="R153" t="str">
        <f t="shared" ca="1" si="90"/>
        <v xml:space="preserve"> </v>
      </c>
      <c r="S153" s="11" t="str">
        <f t="shared" ca="1" si="100"/>
        <v xml:space="preserve"> </v>
      </c>
      <c r="T153" s="4" t="str">
        <f t="shared" ca="1" si="91"/>
        <v>none</v>
      </c>
      <c r="U153" s="4" t="str">
        <f t="shared" ca="1" si="101"/>
        <v xml:space="preserve"> </v>
      </c>
      <c r="V153" s="11" t="str">
        <f t="shared" ca="1" si="102"/>
        <v xml:space="preserve"> </v>
      </c>
      <c r="W153" s="4" t="str">
        <f t="shared" ca="1" si="92"/>
        <v xml:space="preserve"> </v>
      </c>
      <c r="AL153">
        <f t="shared" si="93"/>
        <v>-0.54463903501502708</v>
      </c>
      <c r="AM153">
        <f t="shared" ca="1" si="84"/>
        <v>7.4273643199528634E-3</v>
      </c>
      <c r="AN153">
        <f t="shared" ca="1" si="85"/>
        <v>1.3024008442266817</v>
      </c>
      <c r="AP153">
        <f t="shared" ca="1" si="94"/>
        <v>0.39383043264911899</v>
      </c>
      <c r="AQ153">
        <f t="shared" ca="1" si="107"/>
        <v>0.47614507110141396</v>
      </c>
      <c r="AR153">
        <f t="shared" ca="1" si="103"/>
        <v>-0.56435267473291362</v>
      </c>
      <c r="AS153">
        <f t="shared" ca="1" si="87"/>
        <v>-0.56435267473291362</v>
      </c>
      <c r="AT153" s="4">
        <f t="shared" ca="1" si="95"/>
        <v>27.786959409189471</v>
      </c>
      <c r="AU153">
        <f t="shared" ca="1" si="108"/>
        <v>-0.48755072144766037</v>
      </c>
      <c r="AV153">
        <f t="shared" ca="1" si="104"/>
        <v>0.52454741624867696</v>
      </c>
      <c r="AW153">
        <f t="shared" ca="1" si="89"/>
        <v>0.52454741624867696</v>
      </c>
      <c r="AX153" s="4" t="str">
        <f t="shared" ca="1" si="96"/>
        <v>ignore</v>
      </c>
    </row>
    <row r="154" spans="2:50" x14ac:dyDescent="0.2">
      <c r="B154">
        <v>124</v>
      </c>
      <c r="D154" s="11">
        <f t="shared" ca="1" si="97"/>
        <v>125.342</v>
      </c>
      <c r="F154" s="4">
        <f t="shared" ca="1" si="105"/>
        <v>385.10623338159979</v>
      </c>
      <c r="H154" s="4">
        <f t="shared" ca="1" si="98"/>
        <v>1.0327086137607353</v>
      </c>
      <c r="J154" s="11">
        <f t="shared" ca="1" si="99"/>
        <v>27.295479863570716</v>
      </c>
      <c r="L154" s="4">
        <f t="shared" ca="1" si="106"/>
        <v>33.26921161840022</v>
      </c>
      <c r="M154" s="4">
        <f t="shared" ca="1" si="109"/>
        <v>2748.9647078782896</v>
      </c>
      <c r="N154" s="4">
        <f t="shared" ca="1" si="110"/>
        <v>13.931014332143411</v>
      </c>
      <c r="R154" t="str">
        <f t="shared" ca="1" si="90"/>
        <v xml:space="preserve"> </v>
      </c>
      <c r="S154" s="11" t="str">
        <f t="shared" ca="1" si="100"/>
        <v xml:space="preserve"> </v>
      </c>
      <c r="T154" s="4" t="str">
        <f t="shared" ca="1" si="91"/>
        <v>none</v>
      </c>
      <c r="U154" s="4" t="str">
        <f t="shared" ca="1" si="101"/>
        <v xml:space="preserve"> </v>
      </c>
      <c r="V154" s="11" t="str">
        <f t="shared" ca="1" si="102"/>
        <v xml:space="preserve"> </v>
      </c>
      <c r="W154" s="4" t="str">
        <f t="shared" ca="1" si="92"/>
        <v xml:space="preserve"> </v>
      </c>
      <c r="AL154">
        <f t="shared" si="93"/>
        <v>-0.55919290347074668</v>
      </c>
      <c r="AM154">
        <f t="shared" ca="1" si="84"/>
        <v>7.625838678813896E-3</v>
      </c>
      <c r="AN154">
        <f t="shared" ca="1" si="85"/>
        <v>1.3024038319014957</v>
      </c>
      <c r="AP154">
        <f t="shared" ca="1" si="94"/>
        <v>0.39383432363450172</v>
      </c>
      <c r="AQ154">
        <f t="shared" ca="1" si="107"/>
        <v>0.47599396832239377</v>
      </c>
      <c r="AR154">
        <f t="shared" ca="1" si="103"/>
        <v>-0.57845140406221041</v>
      </c>
      <c r="AS154">
        <f t="shared" ca="1" si="87"/>
        <v>-0.57845140406221041</v>
      </c>
      <c r="AT154" s="4">
        <f t="shared" ca="1" si="95"/>
        <v>27.295479863570716</v>
      </c>
      <c r="AU154">
        <f t="shared" ca="1" si="108"/>
        <v>-0.48770437409980971</v>
      </c>
      <c r="AV154">
        <f t="shared" ca="1" si="104"/>
        <v>0.53955518669330271</v>
      </c>
      <c r="AW154">
        <f t="shared" ca="1" si="89"/>
        <v>0.53955518669330271</v>
      </c>
      <c r="AX154" s="4" t="str">
        <f t="shared" ca="1" si="96"/>
        <v>ignore</v>
      </c>
    </row>
    <row r="155" spans="2:50" x14ac:dyDescent="0.2">
      <c r="B155">
        <v>125</v>
      </c>
      <c r="D155" s="11">
        <f t="shared" ca="1" si="97"/>
        <v>126.32599999999999</v>
      </c>
      <c r="F155" s="4">
        <f t="shared" ca="1" si="105"/>
        <v>384.81279208656349</v>
      </c>
      <c r="H155" s="4">
        <f t="shared" ca="1" si="98"/>
        <v>1.0335518041087453</v>
      </c>
      <c r="J155" s="11">
        <f t="shared" ca="1" si="99"/>
        <v>26.804197998200028</v>
      </c>
      <c r="L155" s="4">
        <f t="shared" ca="1" si="106"/>
        <v>33.562652913436523</v>
      </c>
      <c r="M155" s="4">
        <f t="shared" ca="1" si="109"/>
        <v>2761.0630936016128</v>
      </c>
      <c r="N155" s="4">
        <f t="shared" ca="1" si="110"/>
        <v>13.992325699446303</v>
      </c>
      <c r="R155" t="str">
        <f t="shared" ca="1" si="90"/>
        <v xml:space="preserve"> </v>
      </c>
      <c r="S155" s="11" t="str">
        <f t="shared" ca="1" si="100"/>
        <v xml:space="preserve"> </v>
      </c>
      <c r="T155" s="4" t="str">
        <f t="shared" ca="1" si="91"/>
        <v>none</v>
      </c>
      <c r="U155" s="4" t="str">
        <f t="shared" ca="1" si="101"/>
        <v xml:space="preserve"> </v>
      </c>
      <c r="V155" s="11" t="str">
        <f t="shared" ca="1" si="102"/>
        <v xml:space="preserve"> </v>
      </c>
      <c r="W155" s="4" t="str">
        <f t="shared" ca="1" si="92"/>
        <v xml:space="preserve"> </v>
      </c>
      <c r="AL155">
        <f t="shared" si="93"/>
        <v>-0.57357643635104616</v>
      </c>
      <c r="AM155">
        <f t="shared" ca="1" si="84"/>
        <v>7.8219901333402096E-3</v>
      </c>
      <c r="AN155">
        <f t="shared" ca="1" si="85"/>
        <v>1.3024068620155864</v>
      </c>
      <c r="AP155">
        <f t="shared" ca="1" si="94"/>
        <v>0.39383826989049309</v>
      </c>
      <c r="AQ155">
        <f t="shared" ca="1" si="107"/>
        <v>0.47584466807781589</v>
      </c>
      <c r="AR155">
        <f t="shared" ca="1" si="103"/>
        <v>-0.59237369034421494</v>
      </c>
      <c r="AS155">
        <f t="shared" ca="1" si="87"/>
        <v>-0.59237369034421494</v>
      </c>
      <c r="AT155" s="4">
        <f t="shared" ca="1" si="95"/>
        <v>26.804197998200028</v>
      </c>
      <c r="AU155">
        <f t="shared" ca="1" si="108"/>
        <v>-0.48785626040194563</v>
      </c>
      <c r="AV155">
        <f t="shared" ca="1" si="104"/>
        <v>0.55439943237221456</v>
      </c>
      <c r="AW155">
        <f t="shared" ca="1" si="89"/>
        <v>0.55439943237221456</v>
      </c>
      <c r="AX155" s="4" t="str">
        <f t="shared" ca="1" si="96"/>
        <v>ignore</v>
      </c>
    </row>
    <row r="156" spans="2:50" x14ac:dyDescent="0.2">
      <c r="B156">
        <v>126</v>
      </c>
      <c r="D156" s="11">
        <f t="shared" ca="1" si="97"/>
        <v>127.309</v>
      </c>
      <c r="F156" s="4">
        <f t="shared" ca="1" si="105"/>
        <v>384.52315028452506</v>
      </c>
      <c r="H156" s="4">
        <f t="shared" ca="1" si="98"/>
        <v>1.0343854775108552</v>
      </c>
      <c r="J156" s="11">
        <f t="shared" ca="1" si="99"/>
        <v>26.31311152616836</v>
      </c>
      <c r="L156" s="4">
        <f t="shared" ca="1" si="106"/>
        <v>33.852294715474955</v>
      </c>
      <c r="M156" s="4">
        <f t="shared" ca="1" si="109"/>
        <v>2772.9530952935575</v>
      </c>
      <c r="N156" s="4">
        <f t="shared" ca="1" si="110"/>
        <v>14.052581032483129</v>
      </c>
      <c r="R156" t="str">
        <f t="shared" ca="1" si="90"/>
        <v xml:space="preserve"> </v>
      </c>
      <c r="S156" s="11" t="str">
        <f t="shared" ca="1" si="100"/>
        <v xml:space="preserve"> </v>
      </c>
      <c r="T156" s="4" t="str">
        <f t="shared" ca="1" si="91"/>
        <v>none</v>
      </c>
      <c r="U156" s="4" t="str">
        <f t="shared" ca="1" si="101"/>
        <v xml:space="preserve"> </v>
      </c>
      <c r="V156" s="11" t="str">
        <f t="shared" ca="1" si="102"/>
        <v xml:space="preserve"> </v>
      </c>
      <c r="W156" s="4" t="str">
        <f t="shared" ca="1" si="92"/>
        <v xml:space="preserve"> </v>
      </c>
      <c r="AL156">
        <f t="shared" si="93"/>
        <v>-0.58778525229247303</v>
      </c>
      <c r="AM156">
        <f t="shared" ca="1" si="84"/>
        <v>8.0157589338985813E-3</v>
      </c>
      <c r="AN156">
        <f t="shared" ca="1" si="85"/>
        <v>1.3024099308772268</v>
      </c>
      <c r="AP156">
        <f t="shared" ca="1" si="94"/>
        <v>0.39384226660918825</v>
      </c>
      <c r="AQ156">
        <f t="shared" ca="1" si="107"/>
        <v>0.47569721465262915</v>
      </c>
      <c r="AR156">
        <f t="shared" ca="1" si="103"/>
        <v>-0.60611571014659749</v>
      </c>
      <c r="AS156">
        <f t="shared" ca="1" si="87"/>
        <v>-0.60611571014659749</v>
      </c>
      <c r="AT156" s="4">
        <f t="shared" ca="1" si="95"/>
        <v>26.31311152616836</v>
      </c>
      <c r="AU156">
        <f t="shared" ca="1" si="108"/>
        <v>-0.48800633291695267</v>
      </c>
      <c r="AV156">
        <f t="shared" ca="1" si="104"/>
        <v>0.56907520681210111</v>
      </c>
      <c r="AW156">
        <f t="shared" ca="1" si="89"/>
        <v>0.56907520681210111</v>
      </c>
      <c r="AX156" s="4" t="str">
        <f t="shared" ca="1" si="96"/>
        <v>ignore</v>
      </c>
    </row>
    <row r="157" spans="2:50" x14ac:dyDescent="0.2">
      <c r="B157">
        <v>127</v>
      </c>
      <c r="D157" s="11">
        <f t="shared" ca="1" si="97"/>
        <v>128.292</v>
      </c>
      <c r="F157" s="4">
        <f t="shared" ca="1" si="105"/>
        <v>384.2373873079485</v>
      </c>
      <c r="H157" s="4">
        <f t="shared" ca="1" si="98"/>
        <v>1.0352093537068288</v>
      </c>
      <c r="J157" s="11">
        <f t="shared" ca="1" si="99"/>
        <v>25.822218095553076</v>
      </c>
      <c r="L157" s="4">
        <f t="shared" ca="1" si="106"/>
        <v>34.138057692051518</v>
      </c>
      <c r="M157" s="4">
        <f t="shared" ca="1" si="109"/>
        <v>2784.6341450285868</v>
      </c>
      <c r="N157" s="4">
        <f t="shared" ca="1" si="110"/>
        <v>14.111777453159906</v>
      </c>
      <c r="R157" t="str">
        <f t="shared" ca="1" si="90"/>
        <v xml:space="preserve"> </v>
      </c>
      <c r="S157" s="11" t="str">
        <f t="shared" ca="1" si="100"/>
        <v xml:space="preserve"> </v>
      </c>
      <c r="T157" s="4" t="str">
        <f t="shared" ca="1" si="91"/>
        <v>none</v>
      </c>
      <c r="U157" s="4" t="str">
        <f t="shared" ca="1" si="101"/>
        <v xml:space="preserve"> </v>
      </c>
      <c r="V157" s="11" t="str">
        <f t="shared" ca="1" si="102"/>
        <v xml:space="preserve"> </v>
      </c>
      <c r="W157" s="4" t="str">
        <f t="shared" ca="1" si="92"/>
        <v xml:space="preserve"> </v>
      </c>
      <c r="AL157">
        <f t="shared" si="93"/>
        <v>-0.60181502315204838</v>
      </c>
      <c r="AM157">
        <f t="shared" ca="1" si="84"/>
        <v>8.2070860566352943E-3</v>
      </c>
      <c r="AN157">
        <f t="shared" ca="1" si="85"/>
        <v>1.3024130347474814</v>
      </c>
      <c r="AP157">
        <f t="shared" ca="1" si="94"/>
        <v>0.39384630892120098</v>
      </c>
      <c r="AQ157">
        <f t="shared" ca="1" si="107"/>
        <v>0.47555165175177905</v>
      </c>
      <c r="AR157">
        <f t="shared" ca="1" si="103"/>
        <v>-0.61967369955025842</v>
      </c>
      <c r="AS157">
        <f t="shared" ca="1" si="87"/>
        <v>-0.61967369955025842</v>
      </c>
      <c r="AT157" s="4">
        <f t="shared" ca="1" si="95"/>
        <v>25.822218095553076</v>
      </c>
      <c r="AU157">
        <f t="shared" ca="1" si="108"/>
        <v>-0.48815454474758901</v>
      </c>
      <c r="AV157">
        <f t="shared" ca="1" si="104"/>
        <v>0.58357760866426223</v>
      </c>
      <c r="AW157">
        <f t="shared" ca="1" si="89"/>
        <v>0.58357760866426223</v>
      </c>
      <c r="AX157" s="4" t="str">
        <f t="shared" ca="1" si="96"/>
        <v>ignore</v>
      </c>
    </row>
    <row r="158" spans="2:50" x14ac:dyDescent="0.2">
      <c r="B158">
        <v>128</v>
      </c>
      <c r="D158" s="11">
        <f t="shared" ref="D158:D189" ca="1" si="111">IF(ISNUMBER(F158),IF(ABS(AS158-1)&lt;0.000001,0,IF(ABS(AS158+1)&lt;0.000001,180,ROUND(DEGREES(ACOS(AS158)),3)))," ")</f>
        <v>129.27500000000001</v>
      </c>
      <c r="F158" s="4">
        <f t="shared" ca="1" si="105"/>
        <v>383.95558122145337</v>
      </c>
      <c r="H158" s="4">
        <f t="shared" ref="H158:H189" ca="1" si="112">IF(ISNUMBER(F158),$AK$15*(1+AM158/AQ158)/(1+$AG$15*$AK$15*AS158)/AQ158," ")</f>
        <v>1.0360231550678616</v>
      </c>
      <c r="J158" s="11">
        <f t="shared" ref="J158:J189" ca="1" si="113">IF(ISNUMBER(F158),IF( AND( ( (F158*(F158+2*$Y$8)*AL158*AL158) &gt; ($E$5*($E$5+2*$Y$5)) ), ( B158&lt;90 ) ), 180-AT158, AT158)," ")</f>
        <v>25.331515290424655</v>
      </c>
      <c r="L158" s="4">
        <f t="shared" ca="1" si="106"/>
        <v>34.419863778546642</v>
      </c>
      <c r="M158" s="4">
        <f t="shared" ca="1" si="109"/>
        <v>2796.1056890994541</v>
      </c>
      <c r="N158" s="4">
        <f t="shared" ca="1" si="110"/>
        <v>14.169912155437117</v>
      </c>
      <c r="R158" t="str">
        <f t="shared" ca="1" si="90"/>
        <v xml:space="preserve"> </v>
      </c>
      <c r="S158" s="11" t="str">
        <f t="shared" ref="S158:S189" ca="1" si="114">IF(ISNUMBER(T158), IF( ABS(AW158-1)&lt;0.000001,0, IF(ABS(AW158+1)&lt;0.000001,180,ROUND(DEGREES(ACOS(AW158)),3)))," ")</f>
        <v xml:space="preserve"> </v>
      </c>
      <c r="T158" s="4" t="str">
        <f t="shared" ca="1" si="91"/>
        <v>none</v>
      </c>
      <c r="U158" s="4" t="str">
        <f t="shared" ref="U158:U189" ca="1" si="115">IF(ISNUMBER(T158),ABS($AK$15*(1+AM158/AU158)/(1+$AG$15*$AK$15*AW158)/AU158)," ")</f>
        <v xml:space="preserve"> </v>
      </c>
      <c r="V158" s="11" t="str">
        <f t="shared" ref="V158:V189" ca="1" si="116">IF(ISNUMBER(T158),IF( AND( ( (T158*(T158+2*$Y$8)*AL158*AL158) &gt; ($E$5*($E$5+2*$Y$5)) ), ( B158&lt;90 ) ), 180-AX158, AX158)," ")</f>
        <v xml:space="preserve"> </v>
      </c>
      <c r="W158" s="4" t="str">
        <f t="shared" ca="1" si="92"/>
        <v xml:space="preserve"> </v>
      </c>
      <c r="AL158">
        <f t="shared" si="93"/>
        <v>-0.61566147532565829</v>
      </c>
      <c r="AM158">
        <f t="shared" ref="AM158:AM210" ca="1" si="117">-$AG$15*AL158</f>
        <v>8.3959132214553225E-3</v>
      </c>
      <c r="AN158">
        <f t="shared" ref="AN158:AN210" ca="1" si="118">$AL$15+AM158*AM158</f>
        <v>1.3024161698447627</v>
      </c>
      <c r="AP158">
        <f t="shared" ca="1" si="94"/>
        <v>0.39385039190159676</v>
      </c>
      <c r="AQ158">
        <f t="shared" ca="1" si="107"/>
        <v>0.47540802248839403</v>
      </c>
      <c r="AR158">
        <f t="shared" ref="AR158:AR189" ca="1" si="119">(AQ158*AL158-$AG$15)/((1-$AG$15*AQ158*AL158)*$AK$15)</f>
        <v>-0.63304395478893172</v>
      </c>
      <c r="AS158">
        <f t="shared" ref="AS158:AS210" ca="1" si="120">IF(ABS(AR158)&lt;=1,AR158,IF(ABS(AR158)&lt;=1.00001,1*SIGN(AR158),0))</f>
        <v>-0.63304395478893172</v>
      </c>
      <c r="AT158" s="4">
        <f t="shared" ca="1" si="95"/>
        <v>25.331515290424655</v>
      </c>
      <c r="AU158">
        <f t="shared" ca="1" si="108"/>
        <v>-0.48830084955219805</v>
      </c>
      <c r="AV158">
        <f t="shared" ref="AV158:AV189" ca="1" si="121">(AU158*AL158-$AG$15)/((1-$AG$15*AU158*AL158)*$AK$15)</f>
        <v>0.5979017837289915</v>
      </c>
      <c r="AW158">
        <f t="shared" ref="AW158:AW210" ca="1" si="122">IF(ABS(AV158)&lt;=1,AV158,IF(ABS(AV158)&lt;=1.00001,1*SIGN(AV158),0))</f>
        <v>0.5979017837289915</v>
      </c>
      <c r="AX158" s="4" t="str">
        <f t="shared" ca="1" si="96"/>
        <v>ignore</v>
      </c>
    </row>
    <row r="159" spans="2:50" x14ac:dyDescent="0.2">
      <c r="B159">
        <v>129</v>
      </c>
      <c r="D159" s="11">
        <f t="shared" ca="1" si="111"/>
        <v>130.25700000000001</v>
      </c>
      <c r="F159" s="4">
        <f t="shared" ca="1" si="105"/>
        <v>383.67780880879684</v>
      </c>
      <c r="H159" s="4">
        <f t="shared" ca="1" si="112"/>
        <v>1.0368266067141769</v>
      </c>
      <c r="J159" s="11">
        <f t="shared" ca="1" si="113"/>
        <v>24.841000631856094</v>
      </c>
      <c r="L159" s="4">
        <f t="shared" ca="1" si="106"/>
        <v>34.697636191203173</v>
      </c>
      <c r="M159" s="4">
        <f t="shared" ca="1" si="109"/>
        <v>2807.3671878383452</v>
      </c>
      <c r="N159" s="4">
        <f t="shared" ca="1" si="110"/>
        <v>14.226982404423323</v>
      </c>
      <c r="R159" t="str">
        <f t="shared" ref="R159:R210" ca="1" si="123">IF(ISNUMBER(T159),B159," ")</f>
        <v xml:space="preserve"> </v>
      </c>
      <c r="S159" s="11" t="str">
        <f t="shared" ca="1" si="114"/>
        <v xml:space="preserve"> </v>
      </c>
      <c r="T159" s="4" t="str">
        <f t="shared" ref="T159:T210" ca="1" si="124">IF(AU159&gt;0.0000001,$Y$8*((1/SQRT(1-AU159*AU159))-1),"none")</f>
        <v>none</v>
      </c>
      <c r="U159" s="4" t="str">
        <f t="shared" ca="1" si="115"/>
        <v xml:space="preserve"> </v>
      </c>
      <c r="V159" s="11" t="str">
        <f t="shared" ca="1" si="116"/>
        <v xml:space="preserve"> </v>
      </c>
      <c r="W159" s="4" t="str">
        <f t="shared" ref="W159:W210" ca="1" si="125">IF(ISNUMBER(T159),$E$5+$S$10-T159," ")</f>
        <v xml:space="preserve"> </v>
      </c>
      <c r="AL159">
        <f t="shared" ref="AL159:AL210" si="126">COS(RADIANS(B159))</f>
        <v>-0.62932039104983728</v>
      </c>
      <c r="AM159">
        <f t="shared" ca="1" si="117"/>
        <v>8.5821829097750581E-3</v>
      </c>
      <c r="AN159">
        <f t="shared" ca="1" si="118"/>
        <v>1.3024193323494373</v>
      </c>
      <c r="AP159">
        <f t="shared" ref="AP159:AP210" ca="1" si="127">AM159*AM159-AN159*$AP$15</f>
        <v>0.39385451057589299</v>
      </c>
      <c r="AQ159">
        <f t="shared" ca="1" si="107"/>
        <v>0.47526636937217404</v>
      </c>
      <c r="AR159">
        <f t="shared" ca="1" si="119"/>
        <v>-0.64622283286663218</v>
      </c>
      <c r="AS159">
        <f t="shared" ca="1" si="120"/>
        <v>-0.64622283286663218</v>
      </c>
      <c r="AT159" s="4">
        <f t="shared" ref="AT159:AT210" ca="1" si="128">DEGREES(ASIN( SQRT( (F159*(F159+2*$Y$8)) / (L159*(L159+2*$Y$10)) ) * SIN(RADIANS(B159))  ))</f>
        <v>24.841000631856094</v>
      </c>
      <c r="AU159">
        <f t="shared" ca="1" si="108"/>
        <v>-0.48844520156025845</v>
      </c>
      <c r="AV159">
        <f t="shared" ca="1" si="121"/>
        <v>0.61204292697373308</v>
      </c>
      <c r="AW159">
        <f t="shared" ca="1" si="122"/>
        <v>0.61204292697373308</v>
      </c>
      <c r="AX159" s="4" t="str">
        <f t="shared" ref="AX159:AX210" ca="1" si="129">IF(ISNUMBER(T159),DEGREES(ASIN( SQRT( (T159*(T159+2*$Y$8)) / (W159*(W159+2*$Y$10)) ) * SIN(RADIANS(B159)) ) ),"ignore")</f>
        <v>ignore</v>
      </c>
    </row>
    <row r="160" spans="2:50" x14ac:dyDescent="0.2">
      <c r="B160">
        <v>130</v>
      </c>
      <c r="D160" s="11">
        <f t="shared" ca="1" si="111"/>
        <v>131.239</v>
      </c>
      <c r="F160" s="4">
        <f t="shared" ca="1" si="105"/>
        <v>383.40414556032101</v>
      </c>
      <c r="H160" s="4">
        <f t="shared" ca="1" si="112"/>
        <v>1.0376194366322535</v>
      </c>
      <c r="J160" s="11">
        <f t="shared" ca="1" si="113"/>
        <v>24.350671578942396</v>
      </c>
      <c r="L160" s="4">
        <f t="shared" ca="1" si="106"/>
        <v>34.971299439679001</v>
      </c>
      <c r="M160" s="4">
        <f t="shared" ca="1" si="109"/>
        <v>2818.4181154350258</v>
      </c>
      <c r="N160" s="4">
        <f t="shared" ca="1" si="110"/>
        <v>14.282985535453571</v>
      </c>
      <c r="R160" t="str">
        <f t="shared" ca="1" si="123"/>
        <v xml:space="preserve"> </v>
      </c>
      <c r="S160" s="11" t="str">
        <f t="shared" ca="1" si="114"/>
        <v xml:space="preserve"> </v>
      </c>
      <c r="T160" s="4" t="str">
        <f t="shared" ca="1" si="124"/>
        <v>none</v>
      </c>
      <c r="U160" s="4" t="str">
        <f t="shared" ca="1" si="115"/>
        <v xml:space="preserve"> </v>
      </c>
      <c r="V160" s="11" t="str">
        <f t="shared" ca="1" si="116"/>
        <v xml:space="preserve"> </v>
      </c>
      <c r="W160" s="4" t="str">
        <f t="shared" ca="1" si="125"/>
        <v xml:space="preserve"> </v>
      </c>
      <c r="AL160">
        <f t="shared" si="126"/>
        <v>-0.64278760968653936</v>
      </c>
      <c r="AM160">
        <f t="shared" ca="1" si="117"/>
        <v>8.7658383820430064E-3</v>
      </c>
      <c r="AN160">
        <f t="shared" ca="1" si="118"/>
        <v>1.3024225184084806</v>
      </c>
      <c r="AP160">
        <f t="shared" ca="1" si="127"/>
        <v>0.39385865992611935</v>
      </c>
      <c r="AQ160">
        <f t="shared" ca="1" si="107"/>
        <v>0.47512673429798474</v>
      </c>
      <c r="AR160">
        <f t="shared" ca="1" si="119"/>
        <v>-0.65920675215334501</v>
      </c>
      <c r="AS160">
        <f t="shared" ca="1" si="120"/>
        <v>-0.65920675215334501</v>
      </c>
      <c r="AT160" s="4">
        <f t="shared" ca="1" si="128"/>
        <v>24.350671578942396</v>
      </c>
      <c r="AU160">
        <f t="shared" ca="1" si="108"/>
        <v>-0.48858755558776801</v>
      </c>
      <c r="AV160">
        <f t="shared" ca="1" si="121"/>
        <v>0.62599628454371603</v>
      </c>
      <c r="AW160">
        <f t="shared" ca="1" si="122"/>
        <v>0.62599628454371603</v>
      </c>
      <c r="AX160" s="4" t="str">
        <f t="shared" ca="1" si="129"/>
        <v>ignore</v>
      </c>
    </row>
    <row r="161" spans="2:50" x14ac:dyDescent="0.2">
      <c r="B161">
        <v>131</v>
      </c>
      <c r="D161" s="11">
        <f t="shared" ca="1" si="111"/>
        <v>132.221</v>
      </c>
      <c r="F161" s="4">
        <f t="shared" ca="1" si="105"/>
        <v>383.13466566084617</v>
      </c>
      <c r="H161" s="4">
        <f t="shared" ca="1" si="112"/>
        <v>1.038401375791618</v>
      </c>
      <c r="J161" s="11">
        <f t="shared" ca="1" si="113"/>
        <v>23.860525529825292</v>
      </c>
      <c r="L161" s="4">
        <f t="shared" ca="1" si="106"/>
        <v>35.240779339153846</v>
      </c>
      <c r="M161" s="4">
        <f t="shared" ca="1" si="109"/>
        <v>2829.2579597599824</v>
      </c>
      <c r="N161" s="4">
        <f t="shared" ca="1" si="110"/>
        <v>14.337918953193128</v>
      </c>
      <c r="R161" t="str">
        <f t="shared" ca="1" si="123"/>
        <v xml:space="preserve"> </v>
      </c>
      <c r="S161" s="11" t="str">
        <f t="shared" ca="1" si="114"/>
        <v xml:space="preserve"> </v>
      </c>
      <c r="T161" s="4" t="str">
        <f t="shared" ca="1" si="124"/>
        <v>none</v>
      </c>
      <c r="U161" s="4" t="str">
        <f t="shared" ca="1" si="115"/>
        <v xml:space="preserve"> </v>
      </c>
      <c r="V161" s="11" t="str">
        <f t="shared" ca="1" si="116"/>
        <v xml:space="preserve"> </v>
      </c>
      <c r="W161" s="4" t="str">
        <f t="shared" ca="1" si="125"/>
        <v xml:space="preserve"> </v>
      </c>
      <c r="AL161">
        <f t="shared" si="126"/>
        <v>-0.65605902899050716</v>
      </c>
      <c r="AM161">
        <f t="shared" ca="1" si="117"/>
        <v>8.9468236950231983E-3</v>
      </c>
      <c r="AN161">
        <f t="shared" ca="1" si="118"/>
        <v>1.3024257241401702</v>
      </c>
      <c r="AP161">
        <f t="shared" ca="1" si="127"/>
        <v>0.3938628348969318</v>
      </c>
      <c r="AQ161">
        <f t="shared" ca="1" si="107"/>
        <v>0.47498915853465645</v>
      </c>
      <c r="AR161">
        <f t="shared" ca="1" si="119"/>
        <v>-0.67199219295937906</v>
      </c>
      <c r="AS161">
        <f t="shared" ca="1" si="120"/>
        <v>-0.67199219295937906</v>
      </c>
      <c r="AT161" s="4">
        <f t="shared" ca="1" si="128"/>
        <v>23.860525529825292</v>
      </c>
      <c r="AU161">
        <f t="shared" ca="1" si="108"/>
        <v>-0.48872786705245647</v>
      </c>
      <c r="AV161">
        <f t="shared" ca="1" si="121"/>
        <v>0.63975715576376679</v>
      </c>
      <c r="AW161">
        <f t="shared" ca="1" si="122"/>
        <v>0.63975715576376679</v>
      </c>
      <c r="AX161" s="4" t="str">
        <f t="shared" ca="1" si="129"/>
        <v>ignore</v>
      </c>
    </row>
    <row r="162" spans="2:50" x14ac:dyDescent="0.2">
      <c r="B162">
        <v>132</v>
      </c>
      <c r="D162" s="11">
        <f t="shared" ca="1" si="111"/>
        <v>133.202</v>
      </c>
      <c r="F162" s="4">
        <f t="shared" ca="1" si="105"/>
        <v>382.86944197800574</v>
      </c>
      <c r="H162" s="4">
        <f t="shared" ca="1" si="112"/>
        <v>1.0391721582611171</v>
      </c>
      <c r="J162" s="11">
        <f t="shared" ca="1" si="113"/>
        <v>23.370559822725745</v>
      </c>
      <c r="L162" s="4">
        <f t="shared" ca="1" si="106"/>
        <v>35.506003021994275</v>
      </c>
      <c r="M162" s="4">
        <f t="shared" ca="1" si="109"/>
        <v>2839.886222185849</v>
      </c>
      <c r="N162" s="4">
        <f t="shared" ca="1" si="110"/>
        <v>14.39178013073251</v>
      </c>
      <c r="R162" t="str">
        <f t="shared" ca="1" si="123"/>
        <v xml:space="preserve"> </v>
      </c>
      <c r="S162" s="11" t="str">
        <f t="shared" ca="1" si="114"/>
        <v xml:space="preserve"> </v>
      </c>
      <c r="T162" s="4" t="str">
        <f t="shared" ca="1" si="124"/>
        <v>none</v>
      </c>
      <c r="U162" s="4" t="str">
        <f t="shared" ca="1" si="115"/>
        <v xml:space="preserve"> </v>
      </c>
      <c r="V162" s="11" t="str">
        <f t="shared" ca="1" si="116"/>
        <v xml:space="preserve"> </v>
      </c>
      <c r="W162" s="4" t="str">
        <f t="shared" ca="1" si="125"/>
        <v xml:space="preserve"> </v>
      </c>
      <c r="AL162">
        <f t="shared" si="126"/>
        <v>-0.66913060635885824</v>
      </c>
      <c r="AM162">
        <f t="shared" ca="1" si="117"/>
        <v>9.1250837188360627E-3</v>
      </c>
      <c r="AN162">
        <f t="shared" ca="1" si="118"/>
        <v>1.3024289456388163</v>
      </c>
      <c r="AP162">
        <f t="shared" ca="1" si="127"/>
        <v>0.39386703040177168</v>
      </c>
      <c r="AQ162">
        <f t="shared" ca="1" si="107"/>
        <v>0.47485368271399248</v>
      </c>
      <c r="AR162">
        <f t="shared" ca="1" si="119"/>
        <v>-0.68457569808881635</v>
      </c>
      <c r="AS162">
        <f t="shared" ca="1" si="120"/>
        <v>-0.68457569808881635</v>
      </c>
      <c r="AT162" s="4">
        <f t="shared" ca="1" si="128"/>
        <v>23.370559822725745</v>
      </c>
      <c r="AU162">
        <f t="shared" ca="1" si="108"/>
        <v>-0.48886609198881908</v>
      </c>
      <c r="AV162">
        <f t="shared" ca="1" si="121"/>
        <v>0.65332089512999414</v>
      </c>
      <c r="AW162">
        <f t="shared" ca="1" si="122"/>
        <v>0.65332089512999414</v>
      </c>
      <c r="AX162" s="4" t="str">
        <f t="shared" ca="1" si="129"/>
        <v>ignore</v>
      </c>
    </row>
    <row r="163" spans="2:50" x14ac:dyDescent="0.2">
      <c r="B163">
        <v>133</v>
      </c>
      <c r="D163" s="11">
        <f t="shared" ca="1" si="111"/>
        <v>134.18299999999999</v>
      </c>
      <c r="F163" s="4">
        <f t="shared" ca="1" si="105"/>
        <v>382.60854605101184</v>
      </c>
      <c r="H163" s="4">
        <f t="shared" ca="1" si="112"/>
        <v>1.0399315213245923</v>
      </c>
      <c r="J163" s="11">
        <f t="shared" ca="1" si="113"/>
        <v>22.880771736983561</v>
      </c>
      <c r="L163" s="4">
        <f t="shared" ca="1" si="106"/>
        <v>35.766898948988171</v>
      </c>
      <c r="M163" s="4">
        <f t="shared" ca="1" si="109"/>
        <v>2850.3024174096508</v>
      </c>
      <c r="N163" s="4">
        <f t="shared" ca="1" si="110"/>
        <v>14.444566608686673</v>
      </c>
      <c r="R163" t="str">
        <f t="shared" ca="1" si="123"/>
        <v xml:space="preserve"> </v>
      </c>
      <c r="S163" s="11" t="str">
        <f t="shared" ca="1" si="114"/>
        <v xml:space="preserve"> </v>
      </c>
      <c r="T163" s="4" t="str">
        <f t="shared" ca="1" si="124"/>
        <v>none</v>
      </c>
      <c r="U163" s="4" t="str">
        <f t="shared" ca="1" si="115"/>
        <v xml:space="preserve"> </v>
      </c>
      <c r="V163" s="11" t="str">
        <f t="shared" ca="1" si="116"/>
        <v xml:space="preserve"> </v>
      </c>
      <c r="W163" s="4" t="str">
        <f t="shared" ca="1" si="125"/>
        <v xml:space="preserve"> </v>
      </c>
      <c r="AL163">
        <f t="shared" si="126"/>
        <v>-0.68199836006249837</v>
      </c>
      <c r="AM163">
        <f t="shared" ca="1" si="117"/>
        <v>9.3005641537514949E-3</v>
      </c>
      <c r="AN163">
        <f t="shared" ca="1" si="118"/>
        <v>1.3024321789795184</v>
      </c>
      <c r="AP163">
        <f t="shared" ca="1" si="127"/>
        <v>0.39387124132906232</v>
      </c>
      <c r="AQ163">
        <f t="shared" ca="1" si="107"/>
        <v>0.47472034681998404</v>
      </c>
      <c r="AR163">
        <f t="shared" ca="1" si="119"/>
        <v>-0.69695387337247228</v>
      </c>
      <c r="AS163">
        <f t="shared" ca="1" si="120"/>
        <v>-0.69695387337247228</v>
      </c>
      <c r="AT163" s="4">
        <f t="shared" ca="1" si="128"/>
        <v>22.880771736983561</v>
      </c>
      <c r="AU163">
        <f t="shared" ca="1" si="108"/>
        <v>-0.48900218706296489</v>
      </c>
      <c r="AV163">
        <f t="shared" ca="1" si="121"/>
        <v>0.66668291429001414</v>
      </c>
      <c r="AW163">
        <f t="shared" ca="1" si="122"/>
        <v>0.66668291429001414</v>
      </c>
      <c r="AX163" s="4" t="str">
        <f t="shared" ca="1" si="129"/>
        <v>ignore</v>
      </c>
    </row>
    <row r="164" spans="2:50" x14ac:dyDescent="0.2">
      <c r="B164">
        <v>134</v>
      </c>
      <c r="D164" s="11">
        <f t="shared" ca="1" si="111"/>
        <v>135.16399999999999</v>
      </c>
      <c r="F164" s="4">
        <f t="shared" ca="1" si="105"/>
        <v>382.35204807984616</v>
      </c>
      <c r="H164" s="4">
        <f t="shared" ca="1" si="112"/>
        <v>1.0406792055958758</v>
      </c>
      <c r="J164" s="11">
        <f t="shared" ca="1" si="113"/>
        <v>22.391158494105547</v>
      </c>
      <c r="L164" s="4">
        <f t="shared" ca="1" si="106"/>
        <v>36.023396920153857</v>
      </c>
      <c r="M164" s="4">
        <f t="shared" ca="1" si="109"/>
        <v>2860.5060732756515</v>
      </c>
      <c r="N164" s="4">
        <f t="shared" ca="1" si="110"/>
        <v>14.496275994297237</v>
      </c>
      <c r="R164" t="str">
        <f t="shared" ca="1" si="123"/>
        <v xml:space="preserve"> </v>
      </c>
      <c r="S164" s="11" t="str">
        <f t="shared" ca="1" si="114"/>
        <v xml:space="preserve"> </v>
      </c>
      <c r="T164" s="4" t="str">
        <f t="shared" ca="1" si="124"/>
        <v>none</v>
      </c>
      <c r="U164" s="4" t="str">
        <f t="shared" ca="1" si="115"/>
        <v xml:space="preserve"> </v>
      </c>
      <c r="V164" s="11" t="str">
        <f t="shared" ca="1" si="116"/>
        <v xml:space="preserve"> </v>
      </c>
      <c r="W164" s="4" t="str">
        <f t="shared" ca="1" si="125"/>
        <v xml:space="preserve"> </v>
      </c>
      <c r="AL164">
        <f t="shared" si="126"/>
        <v>-0.69465837045899737</v>
      </c>
      <c r="AM164">
        <f t="shared" ca="1" si="117"/>
        <v>9.4732115467291104E-3</v>
      </c>
      <c r="AN164">
        <f t="shared" ca="1" si="118"/>
        <v>1.3024354202229496</v>
      </c>
      <c r="AP164">
        <f t="shared" ca="1" si="127"/>
        <v>0.39387546254843769</v>
      </c>
      <c r="AQ164">
        <f t="shared" ca="1" si="107"/>
        <v>0.47458919017823781</v>
      </c>
      <c r="AR164">
        <f t="shared" ca="1" si="119"/>
        <v>-0.70912338818082121</v>
      </c>
      <c r="AS164">
        <f t="shared" ca="1" si="120"/>
        <v>-0.70912338818082121</v>
      </c>
      <c r="AT164" s="4">
        <f t="shared" ca="1" si="128"/>
        <v>22.391158494105547</v>
      </c>
      <c r="AU164">
        <f t="shared" ca="1" si="108"/>
        <v>-0.48913610958727455</v>
      </c>
      <c r="AV164">
        <f t="shared" ca="1" si="121"/>
        <v>0.6798386840104077</v>
      </c>
      <c r="AW164">
        <f t="shared" ca="1" si="122"/>
        <v>0.6798386840104077</v>
      </c>
      <c r="AX164" s="4" t="str">
        <f t="shared" ca="1" si="129"/>
        <v>ignore</v>
      </c>
    </row>
    <row r="165" spans="2:50" x14ac:dyDescent="0.2">
      <c r="B165">
        <v>135</v>
      </c>
      <c r="D165" s="11">
        <f t="shared" ca="1" si="111"/>
        <v>136.14400000000001</v>
      </c>
      <c r="F165" s="4">
        <f t="shared" ca="1" si="105"/>
        <v>382.1000169148611</v>
      </c>
      <c r="H165" s="4">
        <f t="shared" ca="1" si="112"/>
        <v>1.041414955133029</v>
      </c>
      <c r="J165" s="11">
        <f t="shared" ca="1" si="113"/>
        <v>21.901717258820305</v>
      </c>
      <c r="L165" s="4">
        <f t="shared" ca="1" si="106"/>
        <v>36.275428085138913</v>
      </c>
      <c r="M165" s="4">
        <f t="shared" ca="1" si="109"/>
        <v>2870.4967306052354</v>
      </c>
      <c r="N165" s="4">
        <f t="shared" ca="1" si="110"/>
        <v>14.546905960570392</v>
      </c>
      <c r="R165" t="str">
        <f t="shared" ca="1" si="123"/>
        <v xml:space="preserve"> </v>
      </c>
      <c r="S165" s="11" t="str">
        <f t="shared" ca="1" si="114"/>
        <v xml:space="preserve"> </v>
      </c>
      <c r="T165" s="4" t="str">
        <f t="shared" ca="1" si="124"/>
        <v>none</v>
      </c>
      <c r="U165" s="4" t="str">
        <f t="shared" ca="1" si="115"/>
        <v xml:space="preserve"> </v>
      </c>
      <c r="V165" s="11" t="str">
        <f t="shared" ca="1" si="116"/>
        <v xml:space="preserve"> </v>
      </c>
      <c r="W165" s="4" t="str">
        <f t="shared" ca="1" si="125"/>
        <v xml:space="preserve"> </v>
      </c>
      <c r="AL165">
        <f t="shared" si="126"/>
        <v>-0.70710678118654746</v>
      </c>
      <c r="AM165">
        <f t="shared" ca="1" si="117"/>
        <v>9.6429733077005274E-3</v>
      </c>
      <c r="AN165">
        <f t="shared" ca="1" si="118"/>
        <v>1.3024386654201534</v>
      </c>
      <c r="AP165">
        <f t="shared" ca="1" si="127"/>
        <v>0.39387968891699199</v>
      </c>
      <c r="AQ165">
        <f t="shared" ca="1" si="107"/>
        <v>0.47446025144561266</v>
      </c>
      <c r="AR165">
        <f t="shared" ca="1" si="119"/>
        <v>-0.72108097591731102</v>
      </c>
      <c r="AS165">
        <f t="shared" ca="1" si="120"/>
        <v>-0.72108097591731102</v>
      </c>
      <c r="AT165" s="4">
        <f t="shared" ca="1" si="128"/>
        <v>21.901717258820305</v>
      </c>
      <c r="AU165">
        <f t="shared" ca="1" si="108"/>
        <v>-0.48926781753486071</v>
      </c>
      <c r="AV165">
        <f t="shared" ca="1" si="121"/>
        <v>0.69278373613006428</v>
      </c>
      <c r="AW165">
        <f t="shared" ca="1" si="122"/>
        <v>0.69278373613006428</v>
      </c>
      <c r="AX165" s="4" t="str">
        <f t="shared" ca="1" si="129"/>
        <v>ignore</v>
      </c>
    </row>
    <row r="166" spans="2:50" x14ac:dyDescent="0.2">
      <c r="B166">
        <v>136</v>
      </c>
      <c r="D166" s="11">
        <f t="shared" ca="1" si="111"/>
        <v>137.124</v>
      </c>
      <c r="F166" s="4">
        <f t="shared" ca="1" si="105"/>
        <v>381.85252004678767</v>
      </c>
      <c r="H166" s="4">
        <f t="shared" ca="1" si="112"/>
        <v>1.0421385175517441</v>
      </c>
      <c r="J166" s="11">
        <f t="shared" ca="1" si="113"/>
        <v>21.412445140141767</v>
      </c>
      <c r="L166" s="4">
        <f t="shared" ca="1" si="106"/>
        <v>36.522924953212339</v>
      </c>
      <c r="M166" s="4">
        <f t="shared" ca="1" si="109"/>
        <v>2880.273943018226</v>
      </c>
      <c r="N166" s="4">
        <f t="shared" ca="1" si="110"/>
        <v>14.596454245371365</v>
      </c>
      <c r="R166" t="str">
        <f t="shared" ca="1" si="123"/>
        <v xml:space="preserve"> </v>
      </c>
      <c r="S166" s="11" t="str">
        <f t="shared" ca="1" si="114"/>
        <v xml:space="preserve"> </v>
      </c>
      <c r="T166" s="4" t="str">
        <f t="shared" ca="1" si="124"/>
        <v>none</v>
      </c>
      <c r="U166" s="4" t="str">
        <f t="shared" ca="1" si="115"/>
        <v xml:space="preserve"> </v>
      </c>
      <c r="V166" s="11" t="str">
        <f t="shared" ca="1" si="116"/>
        <v xml:space="preserve"> </v>
      </c>
      <c r="W166" s="4" t="str">
        <f t="shared" ca="1" si="125"/>
        <v xml:space="preserve"> </v>
      </c>
      <c r="AL166">
        <f t="shared" si="126"/>
        <v>-0.71933980033865119</v>
      </c>
      <c r="AM166">
        <f t="shared" ca="1" si="117"/>
        <v>9.8097977255888411E-3</v>
      </c>
      <c r="AN166">
        <f t="shared" ca="1" si="118"/>
        <v>1.3024419106173575</v>
      </c>
      <c r="AP166">
        <f t="shared" ca="1" si="127"/>
        <v>0.39388391528554645</v>
      </c>
      <c r="AQ166">
        <f t="shared" ca="1" si="107"/>
        <v>0.47433356860006975</v>
      </c>
      <c r="AR166">
        <f t="shared" ca="1" si="119"/>
        <v>-0.73282343449252463</v>
      </c>
      <c r="AS166">
        <f t="shared" ca="1" si="120"/>
        <v>-0.73282343449252463</v>
      </c>
      <c r="AT166" s="4">
        <f t="shared" ca="1" si="128"/>
        <v>21.412445140141767</v>
      </c>
      <c r="AU166">
        <f t="shared" ca="1" si="108"/>
        <v>-0.48939726955382523</v>
      </c>
      <c r="AV166">
        <f t="shared" ca="1" si="121"/>
        <v>0.70551366549809524</v>
      </c>
      <c r="AW166">
        <f t="shared" ca="1" si="122"/>
        <v>0.70551366549809524</v>
      </c>
      <c r="AX166" s="4" t="str">
        <f t="shared" ca="1" si="129"/>
        <v>ignore</v>
      </c>
    </row>
    <row r="167" spans="2:50" x14ac:dyDescent="0.2">
      <c r="B167">
        <v>137</v>
      </c>
      <c r="D167" s="11">
        <f t="shared" ca="1" si="111"/>
        <v>138.10300000000001</v>
      </c>
      <c r="F167" s="4">
        <f t="shared" ca="1" si="105"/>
        <v>381.60962359713284</v>
      </c>
      <c r="H167" s="4">
        <f t="shared" ca="1" si="112"/>
        <v>1.0428496441378228</v>
      </c>
      <c r="J167" s="11">
        <f t="shared" ca="1" si="113"/>
        <v>20.923339192438853</v>
      </c>
      <c r="L167" s="4">
        <f t="shared" ca="1" si="106"/>
        <v>36.765821402867175</v>
      </c>
      <c r="M167" s="4">
        <f t="shared" ca="1" si="109"/>
        <v>2889.8372767651226</v>
      </c>
      <c r="N167" s="4">
        <f t="shared" ca="1" si="110"/>
        <v>14.644918650574267</v>
      </c>
      <c r="R167" t="str">
        <f t="shared" ca="1" si="123"/>
        <v xml:space="preserve"> </v>
      </c>
      <c r="S167" s="11" t="str">
        <f t="shared" ca="1" si="114"/>
        <v xml:space="preserve"> </v>
      </c>
      <c r="T167" s="4" t="str">
        <f t="shared" ca="1" si="124"/>
        <v>none</v>
      </c>
      <c r="U167" s="4" t="str">
        <f t="shared" ca="1" si="115"/>
        <v xml:space="preserve"> </v>
      </c>
      <c r="V167" s="11" t="str">
        <f t="shared" ca="1" si="116"/>
        <v xml:space="preserve"> </v>
      </c>
      <c r="W167" s="4" t="str">
        <f t="shared" ca="1" si="125"/>
        <v xml:space="preserve"> </v>
      </c>
      <c r="AL167">
        <f t="shared" si="126"/>
        <v>-0.73135370161917046</v>
      </c>
      <c r="AM167">
        <f t="shared" ca="1" si="117"/>
        <v>9.9736339840602942E-3</v>
      </c>
      <c r="AN167">
        <f t="shared" ca="1" si="118"/>
        <v>1.3024451518607885</v>
      </c>
      <c r="AP167">
        <f t="shared" ca="1" si="127"/>
        <v>0.39388813650492177</v>
      </c>
      <c r="AQ167">
        <f t="shared" ca="1" si="107"/>
        <v>0.47420917893073616</v>
      </c>
      <c r="AR167">
        <f t="shared" ca="1" si="119"/>
        <v>-0.74434762677962552</v>
      </c>
      <c r="AS167">
        <f t="shared" ca="1" si="120"/>
        <v>-0.74434762677962552</v>
      </c>
      <c r="AT167" s="4">
        <f t="shared" ca="1" si="128"/>
        <v>20.923339192438853</v>
      </c>
      <c r="AU167">
        <f t="shared" ca="1" si="108"/>
        <v>-0.48952442498130655</v>
      </c>
      <c r="AV167">
        <f t="shared" ca="1" si="121"/>
        <v>0.71802413189496372</v>
      </c>
      <c r="AW167">
        <f t="shared" ca="1" si="122"/>
        <v>0.71802413189496372</v>
      </c>
      <c r="AX167" s="4" t="str">
        <f t="shared" ca="1" si="129"/>
        <v>ignore</v>
      </c>
    </row>
    <row r="168" spans="2:50" x14ac:dyDescent="0.2">
      <c r="B168">
        <v>138</v>
      </c>
      <c r="D168" s="11">
        <f t="shared" ca="1" si="111"/>
        <v>139.08199999999999</v>
      </c>
      <c r="F168" s="4">
        <f t="shared" ca="1" si="105"/>
        <v>381.3713923089685</v>
      </c>
      <c r="H168" s="4">
        <f t="shared" ca="1" si="112"/>
        <v>1.0435480899586602</v>
      </c>
      <c r="J168" s="11">
        <f t="shared" ca="1" si="113"/>
        <v>20.434396416515231</v>
      </c>
      <c r="L168" s="4">
        <f t="shared" ca="1" si="106"/>
        <v>37.004052691031518</v>
      </c>
      <c r="M168" s="4">
        <f t="shared" ca="1" si="109"/>
        <v>2899.1863105556522</v>
      </c>
      <c r="N168" s="4">
        <f t="shared" ca="1" si="110"/>
        <v>14.692297041193216</v>
      </c>
      <c r="R168" t="str">
        <f t="shared" ca="1" si="123"/>
        <v xml:space="preserve"> </v>
      </c>
      <c r="S168" s="11" t="str">
        <f t="shared" ca="1" si="114"/>
        <v xml:space="preserve"> </v>
      </c>
      <c r="T168" s="4" t="str">
        <f t="shared" ca="1" si="124"/>
        <v>none</v>
      </c>
      <c r="U168" s="4" t="str">
        <f t="shared" ca="1" si="115"/>
        <v xml:space="preserve"> </v>
      </c>
      <c r="V168" s="11" t="str">
        <f t="shared" ca="1" si="116"/>
        <v xml:space="preserve"> </v>
      </c>
      <c r="W168" s="4" t="str">
        <f t="shared" ca="1" si="125"/>
        <v xml:space="preserve"> </v>
      </c>
      <c r="AL168">
        <f t="shared" si="126"/>
        <v>-0.74314482547739402</v>
      </c>
      <c r="AM168">
        <f t="shared" ca="1" si="117"/>
        <v>1.013443217700344E-2</v>
      </c>
      <c r="AN168">
        <f t="shared" ca="1" si="118"/>
        <v>1.3024483852014908</v>
      </c>
      <c r="AP168">
        <f t="shared" ca="1" si="127"/>
        <v>0.39389234743221246</v>
      </c>
      <c r="AQ168">
        <f t="shared" ca="1" si="107"/>
        <v>0.47408711902818118</v>
      </c>
      <c r="AR168">
        <f t="shared" ca="1" si="119"/>
        <v>-0.75565048105154153</v>
      </c>
      <c r="AS168">
        <f t="shared" ca="1" si="120"/>
        <v>-0.75565048105154153</v>
      </c>
      <c r="AT168" s="4">
        <f t="shared" ca="1" si="128"/>
        <v>20.434396416515231</v>
      </c>
      <c r="AU168">
        <f t="shared" ca="1" si="108"/>
        <v>-0.48964924385731318</v>
      </c>
      <c r="AV168">
        <f t="shared" ca="1" si="121"/>
        <v>0.73031086193551087</v>
      </c>
      <c r="AW168">
        <f t="shared" ca="1" si="122"/>
        <v>0.73031086193551087</v>
      </c>
      <c r="AX168" s="4" t="str">
        <f t="shared" ca="1" si="129"/>
        <v>ignore</v>
      </c>
    </row>
    <row r="169" spans="2:50" x14ac:dyDescent="0.2">
      <c r="B169">
        <v>139</v>
      </c>
      <c r="D169" s="11">
        <f t="shared" ca="1" si="111"/>
        <v>140.06100000000001</v>
      </c>
      <c r="F169" s="4">
        <f t="shared" ca="1" si="105"/>
        <v>381.13788953808915</v>
      </c>
      <c r="H169" s="4">
        <f t="shared" ca="1" si="112"/>
        <v>1.0442336139736434</v>
      </c>
      <c r="J169" s="11">
        <f t="shared" ca="1" si="113"/>
        <v>19.945613760694737</v>
      </c>
      <c r="L169" s="4">
        <f t="shared" ca="1" si="106"/>
        <v>37.237555461910858</v>
      </c>
      <c r="M169" s="4">
        <f t="shared" ca="1" si="109"/>
        <v>2908.3206353900837</v>
      </c>
      <c r="N169" s="4">
        <f t="shared" ca="1" si="110"/>
        <v>14.738587344527497</v>
      </c>
      <c r="R169" t="str">
        <f t="shared" ca="1" si="123"/>
        <v xml:space="preserve"> </v>
      </c>
      <c r="S169" s="11" t="str">
        <f t="shared" ca="1" si="114"/>
        <v xml:space="preserve"> </v>
      </c>
      <c r="T169" s="4" t="str">
        <f t="shared" ca="1" si="124"/>
        <v>none</v>
      </c>
      <c r="U169" s="4" t="str">
        <f t="shared" ca="1" si="115"/>
        <v xml:space="preserve"> </v>
      </c>
      <c r="V169" s="11" t="str">
        <f t="shared" ca="1" si="116"/>
        <v xml:space="preserve"> </v>
      </c>
      <c r="W169" s="4" t="str">
        <f t="shared" ca="1" si="125"/>
        <v xml:space="preserve"> </v>
      </c>
      <c r="AL169">
        <f t="shared" si="126"/>
        <v>-0.75470958022277201</v>
      </c>
      <c r="AM169">
        <f t="shared" ca="1" si="117"/>
        <v>1.0292143323731026E-2</v>
      </c>
      <c r="AN169">
        <f t="shared" ca="1" si="118"/>
        <v>1.3024516067001366</v>
      </c>
      <c r="AP169">
        <f t="shared" ca="1" si="127"/>
        <v>0.39389654293705217</v>
      </c>
      <c r="AQ169">
        <f t="shared" ca="1" si="107"/>
        <v>0.47396742477490972</v>
      </c>
      <c r="AR169">
        <f t="shared" ca="1" si="119"/>
        <v>-0.76672899140034012</v>
      </c>
      <c r="AS169">
        <f t="shared" ca="1" si="120"/>
        <v>-0.76672899140034012</v>
      </c>
      <c r="AT169" s="4">
        <f t="shared" ca="1" si="128"/>
        <v>19.945613760694737</v>
      </c>
      <c r="AU169">
        <f t="shared" ca="1" si="108"/>
        <v>-0.48977168693833401</v>
      </c>
      <c r="AV169">
        <f t="shared" ca="1" si="121"/>
        <v>0.74236965095253427</v>
      </c>
      <c r="AW169">
        <f t="shared" ca="1" si="122"/>
        <v>0.74236965095253427</v>
      </c>
      <c r="AX169" s="4" t="str">
        <f t="shared" ca="1" si="129"/>
        <v>ignore</v>
      </c>
    </row>
    <row r="170" spans="2:50" x14ac:dyDescent="0.2">
      <c r="B170">
        <v>140</v>
      </c>
      <c r="D170" s="11">
        <f t="shared" ca="1" si="111"/>
        <v>141.04</v>
      </c>
      <c r="F170" s="4">
        <f t="shared" ca="1" si="105"/>
        <v>380.9091772445413</v>
      </c>
      <c r="H170" s="4">
        <f t="shared" ca="1" si="112"/>
        <v>1.0449059791433895</v>
      </c>
      <c r="J170" s="11">
        <f t="shared" ca="1" si="113"/>
        <v>19.456988121916538</v>
      </c>
      <c r="L170" s="4">
        <f t="shared" ca="1" si="106"/>
        <v>37.466267755458716</v>
      </c>
      <c r="M170" s="4">
        <f t="shared" ca="1" si="109"/>
        <v>2917.2398543950071</v>
      </c>
      <c r="N170" s="4">
        <f t="shared" ca="1" si="110"/>
        <v>14.783787549329331</v>
      </c>
      <c r="R170" t="str">
        <f t="shared" ca="1" si="123"/>
        <v xml:space="preserve"> </v>
      </c>
      <c r="S170" s="11" t="str">
        <f t="shared" ca="1" si="114"/>
        <v xml:space="preserve"> </v>
      </c>
      <c r="T170" s="4" t="str">
        <f t="shared" ca="1" si="124"/>
        <v>none</v>
      </c>
      <c r="U170" s="4" t="str">
        <f t="shared" ca="1" si="115"/>
        <v xml:space="preserve"> </v>
      </c>
      <c r="V170" s="11" t="str">
        <f t="shared" ca="1" si="116"/>
        <v xml:space="preserve"> </v>
      </c>
      <c r="W170" s="4" t="str">
        <f t="shared" ca="1" si="125"/>
        <v xml:space="preserve"> </v>
      </c>
      <c r="AL170">
        <f t="shared" si="126"/>
        <v>-0.7660444431189779</v>
      </c>
      <c r="AM170">
        <f t="shared" ca="1" si="117"/>
        <v>1.0446719383899968E-2</v>
      </c>
      <c r="AN170">
        <f t="shared" ca="1" si="118"/>
        <v>1.3024548124318263</v>
      </c>
      <c r="AP170">
        <f t="shared" ca="1" si="127"/>
        <v>0.39390071790786474</v>
      </c>
      <c r="AQ170">
        <f t="shared" ca="1" si="107"/>
        <v>0.47385013133607007</v>
      </c>
      <c r="AR170">
        <f t="shared" ca="1" si="119"/>
        <v>-0.77758021813923839</v>
      </c>
      <c r="AS170">
        <f t="shared" ca="1" si="120"/>
        <v>-0.77758021813923839</v>
      </c>
      <c r="AT170" s="4">
        <f t="shared" ca="1" si="128"/>
        <v>19.456988121916538</v>
      </c>
      <c r="AU170">
        <f t="shared" ca="1" si="108"/>
        <v>-0.4898917157107246</v>
      </c>
      <c r="AV170">
        <f t="shared" ca="1" si="121"/>
        <v>0.75419636485958619</v>
      </c>
      <c r="AW170">
        <f t="shared" ca="1" si="122"/>
        <v>0.75419636485958619</v>
      </c>
      <c r="AX170" s="4" t="str">
        <f t="shared" ca="1" si="129"/>
        <v>ignore</v>
      </c>
    </row>
    <row r="171" spans="2:50" x14ac:dyDescent="0.2">
      <c r="B171">
        <v>141</v>
      </c>
      <c r="D171" s="11">
        <f t="shared" ca="1" si="111"/>
        <v>142.018</v>
      </c>
      <c r="F171" s="4">
        <f t="shared" ca="1" si="105"/>
        <v>380.68531598450312</v>
      </c>
      <c r="H171" s="4">
        <f t="shared" ca="1" si="112"/>
        <v>1.0455649525377426</v>
      </c>
      <c r="J171" s="11">
        <f t="shared" ca="1" si="113"/>
        <v>18.968516346836147</v>
      </c>
      <c r="L171" s="4">
        <f t="shared" ca="1" si="106"/>
        <v>37.690129015496893</v>
      </c>
      <c r="M171" s="4">
        <f t="shared" ca="1" si="109"/>
        <v>2925.943582656439</v>
      </c>
      <c r="N171" s="4">
        <f t="shared" ca="1" si="110"/>
        <v>14.827895704958101</v>
      </c>
      <c r="R171" t="str">
        <f t="shared" ca="1" si="123"/>
        <v xml:space="preserve"> </v>
      </c>
      <c r="S171" s="11" t="str">
        <f t="shared" ca="1" si="114"/>
        <v xml:space="preserve"> </v>
      </c>
      <c r="T171" s="4" t="str">
        <f t="shared" ca="1" si="124"/>
        <v>none</v>
      </c>
      <c r="U171" s="4" t="str">
        <f t="shared" ca="1" si="115"/>
        <v xml:space="preserve"> </v>
      </c>
      <c r="V171" s="11" t="str">
        <f t="shared" ca="1" si="116"/>
        <v xml:space="preserve"> </v>
      </c>
      <c r="W171" s="4" t="str">
        <f t="shared" ca="1" si="125"/>
        <v xml:space="preserve"> </v>
      </c>
      <c r="AL171">
        <f t="shared" si="126"/>
        <v>-0.7771459614569709</v>
      </c>
      <c r="AM171">
        <f t="shared" ca="1" si="117"/>
        <v>1.0598113272144934E-2</v>
      </c>
      <c r="AN171">
        <f t="shared" ca="1" si="118"/>
        <v>1.3024579984908695</v>
      </c>
      <c r="AP171">
        <f t="shared" ca="1" si="127"/>
        <v>0.3939048672580911</v>
      </c>
      <c r="AQ171">
        <f t="shared" ca="1" si="107"/>
        <v>0.47373527315037844</v>
      </c>
      <c r="AR171">
        <f t="shared" ca="1" si="119"/>
        <v>-0.78820128818771207</v>
      </c>
      <c r="AS171">
        <f t="shared" ca="1" si="120"/>
        <v>-0.78820128818771207</v>
      </c>
      <c r="AT171" s="4">
        <f t="shared" ca="1" si="128"/>
        <v>18.968516346836147</v>
      </c>
      <c r="AU171">
        <f t="shared" ca="1" si="108"/>
        <v>-0.49000929240385871</v>
      </c>
      <c r="AV171">
        <f t="shared" ca="1" si="121"/>
        <v>0.76578694199166875</v>
      </c>
      <c r="AW171">
        <f t="shared" ca="1" si="122"/>
        <v>0.76578694199166875</v>
      </c>
      <c r="AX171" s="4" t="str">
        <f t="shared" ca="1" si="129"/>
        <v>ignore</v>
      </c>
    </row>
    <row r="172" spans="2:50" x14ac:dyDescent="0.2">
      <c r="B172">
        <v>142</v>
      </c>
      <c r="D172" s="11">
        <f t="shared" ca="1" si="111"/>
        <v>142.99600000000001</v>
      </c>
      <c r="F172" s="4">
        <f t="shared" ca="1" si="105"/>
        <v>380.4663649025203</v>
      </c>
      <c r="H172" s="4">
        <f t="shared" ca="1" si="112"/>
        <v>1.0462103054424503</v>
      </c>
      <c r="J172" s="11">
        <f t="shared" ca="1" si="113"/>
        <v>18.480195232937195</v>
      </c>
      <c r="L172" s="4">
        <f t="shared" ca="1" si="106"/>
        <v>37.909080097479716</v>
      </c>
      <c r="M172" s="4">
        <f t="shared" ca="1" si="109"/>
        <v>2934.4314470614845</v>
      </c>
      <c r="N172" s="4">
        <f t="shared" ca="1" si="110"/>
        <v>14.87090992057793</v>
      </c>
      <c r="R172" t="str">
        <f t="shared" ca="1" si="123"/>
        <v xml:space="preserve"> </v>
      </c>
      <c r="S172" s="11" t="str">
        <f t="shared" ca="1" si="114"/>
        <v xml:space="preserve"> </v>
      </c>
      <c r="T172" s="4" t="str">
        <f t="shared" ca="1" si="124"/>
        <v>none</v>
      </c>
      <c r="U172" s="4" t="str">
        <f t="shared" ca="1" si="115"/>
        <v xml:space="preserve"> </v>
      </c>
      <c r="V172" s="11" t="str">
        <f t="shared" ca="1" si="116"/>
        <v xml:space="preserve"> </v>
      </c>
      <c r="W172" s="4" t="str">
        <f t="shared" ca="1" si="125"/>
        <v xml:space="preserve"> </v>
      </c>
      <c r="AL172">
        <f t="shared" si="126"/>
        <v>-0.7880107536067219</v>
      </c>
      <c r="AM172">
        <f t="shared" ca="1" si="117"/>
        <v>1.0746278872420975E-2</v>
      </c>
      <c r="AN172">
        <f t="shared" ca="1" si="118"/>
        <v>1.3024611609955443</v>
      </c>
      <c r="AP172">
        <f t="shared" ca="1" si="127"/>
        <v>0.39390898593238738</v>
      </c>
      <c r="AQ172">
        <f t="shared" ca="1" si="107"/>
        <v>0.47362288392126051</v>
      </c>
      <c r="AR172">
        <f t="shared" ca="1" si="119"/>
        <v>-0.79858939544014129</v>
      </c>
      <c r="AS172">
        <f t="shared" ca="1" si="120"/>
        <v>-0.79858939544014129</v>
      </c>
      <c r="AT172" s="4">
        <f t="shared" ca="1" si="128"/>
        <v>18.480195232937195</v>
      </c>
      <c r="AU172">
        <f t="shared" ca="1" si="108"/>
        <v>-0.49012438000304304</v>
      </c>
      <c r="AV172">
        <f t="shared" ca="1" si="121"/>
        <v>0.77713739492249145</v>
      </c>
      <c r="AW172">
        <f t="shared" ca="1" si="122"/>
        <v>0.77713739492249145</v>
      </c>
      <c r="AX172" s="4" t="str">
        <f t="shared" ca="1" si="129"/>
        <v>ignore</v>
      </c>
    </row>
    <row r="173" spans="2:50" x14ac:dyDescent="0.2">
      <c r="B173">
        <v>143</v>
      </c>
      <c r="D173" s="11">
        <f t="shared" ca="1" si="111"/>
        <v>143.97300000000001</v>
      </c>
      <c r="F173" s="4">
        <f t="shared" ca="1" si="105"/>
        <v>380.25238172406591</v>
      </c>
      <c r="H173" s="4">
        <f t="shared" ca="1" si="112"/>
        <v>1.0468418134644295</v>
      </c>
      <c r="J173" s="11">
        <f t="shared" ca="1" si="113"/>
        <v>17.992021529646802</v>
      </c>
      <c r="L173" s="4">
        <f t="shared" ca="1" si="106"/>
        <v>38.123063275934101</v>
      </c>
      <c r="M173" s="4">
        <f t="shared" ca="1" si="109"/>
        <v>2942.703086134904</v>
      </c>
      <c r="N173" s="4">
        <f t="shared" ca="1" si="110"/>
        <v>14.912828364329455</v>
      </c>
      <c r="R173" t="str">
        <f t="shared" ca="1" si="123"/>
        <v xml:space="preserve"> </v>
      </c>
      <c r="S173" s="11" t="str">
        <f t="shared" ca="1" si="114"/>
        <v xml:space="preserve"> </v>
      </c>
      <c r="T173" s="4" t="str">
        <f t="shared" ca="1" si="124"/>
        <v>none</v>
      </c>
      <c r="U173" s="4" t="str">
        <f t="shared" ca="1" si="115"/>
        <v xml:space="preserve"> </v>
      </c>
      <c r="V173" s="11" t="str">
        <f t="shared" ca="1" si="116"/>
        <v xml:space="preserve"> </v>
      </c>
      <c r="W173" s="4" t="str">
        <f t="shared" ca="1" si="125"/>
        <v xml:space="preserve"> </v>
      </c>
      <c r="AL173">
        <f t="shared" si="126"/>
        <v>-0.79863551004729294</v>
      </c>
      <c r="AM173">
        <f t="shared" ca="1" si="117"/>
        <v>1.0891171052050938E-2</v>
      </c>
      <c r="AN173">
        <f t="shared" ca="1" si="118"/>
        <v>1.3024642960928254</v>
      </c>
      <c r="AP173">
        <f t="shared" ca="1" si="127"/>
        <v>0.3939130689127831</v>
      </c>
      <c r="AQ173">
        <f t="shared" ca="1" si="107"/>
        <v>0.47351299660821117</v>
      </c>
      <c r="AR173">
        <f t="shared" ca="1" si="119"/>
        <v>-0.80874180111845662</v>
      </c>
      <c r="AS173">
        <f t="shared" ca="1" si="120"/>
        <v>-0.80874180111845662</v>
      </c>
      <c r="AT173" s="4">
        <f t="shared" ca="1" si="128"/>
        <v>17.992021529646802</v>
      </c>
      <c r="AU173">
        <f t="shared" ca="1" si="108"/>
        <v>-0.49023694226218822</v>
      </c>
      <c r="AV173">
        <f t="shared" ca="1" si="121"/>
        <v>0.78824381225698559</v>
      </c>
      <c r="AW173">
        <f t="shared" ca="1" si="122"/>
        <v>0.78824381225698559</v>
      </c>
      <c r="AX173" s="4" t="str">
        <f t="shared" ca="1" si="129"/>
        <v>ignore</v>
      </c>
    </row>
    <row r="174" spans="2:50" x14ac:dyDescent="0.2">
      <c r="B174">
        <v>144</v>
      </c>
      <c r="D174" s="11">
        <f t="shared" ca="1" si="111"/>
        <v>144.94999999999999</v>
      </c>
      <c r="F174" s="4">
        <f t="shared" ca="1" si="105"/>
        <v>380.04342274844129</v>
      </c>
      <c r="H174" s="4">
        <f t="shared" ca="1" si="112"/>
        <v>1.0474592566355587</v>
      </c>
      <c r="J174" s="11">
        <f t="shared" ca="1" si="113"/>
        <v>17.503991939462693</v>
      </c>
      <c r="L174" s="4">
        <f t="shared" ca="1" si="106"/>
        <v>38.332022251558726</v>
      </c>
      <c r="M174" s="4">
        <f t="shared" ca="1" si="109"/>
        <v>2950.7581498853542</v>
      </c>
      <c r="N174" s="4">
        <f t="shared" ca="1" si="110"/>
        <v>14.953649262550611</v>
      </c>
      <c r="R174" t="str">
        <f t="shared" ca="1" si="123"/>
        <v xml:space="preserve"> </v>
      </c>
      <c r="S174" s="11" t="str">
        <f t="shared" ca="1" si="114"/>
        <v xml:space="preserve"> </v>
      </c>
      <c r="T174" s="4" t="str">
        <f t="shared" ca="1" si="124"/>
        <v>none</v>
      </c>
      <c r="U174" s="4" t="str">
        <f t="shared" ca="1" si="115"/>
        <v xml:space="preserve"> </v>
      </c>
      <c r="V174" s="11" t="str">
        <f t="shared" ca="1" si="116"/>
        <v xml:space="preserve"> </v>
      </c>
      <c r="W174" s="4" t="str">
        <f t="shared" ca="1" si="125"/>
        <v xml:space="preserve"> </v>
      </c>
      <c r="AL174">
        <f t="shared" si="126"/>
        <v>-0.80901699437494734</v>
      </c>
      <c r="AM174">
        <f t="shared" ca="1" si="117"/>
        <v>1.1032745675473297E-2</v>
      </c>
      <c r="AN174">
        <f t="shared" ca="1" si="118"/>
        <v>1.30246739996308</v>
      </c>
      <c r="AP174">
        <f t="shared" ca="1" si="127"/>
        <v>0.39391711122479584</v>
      </c>
      <c r="AQ174">
        <f t="shared" ca="1" si="107"/>
        <v>0.47340564341837177</v>
      </c>
      <c r="AR174">
        <f t="shared" ca="1" si="119"/>
        <v>-0.81865583410922071</v>
      </c>
      <c r="AS174">
        <f t="shared" ca="1" si="120"/>
        <v>-0.81865583410922071</v>
      </c>
      <c r="AT174" s="4">
        <f t="shared" ca="1" si="128"/>
        <v>17.503991939462693</v>
      </c>
      <c r="AU174">
        <f t="shared" ca="1" si="108"/>
        <v>-0.49034694371623111</v>
      </c>
      <c r="AV174">
        <f t="shared" ca="1" si="121"/>
        <v>0.79910236039775584</v>
      </c>
      <c r="AW174">
        <f t="shared" ca="1" si="122"/>
        <v>0.79910236039775584</v>
      </c>
      <c r="AX174" s="4" t="str">
        <f t="shared" ca="1" si="129"/>
        <v>ignore</v>
      </c>
    </row>
    <row r="175" spans="2:50" x14ac:dyDescent="0.2">
      <c r="B175">
        <v>145</v>
      </c>
      <c r="D175" s="11">
        <f t="shared" ca="1" si="111"/>
        <v>145.92699999999999</v>
      </c>
      <c r="F175" s="4">
        <f t="shared" ca="1" si="105"/>
        <v>379.83954284198694</v>
      </c>
      <c r="H175" s="4">
        <f t="shared" ca="1" si="112"/>
        <v>1.0480624195149053</v>
      </c>
      <c r="J175" s="11">
        <f t="shared" ca="1" si="113"/>
        <v>17.016103119085244</v>
      </c>
      <c r="L175" s="4">
        <f t="shared" ca="1" si="106"/>
        <v>38.535902158013073</v>
      </c>
      <c r="M175" s="4">
        <f t="shared" ca="1" si="109"/>
        <v>2958.5962996489943</v>
      </c>
      <c r="N175" s="4">
        <f t="shared" ca="1" si="110"/>
        <v>14.993370898984072</v>
      </c>
      <c r="R175" t="str">
        <f t="shared" ca="1" si="123"/>
        <v xml:space="preserve"> </v>
      </c>
      <c r="S175" s="11" t="str">
        <f t="shared" ca="1" si="114"/>
        <v xml:space="preserve"> </v>
      </c>
      <c r="T175" s="4" t="str">
        <f t="shared" ca="1" si="124"/>
        <v>none</v>
      </c>
      <c r="U175" s="4" t="str">
        <f t="shared" ca="1" si="115"/>
        <v xml:space="preserve"> </v>
      </c>
      <c r="V175" s="11" t="str">
        <f t="shared" ca="1" si="116"/>
        <v xml:space="preserve"> </v>
      </c>
      <c r="W175" s="4" t="str">
        <f t="shared" ca="1" si="125"/>
        <v xml:space="preserve"> </v>
      </c>
      <c r="AL175">
        <f t="shared" si="126"/>
        <v>-0.81915204428899191</v>
      </c>
      <c r="AM175">
        <f t="shared" ca="1" si="117"/>
        <v>1.1170959617686306E-2</v>
      </c>
      <c r="AN175">
        <f t="shared" ca="1" si="118"/>
        <v>1.3024704688247204</v>
      </c>
      <c r="AP175">
        <f t="shared" ca="1" si="127"/>
        <v>0.39392110794349094</v>
      </c>
      <c r="AQ175">
        <f t="shared" ca="1" si="107"/>
        <v>0.47330085579832554</v>
      </c>
      <c r="AR175">
        <f t="shared" ca="1" si="119"/>
        <v>-0.8283288912856015</v>
      </c>
      <c r="AS175">
        <f t="shared" ca="1" si="120"/>
        <v>-0.8283288912856015</v>
      </c>
      <c r="AT175" s="4">
        <f t="shared" ca="1" si="128"/>
        <v>17.016103119085244</v>
      </c>
      <c r="AU175">
        <f t="shared" ca="1" si="108"/>
        <v>-0.49045434969330254</v>
      </c>
      <c r="AV175">
        <f t="shared" ca="1" si="121"/>
        <v>0.8097092852841784</v>
      </c>
      <c r="AW175">
        <f t="shared" ca="1" si="122"/>
        <v>0.8097092852841784</v>
      </c>
      <c r="AX175" s="4" t="str">
        <f t="shared" ca="1" si="129"/>
        <v>ignore</v>
      </c>
    </row>
    <row r="176" spans="2:50" x14ac:dyDescent="0.2">
      <c r="B176">
        <v>146</v>
      </c>
      <c r="D176" s="11">
        <f t="shared" ca="1" si="111"/>
        <v>146.904</v>
      </c>
      <c r="F176" s="4">
        <f t="shared" ca="1" si="105"/>
        <v>379.64079543160858</v>
      </c>
      <c r="H176" s="4">
        <f t="shared" ca="1" si="112"/>
        <v>1.0486510912893117</v>
      </c>
      <c r="J176" s="11">
        <f t="shared" ca="1" si="113"/>
        <v>16.528351680558835</v>
      </c>
      <c r="L176" s="4">
        <f t="shared" ca="1" si="106"/>
        <v>38.734649568391433</v>
      </c>
      <c r="M176" s="4">
        <f t="shared" ca="1" si="109"/>
        <v>2966.2172079393258</v>
      </c>
      <c r="N176" s="4">
        <f t="shared" ca="1" si="110"/>
        <v>15.031991614016279</v>
      </c>
      <c r="R176" t="str">
        <f t="shared" ca="1" si="123"/>
        <v xml:space="preserve"> </v>
      </c>
      <c r="S176" s="11" t="str">
        <f t="shared" ca="1" si="114"/>
        <v xml:space="preserve"> </v>
      </c>
      <c r="T176" s="4" t="str">
        <f t="shared" ca="1" si="124"/>
        <v>none</v>
      </c>
      <c r="U176" s="4" t="str">
        <f t="shared" ca="1" si="115"/>
        <v xml:space="preserve"> </v>
      </c>
      <c r="V176" s="11" t="str">
        <f t="shared" ca="1" si="116"/>
        <v xml:space="preserve"> </v>
      </c>
      <c r="W176" s="4" t="str">
        <f t="shared" ca="1" si="125"/>
        <v xml:space="preserve"> </v>
      </c>
      <c r="AL176">
        <f t="shared" si="126"/>
        <v>-0.82903757255504162</v>
      </c>
      <c r="AM176">
        <f t="shared" ca="1" si="117"/>
        <v>1.1305770777384247E-2</v>
      </c>
      <c r="AN176">
        <f t="shared" ca="1" si="118"/>
        <v>1.3024734989388111</v>
      </c>
      <c r="AP176">
        <f t="shared" ca="1" si="127"/>
        <v>0.39392505419948237</v>
      </c>
      <c r="AQ176">
        <f t="shared" ca="1" si="107"/>
        <v>0.47319866442611302</v>
      </c>
      <c r="AR176">
        <f t="shared" ca="1" si="119"/>
        <v>-0.83775843781467152</v>
      </c>
      <c r="AS176">
        <f t="shared" ca="1" si="120"/>
        <v>-0.83775843781467152</v>
      </c>
      <c r="AT176" s="4">
        <f t="shared" ca="1" si="128"/>
        <v>16.528351680558835</v>
      </c>
      <c r="AU176">
        <f t="shared" ca="1" si="108"/>
        <v>-0.49055912632663634</v>
      </c>
      <c r="AV176">
        <f t="shared" ca="1" si="121"/>
        <v>0.82006091410284743</v>
      </c>
      <c r="AW176">
        <f t="shared" ca="1" si="122"/>
        <v>0.82006091410284743</v>
      </c>
      <c r="AX176" s="4" t="str">
        <f t="shared" ca="1" si="129"/>
        <v>ignore</v>
      </c>
    </row>
    <row r="177" spans="2:50" x14ac:dyDescent="0.2">
      <c r="B177">
        <v>147</v>
      </c>
      <c r="D177" s="11">
        <f t="shared" ca="1" si="111"/>
        <v>147.881</v>
      </c>
      <c r="F177" s="4">
        <f t="shared" ca="1" si="105"/>
        <v>379.44723249859646</v>
      </c>
      <c r="H177" s="4">
        <f t="shared" ca="1" si="112"/>
        <v>1.0492250658722655</v>
      </c>
      <c r="J177" s="11">
        <f t="shared" ca="1" si="113"/>
        <v>16.040734192418675</v>
      </c>
      <c r="L177" s="4">
        <f t="shared" ca="1" si="106"/>
        <v>38.92821250140355</v>
      </c>
      <c r="M177" s="4">
        <f t="shared" ca="1" si="109"/>
        <v>2973.6205582955763</v>
      </c>
      <c r="N177" s="4">
        <f t="shared" ca="1" si="110"/>
        <v>15.069509803909087</v>
      </c>
      <c r="R177" t="str">
        <f t="shared" ca="1" si="123"/>
        <v xml:space="preserve"> </v>
      </c>
      <c r="S177" s="11" t="str">
        <f t="shared" ca="1" si="114"/>
        <v xml:space="preserve"> </v>
      </c>
      <c r="T177" s="4" t="str">
        <f t="shared" ca="1" si="124"/>
        <v>none</v>
      </c>
      <c r="U177" s="4" t="str">
        <f t="shared" ca="1" si="115"/>
        <v xml:space="preserve"> </v>
      </c>
      <c r="V177" s="11" t="str">
        <f t="shared" ca="1" si="116"/>
        <v xml:space="preserve"> </v>
      </c>
      <c r="W177" s="4" t="str">
        <f t="shared" ca="1" si="125"/>
        <v xml:space="preserve"> </v>
      </c>
      <c r="AL177">
        <f t="shared" si="126"/>
        <v>-0.83867056794542394</v>
      </c>
      <c r="AM177">
        <f t="shared" ca="1" si="117"/>
        <v>1.1437138089781938E-2</v>
      </c>
      <c r="AN177">
        <f t="shared" ca="1" si="118"/>
        <v>1.3024764866136251</v>
      </c>
      <c r="AP177">
        <f t="shared" ca="1" si="127"/>
        <v>0.3939289451848651</v>
      </c>
      <c r="AQ177">
        <f t="shared" ca="1" si="107"/>
        <v>0.47309909920346582</v>
      </c>
      <c r="AR177">
        <f t="shared" ca="1" si="119"/>
        <v>-0.84694200745047798</v>
      </c>
      <c r="AS177">
        <f t="shared" ca="1" si="120"/>
        <v>-0.84694200745047798</v>
      </c>
      <c r="AT177" s="4">
        <f t="shared" ca="1" si="128"/>
        <v>16.040734192418675</v>
      </c>
      <c r="AU177">
        <f t="shared" ca="1" si="108"/>
        <v>-0.49066124056621391</v>
      </c>
      <c r="AV177">
        <f t="shared" ca="1" si="121"/>
        <v>0.8301536569681075</v>
      </c>
      <c r="AW177">
        <f t="shared" ca="1" si="122"/>
        <v>0.8301536569681075</v>
      </c>
      <c r="AX177" s="4" t="str">
        <f t="shared" ca="1" si="129"/>
        <v>ignore</v>
      </c>
    </row>
    <row r="178" spans="2:50" x14ac:dyDescent="0.2">
      <c r="B178">
        <v>148</v>
      </c>
      <c r="D178" s="11">
        <f t="shared" ca="1" si="111"/>
        <v>148.857</v>
      </c>
      <c r="F178" s="4">
        <f t="shared" ca="1" si="105"/>
        <v>379.25890457273943</v>
      </c>
      <c r="H178" s="4">
        <f t="shared" ca="1" si="112"/>
        <v>1.0497841420009753</v>
      </c>
      <c r="J178" s="11">
        <f t="shared" ca="1" si="113"/>
        <v>15.553247180846201</v>
      </c>
      <c r="L178" s="4">
        <f t="shared" ca="1" si="106"/>
        <v>39.116540427260588</v>
      </c>
      <c r="M178" s="4">
        <f t="shared" ca="1" si="109"/>
        <v>2980.8060451390729</v>
      </c>
      <c r="N178" s="4">
        <f t="shared" ca="1" si="110"/>
        <v>15.105923920071909</v>
      </c>
      <c r="R178" t="str">
        <f t="shared" ca="1" si="123"/>
        <v xml:space="preserve"> </v>
      </c>
      <c r="S178" s="11" t="str">
        <f t="shared" ca="1" si="114"/>
        <v xml:space="preserve"> </v>
      </c>
      <c r="T178" s="4" t="str">
        <f t="shared" ca="1" si="124"/>
        <v>none</v>
      </c>
      <c r="U178" s="4" t="str">
        <f t="shared" ca="1" si="115"/>
        <v xml:space="preserve"> </v>
      </c>
      <c r="V178" s="11" t="str">
        <f t="shared" ca="1" si="116"/>
        <v xml:space="preserve"> </v>
      </c>
      <c r="W178" s="4" t="str">
        <f t="shared" ca="1" si="125"/>
        <v xml:space="preserve"> </v>
      </c>
      <c r="AL178">
        <f t="shared" si="126"/>
        <v>-0.84804809615642596</v>
      </c>
      <c r="AM178">
        <f t="shared" ca="1" si="117"/>
        <v>1.1565021539123439E-2</v>
      </c>
      <c r="AN178">
        <f t="shared" ca="1" si="118"/>
        <v>1.3024794282091408</v>
      </c>
      <c r="AP178">
        <f t="shared" ca="1" si="127"/>
        <v>0.39393277615907279</v>
      </c>
      <c r="AQ178">
        <f t="shared" ca="1" si="107"/>
        <v>0.47300218924826015</v>
      </c>
      <c r="AR178">
        <f t="shared" ca="1" si="119"/>
        <v>-0.85587720281331148</v>
      </c>
      <c r="AS178">
        <f t="shared" ca="1" si="120"/>
        <v>-0.85587720281331148</v>
      </c>
      <c r="AT178" s="4">
        <f t="shared" ca="1" si="128"/>
        <v>15.553247180846201</v>
      </c>
      <c r="AU178">
        <f t="shared" ca="1" si="108"/>
        <v>-0.49076066019013886</v>
      </c>
      <c r="AV178">
        <f t="shared" ca="1" si="121"/>
        <v>0.83998400857139499</v>
      </c>
      <c r="AW178">
        <f t="shared" ca="1" si="122"/>
        <v>0.83998400857139499</v>
      </c>
      <c r="AX178" s="4" t="str">
        <f t="shared" ca="1" si="129"/>
        <v>ignore</v>
      </c>
    </row>
    <row r="179" spans="2:50" x14ac:dyDescent="0.2">
      <c r="B179">
        <v>149</v>
      </c>
      <c r="D179" s="11">
        <f t="shared" ca="1" si="111"/>
        <v>149.833</v>
      </c>
      <c r="F179" s="4">
        <f t="shared" ca="1" si="105"/>
        <v>379.07586072672501</v>
      </c>
      <c r="H179" s="4">
        <f t="shared" ca="1" si="112"/>
        <v>1.0503281233315751</v>
      </c>
      <c r="J179" s="11">
        <f t="shared" ca="1" si="113"/>
        <v>15.065887130832435</v>
      </c>
      <c r="L179" s="4">
        <f t="shared" ca="1" si="106"/>
        <v>39.299584273275002</v>
      </c>
      <c r="M179" s="4">
        <f t="shared" ca="1" si="109"/>
        <v>2987.7733736296173</v>
      </c>
      <c r="N179" s="4">
        <f t="shared" ca="1" si="110"/>
        <v>15.141232468333861</v>
      </c>
      <c r="R179" t="str">
        <f t="shared" ca="1" si="123"/>
        <v xml:space="preserve"> </v>
      </c>
      <c r="S179" s="11" t="str">
        <f t="shared" ca="1" si="114"/>
        <v xml:space="preserve"> </v>
      </c>
      <c r="T179" s="4" t="str">
        <f t="shared" ca="1" si="124"/>
        <v>none</v>
      </c>
      <c r="U179" s="4" t="str">
        <f t="shared" ca="1" si="115"/>
        <v xml:space="preserve"> </v>
      </c>
      <c r="V179" s="11" t="str">
        <f t="shared" ca="1" si="116"/>
        <v xml:space="preserve"> </v>
      </c>
      <c r="W179" s="4" t="str">
        <f t="shared" ca="1" si="125"/>
        <v xml:space="preserve"> </v>
      </c>
      <c r="AL179">
        <f t="shared" si="126"/>
        <v>-0.85716730070211222</v>
      </c>
      <c r="AM179">
        <f t="shared" ca="1" si="117"/>
        <v>1.1689382170871241E-2</v>
      </c>
      <c r="AN179">
        <f t="shared" ca="1" si="118"/>
        <v>1.302482320141477</v>
      </c>
      <c r="AP179">
        <f t="shared" ca="1" si="127"/>
        <v>0.39393654245465337</v>
      </c>
      <c r="AQ179">
        <f t="shared" ca="1" si="107"/>
        <v>0.47290796288718973</v>
      </c>
      <c r="AR179">
        <f t="shared" ca="1" si="119"/>
        <v>-0.86456169565560415</v>
      </c>
      <c r="AS179">
        <f t="shared" ca="1" si="120"/>
        <v>-0.86456169565560415</v>
      </c>
      <c r="AT179" s="4">
        <f t="shared" ca="1" si="128"/>
        <v>15.065887130832435</v>
      </c>
      <c r="AU179">
        <f t="shared" ca="1" si="108"/>
        <v>-0.49085735381573842</v>
      </c>
      <c r="AV179">
        <f t="shared" ca="1" si="121"/>
        <v>0.84954854979815575</v>
      </c>
      <c r="AW179">
        <f t="shared" ca="1" si="122"/>
        <v>0.84954854979815575</v>
      </c>
      <c r="AX179" s="4" t="str">
        <f t="shared" ca="1" si="129"/>
        <v>ignore</v>
      </c>
    </row>
    <row r="180" spans="2:50" x14ac:dyDescent="0.2">
      <c r="B180">
        <v>150</v>
      </c>
      <c r="D180" s="11">
        <f t="shared" ca="1" si="111"/>
        <v>150.80799999999999</v>
      </c>
      <c r="F180" s="4">
        <f t="shared" ca="1" si="105"/>
        <v>378.89814857080268</v>
      </c>
      <c r="H180" s="4">
        <f t="shared" ca="1" si="112"/>
        <v>1.0508568185323828</v>
      </c>
      <c r="J180" s="11">
        <f t="shared" ca="1" si="113"/>
        <v>14.578650487346094</v>
      </c>
      <c r="L180" s="4">
        <f t="shared" ca="1" si="106"/>
        <v>39.477296429197338</v>
      </c>
      <c r="M180" s="4">
        <f t="shared" ca="1" si="109"/>
        <v>2994.522259523912</v>
      </c>
      <c r="N180" s="4">
        <f t="shared" ca="1" si="110"/>
        <v>15.175434008226306</v>
      </c>
      <c r="R180" t="str">
        <f t="shared" ca="1" si="123"/>
        <v xml:space="preserve"> </v>
      </c>
      <c r="S180" s="11" t="str">
        <f t="shared" ca="1" si="114"/>
        <v xml:space="preserve"> </v>
      </c>
      <c r="T180" s="4" t="str">
        <f t="shared" ca="1" si="124"/>
        <v>none</v>
      </c>
      <c r="U180" s="4" t="str">
        <f t="shared" ca="1" si="115"/>
        <v xml:space="preserve"> </v>
      </c>
      <c r="V180" s="11" t="str">
        <f t="shared" ca="1" si="116"/>
        <v xml:space="preserve"> </v>
      </c>
      <c r="W180" s="4" t="str">
        <f t="shared" ca="1" si="125"/>
        <v xml:space="preserve"> </v>
      </c>
      <c r="AL180">
        <f t="shared" si="126"/>
        <v>-0.86602540378443871</v>
      </c>
      <c r="AM180">
        <f t="shared" ca="1" si="117"/>
        <v>1.1810182103572211E-2</v>
      </c>
      <c r="AN180">
        <f t="shared" ca="1" si="118"/>
        <v>1.3024851588872599</v>
      </c>
      <c r="AP180">
        <f t="shared" ca="1" si="127"/>
        <v>0.39394023948295603</v>
      </c>
      <c r="AQ180">
        <f t="shared" ca="1" si="107"/>
        <v>0.47281644764865943</v>
      </c>
      <c r="AR180">
        <f t="shared" ca="1" si="119"/>
        <v>-0.87299322711488492</v>
      </c>
      <c r="AS180">
        <f t="shared" ca="1" si="120"/>
        <v>-0.87299322711488492</v>
      </c>
      <c r="AT180" s="4">
        <f t="shared" ca="1" si="128"/>
        <v>14.578650487346094</v>
      </c>
      <c r="AU180">
        <f t="shared" ca="1" si="108"/>
        <v>-0.49095129091038514</v>
      </c>
      <c r="AV180">
        <f t="shared" ca="1" si="121"/>
        <v>0.85884394931110231</v>
      </c>
      <c r="AW180">
        <f t="shared" ca="1" si="122"/>
        <v>0.85884394931110231</v>
      </c>
      <c r="AX180" s="4" t="str">
        <f t="shared" ca="1" si="129"/>
        <v>ignore</v>
      </c>
    </row>
    <row r="181" spans="2:50" x14ac:dyDescent="0.2">
      <c r="B181">
        <v>151</v>
      </c>
      <c r="D181" s="11">
        <f t="shared" ca="1" si="111"/>
        <v>151.78399999999999</v>
      </c>
      <c r="F181" s="4">
        <f t="shared" ca="1" si="105"/>
        <v>378.72581424771772</v>
      </c>
      <c r="H181" s="4">
        <f t="shared" ca="1" si="112"/>
        <v>1.0513700413751397</v>
      </c>
      <c r="J181" s="11">
        <f t="shared" ca="1" si="113"/>
        <v>14.091533656510318</v>
      </c>
      <c r="L181" s="4">
        <f t="shared" ca="1" si="106"/>
        <v>39.649630752282292</v>
      </c>
      <c r="M181" s="4">
        <f t="shared" ca="1" si="109"/>
        <v>3001.0524290424978</v>
      </c>
      <c r="N181" s="4">
        <f t="shared" ca="1" si="110"/>
        <v>15.208527152308521</v>
      </c>
      <c r="R181" t="str">
        <f t="shared" ca="1" si="123"/>
        <v xml:space="preserve"> </v>
      </c>
      <c r="S181" s="11" t="str">
        <f t="shared" ca="1" si="114"/>
        <v xml:space="preserve"> </v>
      </c>
      <c r="T181" s="4" t="str">
        <f t="shared" ca="1" si="124"/>
        <v>none</v>
      </c>
      <c r="U181" s="4" t="str">
        <f t="shared" ca="1" si="115"/>
        <v xml:space="preserve"> </v>
      </c>
      <c r="V181" s="11" t="str">
        <f t="shared" ca="1" si="116"/>
        <v xml:space="preserve"> </v>
      </c>
      <c r="W181" s="4" t="str">
        <f t="shared" ca="1" si="125"/>
        <v xml:space="preserve"> </v>
      </c>
      <c r="AL181">
        <f t="shared" si="126"/>
        <v>-0.87461970713939574</v>
      </c>
      <c r="AM181">
        <f t="shared" ca="1" si="117"/>
        <v>1.1927384540396626E-2</v>
      </c>
      <c r="AN181">
        <f t="shared" ca="1" si="118"/>
        <v>1.3024879409879149</v>
      </c>
      <c r="AP181">
        <f t="shared" ca="1" si="127"/>
        <v>0.3939438627397211</v>
      </c>
      <c r="AQ181">
        <f t="shared" ca="1" si="107"/>
        <v>0.4727276702558979</v>
      </c>
      <c r="AR181">
        <f t="shared" ca="1" si="119"/>
        <v>-0.88116960795419808</v>
      </c>
      <c r="AS181">
        <f t="shared" ca="1" si="120"/>
        <v>-0.88116960795419808</v>
      </c>
      <c r="AT181" s="4">
        <f t="shared" ca="1" si="128"/>
        <v>14.091533656510318</v>
      </c>
      <c r="AU181">
        <f t="shared" ca="1" si="108"/>
        <v>-0.49104244180203588</v>
      </c>
      <c r="AV181">
        <f t="shared" ca="1" si="121"/>
        <v>0.86786696509860228</v>
      </c>
      <c r="AW181">
        <f t="shared" ca="1" si="122"/>
        <v>0.86786696509860228</v>
      </c>
      <c r="AX181" s="4" t="str">
        <f t="shared" ca="1" si="129"/>
        <v>ignore</v>
      </c>
    </row>
    <row r="182" spans="2:50" x14ac:dyDescent="0.2">
      <c r="B182">
        <v>152</v>
      </c>
      <c r="D182" s="11">
        <f t="shared" ca="1" si="111"/>
        <v>152.75899999999999</v>
      </c>
      <c r="F182" s="4">
        <f t="shared" ca="1" si="105"/>
        <v>378.55890242790292</v>
      </c>
      <c r="H182" s="4">
        <f t="shared" ca="1" si="112"/>
        <v>1.0518676108241569</v>
      </c>
      <c r="J182" s="11">
        <f t="shared" ca="1" si="113"/>
        <v>13.604533006786317</v>
      </c>
      <c r="L182" s="4">
        <f t="shared" ca="1" si="106"/>
        <v>39.816542572097092</v>
      </c>
      <c r="M182" s="4">
        <f t="shared" ca="1" si="109"/>
        <v>3007.3636187322149</v>
      </c>
      <c r="N182" s="4">
        <f t="shared" ca="1" si="110"/>
        <v>15.240510565470702</v>
      </c>
      <c r="R182" t="str">
        <f t="shared" ca="1" si="123"/>
        <v xml:space="preserve"> </v>
      </c>
      <c r="S182" s="11" t="str">
        <f t="shared" ca="1" si="114"/>
        <v xml:space="preserve"> </v>
      </c>
      <c r="T182" s="4" t="str">
        <f t="shared" ca="1" si="124"/>
        <v>none</v>
      </c>
      <c r="U182" s="4" t="str">
        <f t="shared" ca="1" si="115"/>
        <v xml:space="preserve"> </v>
      </c>
      <c r="V182" s="11" t="str">
        <f t="shared" ca="1" si="116"/>
        <v xml:space="preserve"> </v>
      </c>
      <c r="W182" s="4" t="str">
        <f t="shared" ca="1" si="125"/>
        <v xml:space="preserve"> </v>
      </c>
      <c r="AL182">
        <f t="shared" si="126"/>
        <v>-0.88294759285892699</v>
      </c>
      <c r="AM182">
        <f t="shared" ca="1" si="117"/>
        <v>1.2040953780346871E-2</v>
      </c>
      <c r="AN182">
        <f t="shared" ca="1" si="118"/>
        <v>1.3024906630538808</v>
      </c>
      <c r="AP182">
        <f t="shared" ca="1" si="127"/>
        <v>0.39394740781056842</v>
      </c>
      <c r="AQ182">
        <f t="shared" ca="1" si="107"/>
        <v>0.47264165662029084</v>
      </c>
      <c r="AR182">
        <f t="shared" ca="1" si="119"/>
        <v>-0.88908871879040674</v>
      </c>
      <c r="AS182">
        <f t="shared" ca="1" si="120"/>
        <v>-0.88908871879040674</v>
      </c>
      <c r="AT182" s="4">
        <f t="shared" ca="1" si="128"/>
        <v>13.604533006786317</v>
      </c>
      <c r="AU182">
        <f t="shared" ca="1" si="108"/>
        <v>-0.4911307776894816</v>
      </c>
      <c r="AV182">
        <f t="shared" ca="1" si="121"/>
        <v>0.87661444598701033</v>
      </c>
      <c r="AW182">
        <f t="shared" ca="1" si="122"/>
        <v>0.87661444598701033</v>
      </c>
      <c r="AX182" s="4" t="str">
        <f t="shared" ca="1" si="129"/>
        <v>ignore</v>
      </c>
    </row>
    <row r="183" spans="2:50" x14ac:dyDescent="0.2">
      <c r="B183">
        <v>153</v>
      </c>
      <c r="D183" s="11">
        <f t="shared" ca="1" si="111"/>
        <v>153.73400000000001</v>
      </c>
      <c r="F183" s="4">
        <f t="shared" ca="1" si="105"/>
        <v>378.39745630490904</v>
      </c>
      <c r="H183" s="4">
        <f t="shared" ca="1" si="112"/>
        <v>1.0523493511232982</v>
      </c>
      <c r="J183" s="11">
        <f t="shared" ca="1" si="113"/>
        <v>13.117644870162163</v>
      </c>
      <c r="L183" s="4">
        <f t="shared" ca="1" si="106"/>
        <v>39.977988695090971</v>
      </c>
      <c r="M183" s="4">
        <f t="shared" ca="1" si="109"/>
        <v>3013.4555753392656</v>
      </c>
      <c r="N183" s="4">
        <f t="shared" ca="1" si="110"/>
        <v>15.271382964290664</v>
      </c>
      <c r="R183" t="str">
        <f t="shared" ca="1" si="123"/>
        <v xml:space="preserve"> </v>
      </c>
      <c r="S183" s="11" t="str">
        <f t="shared" ca="1" si="114"/>
        <v xml:space="preserve"> </v>
      </c>
      <c r="T183" s="4" t="str">
        <f t="shared" ca="1" si="124"/>
        <v>none</v>
      </c>
      <c r="U183" s="4" t="str">
        <f t="shared" ca="1" si="115"/>
        <v xml:space="preserve"> </v>
      </c>
      <c r="V183" s="11" t="str">
        <f t="shared" ca="1" si="116"/>
        <v xml:space="preserve"> </v>
      </c>
      <c r="W183" s="4" t="str">
        <f t="shared" ca="1" si="125"/>
        <v xml:space="preserve"> </v>
      </c>
      <c r="AL183">
        <f t="shared" si="126"/>
        <v>-0.89100652418836779</v>
      </c>
      <c r="AM183">
        <f t="shared" ca="1" si="117"/>
        <v>1.2150855229132279E-2</v>
      </c>
      <c r="AN183">
        <f t="shared" ca="1" si="118"/>
        <v>1.3024933217687398</v>
      </c>
      <c r="AP183">
        <f t="shared" ca="1" si="127"/>
        <v>0.39395087037637522</v>
      </c>
      <c r="AQ183">
        <f t="shared" ca="1" si="107"/>
        <v>0.47255843183493451</v>
      </c>
      <c r="AR183">
        <f t="shared" ca="1" si="119"/>
        <v>-0.89674851031077274</v>
      </c>
      <c r="AS183">
        <f t="shared" ca="1" si="120"/>
        <v>-0.89674851031077274</v>
      </c>
      <c r="AT183" s="4">
        <f t="shared" ca="1" si="128"/>
        <v>13.117644870162163</v>
      </c>
      <c r="AU183">
        <f t="shared" ca="1" si="108"/>
        <v>-0.4912162706523065</v>
      </c>
      <c r="AV183">
        <f t="shared" ca="1" si="121"/>
        <v>0.8850833331157707</v>
      </c>
      <c r="AW183">
        <f t="shared" ca="1" si="122"/>
        <v>0.8850833331157707</v>
      </c>
      <c r="AX183" s="4" t="str">
        <f t="shared" ca="1" si="129"/>
        <v>ignore</v>
      </c>
    </row>
    <row r="184" spans="2:50" x14ac:dyDescent="0.2">
      <c r="B184">
        <v>154</v>
      </c>
      <c r="D184" s="11">
        <f t="shared" ca="1" si="111"/>
        <v>154.709</v>
      </c>
      <c r="F184" s="4">
        <f t="shared" ca="1" si="105"/>
        <v>378.24151759108042</v>
      </c>
      <c r="H184" s="4">
        <f t="shared" ca="1" si="112"/>
        <v>1.0528150918807293</v>
      </c>
      <c r="J184" s="11">
        <f t="shared" ca="1" si="113"/>
        <v>12.630865543349135</v>
      </c>
      <c r="L184" s="4">
        <f t="shared" ca="1" si="106"/>
        <v>40.13392740891959</v>
      </c>
      <c r="M184" s="4">
        <f t="shared" ca="1" si="109"/>
        <v>3019.328055681191</v>
      </c>
      <c r="N184" s="4">
        <f t="shared" ca="1" si="110"/>
        <v>15.301143116385063</v>
      </c>
      <c r="R184" t="str">
        <f t="shared" ca="1" si="123"/>
        <v xml:space="preserve"> </v>
      </c>
      <c r="S184" s="11" t="str">
        <f t="shared" ca="1" si="114"/>
        <v xml:space="preserve"> </v>
      </c>
      <c r="T184" s="4" t="str">
        <f t="shared" ca="1" si="124"/>
        <v>none</v>
      </c>
      <c r="U184" s="4" t="str">
        <f t="shared" ca="1" si="115"/>
        <v xml:space="preserve"> </v>
      </c>
      <c r="V184" s="11" t="str">
        <f t="shared" ca="1" si="116"/>
        <v xml:space="preserve"> </v>
      </c>
      <c r="W184" s="4" t="str">
        <f t="shared" ca="1" si="125"/>
        <v xml:space="preserve"> </v>
      </c>
      <c r="AL184">
        <f t="shared" si="126"/>
        <v>-0.89879404629916704</v>
      </c>
      <c r="AM184">
        <f t="shared" ca="1" si="117"/>
        <v>1.2257055409706921E-2</v>
      </c>
      <c r="AN184">
        <f t="shared" ca="1" si="118"/>
        <v>1.302495913893257</v>
      </c>
      <c r="AP184">
        <f t="shared" ca="1" si="127"/>
        <v>0.39395424621853842</v>
      </c>
      <c r="AQ184">
        <f t="shared" ca="1" si="107"/>
        <v>0.47247802016840901</v>
      </c>
      <c r="AR184">
        <f t="shared" ca="1" si="119"/>
        <v>-0.90414700347821553</v>
      </c>
      <c r="AS184">
        <f t="shared" ca="1" si="120"/>
        <v>-0.90414700347821553</v>
      </c>
      <c r="AT184" s="4">
        <f t="shared" ca="1" si="128"/>
        <v>12.630865543349135</v>
      </c>
      <c r="AU184">
        <f t="shared" ca="1" si="108"/>
        <v>-0.49129889366054863</v>
      </c>
      <c r="AV184">
        <f t="shared" ca="1" si="121"/>
        <v>0.89327066137414668</v>
      </c>
      <c r="AW184">
        <f t="shared" ca="1" si="122"/>
        <v>0.89327066137414668</v>
      </c>
      <c r="AX184" s="4" t="str">
        <f t="shared" ca="1" si="129"/>
        <v>ignore</v>
      </c>
    </row>
    <row r="185" spans="2:50" x14ac:dyDescent="0.2">
      <c r="B185">
        <v>155</v>
      </c>
      <c r="D185" s="11">
        <f t="shared" ca="1" si="111"/>
        <v>155.68299999999999</v>
      </c>
      <c r="F185" s="4">
        <f t="shared" ca="1" si="105"/>
        <v>378.09112651345987</v>
      </c>
      <c r="H185" s="4">
        <f t="shared" ca="1" si="112"/>
        <v>1.0532646681513633</v>
      </c>
      <c r="J185" s="11">
        <f t="shared" ca="1" si="113"/>
        <v>12.144191288984207</v>
      </c>
      <c r="L185" s="4">
        <f t="shared" ca="1" si="106"/>
        <v>40.284318486540144</v>
      </c>
      <c r="M185" s="4">
        <f t="shared" ca="1" si="109"/>
        <v>3024.9808265242332</v>
      </c>
      <c r="N185" s="4">
        <f t="shared" ca="1" si="110"/>
        <v>15.329789839787898</v>
      </c>
      <c r="R185" t="str">
        <f t="shared" ca="1" si="123"/>
        <v xml:space="preserve"> </v>
      </c>
      <c r="S185" s="11" t="str">
        <f t="shared" ca="1" si="114"/>
        <v xml:space="preserve"> </v>
      </c>
      <c r="T185" s="4" t="str">
        <f t="shared" ca="1" si="124"/>
        <v>none</v>
      </c>
      <c r="U185" s="4" t="str">
        <f t="shared" ca="1" si="115"/>
        <v xml:space="preserve"> </v>
      </c>
      <c r="V185" s="11" t="str">
        <f t="shared" ca="1" si="116"/>
        <v xml:space="preserve"> </v>
      </c>
      <c r="W185" s="4" t="str">
        <f t="shared" ca="1" si="125"/>
        <v xml:space="preserve"> </v>
      </c>
      <c r="AL185">
        <f t="shared" si="126"/>
        <v>-0.90630778703664994</v>
      </c>
      <c r="AM185">
        <f t="shared" ca="1" si="117"/>
        <v>1.2359521972467001E-2</v>
      </c>
      <c r="AN185">
        <f t="shared" ca="1" si="118"/>
        <v>1.3024984362693284</v>
      </c>
      <c r="AP185">
        <f t="shared" ca="1" si="127"/>
        <v>0.39395753122411442</v>
      </c>
      <c r="AQ185">
        <f t="shared" ca="1" si="107"/>
        <v>0.47240044505877177</v>
      </c>
      <c r="AR185">
        <f t="shared" ca="1" si="119"/>
        <v>-0.91128228972562975</v>
      </c>
      <c r="AS185">
        <f t="shared" ca="1" si="120"/>
        <v>-0.91128228972562975</v>
      </c>
      <c r="AT185" s="4">
        <f t="shared" ca="1" si="128"/>
        <v>12.144191288984207</v>
      </c>
      <c r="AU185">
        <f t="shared" ca="1" si="108"/>
        <v>-0.49137862058406101</v>
      </c>
      <c r="AV185">
        <f t="shared" ca="1" si="121"/>
        <v>0.90117356079845368</v>
      </c>
      <c r="AW185">
        <f t="shared" ca="1" si="122"/>
        <v>0.90117356079845368</v>
      </c>
      <c r="AX185" s="4" t="str">
        <f t="shared" ca="1" si="129"/>
        <v>ignore</v>
      </c>
    </row>
    <row r="186" spans="2:50" x14ac:dyDescent="0.2">
      <c r="B186">
        <v>156</v>
      </c>
      <c r="D186" s="11">
        <f t="shared" ca="1" si="111"/>
        <v>156.65700000000001</v>
      </c>
      <c r="F186" s="4">
        <f t="shared" ca="1" si="105"/>
        <v>377.94632180991437</v>
      </c>
      <c r="H186" s="4">
        <f t="shared" ca="1" si="112"/>
        <v>1.0536979205169359</v>
      </c>
      <c r="J186" s="11">
        <f t="shared" ca="1" si="113"/>
        <v>11.657618336838144</v>
      </c>
      <c r="L186" s="4">
        <f t="shared" ca="1" si="106"/>
        <v>40.429123190085647</v>
      </c>
      <c r="M186" s="4">
        <f t="shared" ca="1" si="109"/>
        <v>3030.4136644661571</v>
      </c>
      <c r="N186" s="4">
        <f t="shared" ca="1" si="110"/>
        <v>15.357322002356682</v>
      </c>
      <c r="R186" t="str">
        <f t="shared" ca="1" si="123"/>
        <v xml:space="preserve"> </v>
      </c>
      <c r="S186" s="11" t="str">
        <f t="shared" ca="1" si="114"/>
        <v xml:space="preserve"> </v>
      </c>
      <c r="T186" s="4" t="str">
        <f t="shared" ca="1" si="124"/>
        <v>none</v>
      </c>
      <c r="U186" s="4" t="str">
        <f t="shared" ca="1" si="115"/>
        <v xml:space="preserve"> </v>
      </c>
      <c r="V186" s="11" t="str">
        <f t="shared" ca="1" si="116"/>
        <v xml:space="preserve"> </v>
      </c>
      <c r="W186" s="4" t="str">
        <f t="shared" ca="1" si="125"/>
        <v xml:space="preserve"> </v>
      </c>
      <c r="AL186">
        <f t="shared" si="126"/>
        <v>-0.91354545764260076</v>
      </c>
      <c r="AM186">
        <f t="shared" ca="1" si="117"/>
        <v>1.245822370510489E-2</v>
      </c>
      <c r="AN186">
        <f t="shared" ca="1" si="118"/>
        <v>1.3025008858238269</v>
      </c>
      <c r="AP186">
        <f t="shared" ca="1" si="127"/>
        <v>0.39396072139082977</v>
      </c>
      <c r="AQ186">
        <f t="shared" ca="1" si="107"/>
        <v>0.47232572910777187</v>
      </c>
      <c r="AR186">
        <f t="shared" ca="1" si="119"/>
        <v>-0.9181525311396449</v>
      </c>
      <c r="AS186">
        <f t="shared" ca="1" si="120"/>
        <v>-0.9181525311396449</v>
      </c>
      <c r="AT186" s="4">
        <f t="shared" ca="1" si="128"/>
        <v>11.657618336838144</v>
      </c>
      <c r="AU186">
        <f t="shared" ca="1" si="108"/>
        <v>-0.49145542620156707</v>
      </c>
      <c r="AV186">
        <f t="shared" ca="1" si="121"/>
        <v>0.90878925792870346</v>
      </c>
      <c r="AW186">
        <f t="shared" ca="1" si="122"/>
        <v>0.90878925792870346</v>
      </c>
      <c r="AX186" s="4" t="str">
        <f t="shared" ca="1" si="129"/>
        <v>ignore</v>
      </c>
    </row>
    <row r="187" spans="2:50" x14ac:dyDescent="0.2">
      <c r="B187">
        <v>157</v>
      </c>
      <c r="D187" s="11">
        <f t="shared" ca="1" si="111"/>
        <v>157.63200000000001</v>
      </c>
      <c r="F187" s="4">
        <f t="shared" ca="1" si="105"/>
        <v>377.80714072547806</v>
      </c>
      <c r="H187" s="4">
        <f t="shared" ca="1" si="112"/>
        <v>1.0541146951636462</v>
      </c>
      <c r="J187" s="11">
        <f t="shared" ca="1" si="113"/>
        <v>11.171142885030028</v>
      </c>
      <c r="L187" s="4">
        <f t="shared" ca="1" si="106"/>
        <v>40.56830427452195</v>
      </c>
      <c r="M187" s="4">
        <f t="shared" ca="1" si="109"/>
        <v>3035.6263558177188</v>
      </c>
      <c r="N187" s="4">
        <f t="shared" ca="1" si="110"/>
        <v>15.383738521171757</v>
      </c>
      <c r="R187" t="str">
        <f t="shared" ca="1" si="123"/>
        <v xml:space="preserve"> </v>
      </c>
      <c r="S187" s="11" t="str">
        <f t="shared" ca="1" si="114"/>
        <v xml:space="preserve"> </v>
      </c>
      <c r="T187" s="4" t="str">
        <f t="shared" ca="1" si="124"/>
        <v>none</v>
      </c>
      <c r="U187" s="4" t="str">
        <f t="shared" ca="1" si="115"/>
        <v xml:space="preserve"> </v>
      </c>
      <c r="V187" s="11" t="str">
        <f t="shared" ca="1" si="116"/>
        <v xml:space="preserve"> </v>
      </c>
      <c r="W187" s="4" t="str">
        <f t="shared" ca="1" si="125"/>
        <v xml:space="preserve"> </v>
      </c>
      <c r="AL187">
        <f t="shared" si="126"/>
        <v>-0.92050485345244037</v>
      </c>
      <c r="AM187">
        <f t="shared" ca="1" si="117"/>
        <v>1.2553130542116684E-2</v>
      </c>
      <c r="AN187">
        <f t="shared" ca="1" si="118"/>
        <v>1.3025032595723478</v>
      </c>
      <c r="AP187">
        <f t="shared" ca="1" si="127"/>
        <v>0.39396381283195786</v>
      </c>
      <c r="AQ187">
        <f t="shared" ca="1" si="107"/>
        <v>0.47225389407528356</v>
      </c>
      <c r="AR187">
        <f t="shared" ca="1" si="119"/>
        <v>-0.92475596063418664</v>
      </c>
      <c r="AS187">
        <f t="shared" ca="1" si="120"/>
        <v>-0.92475596063418664</v>
      </c>
      <c r="AT187" s="4">
        <f t="shared" ca="1" si="128"/>
        <v>11.171142885030028</v>
      </c>
      <c r="AU187">
        <f t="shared" ca="1" si="108"/>
        <v>-0.49152928620940883</v>
      </c>
      <c r="AV187">
        <f t="shared" ca="1" si="121"/>
        <v>0.91611507712358586</v>
      </c>
      <c r="AW187">
        <f t="shared" ca="1" si="122"/>
        <v>0.91611507712358586</v>
      </c>
      <c r="AX187" s="4" t="str">
        <f t="shared" ca="1" si="129"/>
        <v>ignore</v>
      </c>
    </row>
    <row r="188" spans="2:50" x14ac:dyDescent="0.2">
      <c r="B188">
        <v>158</v>
      </c>
      <c r="D188" s="11">
        <f t="shared" ca="1" si="111"/>
        <v>158.60599999999999</v>
      </c>
      <c r="F188" s="4">
        <f t="shared" ca="1" si="105"/>
        <v>377.67361900890143</v>
      </c>
      <c r="H188" s="4">
        <f t="shared" ca="1" si="112"/>
        <v>1.0545148439572958</v>
      </c>
      <c r="J188" s="11">
        <f t="shared" ca="1" si="113"/>
        <v>10.684761101247236</v>
      </c>
      <c r="L188" s="4">
        <f t="shared" ca="1" si="106"/>
        <v>40.701825991098588</v>
      </c>
      <c r="M188" s="4">
        <f t="shared" ca="1" si="109"/>
        <v>3040.6186964939247</v>
      </c>
      <c r="N188" s="4">
        <f t="shared" ca="1" si="110"/>
        <v>15.409038361985228</v>
      </c>
      <c r="R188" t="str">
        <f t="shared" ca="1" si="123"/>
        <v xml:space="preserve"> </v>
      </c>
      <c r="S188" s="11" t="str">
        <f t="shared" ca="1" si="114"/>
        <v xml:space="preserve"> </v>
      </c>
      <c r="T188" s="4" t="str">
        <f t="shared" ca="1" si="124"/>
        <v>none</v>
      </c>
      <c r="U188" s="4" t="str">
        <f t="shared" ca="1" si="115"/>
        <v xml:space="preserve"> </v>
      </c>
      <c r="V188" s="11" t="str">
        <f t="shared" ca="1" si="116"/>
        <v xml:space="preserve"> </v>
      </c>
      <c r="W188" s="4" t="str">
        <f t="shared" ca="1" si="125"/>
        <v xml:space="preserve"> </v>
      </c>
      <c r="AL188">
        <f t="shared" si="126"/>
        <v>-0.92718385456678731</v>
      </c>
      <c r="AM188">
        <f t="shared" ca="1" si="117"/>
        <v>1.264421357396044E-2</v>
      </c>
      <c r="AN188">
        <f t="shared" ca="1" si="118"/>
        <v>1.3025055546228443</v>
      </c>
      <c r="AP188">
        <f t="shared" ca="1" si="127"/>
        <v>0.39396680178105392</v>
      </c>
      <c r="AQ188">
        <f t="shared" ca="1" si="107"/>
        <v>0.4721849608739605</v>
      </c>
      <c r="AR188">
        <f t="shared" ca="1" si="119"/>
        <v>-0.93109088211420421</v>
      </c>
      <c r="AS188">
        <f t="shared" ca="1" si="120"/>
        <v>-0.93109088211420421</v>
      </c>
      <c r="AT188" s="4">
        <f t="shared" ca="1" si="128"/>
        <v>10.684761101247236</v>
      </c>
      <c r="AU188">
        <f t="shared" ca="1" si="108"/>
        <v>-0.49160017722998084</v>
      </c>
      <c r="AV188">
        <f t="shared" ca="1" si="121"/>
        <v>0.92314844183274736</v>
      </c>
      <c r="AW188">
        <f t="shared" ca="1" si="122"/>
        <v>0.92314844183274736</v>
      </c>
      <c r="AX188" s="4" t="str">
        <f t="shared" ca="1" si="129"/>
        <v>ignore</v>
      </c>
    </row>
    <row r="189" spans="2:50" x14ac:dyDescent="0.2">
      <c r="B189">
        <v>159</v>
      </c>
      <c r="D189" s="11">
        <f t="shared" ca="1" si="111"/>
        <v>159.57900000000001</v>
      </c>
      <c r="F189" s="4">
        <f t="shared" ca="1" si="105"/>
        <v>377.54579090939797</v>
      </c>
      <c r="H189" s="4">
        <f t="shared" ca="1" si="112"/>
        <v>1.0548982245158718</v>
      </c>
      <c r="J189" s="11">
        <f t="shared" ca="1" si="113"/>
        <v>10.198469123970495</v>
      </c>
      <c r="L189" s="4">
        <f t="shared" ca="1" si="106"/>
        <v>40.829654090602048</v>
      </c>
      <c r="M189" s="4">
        <f t="shared" ca="1" si="109"/>
        <v>3045.390491904494</v>
      </c>
      <c r="N189" s="4">
        <f t="shared" ca="1" si="110"/>
        <v>15.433220538665845</v>
      </c>
      <c r="R189" t="str">
        <f t="shared" ca="1" si="123"/>
        <v xml:space="preserve"> </v>
      </c>
      <c r="S189" s="11" t="str">
        <f t="shared" ca="1" si="114"/>
        <v xml:space="preserve"> </v>
      </c>
      <c r="T189" s="4" t="str">
        <f t="shared" ca="1" si="124"/>
        <v>none</v>
      </c>
      <c r="U189" s="4" t="str">
        <f t="shared" ca="1" si="115"/>
        <v xml:space="preserve"> </v>
      </c>
      <c r="V189" s="11" t="str">
        <f t="shared" ca="1" si="116"/>
        <v xml:space="preserve"> </v>
      </c>
      <c r="W189" s="4" t="str">
        <f t="shared" ca="1" si="125"/>
        <v xml:space="preserve"> </v>
      </c>
      <c r="AL189">
        <f t="shared" si="126"/>
        <v>-0.93358042649720174</v>
      </c>
      <c r="AM189">
        <f t="shared" ca="1" si="117"/>
        <v>1.2731445055862323E-2</v>
      </c>
      <c r="AN189">
        <f t="shared" ca="1" si="118"/>
        <v>1.3025077681791508</v>
      </c>
      <c r="AP189">
        <f t="shared" ca="1" si="127"/>
        <v>0.3939696845965438</v>
      </c>
      <c r="AQ189">
        <f t="shared" ca="1" si="107"/>
        <v>0.47211894956410877</v>
      </c>
      <c r="AR189">
        <f t="shared" ca="1" si="119"/>
        <v>-0.93715567062990746</v>
      </c>
      <c r="AS189">
        <f t="shared" ca="1" si="120"/>
        <v>-0.93715567062990746</v>
      </c>
      <c r="AT189" s="4">
        <f t="shared" ca="1" si="128"/>
        <v>10.198469123970495</v>
      </c>
      <c r="AU189">
        <f t="shared" ca="1" si="108"/>
        <v>-0.49166807681984914</v>
      </c>
      <c r="AV189">
        <f t="shared" ca="1" si="121"/>
        <v>0.92988687582535934</v>
      </c>
      <c r="AW189">
        <f t="shared" ca="1" si="122"/>
        <v>0.92988687582535934</v>
      </c>
      <c r="AX189" s="4" t="str">
        <f t="shared" ca="1" si="129"/>
        <v>ignore</v>
      </c>
    </row>
    <row r="190" spans="2:50" x14ac:dyDescent="0.2">
      <c r="B190">
        <v>160</v>
      </c>
      <c r="D190" s="11">
        <f t="shared" ref="D190:D210" ca="1" si="130">IF(ISNUMBER(F190),IF(ABS(AS190-1)&lt;0.000001,0,IF(ABS(AS190+1)&lt;0.000001,180,ROUND(DEGREES(ACOS(AS190)),3)))," ")</f>
        <v>160.553</v>
      </c>
      <c r="F190" s="4">
        <f t="shared" ca="1" si="105"/>
        <v>377.42368917359005</v>
      </c>
      <c r="H190" s="4">
        <f t="shared" ref="H190:H210" ca="1" si="131">IF(ISNUMBER(F190),$AK$15*(1+AM190/AQ190)/(1+$AG$15*$AK$15*AS190)/AQ190," ")</f>
        <v>1.0552647002794988</v>
      </c>
      <c r="J190" s="11">
        <f t="shared" ref="J190:J210" ca="1" si="132">IF(ISNUMBER(F190),IF( AND( ( (F190*(F190+2*$Y$8)*AL190*AL190) &gt; ($E$5*($E$5+2*$Y$5)) ), ( B190&lt;90 ) ), 180-AT190, AT190)," ")</f>
        <v>9.7122630637053362</v>
      </c>
      <c r="L190" s="4">
        <f t="shared" ca="1" si="106"/>
        <v>40.951755826409965</v>
      </c>
      <c r="M190" s="4">
        <f t="shared" ca="1" si="109"/>
        <v>3049.9415568524473</v>
      </c>
      <c r="N190" s="4">
        <f t="shared" ca="1" si="110"/>
        <v>15.456284112685095</v>
      </c>
      <c r="R190" t="str">
        <f t="shared" ca="1" si="123"/>
        <v xml:space="preserve"> </v>
      </c>
      <c r="S190" s="11" t="str">
        <f t="shared" ref="S190:S210" ca="1" si="133">IF(ISNUMBER(T190), IF( ABS(AW190-1)&lt;0.000001,0, IF(ABS(AW190+1)&lt;0.000001,180,ROUND(DEGREES(ACOS(AW190)),3)))," ")</f>
        <v xml:space="preserve"> </v>
      </c>
      <c r="T190" s="4" t="str">
        <f t="shared" ca="1" si="124"/>
        <v>none</v>
      </c>
      <c r="U190" s="4" t="str">
        <f t="shared" ref="U190:U210" ca="1" si="134">IF(ISNUMBER(T190),ABS($AK$15*(1+AM190/AU190)/(1+$AG$15*$AK$15*AW190)/AU190)," ")</f>
        <v xml:space="preserve"> </v>
      </c>
      <c r="V190" s="11" t="str">
        <f t="shared" ref="V190:V210" ca="1" si="135">IF(ISNUMBER(T190),IF( AND( ( (T190*(T190+2*$Y$8)*AL190*AL190) &gt; ($E$5*($E$5+2*$Y$5)) ), ( B190&lt;90 ) ), 180-AX190, AX190)," ")</f>
        <v xml:space="preserve"> </v>
      </c>
      <c r="W190" s="4" t="str">
        <f t="shared" ca="1" si="125"/>
        <v xml:space="preserve"> </v>
      </c>
      <c r="AL190">
        <f t="shared" si="126"/>
        <v>-0.93969262078590832</v>
      </c>
      <c r="AM190">
        <f t="shared" ca="1" si="117"/>
        <v>1.281479841626791E-2</v>
      </c>
      <c r="AN190">
        <f t="shared" ca="1" si="118"/>
        <v>1.3025098975443901</v>
      </c>
      <c r="AP190">
        <f t="shared" ca="1" si="127"/>
        <v>0.39397245776616091</v>
      </c>
      <c r="AQ190">
        <f t="shared" ca="1" si="107"/>
        <v>0.47205587934878152</v>
      </c>
      <c r="AR190">
        <f t="shared" ref="AR190:AR210" ca="1" si="136">(AQ190*AL190-$AG$15)/((1-$AG$15*AQ190*AL190)*$AK$15)</f>
        <v>-0.94294877252185016</v>
      </c>
      <c r="AS190">
        <f t="shared" ca="1" si="120"/>
        <v>-0.94294877252185016</v>
      </c>
      <c r="AT190" s="4">
        <f t="shared" ca="1" si="128"/>
        <v>9.7122630637053362</v>
      </c>
      <c r="AU190">
        <f t="shared" ca="1" si="108"/>
        <v>-0.49173296347755086</v>
      </c>
      <c r="AV190">
        <f t="shared" ref="AV190:AV210" ca="1" si="137">(AU190*AL190-$AG$15)/((1-$AG$15*AU190*AL190)*$AK$15)</f>
        <v>0.93632800437399166</v>
      </c>
      <c r="AW190">
        <f t="shared" ca="1" si="122"/>
        <v>0.93632800437399166</v>
      </c>
      <c r="AX190" s="4" t="str">
        <f t="shared" ca="1" si="129"/>
        <v>ignore</v>
      </c>
    </row>
    <row r="191" spans="2:50" x14ac:dyDescent="0.2">
      <c r="B191">
        <v>161</v>
      </c>
      <c r="D191" s="11">
        <f t="shared" ca="1" si="130"/>
        <v>161.52600000000001</v>
      </c>
      <c r="F191" s="4">
        <f t="shared" ca="1" si="105"/>
        <v>377.30734504263415</v>
      </c>
      <c r="H191" s="4">
        <f t="shared" ca="1" si="131"/>
        <v>1.0556141405777211</v>
      </c>
      <c r="J191" s="11">
        <f t="shared" ca="1" si="132"/>
        <v>9.2261390042174671</v>
      </c>
      <c r="L191" s="4">
        <f t="shared" ca="1" si="106"/>
        <v>41.06809995736586</v>
      </c>
      <c r="M191" s="4">
        <f t="shared" ca="1" si="109"/>
        <v>3054.2717154331108</v>
      </c>
      <c r="N191" s="4">
        <f t="shared" ca="1" si="110"/>
        <v>15.478228192605362</v>
      </c>
      <c r="R191" t="str">
        <f t="shared" ca="1" si="123"/>
        <v xml:space="preserve"> </v>
      </c>
      <c r="S191" s="11" t="str">
        <f t="shared" ca="1" si="133"/>
        <v xml:space="preserve"> </v>
      </c>
      <c r="T191" s="4" t="str">
        <f t="shared" ca="1" si="124"/>
        <v>none</v>
      </c>
      <c r="U191" s="4" t="str">
        <f t="shared" ca="1" si="134"/>
        <v xml:space="preserve"> </v>
      </c>
      <c r="V191" s="11" t="str">
        <f t="shared" ca="1" si="135"/>
        <v xml:space="preserve"> </v>
      </c>
      <c r="W191" s="4" t="str">
        <f t="shared" ca="1" si="125"/>
        <v xml:space="preserve"> </v>
      </c>
      <c r="AL191">
        <f t="shared" si="126"/>
        <v>-0.94551857559931685</v>
      </c>
      <c r="AM191">
        <f t="shared" ca="1" si="117"/>
        <v>1.2894248264936164E-2</v>
      </c>
      <c r="AN191">
        <f t="shared" ca="1" si="118"/>
        <v>1.3025119401242582</v>
      </c>
      <c r="AP191">
        <f t="shared" ca="1" si="127"/>
        <v>0.39397511791122519</v>
      </c>
      <c r="AQ191">
        <f t="shared" ca="1" si="107"/>
        <v>0.47199576856909153</v>
      </c>
      <c r="AR191">
        <f t="shared" ca="1" si="136"/>
        <v>-0.94846870555718621</v>
      </c>
      <c r="AS191">
        <f t="shared" ca="1" si="120"/>
        <v>-0.94846870555718621</v>
      </c>
      <c r="AT191" s="4">
        <f t="shared" ca="1" si="128"/>
        <v>9.2261390042174671</v>
      </c>
      <c r="AU191">
        <f t="shared" ca="1" si="108"/>
        <v>-0.49179481665107078</v>
      </c>
      <c r="AV191">
        <f t="shared" ca="1" si="137"/>
        <v>0.94246955539284505</v>
      </c>
      <c r="AW191">
        <f t="shared" ca="1" si="122"/>
        <v>0.94246955539284505</v>
      </c>
      <c r="AX191" s="4" t="str">
        <f t="shared" ca="1" si="129"/>
        <v>ignore</v>
      </c>
    </row>
    <row r="192" spans="2:50" x14ac:dyDescent="0.2">
      <c r="B192">
        <v>162</v>
      </c>
      <c r="D192" s="11">
        <f t="shared" ca="1" si="130"/>
        <v>162.499</v>
      </c>
      <c r="F192" s="4">
        <f t="shared" ca="1" si="105"/>
        <v>377.19678824952899</v>
      </c>
      <c r="H192" s="4">
        <f t="shared" ca="1" si="131"/>
        <v>1.055946420694041</v>
      </c>
      <c r="J192" s="11">
        <f t="shared" ca="1" si="132"/>
        <v>8.7400930037737439</v>
      </c>
      <c r="L192" s="4">
        <f t="shared" ca="1" si="106"/>
        <v>41.178656750471021</v>
      </c>
      <c r="M192" s="4">
        <f t="shared" ca="1" si="109"/>
        <v>3058.3808009386953</v>
      </c>
      <c r="N192" s="4">
        <f t="shared" ca="1" si="110"/>
        <v>15.499051933596379</v>
      </c>
      <c r="R192" t="str">
        <f t="shared" ca="1" si="123"/>
        <v xml:space="preserve"> </v>
      </c>
      <c r="S192" s="11" t="str">
        <f t="shared" ca="1" si="133"/>
        <v xml:space="preserve"> </v>
      </c>
      <c r="T192" s="4" t="str">
        <f t="shared" ca="1" si="124"/>
        <v>none</v>
      </c>
      <c r="U192" s="4" t="str">
        <f t="shared" ca="1" si="134"/>
        <v xml:space="preserve"> </v>
      </c>
      <c r="V192" s="11" t="str">
        <f t="shared" ca="1" si="135"/>
        <v xml:space="preserve"> </v>
      </c>
      <c r="W192" s="4" t="str">
        <f t="shared" ca="1" si="125"/>
        <v xml:space="preserve"> </v>
      </c>
      <c r="AL192">
        <f t="shared" si="126"/>
        <v>-0.95105651629515353</v>
      </c>
      <c r="AM192">
        <f t="shared" ca="1" si="117"/>
        <v>1.2969770400673529E-2</v>
      </c>
      <c r="AN192">
        <f t="shared" ca="1" si="118"/>
        <v>1.3025138934301865</v>
      </c>
      <c r="AP192">
        <f t="shared" ca="1" si="127"/>
        <v>0.39397766179075983</v>
      </c>
      <c r="AQ192">
        <f t="shared" ca="1" si="107"/>
        <v>0.47193863469974412</v>
      </c>
      <c r="AR192">
        <f t="shared" ca="1" si="136"/>
        <v>-0.9537140590574098</v>
      </c>
      <c r="AS192">
        <f t="shared" ca="1" si="120"/>
        <v>-0.9537140590574098</v>
      </c>
      <c r="AT192" s="4">
        <f t="shared" ca="1" si="128"/>
        <v>8.7400930037737439</v>
      </c>
      <c r="AU192">
        <f t="shared" ca="1" si="108"/>
        <v>-0.49185361674499117</v>
      </c>
      <c r="AV192">
        <f t="shared" ca="1" si="137"/>
        <v>0.94830936052942294</v>
      </c>
      <c r="AW192">
        <f t="shared" ca="1" si="122"/>
        <v>0.94830936052942294</v>
      </c>
      <c r="AX192" s="4" t="str">
        <f t="shared" ca="1" si="129"/>
        <v>ignore</v>
      </c>
    </row>
    <row r="193" spans="2:50" x14ac:dyDescent="0.2">
      <c r="B193">
        <v>163</v>
      </c>
      <c r="D193" s="11">
        <f t="shared" ca="1" si="130"/>
        <v>163.47300000000001</v>
      </c>
      <c r="F193" s="4">
        <f t="shared" ca="1" si="105"/>
        <v>377.09204701659758</v>
      </c>
      <c r="H193" s="4">
        <f t="shared" ca="1" si="131"/>
        <v>1.0562614219276709</v>
      </c>
      <c r="J193" s="11">
        <f t="shared" ca="1" si="132"/>
        <v>8.2541210963877525</v>
      </c>
      <c r="L193" s="4">
        <f t="shared" ca="1" si="106"/>
        <v>41.283397983402438</v>
      </c>
      <c r="M193" s="4">
        <f t="shared" ca="1" si="109"/>
        <v>3062.2686557679549</v>
      </c>
      <c r="N193" s="4">
        <f t="shared" ca="1" si="110"/>
        <v>15.518754536977383</v>
      </c>
      <c r="R193" t="str">
        <f t="shared" ca="1" si="123"/>
        <v xml:space="preserve"> </v>
      </c>
      <c r="S193" s="11" t="str">
        <f t="shared" ca="1" si="133"/>
        <v xml:space="preserve"> </v>
      </c>
      <c r="T193" s="4" t="str">
        <f t="shared" ca="1" si="124"/>
        <v>none</v>
      </c>
      <c r="U193" s="4" t="str">
        <f t="shared" ca="1" si="134"/>
        <v xml:space="preserve"> </v>
      </c>
      <c r="V193" s="11" t="str">
        <f t="shared" ca="1" si="135"/>
        <v xml:space="preserve"> </v>
      </c>
      <c r="W193" s="4" t="str">
        <f t="shared" ca="1" si="125"/>
        <v xml:space="preserve"> </v>
      </c>
      <c r="AL193">
        <f t="shared" si="126"/>
        <v>-0.95630475596303555</v>
      </c>
      <c r="AM193">
        <f t="shared" ca="1" si="117"/>
        <v>1.3041341818705865E-2</v>
      </c>
      <c r="AN193">
        <f t="shared" ca="1" si="118"/>
        <v>1.3025157550823727</v>
      </c>
      <c r="AP193">
        <f t="shared" ca="1" si="127"/>
        <v>0.39398008630543929</v>
      </c>
      <c r="AQ193">
        <f t="shared" ca="1" si="107"/>
        <v>0.47188449434478902</v>
      </c>
      <c r="AR193">
        <f t="shared" ca="1" si="136"/>
        <v>-0.95868349401788355</v>
      </c>
      <c r="AS193">
        <f t="shared" ca="1" si="120"/>
        <v>-0.95868349401788355</v>
      </c>
      <c r="AT193" s="4">
        <f t="shared" ca="1" si="128"/>
        <v>8.2541210963877525</v>
      </c>
      <c r="AU193">
        <f t="shared" ca="1" si="108"/>
        <v>-0.49190934512731349</v>
      </c>
      <c r="AV193">
        <f t="shared" ca="1" si="137"/>
        <v>0.95384535620876953</v>
      </c>
      <c r="AW193">
        <f t="shared" ca="1" si="122"/>
        <v>0.95384535620876953</v>
      </c>
      <c r="AX193" s="4" t="str">
        <f t="shared" ca="1" si="129"/>
        <v>ignore</v>
      </c>
    </row>
    <row r="194" spans="2:50" x14ac:dyDescent="0.2">
      <c r="B194">
        <v>164</v>
      </c>
      <c r="D194" s="11">
        <f t="shared" ca="1" si="130"/>
        <v>164.44499999999999</v>
      </c>
      <c r="F194" s="4">
        <f t="shared" ca="1" si="105"/>
        <v>376.99314805313389</v>
      </c>
      <c r="H194" s="4">
        <f t="shared" ca="1" si="131"/>
        <v>1.0565590316524414</v>
      </c>
      <c r="J194" s="11">
        <f t="shared" ca="1" si="132"/>
        <v>7.768219293069679</v>
      </c>
      <c r="L194" s="4">
        <f t="shared" ca="1" si="106"/>
        <v>41.38229694686612</v>
      </c>
      <c r="M194" s="4">
        <f t="shared" ca="1" si="109"/>
        <v>3065.9351313410675</v>
      </c>
      <c r="N194" s="4">
        <f t="shared" ca="1" si="110"/>
        <v>15.537335249785773</v>
      </c>
      <c r="R194" t="str">
        <f t="shared" ca="1" si="123"/>
        <v xml:space="preserve"> </v>
      </c>
      <c r="S194" s="11" t="str">
        <f t="shared" ca="1" si="133"/>
        <v xml:space="preserve"> </v>
      </c>
      <c r="T194" s="4" t="str">
        <f t="shared" ca="1" si="124"/>
        <v>none</v>
      </c>
      <c r="U194" s="4" t="str">
        <f t="shared" ca="1" si="134"/>
        <v xml:space="preserve"> </v>
      </c>
      <c r="V194" s="11" t="str">
        <f t="shared" ca="1" si="135"/>
        <v xml:space="preserve"> </v>
      </c>
      <c r="W194" s="4" t="str">
        <f t="shared" ca="1" si="125"/>
        <v xml:space="preserve"> </v>
      </c>
      <c r="AL194">
        <f t="shared" si="126"/>
        <v>-0.96126169593831889</v>
      </c>
      <c r="AM194">
        <f t="shared" ca="1" si="117"/>
        <v>1.3108940717685905E-2</v>
      </c>
      <c r="AN194">
        <f t="shared" ca="1" si="118"/>
        <v>1.3025175228126802</v>
      </c>
      <c r="AP194">
        <f t="shared" ca="1" si="127"/>
        <v>0.39398238850136591</v>
      </c>
      <c r="AQ194">
        <f t="shared" ca="1" si="107"/>
        <v>0.47183336323359215</v>
      </c>
      <c r="AR194">
        <f t="shared" ca="1" si="136"/>
        <v>-0.96337574321944119</v>
      </c>
      <c r="AS194">
        <f t="shared" ca="1" si="120"/>
        <v>-0.96337574321944119</v>
      </c>
      <c r="AT194" s="4">
        <f t="shared" ca="1" si="128"/>
        <v>7.768219293069679</v>
      </c>
      <c r="AU194">
        <f t="shared" ca="1" si="108"/>
        <v>-0.49196198413594772</v>
      </c>
      <c r="AV194">
        <f t="shared" ca="1" si="137"/>
        <v>0.95907558462942211</v>
      </c>
      <c r="AW194">
        <f t="shared" ca="1" si="122"/>
        <v>0.95907558462942211</v>
      </c>
      <c r="AX194" s="4" t="str">
        <f t="shared" ca="1" si="129"/>
        <v>ignore</v>
      </c>
    </row>
    <row r="195" spans="2:50" x14ac:dyDescent="0.2">
      <c r="B195">
        <v>165</v>
      </c>
      <c r="D195" s="11">
        <f t="shared" ca="1" si="130"/>
        <v>165.41800000000001</v>
      </c>
      <c r="F195" s="4">
        <f t="shared" ca="1" si="105"/>
        <v>376.90011655321098</v>
      </c>
      <c r="H195" s="4">
        <f t="shared" ca="1" si="131"/>
        <v>1.0568391433728181</v>
      </c>
      <c r="J195" s="11">
        <f t="shared" ca="1" si="132"/>
        <v>7.2823835830803683</v>
      </c>
      <c r="L195" s="4">
        <f t="shared" ca="1" si="106"/>
        <v>41.475328446789035</v>
      </c>
      <c r="M195" s="4">
        <f t="shared" ca="1" si="109"/>
        <v>3069.3800880139838</v>
      </c>
      <c r="N195" s="4">
        <f t="shared" ca="1" si="110"/>
        <v>15.554793364343036</v>
      </c>
      <c r="R195" t="str">
        <f t="shared" ca="1" si="123"/>
        <v xml:space="preserve"> </v>
      </c>
      <c r="S195" s="11" t="str">
        <f t="shared" ca="1" si="133"/>
        <v xml:space="preserve"> </v>
      </c>
      <c r="T195" s="4" t="str">
        <f t="shared" ca="1" si="124"/>
        <v>none</v>
      </c>
      <c r="U195" s="4" t="str">
        <f t="shared" ca="1" si="134"/>
        <v xml:space="preserve"> </v>
      </c>
      <c r="V195" s="11" t="str">
        <f t="shared" ca="1" si="135"/>
        <v xml:space="preserve"> </v>
      </c>
      <c r="W195" s="4" t="str">
        <f t="shared" ca="1" si="125"/>
        <v xml:space="preserve"> </v>
      </c>
      <c r="AL195">
        <f t="shared" si="126"/>
        <v>-0.9659258262890682</v>
      </c>
      <c r="AM195">
        <f t="shared" ca="1" si="117"/>
        <v>1.3172546506334176E-2</v>
      </c>
      <c r="AN195">
        <f t="shared" ca="1" si="118"/>
        <v>1.3025191944674019</v>
      </c>
      <c r="AP195">
        <f t="shared" ca="1" si="127"/>
        <v>0.39398456557366873</v>
      </c>
      <c r="AQ195">
        <f t="shared" ca="1" si="107"/>
        <v>0.47178525621702544</v>
      </c>
      <c r="AR195">
        <f t="shared" ca="1" si="136"/>
        <v>-0.96778961133234476</v>
      </c>
      <c r="AS195">
        <f t="shared" ca="1" si="120"/>
        <v>-0.96778961133234476</v>
      </c>
      <c r="AT195" s="4">
        <f t="shared" ca="1" si="128"/>
        <v>7.2823835830803683</v>
      </c>
      <c r="AU195">
        <f t="shared" ca="1" si="108"/>
        <v>-0.49201151708486685</v>
      </c>
      <c r="AV195">
        <f t="shared" ca="1" si="137"/>
        <v>0.96399819471027171</v>
      </c>
      <c r="AW195">
        <f t="shared" ca="1" si="122"/>
        <v>0.96399819471027171</v>
      </c>
      <c r="AX195" s="4" t="str">
        <f t="shared" ca="1" si="129"/>
        <v>ignore</v>
      </c>
    </row>
    <row r="196" spans="2:50" x14ac:dyDescent="0.2">
      <c r="B196">
        <v>166</v>
      </c>
      <c r="D196" s="11">
        <f t="shared" ca="1" si="130"/>
        <v>166.39099999999999</v>
      </c>
      <c r="F196" s="4">
        <f t="shared" ca="1" si="105"/>
        <v>376.81297619364773</v>
      </c>
      <c r="H196" s="4">
        <f t="shared" ca="1" si="131"/>
        <v>1.0571016567769771</v>
      </c>
      <c r="J196" s="11">
        <f t="shared" ca="1" si="132"/>
        <v>6.7966099351898333</v>
      </c>
      <c r="L196" s="4">
        <f t="shared" ca="1" si="106"/>
        <v>41.562468806352285</v>
      </c>
      <c r="M196" s="4">
        <f t="shared" ca="1" si="109"/>
        <v>3072.6033950017536</v>
      </c>
      <c r="N196" s="4">
        <f t="shared" ca="1" si="110"/>
        <v>15.571128217866193</v>
      </c>
      <c r="R196" t="str">
        <f t="shared" ca="1" si="123"/>
        <v xml:space="preserve"> </v>
      </c>
      <c r="S196" s="11" t="str">
        <f t="shared" ca="1" si="133"/>
        <v xml:space="preserve"> </v>
      </c>
      <c r="T196" s="4" t="str">
        <f t="shared" ca="1" si="124"/>
        <v>none</v>
      </c>
      <c r="U196" s="4" t="str">
        <f t="shared" ca="1" si="134"/>
        <v xml:space="preserve"> </v>
      </c>
      <c r="V196" s="11" t="str">
        <f t="shared" ca="1" si="135"/>
        <v xml:space="preserve"> </v>
      </c>
      <c r="W196" s="4" t="str">
        <f t="shared" ca="1" si="125"/>
        <v xml:space="preserve"> </v>
      </c>
      <c r="AL196">
        <f t="shared" si="126"/>
        <v>-0.97029572627599647</v>
      </c>
      <c r="AM196">
        <f t="shared" ca="1" si="117"/>
        <v>1.3232139809711298E-2</v>
      </c>
      <c r="AN196">
        <f t="shared" ca="1" si="118"/>
        <v>1.3025207680098843</v>
      </c>
      <c r="AP196">
        <f t="shared" ca="1" si="127"/>
        <v>0.39398661486992037</v>
      </c>
      <c r="AQ196">
        <f t="shared" ca="1" si="107"/>
        <v>0.47174018726387623</v>
      </c>
      <c r="AR196">
        <f t="shared" ca="1" si="136"/>
        <v>-0.97192397501285488</v>
      </c>
      <c r="AS196">
        <f t="shared" ca="1" si="120"/>
        <v>-0.97192397501285488</v>
      </c>
      <c r="AT196" s="4">
        <f t="shared" ca="1" si="128"/>
        <v>6.7966099351898333</v>
      </c>
      <c r="AU196">
        <f t="shared" ca="1" si="108"/>
        <v>-0.49205792826992345</v>
      </c>
      <c r="AV196">
        <f t="shared" ca="1" si="137"/>
        <v>0.96861144298755975</v>
      </c>
      <c r="AW196">
        <f t="shared" ca="1" si="122"/>
        <v>0.96861144298755975</v>
      </c>
      <c r="AX196" s="4" t="str">
        <f t="shared" ca="1" si="129"/>
        <v>ignore</v>
      </c>
    </row>
    <row r="197" spans="2:50" x14ac:dyDescent="0.2">
      <c r="B197">
        <v>167</v>
      </c>
      <c r="D197" s="11">
        <f t="shared" ca="1" si="130"/>
        <v>167.364</v>
      </c>
      <c r="F197" s="4">
        <f t="shared" ca="1" si="105"/>
        <v>376.73174913212102</v>
      </c>
      <c r="H197" s="4">
        <f t="shared" ca="1" si="131"/>
        <v>1.0573464777868997</v>
      </c>
      <c r="J197" s="11">
        <f t="shared" ca="1" si="132"/>
        <v>6.3108942989390364</v>
      </c>
      <c r="L197" s="4">
        <f t="shared" ca="1" si="106"/>
        <v>41.643695867878989</v>
      </c>
      <c r="M197" s="4">
        <f t="shared" ca="1" si="109"/>
        <v>3075.6049303060067</v>
      </c>
      <c r="N197" s="4">
        <f t="shared" ca="1" si="110"/>
        <v>15.586339192100292</v>
      </c>
      <c r="R197" t="str">
        <f t="shared" ca="1" si="123"/>
        <v xml:space="preserve"> </v>
      </c>
      <c r="S197" s="11" t="str">
        <f t="shared" ca="1" si="133"/>
        <v xml:space="preserve"> </v>
      </c>
      <c r="T197" s="4" t="str">
        <f t="shared" ca="1" si="124"/>
        <v>none</v>
      </c>
      <c r="U197" s="4" t="str">
        <f t="shared" ca="1" si="134"/>
        <v xml:space="preserve"> </v>
      </c>
      <c r="V197" s="11" t="str">
        <f t="shared" ca="1" si="135"/>
        <v xml:space="preserve"> </v>
      </c>
      <c r="W197" s="4" t="str">
        <f t="shared" ca="1" si="125"/>
        <v xml:space="preserve"> </v>
      </c>
      <c r="AL197">
        <f t="shared" si="126"/>
        <v>-0.97437006478523513</v>
      </c>
      <c r="AM197">
        <f t="shared" ca="1" si="117"/>
        <v>1.3287702475119763E-2</v>
      </c>
      <c r="AN197">
        <f t="shared" ca="1" si="118"/>
        <v>1.3025222415230078</v>
      </c>
      <c r="AP197">
        <f t="shared" ca="1" si="127"/>
        <v>0.39398853389336902</v>
      </c>
      <c r="AQ197">
        <f t="shared" ca="1" si="107"/>
        <v>0.47169816945747511</v>
      </c>
      <c r="AR197">
        <f t="shared" ca="1" si="136"/>
        <v>-0.97577778299266715</v>
      </c>
      <c r="AS197">
        <f t="shared" ca="1" si="120"/>
        <v>-0.97577778299266715</v>
      </c>
      <c r="AT197" s="4">
        <f t="shared" ca="1" si="128"/>
        <v>6.3108942989390364</v>
      </c>
      <c r="AU197">
        <f t="shared" ca="1" si="108"/>
        <v>-0.49210120297432747</v>
      </c>
      <c r="AV197">
        <f t="shared" ca="1" si="137"/>
        <v>0.97291369446127951</v>
      </c>
      <c r="AW197">
        <f t="shared" ca="1" si="122"/>
        <v>0.97291369446127951</v>
      </c>
      <c r="AX197" s="4" t="str">
        <f t="shared" ca="1" si="129"/>
        <v>ignore</v>
      </c>
    </row>
    <row r="198" spans="2:50" x14ac:dyDescent="0.2">
      <c r="B198">
        <v>168</v>
      </c>
      <c r="D198" s="11">
        <f t="shared" ca="1" si="130"/>
        <v>168.33600000000001</v>
      </c>
      <c r="F198" s="4">
        <f t="shared" ca="1" si="105"/>
        <v>376.65645600542945</v>
      </c>
      <c r="H198" s="4">
        <f t="shared" ca="1" si="131"/>
        <v>1.0575735186054329</v>
      </c>
      <c r="J198" s="11">
        <f t="shared" ca="1" si="132"/>
        <v>5.8252326059057529</v>
      </c>
      <c r="L198" s="4">
        <f t="shared" ca="1" si="106"/>
        <v>41.718988994570566</v>
      </c>
      <c r="M198" s="4">
        <f t="shared" ca="1" si="109"/>
        <v>3078.3845806449053</v>
      </c>
      <c r="N198" s="4">
        <f t="shared" ca="1" si="110"/>
        <v>15.600425712963425</v>
      </c>
      <c r="R198" t="str">
        <f t="shared" ca="1" si="123"/>
        <v xml:space="preserve"> </v>
      </c>
      <c r="S198" s="11" t="str">
        <f t="shared" ca="1" si="133"/>
        <v xml:space="preserve"> </v>
      </c>
      <c r="T198" s="4" t="str">
        <f t="shared" ca="1" si="124"/>
        <v>none</v>
      </c>
      <c r="U198" s="4" t="str">
        <f t="shared" ca="1" si="134"/>
        <v xml:space="preserve"> </v>
      </c>
      <c r="V198" s="11" t="str">
        <f t="shared" ca="1" si="135"/>
        <v xml:space="preserve"> </v>
      </c>
      <c r="W198" s="4" t="str">
        <f t="shared" ca="1" si="125"/>
        <v xml:space="preserve"> </v>
      </c>
      <c r="AL198">
        <f t="shared" si="126"/>
        <v>-0.97814760073380569</v>
      </c>
      <c r="AM198">
        <f t="shared" ca="1" si="117"/>
        <v>1.3339217577633447E-2</v>
      </c>
      <c r="AN198">
        <f t="shared" ca="1" si="118"/>
        <v>1.3025236132115239</v>
      </c>
      <c r="AP198">
        <f t="shared" ca="1" si="127"/>
        <v>0.39399032030598019</v>
      </c>
      <c r="AQ198">
        <f t="shared" ca="1" si="107"/>
        <v>0.47165921499254243</v>
      </c>
      <c r="AR198">
        <f t="shared" ca="1" si="136"/>
        <v>-0.97935005616145199</v>
      </c>
      <c r="AS198">
        <f t="shared" ca="1" si="120"/>
        <v>-0.97935005616145199</v>
      </c>
      <c r="AT198" s="4">
        <f t="shared" ca="1" si="128"/>
        <v>5.8252326059057529</v>
      </c>
      <c r="AU198">
        <f t="shared" ca="1" si="108"/>
        <v>-0.49214132747378037</v>
      </c>
      <c r="AV198">
        <f t="shared" ca="1" si="137"/>
        <v>0.9769034233902899</v>
      </c>
      <c r="AW198">
        <f t="shared" ca="1" si="122"/>
        <v>0.9769034233902899</v>
      </c>
      <c r="AX198" s="4" t="str">
        <f t="shared" ca="1" si="129"/>
        <v>ignore</v>
      </c>
    </row>
    <row r="199" spans="2:50" x14ac:dyDescent="0.2">
      <c r="B199">
        <v>169</v>
      </c>
      <c r="D199" s="11">
        <f t="shared" ca="1" si="130"/>
        <v>169.30799999999999</v>
      </c>
      <c r="F199" s="4">
        <f t="shared" ca="1" si="105"/>
        <v>376.58711592788978</v>
      </c>
      <c r="H199" s="4">
        <f t="shared" ca="1" si="131"/>
        <v>1.0577826977602931</v>
      </c>
      <c r="J199" s="11">
        <f t="shared" ca="1" si="132"/>
        <v>5.3396207709732408</v>
      </c>
      <c r="L199" s="4">
        <f t="shared" ca="1" si="106"/>
        <v>41.78832907211023</v>
      </c>
      <c r="M199" s="4">
        <f t="shared" ca="1" si="109"/>
        <v>3080.9422413888656</v>
      </c>
      <c r="N199" s="4">
        <f t="shared" ca="1" si="110"/>
        <v>15.613387250220979</v>
      </c>
      <c r="R199" t="str">
        <f t="shared" ca="1" si="123"/>
        <v xml:space="preserve"> </v>
      </c>
      <c r="S199" s="11" t="str">
        <f t="shared" ca="1" si="133"/>
        <v xml:space="preserve"> </v>
      </c>
      <c r="T199" s="4" t="str">
        <f t="shared" ca="1" si="124"/>
        <v>none</v>
      </c>
      <c r="U199" s="4" t="str">
        <f t="shared" ca="1" si="134"/>
        <v xml:space="preserve"> </v>
      </c>
      <c r="V199" s="11" t="str">
        <f t="shared" ca="1" si="135"/>
        <v xml:space="preserve"> </v>
      </c>
      <c r="W199" s="4" t="str">
        <f t="shared" ca="1" si="125"/>
        <v xml:space="preserve"> </v>
      </c>
      <c r="AL199">
        <f t="shared" si="126"/>
        <v>-0.98162718344766398</v>
      </c>
      <c r="AM199">
        <f t="shared" ca="1" si="117"/>
        <v>1.3386669425253076E-2</v>
      </c>
      <c r="AN199">
        <f t="shared" ca="1" si="118"/>
        <v>1.3025248814042414</v>
      </c>
      <c r="AP199">
        <f t="shared" ca="1" si="127"/>
        <v>0.39399197193128538</v>
      </c>
      <c r="AQ199">
        <f t="shared" ca="1" si="107"/>
        <v>0.47162333517225236</v>
      </c>
      <c r="AR199">
        <f t="shared" ca="1" si="136"/>
        <v>-0.98263988764271559</v>
      </c>
      <c r="AS199">
        <f t="shared" ca="1" si="120"/>
        <v>-0.98263988764271559</v>
      </c>
      <c r="AT199" s="4">
        <f t="shared" ca="1" si="128"/>
        <v>5.3396207709732408</v>
      </c>
      <c r="AU199">
        <f t="shared" ca="1" si="108"/>
        <v>-0.4921782890412657</v>
      </c>
      <c r="AV199">
        <f t="shared" ca="1" si="137"/>
        <v>0.98057921403548443</v>
      </c>
      <c r="AW199">
        <f t="shared" ca="1" si="122"/>
        <v>0.98057921403548443</v>
      </c>
      <c r="AX199" s="4" t="str">
        <f t="shared" ca="1" si="129"/>
        <v>ignore</v>
      </c>
    </row>
    <row r="200" spans="2:50" x14ac:dyDescent="0.2">
      <c r="B200">
        <v>170</v>
      </c>
      <c r="D200" s="11">
        <f t="shared" ca="1" si="130"/>
        <v>170.28100000000001</v>
      </c>
      <c r="F200" s="4">
        <f t="shared" ca="1" si="105"/>
        <v>376.52374648988086</v>
      </c>
      <c r="H200" s="4">
        <f t="shared" ca="1" si="131"/>
        <v>1.0579739401449522</v>
      </c>
      <c r="J200" s="11">
        <f t="shared" ca="1" si="132"/>
        <v>4.8540546936027589</v>
      </c>
      <c r="L200" s="4">
        <f t="shared" ca="1" si="106"/>
        <v>41.851698510119149</v>
      </c>
      <c r="M200" s="4">
        <f t="shared" ca="1" si="109"/>
        <v>3083.27781650099</v>
      </c>
      <c r="N200" s="4">
        <f t="shared" ca="1" si="110"/>
        <v>15.625223317183773</v>
      </c>
      <c r="R200" t="str">
        <f t="shared" ca="1" si="123"/>
        <v xml:space="preserve"> </v>
      </c>
      <c r="S200" s="11" t="str">
        <f t="shared" ca="1" si="133"/>
        <v xml:space="preserve"> </v>
      </c>
      <c r="T200" s="4" t="str">
        <f t="shared" ca="1" si="124"/>
        <v>none</v>
      </c>
      <c r="U200" s="4" t="str">
        <f t="shared" ca="1" si="134"/>
        <v xml:space="preserve"> </v>
      </c>
      <c r="V200" s="11" t="str">
        <f t="shared" ca="1" si="135"/>
        <v xml:space="preserve"> </v>
      </c>
      <c r="W200" s="4" t="str">
        <f t="shared" ca="1" si="125"/>
        <v xml:space="preserve"> </v>
      </c>
      <c r="AL200">
        <f t="shared" si="126"/>
        <v>-0.98480775301220802</v>
      </c>
      <c r="AM200">
        <f t="shared" ca="1" si="117"/>
        <v>1.3430043563686196E-2</v>
      </c>
      <c r="AN200">
        <f t="shared" ca="1" si="118"/>
        <v>1.3025260445560629</v>
      </c>
      <c r="AP200">
        <f t="shared" ca="1" si="127"/>
        <v>0.39399348675703361</v>
      </c>
      <c r="AQ200">
        <f t="shared" ca="1" si="107"/>
        <v>0.4715905404055169</v>
      </c>
      <c r="AR200">
        <f t="shared" ca="1" si="136"/>
        <v>-0.98564644286319669</v>
      </c>
      <c r="AS200">
        <f t="shared" ca="1" si="120"/>
        <v>-0.98564644286319669</v>
      </c>
      <c r="AT200" s="4">
        <f t="shared" ca="1" si="128"/>
        <v>4.8540546936027589</v>
      </c>
      <c r="AU200">
        <f t="shared" ca="1" si="108"/>
        <v>-0.49221207595149286</v>
      </c>
      <c r="AV200">
        <f t="shared" ca="1" si="137"/>
        <v>0.98393976135041061</v>
      </c>
      <c r="AW200">
        <f t="shared" ca="1" si="122"/>
        <v>0.98393976135041061</v>
      </c>
      <c r="AX200" s="4" t="str">
        <f t="shared" ca="1" si="129"/>
        <v>ignore</v>
      </c>
    </row>
    <row r="201" spans="2:50" x14ac:dyDescent="0.2">
      <c r="B201">
        <v>171</v>
      </c>
      <c r="D201" s="11">
        <f t="shared" ca="1" si="130"/>
        <v>171.25299999999999</v>
      </c>
      <c r="F201" s="4">
        <f t="shared" ca="1" si="105"/>
        <v>376.46636375650542</v>
      </c>
      <c r="H201" s="4">
        <f t="shared" ca="1" si="131"/>
        <v>1.0581471770563926</v>
      </c>
      <c r="J201" s="11">
        <f t="shared" ca="1" si="132"/>
        <v>4.3685302591080495</v>
      </c>
      <c r="L201" s="4">
        <f t="shared" ca="1" si="106"/>
        <v>41.909081243494597</v>
      </c>
      <c r="M201" s="4">
        <f t="shared" ca="1" si="109"/>
        <v>3085.391218481489</v>
      </c>
      <c r="N201" s="4">
        <f t="shared" ca="1" si="110"/>
        <v>15.635933470426387</v>
      </c>
      <c r="R201" t="str">
        <f t="shared" ca="1" si="123"/>
        <v xml:space="preserve"> </v>
      </c>
      <c r="S201" s="11" t="str">
        <f t="shared" ca="1" si="133"/>
        <v xml:space="preserve"> </v>
      </c>
      <c r="T201" s="4" t="str">
        <f t="shared" ca="1" si="124"/>
        <v>none</v>
      </c>
      <c r="U201" s="4" t="str">
        <f t="shared" ca="1" si="134"/>
        <v xml:space="preserve"> </v>
      </c>
      <c r="V201" s="11" t="str">
        <f t="shared" ca="1" si="135"/>
        <v xml:space="preserve"> </v>
      </c>
      <c r="W201" s="4" t="str">
        <f t="shared" ca="1" si="125"/>
        <v xml:space="preserve"> </v>
      </c>
      <c r="AL201">
        <f t="shared" si="126"/>
        <v>-0.98768834059513766</v>
      </c>
      <c r="AM201">
        <f t="shared" ca="1" si="117"/>
        <v>1.3469326780750064E-2</v>
      </c>
      <c r="AN201">
        <f t="shared" ca="1" si="118"/>
        <v>1.3025271012498671</v>
      </c>
      <c r="AP201">
        <f t="shared" ca="1" si="127"/>
        <v>0.39399486293764291</v>
      </c>
      <c r="AQ201">
        <f t="shared" ca="1" si="107"/>
        <v>0.47156084020448558</v>
      </c>
      <c r="AR201">
        <f t="shared" ca="1" si="136"/>
        <v>-0.9883689596159847</v>
      </c>
      <c r="AS201">
        <f t="shared" ca="1" si="120"/>
        <v>-0.9883689596159847</v>
      </c>
      <c r="AT201" s="4">
        <f t="shared" ca="1" si="128"/>
        <v>4.3685302591080495</v>
      </c>
      <c r="AU201">
        <f t="shared" ca="1" si="108"/>
        <v>-0.49224267748499251</v>
      </c>
      <c r="AV201">
        <f t="shared" ca="1" si="137"/>
        <v>0.98698387161876788</v>
      </c>
      <c r="AW201">
        <f t="shared" ca="1" si="122"/>
        <v>0.98698387161876788</v>
      </c>
      <c r="AX201" s="4" t="str">
        <f t="shared" ca="1" si="129"/>
        <v>ignore</v>
      </c>
    </row>
    <row r="202" spans="2:50" x14ac:dyDescent="0.2">
      <c r="B202">
        <v>172</v>
      </c>
      <c r="D202" s="11">
        <f t="shared" ca="1" si="130"/>
        <v>172.22499999999999</v>
      </c>
      <c r="F202" s="4">
        <f t="shared" ca="1" si="105"/>
        <v>376.4149822663943</v>
      </c>
      <c r="H202" s="4">
        <f t="shared" ca="1" si="131"/>
        <v>1.058302346229687</v>
      </c>
      <c r="J202" s="11">
        <f t="shared" ca="1" si="132"/>
        <v>3.8830433399333319</v>
      </c>
      <c r="L202" s="4">
        <f t="shared" ca="1" si="106"/>
        <v>41.960462733605709</v>
      </c>
      <c r="M202" s="4">
        <f t="shared" ca="1" si="109"/>
        <v>3087.2823683175338</v>
      </c>
      <c r="N202" s="4">
        <f t="shared" ca="1" si="110"/>
        <v>15.645517309533039</v>
      </c>
      <c r="R202" t="str">
        <f t="shared" ca="1" si="123"/>
        <v xml:space="preserve"> </v>
      </c>
      <c r="S202" s="11" t="str">
        <f t="shared" ca="1" si="133"/>
        <v xml:space="preserve"> </v>
      </c>
      <c r="T202" s="4" t="str">
        <f t="shared" ca="1" si="124"/>
        <v>none</v>
      </c>
      <c r="U202" s="4" t="str">
        <f t="shared" ca="1" si="134"/>
        <v xml:space="preserve"> </v>
      </c>
      <c r="V202" s="11" t="str">
        <f t="shared" ca="1" si="135"/>
        <v xml:space="preserve"> </v>
      </c>
      <c r="W202" s="4" t="str">
        <f t="shared" ca="1" si="125"/>
        <v xml:space="preserve"> </v>
      </c>
      <c r="AL202">
        <f t="shared" si="126"/>
        <v>-0.99026806874157036</v>
      </c>
      <c r="AM202">
        <f t="shared" ca="1" si="117"/>
        <v>1.3504507110396219E-2</v>
      </c>
      <c r="AN202">
        <f t="shared" ca="1" si="118"/>
        <v>1.3025280501982353</v>
      </c>
      <c r="AP202">
        <f t="shared" ca="1" si="127"/>
        <v>0.3939960987964492</v>
      </c>
      <c r="AQ202">
        <f t="shared" ca="1" si="107"/>
        <v>0.471534243182265</v>
      </c>
      <c r="AR202">
        <f t="shared" ca="1" si="136"/>
        <v>-0.99080674811754865</v>
      </c>
      <c r="AS202">
        <f t="shared" ca="1" si="120"/>
        <v>-0.99080674811754865</v>
      </c>
      <c r="AT202" s="4">
        <f t="shared" ca="1" si="128"/>
        <v>3.8830433399333319</v>
      </c>
      <c r="AU202">
        <f t="shared" ca="1" si="108"/>
        <v>-0.492270083931861</v>
      </c>
      <c r="AV202">
        <f t="shared" ca="1" si="137"/>
        <v>0.98971046303825261</v>
      </c>
      <c r="AW202">
        <f t="shared" ca="1" si="122"/>
        <v>0.98971046303825261</v>
      </c>
      <c r="AX202" s="4" t="str">
        <f t="shared" ca="1" si="129"/>
        <v>ignore</v>
      </c>
    </row>
    <row r="203" spans="2:50" x14ac:dyDescent="0.2">
      <c r="B203">
        <v>173</v>
      </c>
      <c r="D203" s="11">
        <f t="shared" ca="1" si="130"/>
        <v>173.197</v>
      </c>
      <c r="F203" s="4">
        <f t="shared" ref="F203:F210" ca="1" si="138">IF(AQ203&gt;0.0000001,$Y$8*((1/SQRT(1-AQ203*AQ203))-1),"none")</f>
        <v>376.36961503062724</v>
      </c>
      <c r="H203" s="4">
        <f t="shared" ca="1" si="131"/>
        <v>1.0584393918693733</v>
      </c>
      <c r="J203" s="11">
        <f t="shared" ca="1" si="132"/>
        <v>3.3975897969332607</v>
      </c>
      <c r="L203" s="4">
        <f t="shared" ref="L203:L210" ca="1" si="139">IF(ISNUMBER(F203),$E$5+$S$10-F203," ")</f>
        <v>42.005829969372769</v>
      </c>
      <c r="M203" s="4">
        <f t="shared" ca="1" si="109"/>
        <v>3088.9511954362838</v>
      </c>
      <c r="N203" s="4">
        <f t="shared" ca="1" si="110"/>
        <v>15.653974476859542</v>
      </c>
      <c r="R203" t="str">
        <f t="shared" ca="1" si="123"/>
        <v xml:space="preserve"> </v>
      </c>
      <c r="S203" s="11" t="str">
        <f t="shared" ca="1" si="133"/>
        <v xml:space="preserve"> </v>
      </c>
      <c r="T203" s="4" t="str">
        <f t="shared" ca="1" si="124"/>
        <v>none</v>
      </c>
      <c r="U203" s="4" t="str">
        <f t="shared" ca="1" si="134"/>
        <v xml:space="preserve"> </v>
      </c>
      <c r="V203" s="11" t="str">
        <f t="shared" ca="1" si="135"/>
        <v xml:space="preserve"> </v>
      </c>
      <c r="W203" s="4" t="str">
        <f t="shared" ca="1" si="125"/>
        <v xml:space="preserve"> </v>
      </c>
      <c r="AL203">
        <f t="shared" si="126"/>
        <v>-0.99254615164132198</v>
      </c>
      <c r="AM203">
        <f t="shared" ca="1" si="117"/>
        <v>1.3535573836355447E-2</v>
      </c>
      <c r="AN203">
        <f t="shared" ca="1" si="118"/>
        <v>1.3025288902450198</v>
      </c>
      <c r="AP203">
        <f t="shared" ca="1" si="127"/>
        <v>0.39399719282774898</v>
      </c>
      <c r="AQ203">
        <f t="shared" ref="AQ203:AQ210" ca="1" si="140">IF(ISNUMBER(SQRT(AP203)),(-AM203+SQRT(AP203))/AN203,-100)</f>
        <v>0.47151075705085532</v>
      </c>
      <c r="AR203">
        <f t="shared" ca="1" si="136"/>
        <v>-0.99295919105882935</v>
      </c>
      <c r="AS203">
        <f t="shared" ca="1" si="120"/>
        <v>-0.99295919105882935</v>
      </c>
      <c r="AT203" s="4">
        <f t="shared" ca="1" si="128"/>
        <v>3.3975897969332607</v>
      </c>
      <c r="AU203">
        <f t="shared" ref="AU203:AU210" ca="1" si="141">IF(ISNUMBER(SQRT(AP203)),(-AM203-SQRT(AP203))/AN203,-100)</f>
        <v>-0.49229428659515462</v>
      </c>
      <c r="AV203">
        <f t="shared" ca="1" si="137"/>
        <v>0.99211856625027539</v>
      </c>
      <c r="AW203">
        <f t="shared" ca="1" si="122"/>
        <v>0.99211856625027539</v>
      </c>
      <c r="AX203" s="4" t="str">
        <f t="shared" ca="1" si="129"/>
        <v>ignore</v>
      </c>
    </row>
    <row r="204" spans="2:50" x14ac:dyDescent="0.2">
      <c r="B204">
        <v>174</v>
      </c>
      <c r="D204" s="11">
        <f t="shared" ca="1" si="130"/>
        <v>174.16900000000001</v>
      </c>
      <c r="F204" s="4">
        <f t="shared" ca="1" si="138"/>
        <v>376.33027353177602</v>
      </c>
      <c r="H204" s="4">
        <f t="shared" ca="1" si="131"/>
        <v>1.0585582646776037</v>
      </c>
      <c r="J204" s="11">
        <f t="shared" ca="1" si="132"/>
        <v>2.912165480655009</v>
      </c>
      <c r="L204" s="4">
        <f t="shared" ca="1" si="139"/>
        <v>42.045171468223998</v>
      </c>
      <c r="M204" s="4">
        <f t="shared" ca="1" si="109"/>
        <v>3090.3976376647174</v>
      </c>
      <c r="N204" s="4">
        <f t="shared" ca="1" si="110"/>
        <v>15.66130465732973</v>
      </c>
      <c r="R204" t="str">
        <f t="shared" ca="1" si="123"/>
        <v xml:space="preserve"> </v>
      </c>
      <c r="S204" s="11" t="str">
        <f t="shared" ca="1" si="133"/>
        <v xml:space="preserve"> </v>
      </c>
      <c r="T204" s="4" t="str">
        <f t="shared" ca="1" si="124"/>
        <v>none</v>
      </c>
      <c r="U204" s="4" t="str">
        <f t="shared" ca="1" si="134"/>
        <v xml:space="preserve"> </v>
      </c>
      <c r="V204" s="11" t="str">
        <f t="shared" ca="1" si="135"/>
        <v xml:space="preserve"> </v>
      </c>
      <c r="W204" s="4" t="str">
        <f t="shared" ca="1" si="125"/>
        <v xml:space="preserve"> </v>
      </c>
      <c r="AL204">
        <f t="shared" si="126"/>
        <v>-0.99452189536827329</v>
      </c>
      <c r="AM204">
        <f t="shared" ca="1" si="117"/>
        <v>1.3562517495402073E-2</v>
      </c>
      <c r="AN204">
        <f t="shared" ca="1" si="118"/>
        <v>1.3025296203667536</v>
      </c>
      <c r="AP204">
        <f t="shared" ca="1" si="127"/>
        <v>0.39399814369863362</v>
      </c>
      <c r="AQ204">
        <f t="shared" ca="1" si="140"/>
        <v>0.47149038861930376</v>
      </c>
      <c r="AR204">
        <f t="shared" ca="1" si="136"/>
        <v>-0.99482574365055354</v>
      </c>
      <c r="AS204">
        <f t="shared" ca="1" si="120"/>
        <v>-0.99482574365055354</v>
      </c>
      <c r="AT204" s="4">
        <f t="shared" ca="1" si="128"/>
        <v>2.912165480655009</v>
      </c>
      <c r="AU204">
        <f t="shared" ca="1" si="141"/>
        <v>-0.49231527779392881</v>
      </c>
      <c r="AV204">
        <f t="shared" ca="1" si="137"/>
        <v>0.99420732481510832</v>
      </c>
      <c r="AW204">
        <f t="shared" ca="1" si="122"/>
        <v>0.99420732481510832</v>
      </c>
      <c r="AX204" s="4" t="str">
        <f t="shared" ca="1" si="129"/>
        <v>ignore</v>
      </c>
    </row>
    <row r="205" spans="2:50" x14ac:dyDescent="0.2">
      <c r="B205">
        <v>175</v>
      </c>
      <c r="D205" s="11">
        <f t="shared" ca="1" si="130"/>
        <v>175.14099999999999</v>
      </c>
      <c r="F205" s="4">
        <f t="shared" ca="1" si="138"/>
        <v>376.29696772307204</v>
      </c>
      <c r="H205" s="4">
        <f t="shared" ca="1" si="131"/>
        <v>1.0586589218790383</v>
      </c>
      <c r="J205" s="11">
        <f t="shared" ca="1" si="132"/>
        <v>2.4267662326226414</v>
      </c>
      <c r="L205" s="4">
        <f t="shared" ca="1" si="139"/>
        <v>42.07847727692797</v>
      </c>
      <c r="M205" s="4">
        <f t="shared" ca="1" si="109"/>
        <v>3091.6216411943265</v>
      </c>
      <c r="N205" s="4">
        <f t="shared" ca="1" si="110"/>
        <v>15.667507578256545</v>
      </c>
      <c r="R205" t="str">
        <f t="shared" ca="1" si="123"/>
        <v xml:space="preserve"> </v>
      </c>
      <c r="S205" s="11" t="str">
        <f t="shared" ca="1" si="133"/>
        <v xml:space="preserve"> </v>
      </c>
      <c r="T205" s="4" t="str">
        <f t="shared" ca="1" si="124"/>
        <v>none</v>
      </c>
      <c r="U205" s="4" t="str">
        <f t="shared" ca="1" si="134"/>
        <v xml:space="preserve"> </v>
      </c>
      <c r="V205" s="11" t="str">
        <f t="shared" ca="1" si="135"/>
        <v xml:space="preserve"> </v>
      </c>
      <c r="W205" s="4" t="str">
        <f t="shared" ca="1" si="125"/>
        <v xml:space="preserve"> </v>
      </c>
      <c r="AL205">
        <f t="shared" si="126"/>
        <v>-0.99619469809174555</v>
      </c>
      <c r="AM205">
        <f t="shared" ca="1" si="117"/>
        <v>1.3585329880236545E-2</v>
      </c>
      <c r="AN205">
        <f t="shared" ca="1" si="118"/>
        <v>1.3025302396738954</v>
      </c>
      <c r="AP205">
        <f t="shared" ca="1" si="127"/>
        <v>0.39399895025061332</v>
      </c>
      <c r="AQ205">
        <f t="shared" ca="1" si="140"/>
        <v>0.47147314379207678</v>
      </c>
      <c r="AR205">
        <f t="shared" ca="1" si="136"/>
        <v>-0.99640593366289931</v>
      </c>
      <c r="AS205">
        <f t="shared" ca="1" si="120"/>
        <v>-0.99640593366289931</v>
      </c>
      <c r="AT205" s="4">
        <f t="shared" ca="1" si="128"/>
        <v>2.4267662326226414</v>
      </c>
      <c r="AU205">
        <f t="shared" ca="1" si="141"/>
        <v>-0.49233305086592372</v>
      </c>
      <c r="AV205">
        <f t="shared" ca="1" si="137"/>
        <v>0.99597599563206285</v>
      </c>
      <c r="AW205">
        <f t="shared" ca="1" si="122"/>
        <v>0.99597599563206285</v>
      </c>
      <c r="AX205" s="4" t="str">
        <f t="shared" ca="1" si="129"/>
        <v>ignore</v>
      </c>
    </row>
    <row r="206" spans="2:50" x14ac:dyDescent="0.2">
      <c r="B206">
        <v>176</v>
      </c>
      <c r="D206" s="11">
        <f t="shared" ca="1" si="130"/>
        <v>176.113</v>
      </c>
      <c r="F206" s="4">
        <f t="shared" ca="1" si="138"/>
        <v>376.26970602768483</v>
      </c>
      <c r="H206" s="4">
        <f t="shared" ca="1" si="131"/>
        <v>1.0587413272424604</v>
      </c>
      <c r="J206" s="11">
        <f t="shared" ca="1" si="132"/>
        <v>1.9413878866229051</v>
      </c>
      <c r="L206" s="4">
        <f t="shared" ca="1" si="139"/>
        <v>42.10573897231518</v>
      </c>
      <c r="M206" s="4">
        <f t="shared" ca="1" si="109"/>
        <v>3092.6231605472199</v>
      </c>
      <c r="N206" s="4">
        <f t="shared" ca="1" si="110"/>
        <v>15.67258300917026</v>
      </c>
      <c r="R206" t="str">
        <f t="shared" ca="1" si="123"/>
        <v xml:space="preserve"> </v>
      </c>
      <c r="S206" s="11" t="str">
        <f t="shared" ca="1" si="133"/>
        <v xml:space="preserve"> </v>
      </c>
      <c r="T206" s="4" t="str">
        <f t="shared" ca="1" si="124"/>
        <v>none</v>
      </c>
      <c r="U206" s="4" t="str">
        <f t="shared" ca="1" si="134"/>
        <v xml:space="preserve"> </v>
      </c>
      <c r="V206" s="11" t="str">
        <f t="shared" ca="1" si="135"/>
        <v xml:space="preserve"> </v>
      </c>
      <c r="W206" s="4" t="str">
        <f t="shared" ca="1" si="125"/>
        <v xml:space="preserve"> </v>
      </c>
      <c r="AL206">
        <f t="shared" si="126"/>
        <v>-0.9975640502598242</v>
      </c>
      <c r="AM206">
        <f t="shared" ca="1" si="117"/>
        <v>1.3604004041985449E-2</v>
      </c>
      <c r="AN206">
        <f t="shared" ca="1" si="118"/>
        <v>1.3025307474119148</v>
      </c>
      <c r="AP206">
        <f t="shared" ca="1" si="127"/>
        <v>0.3939996115010288</v>
      </c>
      <c r="AQ206">
        <f t="shared" ca="1" si="140"/>
        <v>0.47145902756764885</v>
      </c>
      <c r="AR206">
        <f t="shared" ca="1" si="136"/>
        <v>-0.99769936145963101</v>
      </c>
      <c r="AS206">
        <f t="shared" ca="1" si="120"/>
        <v>-0.99769936145963101</v>
      </c>
      <c r="AT206" s="4">
        <f t="shared" ca="1" si="128"/>
        <v>1.9413878866229051</v>
      </c>
      <c r="AU206">
        <f t="shared" ca="1" si="141"/>
        <v>-0.49234760016989437</v>
      </c>
      <c r="AV206">
        <f t="shared" ca="1" si="137"/>
        <v>0.99742394930435985</v>
      </c>
      <c r="AW206">
        <f t="shared" ca="1" si="122"/>
        <v>0.99742394930435985</v>
      </c>
      <c r="AX206" s="4" t="str">
        <f t="shared" ca="1" si="129"/>
        <v>ignore</v>
      </c>
    </row>
    <row r="207" spans="2:50" x14ac:dyDescent="0.2">
      <c r="B207">
        <v>177</v>
      </c>
      <c r="D207" s="11">
        <f t="shared" ca="1" si="130"/>
        <v>177.08500000000001</v>
      </c>
      <c r="F207" s="4">
        <f t="shared" ca="1" si="138"/>
        <v>376.24849533811812</v>
      </c>
      <c r="H207" s="4">
        <f t="shared" ca="1" si="131"/>
        <v>1.0588054510991054</v>
      </c>
      <c r="J207" s="11">
        <f t="shared" ca="1" si="132"/>
        <v>1.4560262699925026</v>
      </c>
      <c r="L207" s="4">
        <f t="shared" ca="1" si="139"/>
        <v>42.126949661881895</v>
      </c>
      <c r="M207" s="4">
        <f t="shared" ca="1" si="109"/>
        <v>3093.4021585512933</v>
      </c>
      <c r="N207" s="4">
        <f t="shared" ca="1" si="110"/>
        <v>15.676530761692639</v>
      </c>
      <c r="R207" t="str">
        <f t="shared" ca="1" si="123"/>
        <v xml:space="preserve"> </v>
      </c>
      <c r="S207" s="11" t="str">
        <f t="shared" ca="1" si="133"/>
        <v xml:space="preserve"> </v>
      </c>
      <c r="T207" s="4" t="str">
        <f t="shared" ca="1" si="124"/>
        <v>none</v>
      </c>
      <c r="U207" s="4" t="str">
        <f t="shared" ca="1" si="134"/>
        <v xml:space="preserve"> </v>
      </c>
      <c r="V207" s="11" t="str">
        <f t="shared" ca="1" si="135"/>
        <v xml:space="preserve"> </v>
      </c>
      <c r="W207" s="4" t="str">
        <f t="shared" ca="1" si="125"/>
        <v xml:space="preserve"> </v>
      </c>
      <c r="AL207">
        <f t="shared" si="126"/>
        <v>-0.99862953475457383</v>
      </c>
      <c r="AM207">
        <f t="shared" ca="1" si="117"/>
        <v>1.3618534292318218E-2</v>
      </c>
      <c r="AN207">
        <f t="shared" ca="1" si="118"/>
        <v>1.3025311429622115</v>
      </c>
      <c r="AP207">
        <f t="shared" ca="1" si="127"/>
        <v>0.39400012664424833</v>
      </c>
      <c r="AQ207">
        <f t="shared" ca="1" si="140"/>
        <v>0.47144804403730844</v>
      </c>
      <c r="AR207">
        <f t="shared" ca="1" si="136"/>
        <v>-0.99870570002680858</v>
      </c>
      <c r="AS207">
        <f t="shared" ca="1" si="120"/>
        <v>-0.99870570002680858</v>
      </c>
      <c r="AT207" s="4">
        <f t="shared" ca="1" si="128"/>
        <v>1.4560262699925026</v>
      </c>
      <c r="AU207">
        <f t="shared" ca="1" si="141"/>
        <v>-0.492358921087583</v>
      </c>
      <c r="AV207">
        <f t="shared" ca="1" si="137"/>
        <v>0.99855067044837731</v>
      </c>
      <c r="AW207">
        <f t="shared" ca="1" si="122"/>
        <v>0.99855067044837731</v>
      </c>
      <c r="AX207" s="4" t="str">
        <f t="shared" ca="1" si="129"/>
        <v>ignore</v>
      </c>
    </row>
    <row r="208" spans="2:50" x14ac:dyDescent="0.2">
      <c r="B208">
        <v>178</v>
      </c>
      <c r="D208" s="11">
        <f t="shared" ca="1" si="130"/>
        <v>178.05600000000001</v>
      </c>
      <c r="F208" s="4">
        <f t="shared" ca="1" si="138"/>
        <v>376.23334101571311</v>
      </c>
      <c r="H208" s="4">
        <f t="shared" ca="1" si="131"/>
        <v>1.0588512703576707</v>
      </c>
      <c r="J208" s="11">
        <f t="shared" ca="1" si="132"/>
        <v>0.97067720490664611</v>
      </c>
      <c r="L208" s="4">
        <f t="shared" ca="1" si="139"/>
        <v>42.142103984286905</v>
      </c>
      <c r="M208" s="4">
        <f t="shared" ca="1" si="109"/>
        <v>3093.958606317623</v>
      </c>
      <c r="N208" s="4">
        <f t="shared" ca="1" si="110"/>
        <v>15.679350689422382</v>
      </c>
      <c r="R208" t="str">
        <f t="shared" ca="1" si="123"/>
        <v xml:space="preserve"> </v>
      </c>
      <c r="S208" s="11" t="str">
        <f t="shared" ca="1" si="133"/>
        <v xml:space="preserve"> </v>
      </c>
      <c r="T208" s="4" t="str">
        <f t="shared" ca="1" si="124"/>
        <v>none</v>
      </c>
      <c r="U208" s="4" t="str">
        <f t="shared" ca="1" si="134"/>
        <v xml:space="preserve"> </v>
      </c>
      <c r="V208" s="11" t="str">
        <f t="shared" ca="1" si="135"/>
        <v xml:space="preserve"> </v>
      </c>
      <c r="W208" s="4" t="str">
        <f t="shared" ca="1" si="125"/>
        <v xml:space="preserve"> </v>
      </c>
      <c r="AL208">
        <f t="shared" si="126"/>
        <v>-0.99939082701909576</v>
      </c>
      <c r="AM208">
        <f t="shared" ca="1" si="117"/>
        <v>1.3628916205179845E-2</v>
      </c>
      <c r="AN208">
        <f t="shared" ca="1" si="118"/>
        <v>1.3025314258428682</v>
      </c>
      <c r="AP208">
        <f t="shared" ca="1" si="127"/>
        <v>0.39400049505264917</v>
      </c>
      <c r="AQ208">
        <f t="shared" ca="1" si="140"/>
        <v>0.4714401963841815</v>
      </c>
      <c r="AR208">
        <f t="shared" ca="1" si="136"/>
        <v>-0.99942469499615783</v>
      </c>
      <c r="AS208">
        <f t="shared" ca="1" si="120"/>
        <v>-0.99942469499615783</v>
      </c>
      <c r="AT208" s="4">
        <f t="shared" ca="1" si="128"/>
        <v>0.97067720490664611</v>
      </c>
      <c r="AU208">
        <f t="shared" ca="1" si="141"/>
        <v>-0.49236701002533495</v>
      </c>
      <c r="AV208">
        <f t="shared" ca="1" si="137"/>
        <v>0.99935575794702569</v>
      </c>
      <c r="AW208">
        <f t="shared" ca="1" si="122"/>
        <v>0.99935575794702569</v>
      </c>
      <c r="AX208" s="4" t="str">
        <f t="shared" ca="1" si="129"/>
        <v>ignore</v>
      </c>
    </row>
    <row r="209" spans="2:50" x14ac:dyDescent="0.2">
      <c r="B209">
        <v>179</v>
      </c>
      <c r="D209" s="11">
        <f t="shared" ca="1" si="130"/>
        <v>179.02799999999999</v>
      </c>
      <c r="F209" s="4">
        <f t="shared" ca="1" si="138"/>
        <v>376.22424689027315</v>
      </c>
      <c r="H209" s="4">
        <f t="shared" ca="1" si="131"/>
        <v>1.0588787685160106</v>
      </c>
      <c r="J209" s="11">
        <f t="shared" ca="1" si="132"/>
        <v>0.48533650966861458</v>
      </c>
      <c r="L209" s="4">
        <f t="shared" ca="1" si="139"/>
        <v>42.151198109726863</v>
      </c>
      <c r="M209" s="4">
        <f ca="1">SQRT(($Y$10+L209)^2-$Y$10^2)</f>
        <v>3094.2924832234416</v>
      </c>
      <c r="N209" s="4">
        <f ca="1">M209/197.32696</f>
        <v>15.681042687848844</v>
      </c>
      <c r="R209" t="str">
        <f t="shared" ca="1" si="123"/>
        <v xml:space="preserve"> </v>
      </c>
      <c r="S209" s="11" t="str">
        <f t="shared" ca="1" si="133"/>
        <v xml:space="preserve"> </v>
      </c>
      <c r="T209" s="4" t="str">
        <f t="shared" ca="1" si="124"/>
        <v>none</v>
      </c>
      <c r="U209" s="4" t="str">
        <f t="shared" ca="1" si="134"/>
        <v xml:space="preserve"> </v>
      </c>
      <c r="V209" s="11" t="str">
        <f t="shared" ca="1" si="135"/>
        <v xml:space="preserve"> </v>
      </c>
      <c r="W209" s="4" t="str">
        <f t="shared" ca="1" si="125"/>
        <v xml:space="preserve"> </v>
      </c>
      <c r="AL209">
        <f t="shared" si="126"/>
        <v>-0.99984769515639127</v>
      </c>
      <c r="AM209">
        <f t="shared" ca="1" si="117"/>
        <v>1.3635146618139096E-2</v>
      </c>
      <c r="AN209">
        <f t="shared" ca="1" si="118"/>
        <v>1.3025315957092385</v>
      </c>
      <c r="AP209">
        <f t="shared" ca="1" si="127"/>
        <v>0.39400071627738248</v>
      </c>
      <c r="AQ209">
        <f t="shared" ca="1" si="140"/>
        <v>0.47143548688247183</v>
      </c>
      <c r="AR209">
        <f t="shared" ca="1" si="136"/>
        <v>-0.99985616466317118</v>
      </c>
      <c r="AS209">
        <f t="shared" ca="1" si="120"/>
        <v>-0.99985616466317118</v>
      </c>
      <c r="AT209" s="4">
        <f t="shared" ca="1" si="128"/>
        <v>0.48533650966861458</v>
      </c>
      <c r="AU209">
        <f t="shared" ca="1" si="141"/>
        <v>-0.49237186441535574</v>
      </c>
      <c r="AV209">
        <f t="shared" ca="1" si="137"/>
        <v>0.99983892514703654</v>
      </c>
      <c r="AW209">
        <f t="shared" ca="1" si="122"/>
        <v>0.99983892514703654</v>
      </c>
      <c r="AX209" s="4" t="str">
        <f t="shared" ca="1" si="129"/>
        <v>ignore</v>
      </c>
    </row>
    <row r="210" spans="2:50" x14ac:dyDescent="0.2">
      <c r="B210">
        <v>180</v>
      </c>
      <c r="D210" s="11">
        <f t="shared" ca="1" si="130"/>
        <v>180</v>
      </c>
      <c r="F210" s="4">
        <f t="shared" ca="1" si="138"/>
        <v>376.22121525978793</v>
      </c>
      <c r="H210" s="4">
        <f t="shared" ca="1" si="131"/>
        <v>1.0588879356694911</v>
      </c>
      <c r="J210" s="11">
        <f t="shared" ca="1" si="132"/>
        <v>3.4068552941616436E-15</v>
      </c>
      <c r="L210" s="4">
        <f t="shared" ca="1" si="139"/>
        <v>42.154229740212088</v>
      </c>
      <c r="M210" s="4">
        <f ca="1">SQRT(($Y$10+L210)^2-$Y$10^2)</f>
        <v>3094.4037768994272</v>
      </c>
      <c r="N210" s="4">
        <f ca="1">M210/197.32696</f>
        <v>15.681606694287627</v>
      </c>
      <c r="R210" t="str">
        <f t="shared" ca="1" si="123"/>
        <v xml:space="preserve"> </v>
      </c>
      <c r="S210" s="11" t="str">
        <f t="shared" ca="1" si="133"/>
        <v xml:space="preserve"> </v>
      </c>
      <c r="T210" s="4" t="str">
        <f t="shared" ca="1" si="124"/>
        <v>none</v>
      </c>
      <c r="U210" s="4" t="str">
        <f t="shared" ca="1" si="134"/>
        <v xml:space="preserve"> </v>
      </c>
      <c r="V210" s="11" t="str">
        <f t="shared" ca="1" si="135"/>
        <v xml:space="preserve"> </v>
      </c>
      <c r="W210" s="4" t="str">
        <f t="shared" ca="1" si="125"/>
        <v xml:space="preserve"> </v>
      </c>
      <c r="AL210">
        <f t="shared" si="126"/>
        <v>-1</v>
      </c>
      <c r="AM210">
        <f t="shared" ca="1" si="117"/>
        <v>1.3637223633351831E-2</v>
      </c>
      <c r="AN210">
        <f t="shared" ca="1" si="118"/>
        <v>1.3025316523543664</v>
      </c>
      <c r="AP210">
        <f t="shared" ca="1" si="127"/>
        <v>0.39400079004892002</v>
      </c>
      <c r="AQ210">
        <f t="shared" ca="1" si="140"/>
        <v>0.47143391689691894</v>
      </c>
      <c r="AR210">
        <f t="shared" ca="1" si="136"/>
        <v>-1</v>
      </c>
      <c r="AS210">
        <f t="shared" ca="1" si="120"/>
        <v>-1</v>
      </c>
      <c r="AT210" s="4">
        <f t="shared" ca="1" si="128"/>
        <v>3.4068552941616436E-15</v>
      </c>
      <c r="AU210">
        <f t="shared" ca="1" si="141"/>
        <v>-0.49237348271660886</v>
      </c>
      <c r="AV210">
        <f t="shared" ca="1" si="137"/>
        <v>1.0000000000000002</v>
      </c>
      <c r="AW210">
        <f t="shared" ca="1" si="122"/>
        <v>1.0000000000000002</v>
      </c>
      <c r="AX210" s="4" t="str">
        <f t="shared" ca="1" si="129"/>
        <v>ignore</v>
      </c>
    </row>
    <row r="224" spans="2:50" x14ac:dyDescent="0.2">
      <c r="S224">
        <v>80</v>
      </c>
      <c r="U224">
        <v>1.4</v>
      </c>
      <c r="X224">
        <v>0.7</v>
      </c>
    </row>
    <row r="225" spans="18:25" x14ac:dyDescent="0.2">
      <c r="S225">
        <v>1.2</v>
      </c>
      <c r="U225">
        <v>68.77</v>
      </c>
      <c r="X225">
        <v>2.1</v>
      </c>
      <c r="Y225">
        <v>200</v>
      </c>
    </row>
    <row r="227" spans="18:25" x14ac:dyDescent="0.2">
      <c r="R227" t="s">
        <v>523</v>
      </c>
      <c r="S227" t="s">
        <v>127</v>
      </c>
    </row>
    <row r="228" spans="18:25" x14ac:dyDescent="0.2">
      <c r="R228">
        <v>0</v>
      </c>
      <c r="S228">
        <f>S$224*(1-EXP(-S$225*R228))</f>
        <v>0</v>
      </c>
      <c r="T228">
        <f>R228*0.01745</f>
        <v>0</v>
      </c>
      <c r="U228">
        <f>U$224*(1-EXP(-U$225*T228))</f>
        <v>0</v>
      </c>
      <c r="V228">
        <f>COS(T228)</f>
        <v>1</v>
      </c>
      <c r="W228">
        <f>COS(U228)</f>
        <v>1</v>
      </c>
      <c r="X228" t="e">
        <f ca="1">AK15(EXP(X$225*(-1+W228)))^X$224</f>
        <v>#REF!</v>
      </c>
      <c r="Y228">
        <f>1+Y$225*LN(V228)</f>
        <v>1</v>
      </c>
    </row>
    <row r="229" spans="18:25" x14ac:dyDescent="0.2">
      <c r="R229">
        <f>R228+0.2</f>
        <v>0.2</v>
      </c>
      <c r="S229">
        <f>S$224*(1-EXP(-S$225*R229))</f>
        <v>17.069771114675724</v>
      </c>
      <c r="T229">
        <f t="shared" ref="T229:T253" si="142">R229*0.01745</f>
        <v>3.49E-3</v>
      </c>
      <c r="U229">
        <f>U$224*(1-EXP(-U$225*T229))</f>
        <v>0.29872903381422183</v>
      </c>
      <c r="V229">
        <f t="shared" ref="V229:V253" si="143">COS(T229)</f>
        <v>0.99999390995618143</v>
      </c>
      <c r="W229">
        <f t="shared" ref="W229:W253" si="144">COS(U229)</f>
        <v>0.95571131361066153</v>
      </c>
      <c r="X229">
        <f>(EXP(X$225*(-1+W229)))^X$224</f>
        <v>0.93696966769401502</v>
      </c>
      <c r="Y229">
        <f t="shared" ref="Y229:Y253" si="145">1+Y$225*LN(V229)</f>
        <v>0.99878198752740677</v>
      </c>
    </row>
    <row r="230" spans="18:25" x14ac:dyDescent="0.2">
      <c r="R230">
        <f t="shared" ref="R230:R253" si="146">R229+0.2</f>
        <v>0.4</v>
      </c>
      <c r="S230">
        <f t="shared" ref="S230:U253" si="147">S$224*(1-EXP(-S$225*R230))</f>
        <v>30.497328655508731</v>
      </c>
      <c r="T230">
        <f t="shared" si="142"/>
        <v>6.9800000000000001E-3</v>
      </c>
      <c r="U230">
        <f t="shared" si="147"/>
        <v>0.53371589931160179</v>
      </c>
      <c r="V230">
        <f t="shared" si="143"/>
        <v>0.99997563989890303</v>
      </c>
      <c r="W230">
        <f t="shared" si="144"/>
        <v>0.86092260706989476</v>
      </c>
      <c r="X230">
        <f t="shared" ref="X230:X253" si="148">(EXP(X$225*(-1+W230)))^X$224</f>
        <v>0.81510057568452421</v>
      </c>
      <c r="Y230">
        <f t="shared" si="145"/>
        <v>0.99512792043819065</v>
      </c>
    </row>
    <row r="231" spans="18:25" x14ac:dyDescent="0.2">
      <c r="R231">
        <f t="shared" si="146"/>
        <v>0.60000000000000009</v>
      </c>
      <c r="S231">
        <f t="shared" si="147"/>
        <v>41.059819523202272</v>
      </c>
      <c r="T231">
        <f t="shared" si="142"/>
        <v>1.0470000000000002E-2</v>
      </c>
      <c r="U231">
        <f t="shared" si="147"/>
        <v>0.71856176531679272</v>
      </c>
      <c r="V231">
        <f t="shared" si="143"/>
        <v>0.99994519005069571</v>
      </c>
      <c r="W231">
        <f t="shared" si="144"/>
        <v>0.75275330115666805</v>
      </c>
      <c r="X231">
        <f t="shared" si="148"/>
        <v>0.69527164942672004</v>
      </c>
      <c r="Y231">
        <f t="shared" si="145"/>
        <v>0.98903770971511007</v>
      </c>
    </row>
    <row r="232" spans="18:25" x14ac:dyDescent="0.2">
      <c r="R232">
        <f t="shared" si="146"/>
        <v>0.8</v>
      </c>
      <c r="S232">
        <f t="shared" si="147"/>
        <v>49.368569121991037</v>
      </c>
      <c r="T232">
        <f t="shared" si="142"/>
        <v>1.396E-2</v>
      </c>
      <c r="U232">
        <f t="shared" si="147"/>
        <v>0.863965612067495</v>
      </c>
      <c r="V232">
        <f t="shared" si="143"/>
        <v>0.99990256078244133</v>
      </c>
      <c r="W232">
        <f t="shared" si="144"/>
        <v>0.64942703629343979</v>
      </c>
      <c r="X232">
        <f t="shared" si="148"/>
        <v>0.59729613105866319</v>
      </c>
      <c r="Y232">
        <f t="shared" si="145"/>
        <v>0.98051120698647443</v>
      </c>
    </row>
    <row r="233" spans="18:25" x14ac:dyDescent="0.2">
      <c r="R233">
        <f t="shared" si="146"/>
        <v>1</v>
      </c>
      <c r="S233">
        <f t="shared" si="147"/>
        <v>55.904463047023825</v>
      </c>
      <c r="T233">
        <f t="shared" si="142"/>
        <v>1.745E-2</v>
      </c>
      <c r="U233">
        <f t="shared" si="147"/>
        <v>0.97834349406626286</v>
      </c>
      <c r="V233">
        <f t="shared" si="143"/>
        <v>0.999847752613368</v>
      </c>
      <c r="W233">
        <f t="shared" si="144"/>
        <v>0.55839750572114732</v>
      </c>
      <c r="X233">
        <f t="shared" si="148"/>
        <v>0.52248674358724501</v>
      </c>
      <c r="Y233">
        <f t="shared" si="145"/>
        <v>0.96954820451163426</v>
      </c>
    </row>
    <row r="234" spans="18:25" x14ac:dyDescent="0.2">
      <c r="R234">
        <f t="shared" si="146"/>
        <v>1.2</v>
      </c>
      <c r="S234">
        <f t="shared" si="147"/>
        <v>61.045779305430258</v>
      </c>
      <c r="T234">
        <f t="shared" si="142"/>
        <v>2.094E-2</v>
      </c>
      <c r="U234">
        <f t="shared" si="147"/>
        <v>1.0683156659370243</v>
      </c>
      <c r="V234">
        <f t="shared" si="143"/>
        <v>0.99978076621104406</v>
      </c>
      <c r="W234">
        <f t="shared" si="144"/>
        <v>0.48160104596778425</v>
      </c>
      <c r="X234">
        <f t="shared" si="148"/>
        <v>0.46671034386628618</v>
      </c>
      <c r="Y234">
        <f t="shared" si="145"/>
        <v>0.95614843516079862</v>
      </c>
    </row>
    <row r="235" spans="18:25" x14ac:dyDescent="0.2">
      <c r="R235">
        <f t="shared" si="146"/>
        <v>1.4</v>
      </c>
      <c r="S235">
        <f t="shared" si="147"/>
        <v>65.090081916847197</v>
      </c>
      <c r="T235">
        <f t="shared" si="142"/>
        <v>2.443E-2</v>
      </c>
      <c r="U235">
        <f t="shared" si="147"/>
        <v>1.1390897663984145</v>
      </c>
      <c r="V235">
        <f t="shared" si="143"/>
        <v>0.99970160239136985</v>
      </c>
      <c r="W235">
        <f t="shared" si="144"/>
        <v>0.41842139959006597</v>
      </c>
      <c r="X235">
        <f t="shared" si="148"/>
        <v>0.42531698432033777</v>
      </c>
      <c r="Y235">
        <f t="shared" si="145"/>
        <v>0.94031157238897867</v>
      </c>
    </row>
    <row r="236" spans="18:25" x14ac:dyDescent="0.2">
      <c r="R236">
        <f t="shared" si="146"/>
        <v>1.5999999999999999</v>
      </c>
      <c r="S236">
        <f t="shared" si="147"/>
        <v>68.271443029571984</v>
      </c>
      <c r="T236">
        <f t="shared" si="142"/>
        <v>2.7919999999999997E-2</v>
      </c>
      <c r="U236">
        <f t="shared" si="147"/>
        <v>1.194762239252732</v>
      </c>
      <c r="V236">
        <f t="shared" si="143"/>
        <v>0.99961026211856741</v>
      </c>
      <c r="W236">
        <f t="shared" si="144"/>
        <v>0.36723455941989119</v>
      </c>
      <c r="X236">
        <f t="shared" si="148"/>
        <v>0.39448853640820108</v>
      </c>
      <c r="Y236">
        <f t="shared" si="145"/>
        <v>0.92203723020407302</v>
      </c>
    </row>
    <row r="237" spans="18:25" x14ac:dyDescent="0.2">
      <c r="R237">
        <f t="shared" si="146"/>
        <v>1.7999999999999998</v>
      </c>
      <c r="S237">
        <f t="shared" si="147"/>
        <v>70.773990316954993</v>
      </c>
      <c r="T237">
        <f t="shared" si="142"/>
        <v>3.141E-2</v>
      </c>
      <c r="U237">
        <f t="shared" si="147"/>
        <v>1.2385554378028933</v>
      </c>
      <c r="V237">
        <f t="shared" si="143"/>
        <v>0.99950674650516957</v>
      </c>
      <c r="W237">
        <f t="shared" si="144"/>
        <v>0.32616218888996018</v>
      </c>
      <c r="X237">
        <f t="shared" si="148"/>
        <v>0.3713755061353024</v>
      </c>
      <c r="Y237">
        <f t="shared" si="145"/>
        <v>0.90132496312939858</v>
      </c>
    </row>
    <row r="238" spans="18:25" x14ac:dyDescent="0.2">
      <c r="R238">
        <f t="shared" si="146"/>
        <v>1.9999999999999998</v>
      </c>
      <c r="S238">
        <f t="shared" si="147"/>
        <v>72.742563736846989</v>
      </c>
      <c r="T238">
        <f t="shared" si="142"/>
        <v>3.4899999999999994E-2</v>
      </c>
      <c r="U238">
        <f t="shared" si="147"/>
        <v>1.2730041364312517</v>
      </c>
      <c r="V238">
        <f t="shared" si="143"/>
        <v>0.99939105681200535</v>
      </c>
      <c r="W238">
        <f t="shared" si="144"/>
        <v>0.29341028702319799</v>
      </c>
      <c r="X238">
        <f t="shared" si="148"/>
        <v>0.35391911591330555</v>
      </c>
      <c r="Y238">
        <f t="shared" si="145"/>
        <v>0.87817426616001648</v>
      </c>
    </row>
    <row r="239" spans="18:25" x14ac:dyDescent="0.2">
      <c r="R239">
        <f t="shared" si="146"/>
        <v>2.1999999999999997</v>
      </c>
      <c r="S239">
        <f t="shared" si="147"/>
        <v>74.291098435489118</v>
      </c>
      <c r="T239">
        <f t="shared" si="142"/>
        <v>3.8389999999999994E-2</v>
      </c>
      <c r="U239">
        <f t="shared" si="147"/>
        <v>1.3001022447328907</v>
      </c>
      <c r="V239">
        <f t="shared" si="143"/>
        <v>0.99926319444818545</v>
      </c>
      <c r="W239">
        <f t="shared" si="144"/>
        <v>0.26740030847725199</v>
      </c>
      <c r="X239">
        <f t="shared" si="148"/>
        <v>0.34064256547119132</v>
      </c>
      <c r="Y239">
        <f t="shared" si="145"/>
        <v>0.85258457471364224</v>
      </c>
    </row>
    <row r="240" spans="18:25" x14ac:dyDescent="0.2">
      <c r="R240">
        <f t="shared" si="146"/>
        <v>2.4</v>
      </c>
      <c r="S240">
        <f t="shared" si="147"/>
        <v>75.509218973269299</v>
      </c>
      <c r="T240">
        <f t="shared" si="142"/>
        <v>4.1880000000000001E-2</v>
      </c>
      <c r="U240">
        <f t="shared" si="147"/>
        <v>1.3214182160980004</v>
      </c>
      <c r="V240">
        <f t="shared" si="143"/>
        <v>0.99912316097108467</v>
      </c>
      <c r="W240">
        <f t="shared" si="144"/>
        <v>0.24680135518137411</v>
      </c>
      <c r="X240">
        <f t="shared" si="148"/>
        <v>0.33048235567322237</v>
      </c>
      <c r="Y240">
        <f t="shared" si="145"/>
        <v>0.82455526457544159</v>
      </c>
    </row>
    <row r="241" spans="18:25" x14ac:dyDescent="0.2">
      <c r="R241">
        <f t="shared" si="146"/>
        <v>2.6</v>
      </c>
      <c r="S241">
        <f t="shared" si="147"/>
        <v>76.467426526424575</v>
      </c>
      <c r="T241">
        <f t="shared" si="142"/>
        <v>4.5370000000000001E-2</v>
      </c>
      <c r="U241">
        <f t="shared" si="147"/>
        <v>1.338185830655459</v>
      </c>
      <c r="V241">
        <f t="shared" si="143"/>
        <v>0.99897095808632297</v>
      </c>
      <c r="W241">
        <f t="shared" si="144"/>
        <v>0.23051849621593073</v>
      </c>
      <c r="X241">
        <f t="shared" si="148"/>
        <v>0.32266591479325374</v>
      </c>
      <c r="Y241">
        <f t="shared" si="145"/>
        <v>0.79408565183710189</v>
      </c>
    </row>
    <row r="242" spans="18:25" x14ac:dyDescent="0.2">
      <c r="R242">
        <f t="shared" si="146"/>
        <v>2.8000000000000003</v>
      </c>
      <c r="S242">
        <f t="shared" si="147"/>
        <v>77.221179284420913</v>
      </c>
      <c r="T242">
        <f t="shared" si="142"/>
        <v>4.8860000000000008E-2</v>
      </c>
      <c r="U242">
        <f t="shared" si="147"/>
        <v>1.3513756071442615</v>
      </c>
      <c r="V242">
        <f t="shared" si="143"/>
        <v>0.99880658764774488</v>
      </c>
      <c r="W242">
        <f t="shared" si="144"/>
        <v>0.21766426828190405</v>
      </c>
      <c r="X242">
        <f t="shared" si="148"/>
        <v>0.31662615411121425</v>
      </c>
      <c r="Y242">
        <f t="shared" si="145"/>
        <v>0.76117499283005219</v>
      </c>
    </row>
    <row r="243" spans="18:25" x14ac:dyDescent="0.2">
      <c r="R243">
        <f t="shared" si="146"/>
        <v>3.0000000000000004</v>
      </c>
      <c r="S243">
        <f t="shared" si="147"/>
        <v>77.814102204216596</v>
      </c>
      <c r="T243">
        <f t="shared" si="142"/>
        <v>5.2350000000000008E-2</v>
      </c>
      <c r="U243">
        <f t="shared" si="147"/>
        <v>1.3617509770711171</v>
      </c>
      <c r="V243">
        <f t="shared" si="143"/>
        <v>0.99863005165739671</v>
      </c>
      <c r="W243">
        <f t="shared" si="144"/>
        <v>0.20752612751432201</v>
      </c>
      <c r="X243">
        <f t="shared" si="148"/>
        <v>0.31194244087906881</v>
      </c>
      <c r="Y243">
        <f t="shared" si="145"/>
        <v>0.72582248405275474</v>
      </c>
    </row>
    <row r="244" spans="18:25" x14ac:dyDescent="0.2">
      <c r="R244">
        <f t="shared" si="146"/>
        <v>3.2000000000000006</v>
      </c>
      <c r="S244">
        <f t="shared" si="147"/>
        <v>78.280511892392809</v>
      </c>
      <c r="T244">
        <f t="shared" si="142"/>
        <v>5.5840000000000015E-2</v>
      </c>
      <c r="U244">
        <f t="shared" si="147"/>
        <v>1.3699124725453193</v>
      </c>
      <c r="V244">
        <f t="shared" si="143"/>
        <v>0.99844135226550224</v>
      </c>
      <c r="W244">
        <f t="shared" si="144"/>
        <v>0.19953548909190105</v>
      </c>
      <c r="X244">
        <f t="shared" si="148"/>
        <v>0.30829972655501692</v>
      </c>
      <c r="Y244">
        <f t="shared" si="145"/>
        <v>0.68802726209216247</v>
      </c>
    </row>
    <row r="245" spans="18:25" x14ac:dyDescent="0.2">
      <c r="R245">
        <f t="shared" si="146"/>
        <v>3.4000000000000008</v>
      </c>
      <c r="S245">
        <f t="shared" si="147"/>
        <v>78.647402747783573</v>
      </c>
      <c r="T245">
        <f t="shared" si="142"/>
        <v>5.9330000000000015E-2</v>
      </c>
      <c r="U245">
        <f t="shared" si="147"/>
        <v>1.3763324854070305</v>
      </c>
      <c r="V245">
        <f t="shared" si="143"/>
        <v>0.99824049177043672</v>
      </c>
      <c r="W245">
        <f t="shared" si="144"/>
        <v>0.1932405099800299</v>
      </c>
      <c r="X245">
        <f t="shared" si="148"/>
        <v>0.30545999740679164</v>
      </c>
      <c r="Y245">
        <f t="shared" si="145"/>
        <v>0.64778840353930156</v>
      </c>
    </row>
    <row r="246" spans="18:25" x14ac:dyDescent="0.2">
      <c r="R246">
        <f t="shared" si="146"/>
        <v>3.600000000000001</v>
      </c>
      <c r="S246">
        <f t="shared" si="147"/>
        <v>78.936009316604498</v>
      </c>
      <c r="T246">
        <f t="shared" si="142"/>
        <v>6.2820000000000015E-2</v>
      </c>
      <c r="U246">
        <f t="shared" si="147"/>
        <v>1.3813826095264174</v>
      </c>
      <c r="V246">
        <f t="shared" si="143"/>
        <v>0.99802747261869862</v>
      </c>
      <c r="W246">
        <f t="shared" si="144"/>
        <v>0.18828313042616204</v>
      </c>
      <c r="X246">
        <f t="shared" si="148"/>
        <v>0.3032420952502326</v>
      </c>
      <c r="Y246">
        <f t="shared" si="145"/>
        <v>0.60510492489883383</v>
      </c>
    </row>
    <row r="247" spans="18:25" x14ac:dyDescent="0.2">
      <c r="R247">
        <f t="shared" si="146"/>
        <v>3.8000000000000012</v>
      </c>
      <c r="S247">
        <f t="shared" si="147"/>
        <v>79.163035284525861</v>
      </c>
      <c r="T247">
        <f t="shared" si="142"/>
        <v>6.6310000000000022E-2</v>
      </c>
      <c r="U247">
        <f t="shared" si="147"/>
        <v>1.3853551488609284</v>
      </c>
      <c r="V247">
        <f t="shared" si="143"/>
        <v>0.99780229740487969</v>
      </c>
      <c r="W247">
        <f t="shared" si="144"/>
        <v>0.18438016539675972</v>
      </c>
      <c r="X247">
        <f t="shared" si="148"/>
        <v>0.30150726803096339</v>
      </c>
      <c r="Y247">
        <f t="shared" si="145"/>
        <v>0.55997578249272828</v>
      </c>
    </row>
    <row r="248" spans="18:25" x14ac:dyDescent="0.2">
      <c r="R248">
        <f t="shared" si="146"/>
        <v>4.0000000000000009</v>
      </c>
      <c r="S248">
        <f t="shared" si="147"/>
        <v>79.341620236078398</v>
      </c>
      <c r="T248">
        <f t="shared" si="142"/>
        <v>6.9800000000000015E-2</v>
      </c>
      <c r="U248">
        <f t="shared" si="147"/>
        <v>1.3884800361688769</v>
      </c>
      <c r="V248">
        <f t="shared" si="143"/>
        <v>0.99756496887163393</v>
      </c>
      <c r="W248">
        <f t="shared" si="144"/>
        <v>0.18130795904641225</v>
      </c>
      <c r="X248">
        <f t="shared" si="148"/>
        <v>0.30014868807198292</v>
      </c>
      <c r="Y248">
        <f t="shared" si="145"/>
        <v>0.51239987235809559</v>
      </c>
    </row>
    <row r="249" spans="18:25" x14ac:dyDescent="0.2">
      <c r="R249">
        <f t="shared" si="146"/>
        <v>4.2000000000000011</v>
      </c>
      <c r="S249">
        <f t="shared" si="147"/>
        <v>79.48210013453685</v>
      </c>
      <c r="T249">
        <f t="shared" si="142"/>
        <v>7.3290000000000022E-2</v>
      </c>
      <c r="U249">
        <f t="shared" si="147"/>
        <v>1.3909381416437672</v>
      </c>
      <c r="V249">
        <f t="shared" si="143"/>
        <v>0.99731548990964358</v>
      </c>
      <c r="W249">
        <f t="shared" si="144"/>
        <v>0.17889004798141458</v>
      </c>
      <c r="X249">
        <f t="shared" si="148"/>
        <v>0.29908375448938379</v>
      </c>
      <c r="Y249">
        <f t="shared" si="145"/>
        <v>0.46237603013882433</v>
      </c>
    </row>
    <row r="250" spans="18:25" x14ac:dyDescent="0.2">
      <c r="R250">
        <f t="shared" si="146"/>
        <v>4.4000000000000012</v>
      </c>
      <c r="S250">
        <f t="shared" si="147"/>
        <v>79.592605536584074</v>
      </c>
      <c r="T250">
        <f t="shared" si="142"/>
        <v>7.6780000000000029E-2</v>
      </c>
      <c r="U250">
        <f t="shared" si="147"/>
        <v>1.3928717417804233</v>
      </c>
      <c r="V250">
        <f t="shared" si="143"/>
        <v>0.99705386355758419</v>
      </c>
      <c r="W250">
        <f t="shared" si="144"/>
        <v>0.17698730537710405</v>
      </c>
      <c r="X250">
        <f t="shared" si="148"/>
        <v>0.29824837660236475</v>
      </c>
      <c r="Y250">
        <f t="shared" si="145"/>
        <v>0.40990303097137937</v>
      </c>
    </row>
    <row r="251" spans="18:25" x14ac:dyDescent="0.2">
      <c r="R251">
        <f t="shared" si="146"/>
        <v>4.6000000000000014</v>
      </c>
      <c r="S251">
        <f t="shared" si="147"/>
        <v>79.679532164632761</v>
      </c>
      <c r="T251">
        <f t="shared" si="142"/>
        <v>8.0270000000000022E-2</v>
      </c>
      <c r="U251">
        <f t="shared" si="147"/>
        <v>1.3943927544166466</v>
      </c>
      <c r="V251">
        <f t="shared" si="143"/>
        <v>0.99678009300208792</v>
      </c>
      <c r="W251">
        <f t="shared" si="144"/>
        <v>0.17549010061209838</v>
      </c>
      <c r="X251">
        <f t="shared" si="148"/>
        <v>0.29759268624935231</v>
      </c>
      <c r="Y251">
        <f t="shared" si="145"/>
        <v>0.35497958936460117</v>
      </c>
    </row>
    <row r="252" spans="18:25" x14ac:dyDescent="0.2">
      <c r="R252">
        <f t="shared" si="146"/>
        <v>4.8000000000000016</v>
      </c>
      <c r="S252">
        <f t="shared" si="147"/>
        <v>79.747911072124452</v>
      </c>
      <c r="T252">
        <f t="shared" si="142"/>
        <v>8.3760000000000029E-2</v>
      </c>
      <c r="U252">
        <f t="shared" si="147"/>
        <v>1.3955892165991279</v>
      </c>
      <c r="V252">
        <f t="shared" si="143"/>
        <v>0.99649418157770386</v>
      </c>
      <c r="W252">
        <f t="shared" si="144"/>
        <v>0.17431208076423679</v>
      </c>
      <c r="X252">
        <f t="shared" si="148"/>
        <v>0.29707779416080909</v>
      </c>
      <c r="Y252">
        <f t="shared" si="145"/>
        <v>0.29760435907319416</v>
      </c>
    </row>
    <row r="253" spans="18:25" x14ac:dyDescent="0.2">
      <c r="R253">
        <f t="shared" si="146"/>
        <v>5.0000000000000018</v>
      </c>
      <c r="S253">
        <f t="shared" si="147"/>
        <v>79.801699825866692</v>
      </c>
      <c r="T253">
        <f t="shared" si="142"/>
        <v>8.7250000000000036E-2</v>
      </c>
      <c r="U253">
        <f t="shared" si="147"/>
        <v>1.3965303802160611</v>
      </c>
      <c r="V253">
        <f t="shared" si="143"/>
        <v>0.99619613276685837</v>
      </c>
      <c r="W253">
        <f t="shared" si="144"/>
        <v>0.17338524886598963</v>
      </c>
      <c r="X253">
        <f t="shared" si="148"/>
        <v>0.29667331823249588</v>
      </c>
      <c r="Y253">
        <f t="shared" si="145"/>
        <v>0.23777593296552135</v>
      </c>
    </row>
  </sheetData>
  <mergeCells count="9">
    <mergeCell ref="R12:W12"/>
    <mergeCell ref="R2:S2"/>
    <mergeCell ref="U2:W2"/>
    <mergeCell ref="U3:W3"/>
    <mergeCell ref="U5:W5"/>
    <mergeCell ref="U4:W4"/>
    <mergeCell ref="U8:W8"/>
    <mergeCell ref="U6:W6"/>
    <mergeCell ref="U10:W10"/>
  </mergeCells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Q75"/>
  <sheetViews>
    <sheetView topLeftCell="B40" zoomScale="75" workbookViewId="0">
      <selection activeCell="K66" sqref="K66"/>
    </sheetView>
  </sheetViews>
  <sheetFormatPr defaultRowHeight="12.75" x14ac:dyDescent="0.2"/>
  <sheetData>
    <row r="3" spans="2:17" x14ac:dyDescent="0.2">
      <c r="B3" s="237" t="s">
        <v>157</v>
      </c>
      <c r="C3" s="237"/>
      <c r="D3" s="12"/>
      <c r="P3" s="237" t="s">
        <v>151</v>
      </c>
      <c r="Q3" s="237"/>
    </row>
    <row r="5" spans="2:17" x14ac:dyDescent="0.2">
      <c r="B5" t="s">
        <v>112</v>
      </c>
      <c r="C5" t="s">
        <v>114</v>
      </c>
      <c r="P5" t="s">
        <v>112</v>
      </c>
      <c r="Q5" t="s">
        <v>114</v>
      </c>
    </row>
    <row r="6" spans="2:17" x14ac:dyDescent="0.2">
      <c r="B6">
        <f>kinematics!B16</f>
        <v>0</v>
      </c>
      <c r="C6" s="4">
        <f ca="1">kinematics!F16</f>
        <v>418.37539728023131</v>
      </c>
      <c r="P6">
        <f>B6</f>
        <v>0</v>
      </c>
      <c r="Q6" s="4">
        <f ca="1">IF(ISNUMBER(kinematics!S16),kinematics!S16,0)</f>
        <v>0</v>
      </c>
    </row>
    <row r="7" spans="2:17" x14ac:dyDescent="0.2">
      <c r="B7">
        <f>kinematics!B17</f>
        <v>1</v>
      </c>
      <c r="C7" s="4">
        <f ca="1">kinematics!F17</f>
        <v>418.37200229089541</v>
      </c>
      <c r="P7">
        <f t="shared" ref="P7:P16" si="0">B7</f>
        <v>1</v>
      </c>
      <c r="Q7" s="4">
        <f ca="1">IF(ISNUMBER(kinematics!S17),kinematics!S17,0)</f>
        <v>0</v>
      </c>
    </row>
    <row r="8" spans="2:17" x14ac:dyDescent="0.2">
      <c r="B8">
        <f>kinematics!B18</f>
        <v>2</v>
      </c>
      <c r="C8" s="4">
        <f ca="1">kinematics!F18</f>
        <v>418.36181853184797</v>
      </c>
      <c r="P8">
        <f t="shared" si="0"/>
        <v>2</v>
      </c>
      <c r="Q8" s="4">
        <f ca="1">IF(ISNUMBER(kinematics!S18),kinematics!S18,0)</f>
        <v>0</v>
      </c>
    </row>
    <row r="9" spans="2:17" x14ac:dyDescent="0.2">
      <c r="B9">
        <f>kinematics!B19</f>
        <v>3</v>
      </c>
      <c r="C9" s="4">
        <f ca="1">kinematics!F19</f>
        <v>418.34484962936762</v>
      </c>
      <c r="P9">
        <f t="shared" si="0"/>
        <v>3</v>
      </c>
      <c r="Q9" s="4">
        <f ca="1">IF(ISNUMBER(kinematics!S19),kinematics!S19,0)</f>
        <v>0</v>
      </c>
    </row>
    <row r="10" spans="2:17" x14ac:dyDescent="0.2">
      <c r="B10">
        <f>kinematics!B20</f>
        <v>4</v>
      </c>
      <c r="C10" s="4">
        <f ca="1">kinematics!F20</f>
        <v>418.32110162527198</v>
      </c>
      <c r="P10">
        <f t="shared" si="0"/>
        <v>4</v>
      </c>
      <c r="Q10" s="4">
        <f ca="1">IF(ISNUMBER(kinematics!S20),kinematics!S20,0)</f>
        <v>0</v>
      </c>
    </row>
    <row r="11" spans="2:17" x14ac:dyDescent="0.2">
      <c r="B11">
        <f>kinematics!B21</f>
        <v>5</v>
      </c>
      <c r="C11" s="4">
        <f ca="1">kinematics!F21</f>
        <v>418.29058297394278</v>
      </c>
      <c r="P11">
        <f t="shared" si="0"/>
        <v>5</v>
      </c>
      <c r="Q11" s="4">
        <f ca="1">IF(ISNUMBER(kinematics!S21),kinematics!S21,0)</f>
        <v>0</v>
      </c>
    </row>
    <row r="12" spans="2:17" x14ac:dyDescent="0.2">
      <c r="B12">
        <f>kinematics!B22</f>
        <v>6</v>
      </c>
      <c r="C12" s="4">
        <f ca="1">kinematics!F22</f>
        <v>418.25330453816667</v>
      </c>
      <c r="P12">
        <f t="shared" si="0"/>
        <v>6</v>
      </c>
      <c r="Q12" s="4">
        <f ca="1">IF(ISNUMBER(kinematics!S22),kinematics!S22,0)</f>
        <v>0</v>
      </c>
    </row>
    <row r="13" spans="2:17" x14ac:dyDescent="0.2">
      <c r="B13">
        <f>kinematics!B23</f>
        <v>7</v>
      </c>
      <c r="C13" s="4">
        <f ca="1">kinematics!F23</f>
        <v>418.20927958379679</v>
      </c>
      <c r="P13">
        <f t="shared" si="0"/>
        <v>7</v>
      </c>
      <c r="Q13" s="4">
        <f ca="1">IF(ISNUMBER(kinematics!S23),kinematics!S23,0)</f>
        <v>0</v>
      </c>
    </row>
    <row r="14" spans="2:17" x14ac:dyDescent="0.2">
      <c r="B14">
        <f>kinematics!B24</f>
        <v>8</v>
      </c>
      <c r="C14" s="4">
        <f ca="1">kinematics!F24</f>
        <v>418.15852377323506</v>
      </c>
      <c r="P14">
        <f t="shared" si="0"/>
        <v>8</v>
      </c>
      <c r="Q14" s="4">
        <f ca="1">IF(ISNUMBER(kinematics!S24),kinematics!S24,0)</f>
        <v>0</v>
      </c>
    </row>
    <row r="15" spans="2:17" x14ac:dyDescent="0.2">
      <c r="B15">
        <f>kinematics!B25</f>
        <v>9</v>
      </c>
      <c r="C15" s="4">
        <f ca="1">kinematics!F25</f>
        <v>418.10105515773915</v>
      </c>
      <c r="P15">
        <f t="shared" si="0"/>
        <v>9</v>
      </c>
      <c r="Q15" s="4">
        <f ca="1">IF(ISNUMBER(kinematics!S25),kinematics!S25,0)</f>
        <v>0</v>
      </c>
    </row>
    <row r="16" spans="2:17" x14ac:dyDescent="0.2">
      <c r="B16">
        <f>kinematics!B26</f>
        <v>10</v>
      </c>
      <c r="C16" s="4">
        <f ca="1">kinematics!F26</f>
        <v>418.03689416856741</v>
      </c>
      <c r="P16">
        <f t="shared" si="0"/>
        <v>10</v>
      </c>
      <c r="Q16" s="4">
        <f ca="1">IF(ISNUMBER(kinematics!S26),kinematics!S26,0)</f>
        <v>0</v>
      </c>
    </row>
    <row r="19" spans="2:17" x14ac:dyDescent="0.2">
      <c r="B19" s="237" t="s">
        <v>158</v>
      </c>
      <c r="C19" s="237"/>
    </row>
    <row r="21" spans="2:17" x14ac:dyDescent="0.2">
      <c r="B21">
        <f>B6</f>
        <v>0</v>
      </c>
      <c r="C21" s="11">
        <f ca="1">kinematics!J16</f>
        <v>0</v>
      </c>
      <c r="P21">
        <f>P6</f>
        <v>0</v>
      </c>
      <c r="Q21" s="4">
        <f ca="1">IF(ISNUMBER(kinematics!V16),kinematics!V16,0)</f>
        <v>0</v>
      </c>
    </row>
    <row r="22" spans="2:17" x14ac:dyDescent="0.2">
      <c r="B22">
        <f t="shared" ref="B22:B31" si="1">B7</f>
        <v>1</v>
      </c>
      <c r="C22" s="11">
        <f ca="1">kinematics!J17</f>
        <v>82.724733541715565</v>
      </c>
      <c r="P22">
        <f t="shared" ref="P22:P31" si="2">P7</f>
        <v>1</v>
      </c>
      <c r="Q22" s="4">
        <f ca="1">IF(ISNUMBER(kinematics!V17),kinematics!V17,0)</f>
        <v>0</v>
      </c>
    </row>
    <row r="23" spans="2:17" x14ac:dyDescent="0.2">
      <c r="B23">
        <f t="shared" si="1"/>
        <v>2</v>
      </c>
      <c r="C23" s="11">
        <f ca="1">kinematics!J18</f>
        <v>85.579457235511541</v>
      </c>
      <c r="P23">
        <f t="shared" si="2"/>
        <v>2</v>
      </c>
      <c r="Q23" s="4">
        <f ca="1">IF(ISNUMBER(kinematics!V18),kinematics!V18,0)</f>
        <v>0</v>
      </c>
    </row>
    <row r="24" spans="2:17" x14ac:dyDescent="0.2">
      <c r="B24">
        <f t="shared" si="1"/>
        <v>3</v>
      </c>
      <c r="C24" s="11">
        <f ca="1">kinematics!J19</f>
        <v>86.194734978959744</v>
      </c>
      <c r="P24">
        <f t="shared" si="2"/>
        <v>3</v>
      </c>
      <c r="Q24" s="4">
        <f ca="1">IF(ISNUMBER(kinematics!V19),kinematics!V19,0)</f>
        <v>0</v>
      </c>
    </row>
    <row r="25" spans="2:17" x14ac:dyDescent="0.2">
      <c r="B25">
        <f t="shared" si="1"/>
        <v>4</v>
      </c>
      <c r="C25" s="11">
        <f ca="1">kinematics!J20</f>
        <v>86.246074386692342</v>
      </c>
      <c r="P25">
        <f t="shared" si="2"/>
        <v>4</v>
      </c>
      <c r="Q25" s="4">
        <f ca="1">IF(ISNUMBER(kinematics!V20),kinematics!V20,0)</f>
        <v>0</v>
      </c>
    </row>
    <row r="26" spans="2:17" x14ac:dyDescent="0.2">
      <c r="B26">
        <f t="shared" si="1"/>
        <v>5</v>
      </c>
      <c r="C26" s="11">
        <f ca="1">kinematics!J21</f>
        <v>86.071444209006856</v>
      </c>
      <c r="P26">
        <f t="shared" si="2"/>
        <v>5</v>
      </c>
      <c r="Q26" s="4">
        <f ca="1">IF(ISNUMBER(kinematics!V21),kinematics!V21,0)</f>
        <v>0</v>
      </c>
    </row>
    <row r="27" spans="2:17" x14ac:dyDescent="0.2">
      <c r="B27">
        <f t="shared" si="1"/>
        <v>6</v>
      </c>
      <c r="C27" s="11">
        <f ca="1">kinematics!J22</f>
        <v>85.783758597950182</v>
      </c>
      <c r="P27">
        <f t="shared" si="2"/>
        <v>6</v>
      </c>
      <c r="Q27" s="4">
        <f ca="1">IF(ISNUMBER(kinematics!V22),kinematics!V22,0)</f>
        <v>0</v>
      </c>
    </row>
    <row r="28" spans="2:17" x14ac:dyDescent="0.2">
      <c r="B28">
        <f t="shared" si="1"/>
        <v>7</v>
      </c>
      <c r="C28" s="11">
        <f ca="1">kinematics!J23</f>
        <v>85.431459009368695</v>
      </c>
      <c r="P28">
        <f t="shared" si="2"/>
        <v>7</v>
      </c>
      <c r="Q28" s="4">
        <f ca="1">IF(ISNUMBER(kinematics!V23),kinematics!V23,0)</f>
        <v>0</v>
      </c>
    </row>
    <row r="29" spans="2:17" x14ac:dyDescent="0.2">
      <c r="B29">
        <f t="shared" si="1"/>
        <v>8</v>
      </c>
      <c r="C29" s="11">
        <f ca="1">kinematics!J24</f>
        <v>85.038780890096561</v>
      </c>
      <c r="P29">
        <f t="shared" si="2"/>
        <v>8</v>
      </c>
      <c r="Q29" s="4">
        <f ca="1">IF(ISNUMBER(kinematics!V24),kinematics!V24,0)</f>
        <v>0</v>
      </c>
    </row>
    <row r="30" spans="2:17" x14ac:dyDescent="0.2">
      <c r="B30">
        <f t="shared" si="1"/>
        <v>9</v>
      </c>
      <c r="C30" s="11">
        <f ca="1">kinematics!J25</f>
        <v>84.619194480390647</v>
      </c>
      <c r="P30">
        <f t="shared" si="2"/>
        <v>9</v>
      </c>
      <c r="Q30" s="4">
        <f ca="1">IF(ISNUMBER(kinematics!V25),kinematics!V25,0)</f>
        <v>0</v>
      </c>
    </row>
    <row r="31" spans="2:17" x14ac:dyDescent="0.2">
      <c r="B31">
        <f t="shared" si="1"/>
        <v>10</v>
      </c>
      <c r="C31" s="11">
        <f ca="1">kinematics!J26</f>
        <v>84.180785281557476</v>
      </c>
      <c r="P31">
        <f t="shared" si="2"/>
        <v>10</v>
      </c>
      <c r="Q31" s="4">
        <f ca="1">IF(ISNUMBER(kinematics!V26),kinematics!V26,0)</f>
        <v>0</v>
      </c>
    </row>
    <row r="34" spans="2:17" x14ac:dyDescent="0.2">
      <c r="B34" s="237" t="s">
        <v>164</v>
      </c>
      <c r="C34" s="237"/>
    </row>
    <row r="36" spans="2:17" x14ac:dyDescent="0.2">
      <c r="B36">
        <f>B21</f>
        <v>0</v>
      </c>
      <c r="C36" s="4">
        <f ca="1">kinematics!K16</f>
        <v>4.7719768701881549E-5</v>
      </c>
      <c r="P36">
        <f>P21</f>
        <v>0</v>
      </c>
      <c r="Q36" s="4" t="str">
        <f ca="1">kinematics!W16</f>
        <v xml:space="preserve"> </v>
      </c>
    </row>
    <row r="37" spans="2:17" x14ac:dyDescent="0.2">
      <c r="B37">
        <f t="shared" ref="B37:B46" si="3">B22</f>
        <v>1</v>
      </c>
      <c r="C37" s="4">
        <f ca="1">kinematics!K17</f>
        <v>3.4427091046040914E-3</v>
      </c>
      <c r="P37">
        <f t="shared" ref="P37:P46" si="4">P22</f>
        <v>1</v>
      </c>
      <c r="Q37" s="4" t="str">
        <f ca="1">kinematics!W17</f>
        <v xml:space="preserve"> </v>
      </c>
    </row>
    <row r="38" spans="2:17" x14ac:dyDescent="0.2">
      <c r="B38">
        <f t="shared" si="3"/>
        <v>2</v>
      </c>
      <c r="C38" s="4">
        <f ca="1">kinematics!K18</f>
        <v>1.3626468152040161E-2</v>
      </c>
      <c r="P38">
        <f t="shared" si="4"/>
        <v>2</v>
      </c>
      <c r="Q38" s="4" t="str">
        <f ca="1">kinematics!W18</f>
        <v xml:space="preserve"> </v>
      </c>
    </row>
    <row r="39" spans="2:17" x14ac:dyDescent="0.2">
      <c r="B39">
        <f t="shared" si="3"/>
        <v>3</v>
      </c>
      <c r="C39" s="4">
        <f ca="1">kinematics!K19</f>
        <v>3.0595370632397589E-2</v>
      </c>
      <c r="P39">
        <f t="shared" si="4"/>
        <v>3</v>
      </c>
      <c r="Q39" s="4" t="str">
        <f ca="1">kinematics!W19</f>
        <v xml:space="preserve"> </v>
      </c>
    </row>
    <row r="40" spans="2:17" x14ac:dyDescent="0.2">
      <c r="B40">
        <f t="shared" si="3"/>
        <v>4</v>
      </c>
      <c r="C40" s="4">
        <f ca="1">kinematics!K20</f>
        <v>5.4343374728034632E-2</v>
      </c>
      <c r="P40">
        <f t="shared" si="4"/>
        <v>4</v>
      </c>
      <c r="Q40" s="4" t="str">
        <f ca="1">kinematics!W20</f>
        <v xml:space="preserve"> </v>
      </c>
    </row>
    <row r="41" spans="2:17" x14ac:dyDescent="0.2">
      <c r="B41">
        <f t="shared" si="3"/>
        <v>5</v>
      </c>
      <c r="C41" s="4">
        <f ca="1">kinematics!K21</f>
        <v>8.4862026057237472E-2</v>
      </c>
      <c r="P41">
        <f t="shared" si="4"/>
        <v>5</v>
      </c>
      <c r="Q41" s="4" t="str">
        <f ca="1">kinematics!W21</f>
        <v xml:space="preserve"> </v>
      </c>
    </row>
    <row r="42" spans="2:17" x14ac:dyDescent="0.2">
      <c r="B42">
        <f t="shared" si="3"/>
        <v>6</v>
      </c>
      <c r="C42" s="4">
        <f ca="1">kinematics!K22</f>
        <v>0.12214046183333949</v>
      </c>
      <c r="P42">
        <f t="shared" si="4"/>
        <v>6</v>
      </c>
      <c r="Q42" s="4" t="str">
        <f ca="1">kinematics!W22</f>
        <v xml:space="preserve"> </v>
      </c>
    </row>
    <row r="43" spans="2:17" x14ac:dyDescent="0.2">
      <c r="B43">
        <f t="shared" si="3"/>
        <v>7</v>
      </c>
      <c r="C43" s="4">
        <f ca="1">kinematics!K23</f>
        <v>0.16616541620322778</v>
      </c>
      <c r="P43">
        <f t="shared" si="4"/>
        <v>7</v>
      </c>
      <c r="Q43" s="4" t="str">
        <f ca="1">kinematics!W23</f>
        <v xml:space="preserve"> </v>
      </c>
    </row>
    <row r="44" spans="2:17" x14ac:dyDescent="0.2">
      <c r="B44">
        <f t="shared" si="3"/>
        <v>8</v>
      </c>
      <c r="C44" s="4">
        <f ca="1">kinematics!K24</f>
        <v>0.21692122676495273</v>
      </c>
      <c r="P44">
        <f t="shared" si="4"/>
        <v>8</v>
      </c>
      <c r="Q44" s="4" t="str">
        <f ca="1">kinematics!W24</f>
        <v xml:space="preserve"> </v>
      </c>
    </row>
    <row r="45" spans="2:17" x14ac:dyDescent="0.2">
      <c r="B45">
        <f t="shared" si="3"/>
        <v>9</v>
      </c>
      <c r="C45" s="4">
        <f ca="1">kinematics!K25</f>
        <v>0.2743898422608595</v>
      </c>
      <c r="P45">
        <f t="shared" si="4"/>
        <v>9</v>
      </c>
      <c r="Q45" s="4" t="str">
        <f ca="1">kinematics!W25</f>
        <v xml:space="preserve"> </v>
      </c>
    </row>
    <row r="46" spans="2:17" x14ac:dyDescent="0.2">
      <c r="B46">
        <f t="shared" si="3"/>
        <v>10</v>
      </c>
      <c r="C46" s="4">
        <f ca="1">kinematics!K26</f>
        <v>0.3385508314325989</v>
      </c>
      <c r="P46">
        <f t="shared" si="4"/>
        <v>10</v>
      </c>
      <c r="Q46" s="4" t="str">
        <f ca="1">kinematics!W26</f>
        <v xml:space="preserve"> </v>
      </c>
    </row>
    <row r="49" spans="2:17" x14ac:dyDescent="0.2">
      <c r="B49" s="237" t="s">
        <v>165</v>
      </c>
      <c r="C49" s="237"/>
    </row>
    <row r="51" spans="2:17" x14ac:dyDescent="0.2">
      <c r="B51" s="11">
        <f ca="1">C21</f>
        <v>0</v>
      </c>
      <c r="C51" s="4">
        <f ca="1">C36</f>
        <v>4.7719768701881549E-5</v>
      </c>
      <c r="P51" s="4">
        <f ca="1">Q21</f>
        <v>0</v>
      </c>
      <c r="Q51" s="4" t="str">
        <f ca="1">Q36</f>
        <v xml:space="preserve"> </v>
      </c>
    </row>
    <row r="52" spans="2:17" x14ac:dyDescent="0.2">
      <c r="B52" s="11">
        <f t="shared" ref="B52:B61" ca="1" si="5">C22</f>
        <v>82.724733541715565</v>
      </c>
      <c r="C52" s="4">
        <f t="shared" ref="C52:C61" ca="1" si="6">C37</f>
        <v>3.4427091046040914E-3</v>
      </c>
      <c r="P52" s="4">
        <f t="shared" ref="P52:P61" ca="1" si="7">Q22</f>
        <v>0</v>
      </c>
      <c r="Q52" s="4" t="str">
        <f t="shared" ref="Q52:Q61" ca="1" si="8">Q37</f>
        <v xml:space="preserve"> </v>
      </c>
    </row>
    <row r="53" spans="2:17" x14ac:dyDescent="0.2">
      <c r="B53" s="11">
        <f t="shared" ca="1" si="5"/>
        <v>85.579457235511541</v>
      </c>
      <c r="C53" s="4">
        <f t="shared" ca="1" si="6"/>
        <v>1.3626468152040161E-2</v>
      </c>
      <c r="P53" s="4">
        <f t="shared" ca="1" si="7"/>
        <v>0</v>
      </c>
      <c r="Q53" s="4" t="str">
        <f t="shared" ca="1" si="8"/>
        <v xml:space="preserve"> </v>
      </c>
    </row>
    <row r="54" spans="2:17" x14ac:dyDescent="0.2">
      <c r="B54" s="11">
        <f t="shared" ca="1" si="5"/>
        <v>86.194734978959744</v>
      </c>
      <c r="C54" s="4">
        <f t="shared" ca="1" si="6"/>
        <v>3.0595370632397589E-2</v>
      </c>
      <c r="P54" s="4">
        <f t="shared" ca="1" si="7"/>
        <v>0</v>
      </c>
      <c r="Q54" s="4" t="str">
        <f t="shared" ca="1" si="8"/>
        <v xml:space="preserve"> </v>
      </c>
    </row>
    <row r="55" spans="2:17" x14ac:dyDescent="0.2">
      <c r="B55" s="11">
        <f t="shared" ca="1" si="5"/>
        <v>86.246074386692342</v>
      </c>
      <c r="C55" s="4">
        <f t="shared" ca="1" si="6"/>
        <v>5.4343374728034632E-2</v>
      </c>
      <c r="P55" s="4">
        <f t="shared" ca="1" si="7"/>
        <v>0</v>
      </c>
      <c r="Q55" s="4" t="str">
        <f t="shared" ca="1" si="8"/>
        <v xml:space="preserve"> </v>
      </c>
    </row>
    <row r="56" spans="2:17" x14ac:dyDescent="0.2">
      <c r="B56" s="11">
        <f t="shared" ca="1" si="5"/>
        <v>86.071444209006856</v>
      </c>
      <c r="C56" s="4">
        <f t="shared" ca="1" si="6"/>
        <v>8.4862026057237472E-2</v>
      </c>
      <c r="P56" s="4">
        <f t="shared" ca="1" si="7"/>
        <v>0</v>
      </c>
      <c r="Q56" s="4" t="str">
        <f t="shared" ca="1" si="8"/>
        <v xml:space="preserve"> </v>
      </c>
    </row>
    <row r="57" spans="2:17" x14ac:dyDescent="0.2">
      <c r="B57" s="11">
        <f t="shared" ca="1" si="5"/>
        <v>85.783758597950182</v>
      </c>
      <c r="C57" s="4">
        <f t="shared" ca="1" si="6"/>
        <v>0.12214046183333949</v>
      </c>
      <c r="P57" s="4">
        <f t="shared" ca="1" si="7"/>
        <v>0</v>
      </c>
      <c r="Q57" s="4" t="str">
        <f t="shared" ca="1" si="8"/>
        <v xml:space="preserve"> </v>
      </c>
    </row>
    <row r="58" spans="2:17" x14ac:dyDescent="0.2">
      <c r="B58" s="11">
        <f t="shared" ca="1" si="5"/>
        <v>85.431459009368695</v>
      </c>
      <c r="C58" s="4">
        <f t="shared" ca="1" si="6"/>
        <v>0.16616541620322778</v>
      </c>
      <c r="P58" s="4">
        <f t="shared" ca="1" si="7"/>
        <v>0</v>
      </c>
      <c r="Q58" s="4" t="str">
        <f t="shared" ca="1" si="8"/>
        <v xml:space="preserve"> </v>
      </c>
    </row>
    <row r="59" spans="2:17" x14ac:dyDescent="0.2">
      <c r="B59" s="11">
        <f t="shared" ca="1" si="5"/>
        <v>85.038780890096561</v>
      </c>
      <c r="C59" s="4">
        <f t="shared" ca="1" si="6"/>
        <v>0.21692122676495273</v>
      </c>
      <c r="P59" s="4">
        <f t="shared" ca="1" si="7"/>
        <v>0</v>
      </c>
      <c r="Q59" s="4" t="str">
        <f t="shared" ca="1" si="8"/>
        <v xml:space="preserve"> </v>
      </c>
    </row>
    <row r="60" spans="2:17" x14ac:dyDescent="0.2">
      <c r="B60" s="11">
        <f t="shared" ca="1" si="5"/>
        <v>84.619194480390647</v>
      </c>
      <c r="C60" s="4">
        <f t="shared" ca="1" si="6"/>
        <v>0.2743898422608595</v>
      </c>
      <c r="P60" s="4">
        <f t="shared" ca="1" si="7"/>
        <v>0</v>
      </c>
      <c r="Q60" s="4" t="str">
        <f t="shared" ca="1" si="8"/>
        <v xml:space="preserve"> </v>
      </c>
    </row>
    <row r="61" spans="2:17" x14ac:dyDescent="0.2">
      <c r="B61" s="11">
        <f t="shared" ca="1" si="5"/>
        <v>84.180785281557476</v>
      </c>
      <c r="C61" s="4">
        <f t="shared" ca="1" si="6"/>
        <v>0.3385508314325989</v>
      </c>
      <c r="P61" s="4">
        <f t="shared" ca="1" si="7"/>
        <v>0</v>
      </c>
      <c r="Q61" s="4" t="str">
        <f t="shared" ca="1" si="8"/>
        <v xml:space="preserve"> </v>
      </c>
    </row>
    <row r="64" spans="2:17" x14ac:dyDescent="0.2">
      <c r="B64" t="s">
        <v>482</v>
      </c>
      <c r="C64" t="s">
        <v>481</v>
      </c>
    </row>
    <row r="65" spans="2:3" x14ac:dyDescent="0.2">
      <c r="B65">
        <f>kinematics!B30</f>
        <v>0</v>
      </c>
      <c r="C65" s="4">
        <f ca="1">kinematics!N30</f>
        <v>1.6683181964390916E-2</v>
      </c>
    </row>
    <row r="66" spans="2:3" x14ac:dyDescent="0.2">
      <c r="B66">
        <f>kinematics!B31</f>
        <v>1</v>
      </c>
      <c r="C66" s="4">
        <f ca="1">kinematics!N31</f>
        <v>0.14170326073887898</v>
      </c>
    </row>
    <row r="67" spans="2:3" x14ac:dyDescent="0.2">
      <c r="B67">
        <f>kinematics!B32</f>
        <v>2</v>
      </c>
      <c r="C67" s="4">
        <f ca="1">kinematics!N32</f>
        <v>0.28191705005782197</v>
      </c>
    </row>
    <row r="68" spans="2:3" x14ac:dyDescent="0.2">
      <c r="B68">
        <f>kinematics!B33</f>
        <v>3</v>
      </c>
      <c r="C68" s="4">
        <f ca="1">kinematics!N33</f>
        <v>0.42243273507506052</v>
      </c>
    </row>
    <row r="69" spans="2:3" x14ac:dyDescent="0.2">
      <c r="B69">
        <f>kinematics!B34</f>
        <v>4</v>
      </c>
      <c r="C69" s="4">
        <f ca="1">kinematics!N34</f>
        <v>0.56299304631813574</v>
      </c>
    </row>
    <row r="70" spans="2:3" x14ac:dyDescent="0.2">
      <c r="B70">
        <f>kinematics!B35</f>
        <v>5</v>
      </c>
      <c r="C70" s="4">
        <f ca="1">kinematics!N35</f>
        <v>0.70353621146869882</v>
      </c>
    </row>
    <row r="71" spans="2:3" x14ac:dyDescent="0.2">
      <c r="B71">
        <f>kinematics!B36</f>
        <v>6</v>
      </c>
      <c r="C71" s="4">
        <f ca="1">kinematics!N36</f>
        <v>0.84403328221147</v>
      </c>
    </row>
    <row r="72" spans="2:3" x14ac:dyDescent="0.2">
      <c r="B72">
        <f>kinematics!B37</f>
        <v>7</v>
      </c>
      <c r="C72" s="4">
        <f ca="1">kinematics!N37</f>
        <v>0.98446471592644991</v>
      </c>
    </row>
    <row r="73" spans="2:3" x14ac:dyDescent="0.2">
      <c r="B73">
        <f>kinematics!B38</f>
        <v>8</v>
      </c>
      <c r="C73" s="4">
        <f ca="1">kinematics!N38</f>
        <v>1.1248145094882775</v>
      </c>
    </row>
    <row r="74" spans="2:3" x14ac:dyDescent="0.2">
      <c r="B74">
        <f>kinematics!B39</f>
        <v>9</v>
      </c>
      <c r="C74" s="4">
        <f ca="1">kinematics!N39</f>
        <v>1.2650682433669596</v>
      </c>
    </row>
    <row r="75" spans="2:3" x14ac:dyDescent="0.2">
      <c r="B75">
        <f>kinematics!B40</f>
        <v>10</v>
      </c>
      <c r="C75" s="4">
        <f ca="1">kinematics!N40</f>
        <v>1.4052123000613415</v>
      </c>
    </row>
  </sheetData>
  <sheetProtection password="C786" sheet="1" objects="1" scenarios="1"/>
  <mergeCells count="5">
    <mergeCell ref="B49:C49"/>
    <mergeCell ref="B3:C3"/>
    <mergeCell ref="P3:Q3"/>
    <mergeCell ref="B19:C19"/>
    <mergeCell ref="B34:C34"/>
  </mergeCells>
  <phoneticPr fontId="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09"/>
  <sheetViews>
    <sheetView zoomScale="75" workbookViewId="0">
      <selection activeCell="H28" sqref="H28"/>
    </sheetView>
  </sheetViews>
  <sheetFormatPr defaultRowHeight="12.75" x14ac:dyDescent="0.2"/>
  <cols>
    <col min="1" max="1" width="8.85546875" style="63" customWidth="1"/>
    <col min="5" max="5" width="10" bestFit="1" customWidth="1"/>
    <col min="10" max="10" width="9.7109375" customWidth="1"/>
    <col min="14" max="14" width="12.42578125" bestFit="1" customWidth="1"/>
    <col min="16" max="17" width="8.85546875" style="63" customWidth="1"/>
  </cols>
  <sheetData>
    <row r="1" spans="2:16" x14ac:dyDescent="0.2"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</row>
    <row r="2" spans="2:16" x14ac:dyDescent="0.2">
      <c r="B2" s="148" t="s">
        <v>109</v>
      </c>
      <c r="C2" s="146" t="s">
        <v>393</v>
      </c>
      <c r="D2" s="146" t="s">
        <v>108</v>
      </c>
      <c r="E2" s="146" t="s">
        <v>394</v>
      </c>
      <c r="F2" s="146" t="s">
        <v>186</v>
      </c>
      <c r="G2" s="146" t="s">
        <v>395</v>
      </c>
      <c r="H2" s="146" t="s">
        <v>396</v>
      </c>
      <c r="I2" s="146" t="s">
        <v>428</v>
      </c>
      <c r="J2" s="146" t="s">
        <v>442</v>
      </c>
      <c r="K2" s="146" t="s">
        <v>441</v>
      </c>
      <c r="L2" s="63"/>
      <c r="M2" s="63"/>
      <c r="N2" s="238" t="s">
        <v>429</v>
      </c>
      <c r="O2" s="238"/>
      <c r="P2" s="238"/>
    </row>
    <row r="3" spans="2:16" ht="13.5" thickBot="1" x14ac:dyDescent="0.25"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</row>
    <row r="4" spans="2:16" x14ac:dyDescent="0.2">
      <c r="B4" s="242" t="s">
        <v>166</v>
      </c>
      <c r="C4" s="243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46"/>
    </row>
    <row r="5" spans="2:16" x14ac:dyDescent="0.2">
      <c r="B5" s="47"/>
      <c r="C5" s="9"/>
      <c r="D5" s="9"/>
      <c r="E5" s="194" t="s">
        <v>470</v>
      </c>
      <c r="F5" s="195">
        <v>17</v>
      </c>
      <c r="G5" s="9"/>
      <c r="H5" s="188" t="s">
        <v>177</v>
      </c>
      <c r="I5" s="189" t="s">
        <v>117</v>
      </c>
      <c r="J5" s="255" t="s">
        <v>169</v>
      </c>
      <c r="K5" s="255"/>
      <c r="L5" s="255" t="s">
        <v>170</v>
      </c>
      <c r="M5" s="255"/>
      <c r="N5" s="255" t="s">
        <v>171</v>
      </c>
      <c r="O5" s="272"/>
    </row>
    <row r="6" spans="2:16" x14ac:dyDescent="0.2">
      <c r="B6" s="47"/>
      <c r="C6" s="9"/>
      <c r="D6" s="9"/>
      <c r="E6" s="9"/>
      <c r="F6" s="9"/>
      <c r="G6" s="9"/>
      <c r="H6" s="255">
        <f ca="1">VLOOKUP(E5,INDIRECT(ADDRESS(MATCH(F5,A_values,0),4,1,TRUE,"mass_rmd.mas")):INDIRECT(ADDRESS(MATCH(F5+1,A_values,0)-1,7,1,TRUE,"mass_rmd.mas")),4,FALSE)/1000</f>
        <v>7.8700789999999996</v>
      </c>
      <c r="I6" s="255"/>
      <c r="J6" s="255">
        <f ca="1">F5+H6/mass_rmd.mas!A2</f>
        <v>17.00844887727094</v>
      </c>
      <c r="K6" s="255"/>
      <c r="L6" s="255">
        <f ca="1">F5*mass_rmd.mas!A2+H6</f>
        <v>15843.269115999999</v>
      </c>
      <c r="M6" s="255"/>
      <c r="N6" s="255">
        <f ca="1">L6/0.511006*9.1/1E+32</f>
        <v>2.8213709615073014E-27</v>
      </c>
      <c r="O6" s="272"/>
    </row>
    <row r="7" spans="2:16" ht="13.5" thickBot="1" x14ac:dyDescent="0.25">
      <c r="B7" s="48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49"/>
    </row>
    <row r="8" spans="2:16" ht="13.5" thickBot="1" x14ac:dyDescent="0.25"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</row>
    <row r="9" spans="2:16" x14ac:dyDescent="0.2">
      <c r="B9" s="242" t="s">
        <v>167</v>
      </c>
      <c r="C9" s="243"/>
      <c r="D9" s="32"/>
      <c r="E9" s="32"/>
      <c r="F9" s="32"/>
      <c r="G9" s="32"/>
      <c r="H9" s="32"/>
      <c r="I9" s="32"/>
      <c r="J9" s="32"/>
      <c r="K9" s="32"/>
      <c r="L9" s="32"/>
      <c r="M9" s="33" t="str">
        <f>CONCATENATE("(",E11,TEXT(F11,"0"),"/",E12,TEXT(F12,"0"),")")</f>
        <v>(he4/he4)</v>
      </c>
      <c r="N9" s="32"/>
      <c r="O9" s="34" t="str">
        <f>CONCATENATE("(",E10,"-",TEXT(F10,"0"),")")</f>
        <v>(ne-24)</v>
      </c>
    </row>
    <row r="10" spans="2:16" x14ac:dyDescent="0.2">
      <c r="B10" s="47"/>
      <c r="C10" s="9"/>
      <c r="D10" s="9"/>
      <c r="E10" s="169" t="s">
        <v>471</v>
      </c>
      <c r="F10" s="191">
        <v>24</v>
      </c>
      <c r="G10" s="258" t="s">
        <v>178</v>
      </c>
      <c r="H10" s="255"/>
      <c r="I10" s="23"/>
      <c r="J10" s="19"/>
      <c r="K10" s="19"/>
      <c r="L10" s="24" t="s">
        <v>168</v>
      </c>
      <c r="M10" s="25" t="s">
        <v>168</v>
      </c>
      <c r="N10" s="9"/>
      <c r="O10" s="35" t="s">
        <v>168</v>
      </c>
    </row>
    <row r="11" spans="2:16" x14ac:dyDescent="0.2">
      <c r="B11" s="253" t="s">
        <v>174</v>
      </c>
      <c r="C11" s="254"/>
      <c r="D11" s="26" t="s">
        <v>172</v>
      </c>
      <c r="E11" s="192" t="s">
        <v>97</v>
      </c>
      <c r="F11" s="191">
        <v>4</v>
      </c>
      <c r="G11" s="257">
        <f ca="1">(L11+M11)-O11</f>
        <v>12.172733609999998</v>
      </c>
      <c r="H11" s="257"/>
      <c r="I11" s="27" t="str">
        <f>IF(AND(ISNUMBER(F11),ISTEXT(E11)),"to make"," ")</f>
        <v>to make</v>
      </c>
      <c r="J11" s="28" t="str">
        <f>INDEX(Symbol_values,MATCH(INDEX(Z_values,MATCH(E10,Symbol_values,0))-INDEX(Z_values,MATCH(E11,Symbol_values,0)),Z_values,0))</f>
        <v>O</v>
      </c>
      <c r="K11" s="29">
        <f>F10-F11</f>
        <v>20</v>
      </c>
      <c r="L11" s="30">
        <f ca="1">VLOOKUP(J11,INDIRECT(ADDRESS(MATCH(K11,A_values,0),4,1,TRUE,"mass_rmd.mas")):INDIRECT(ADDRESS(MATCH(K11+1,A_values,0)-1,7,1,TRUE,"mass_rmd.mas")),4,FALSE)/1000</f>
        <v>3.7961719999999999</v>
      </c>
      <c r="M11" s="30">
        <f ca="1">VLOOKUP(E11,INDIRECT(ADDRESS(MATCH(F11,A_values,0),4,1,TRUE,"mass_rmd.mas")):INDIRECT(ADDRESS(MATCH(F11+1,A_values,0)-1,7,1,TRUE,"mass_rmd.mas")),4,FALSE)/1000</f>
        <v>2.4249156100000002</v>
      </c>
      <c r="N11" s="9"/>
      <c r="O11" s="37">
        <f ca="1">VLOOKUP(E10,INDIRECT(ADDRESS(MATCH(F10,A_values,0),4,1,TRUE,"mass_rmd.mas")):INDIRECT(ADDRESS(MATCH(F10+1,A_values,0)-1,7,1,TRUE,"mass_rmd.mas")),4,FALSE)/1000</f>
        <v>-5.9516459999999993</v>
      </c>
    </row>
    <row r="12" spans="2:16" x14ac:dyDescent="0.2">
      <c r="B12" s="38" t="s">
        <v>179</v>
      </c>
      <c r="C12" s="9"/>
      <c r="D12" s="26" t="s">
        <v>173</v>
      </c>
      <c r="E12" s="169" t="s">
        <v>97</v>
      </c>
      <c r="F12" s="191">
        <v>4</v>
      </c>
      <c r="G12" s="257">
        <f ca="1">(O11+M12)-L12</f>
        <v>11.49211461</v>
      </c>
      <c r="H12" s="257"/>
      <c r="I12" s="27" t="str">
        <f>IF(AND(ISNUMBER(F12),ISTEXT(E12)),"to make"," ")</f>
        <v>to make</v>
      </c>
      <c r="J12" s="28" t="str">
        <f>INDEX(Symbol_values,MATCH(INDEX(Z_values,MATCH(E10,Symbol_values,0))+INDEX(Z_values,MATCH(E12,Symbol_values,0)),Z_values,0))</f>
        <v>Mg</v>
      </c>
      <c r="K12" s="29">
        <f>F10+F12</f>
        <v>28</v>
      </c>
      <c r="L12" s="30">
        <f ca="1">VLOOKUP(J12,INDIRECT(ADDRESS(MATCH(K12,A_values,0),4,1,TRUE,"mass_rmd.mas")):INDIRECT(ADDRESS(MATCH(K12+1,A_values,0)-1,7,1,TRUE,"mass_rmd.mas")),4,FALSE)/1000</f>
        <v>-15.018844999999999</v>
      </c>
      <c r="M12" s="30">
        <f ca="1">VLOOKUP(E12,INDIRECT(ADDRESS(MATCH(F12,A_values,0),4,1,TRUE,"mass_rmd.mas")):INDIRECT(ADDRESS(MATCH(F12+1,A_values,0)-1,7,1,TRUE,"mass_rmd.mas")),4,FALSE)/1000</f>
        <v>2.4249156100000002</v>
      </c>
      <c r="N12" s="9"/>
      <c r="O12" s="39"/>
    </row>
    <row r="13" spans="2:16" ht="13.5" thickBot="1" x14ac:dyDescent="0.25">
      <c r="B13" s="40"/>
      <c r="C13" s="6"/>
      <c r="D13" s="41"/>
      <c r="E13" s="42"/>
      <c r="F13" s="42"/>
      <c r="G13" s="42"/>
      <c r="H13" s="42"/>
      <c r="I13" s="43"/>
      <c r="J13" s="7"/>
      <c r="K13" s="16"/>
      <c r="L13" s="44"/>
      <c r="M13" s="44"/>
      <c r="N13" s="6"/>
      <c r="O13" s="45"/>
    </row>
    <row r="14" spans="2:16" ht="13.5" thickBot="1" x14ac:dyDescent="0.25">
      <c r="B14" s="64"/>
      <c r="C14" s="63"/>
      <c r="D14" s="65"/>
      <c r="E14" s="66"/>
      <c r="F14" s="66"/>
      <c r="G14" s="66"/>
      <c r="H14" s="66"/>
      <c r="I14" s="67"/>
      <c r="J14" s="68"/>
      <c r="K14" s="69"/>
      <c r="L14" s="70"/>
      <c r="M14" s="70"/>
      <c r="N14" s="63"/>
      <c r="O14" s="71"/>
    </row>
    <row r="15" spans="2:16" x14ac:dyDescent="0.2">
      <c r="B15" s="31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46"/>
    </row>
    <row r="16" spans="2:16" x14ac:dyDescent="0.2">
      <c r="B16" s="251" t="s">
        <v>175</v>
      </c>
      <c r="C16" s="252"/>
      <c r="D16" s="9"/>
      <c r="E16" s="246" t="s">
        <v>180</v>
      </c>
      <c r="F16" s="246"/>
      <c r="G16" s="246" t="s">
        <v>181</v>
      </c>
      <c r="H16" s="246"/>
      <c r="I16" s="246" t="s">
        <v>152</v>
      </c>
      <c r="J16" s="246"/>
      <c r="K16" s="9"/>
      <c r="L16" s="245" t="s">
        <v>153</v>
      </c>
      <c r="M16" s="245"/>
      <c r="N16" s="9"/>
      <c r="O16" s="50"/>
    </row>
    <row r="17" spans="2:15" x14ac:dyDescent="0.2">
      <c r="B17" s="256" t="s">
        <v>176</v>
      </c>
      <c r="C17" s="246"/>
      <c r="D17" s="9"/>
      <c r="E17" s="194" t="s">
        <v>2</v>
      </c>
      <c r="F17" s="195">
        <v>10</v>
      </c>
      <c r="G17" s="194" t="s">
        <v>95</v>
      </c>
      <c r="H17" s="195">
        <v>1</v>
      </c>
      <c r="I17" s="194" t="s">
        <v>97</v>
      </c>
      <c r="J17" s="195">
        <v>3</v>
      </c>
      <c r="K17" s="9"/>
      <c r="L17" s="22" t="str">
        <f>INDEX(Symbol_values,MATCH(INDEX(Z_values,MATCH(E17,Symbol_values,0))+INDEX(Z_values,MATCH(G17,Symbol_values,0))-INDEX(Z_values,MATCH(I17,Symbol_values,0)),Z_values,0))</f>
        <v>Li</v>
      </c>
      <c r="M17" s="21">
        <f>F17+H17-J17</f>
        <v>8</v>
      </c>
      <c r="N17" s="9"/>
      <c r="O17" s="50"/>
    </row>
    <row r="18" spans="2:15" x14ac:dyDescent="0.2">
      <c r="B18" s="36"/>
      <c r="C18" s="23"/>
      <c r="D18" s="20" t="s">
        <v>183</v>
      </c>
      <c r="E18" s="255">
        <f ca="1">VLOOKUP(E17,INDIRECT(ADDRESS(MATCH(F17,A_values,0),4,1,TRUE,"mass_rmd.mas")):INDIRECT(ADDRESS(MATCH(F17+1,A_values,0)-1,7,1,TRUE,"mass_rmd.mas")),4,FALSE)/1000</f>
        <v>12.607488</v>
      </c>
      <c r="F18" s="255"/>
      <c r="G18" s="255">
        <f ca="1">VLOOKUP(G17,INDIRECT(ADDRESS(MATCH(H17,A_values,0),4,1,TRUE,"mass_rmd.mas")):INDIRECT(ADDRESS(MATCH(H17+1,A_values,0)-1,7,1,TRUE,"mass_rmd.mas")),4,FALSE)/1000</f>
        <v>7.2889706100000007</v>
      </c>
      <c r="H18" s="255"/>
      <c r="I18" s="255">
        <f ca="1">VLOOKUP(I17,INDIRECT(ADDRESS(MATCH(J17,A_values,0),4,1,TRUE,"mass_rmd.mas")):INDIRECT(ADDRESS(MATCH(J17+1,A_values,0)-1,7,1,TRUE,"mass_rmd.mas")),4,FALSE)/1000</f>
        <v>14.931217930000001</v>
      </c>
      <c r="J18" s="255"/>
      <c r="K18" s="9"/>
      <c r="L18" s="255">
        <f ca="1">VLOOKUP(L17,INDIRECT(ADDRESS(MATCH(M17,A_values,0),4,1,TRUE,"mass_rmd.mas")):INDIRECT(ADDRESS(MATCH(M17+1,A_values,0)-1,7,1,TRUE,"mass_rmd.mas")),4,FALSE)/1000</f>
        <v>20.945803999999999</v>
      </c>
      <c r="M18" s="255"/>
      <c r="N18" s="9"/>
      <c r="O18" s="50"/>
    </row>
    <row r="19" spans="2:15" x14ac:dyDescent="0.2">
      <c r="B19" s="47"/>
      <c r="C19" s="9"/>
      <c r="D19" s="9"/>
      <c r="E19" s="9"/>
      <c r="F19" s="9"/>
      <c r="G19" s="122" t="s">
        <v>182</v>
      </c>
      <c r="H19" s="257">
        <f ca="1">E18+G18-I18-L18</f>
        <v>-15.98056332</v>
      </c>
      <c r="I19" s="257"/>
      <c r="J19" s="122" t="s">
        <v>170</v>
      </c>
      <c r="K19" s="9"/>
      <c r="L19" s="9"/>
      <c r="M19" s="9"/>
      <c r="N19" s="9"/>
      <c r="O19" s="50"/>
    </row>
    <row r="20" spans="2:15" x14ac:dyDescent="0.2">
      <c r="B20" s="47"/>
      <c r="C20" s="9"/>
      <c r="D20" s="9"/>
      <c r="E20" s="9"/>
      <c r="F20" s="9"/>
      <c r="G20" s="246" t="str">
        <f>CONCATENATE(INDEX(Symbol_values,MATCH(INDEX(Z_values,MATCH(E17,Symbol_values,0)),Z_values,0)),F17," ( ",INDEX(Symbol_values,MATCH(INDEX(Z_values,MATCH(G17,Symbol_values,0)),Z_values,0)),H17," , ",INDEX(Symbol_values,MATCH(INDEX(Z_values,MATCH(I17,Symbol_values,0)),Z_values,0)),J17," ) ",L17,M17)</f>
        <v>Be10 ( H1 , He3 ) Li8</v>
      </c>
      <c r="H20" s="246"/>
      <c r="I20" s="246"/>
      <c r="J20" s="246"/>
      <c r="K20" s="9"/>
      <c r="L20" s="246" t="s">
        <v>306</v>
      </c>
      <c r="M20" s="246"/>
      <c r="N20" s="9"/>
      <c r="O20" s="50"/>
    </row>
    <row r="21" spans="2:15" x14ac:dyDescent="0.2">
      <c r="B21" s="47"/>
      <c r="C21" s="9"/>
      <c r="D21" s="9"/>
      <c r="E21" s="9"/>
      <c r="F21" s="9"/>
      <c r="G21" s="23"/>
      <c r="H21" s="23"/>
      <c r="I21" s="23"/>
      <c r="J21" s="23"/>
      <c r="K21" s="9"/>
      <c r="L21" s="194" t="s">
        <v>92</v>
      </c>
      <c r="M21" s="195">
        <v>1</v>
      </c>
      <c r="N21" s="22" t="str">
        <f>INDEX(Symbol_values,MATCH(INDEX(Z_values,MATCH(L17,Symbol_values,0))-INDEX(Z_values,MATCH(L21,Symbol_values,0)),Z_values,0))</f>
        <v>Li</v>
      </c>
      <c r="O21" s="53">
        <f>M17-M21</f>
        <v>7</v>
      </c>
    </row>
    <row r="22" spans="2:15" x14ac:dyDescent="0.2">
      <c r="B22" s="47"/>
      <c r="C22" s="9"/>
      <c r="D22" s="9"/>
      <c r="E22" s="246" t="s">
        <v>307</v>
      </c>
      <c r="F22" s="246"/>
      <c r="G22" s="122" t="s">
        <v>182</v>
      </c>
      <c r="H22" s="257">
        <f ca="1">E18+G18-I18-L22-N22</f>
        <v>-18.01318174</v>
      </c>
      <c r="I22" s="257"/>
      <c r="J22" s="122" t="s">
        <v>170</v>
      </c>
      <c r="K22" s="9"/>
      <c r="L22" s="255">
        <f ca="1">VLOOKUP(L21,INDIRECT(ADDRESS(MATCH(M21,A_values,0),4,1,TRUE,"mass_rmd.mas")):INDIRECT(ADDRESS(MATCH(M21+1,A_values,0)-1,7,1,TRUE,"mass_rmd.mas")),4,FALSE)/1000</f>
        <v>8.0713171300000006</v>
      </c>
      <c r="M22" s="255"/>
      <c r="N22" s="255">
        <f ca="1">VLOOKUP(N21,INDIRECT(ADDRESS(MATCH(O21,A_values,0),4,1,TRUE,"mass_rmd.mas")):INDIRECT(ADDRESS(MATCH(O21+1,A_values,0)-1,7,1,TRUE,"mass_rmd.mas")),4,FALSE)/1000</f>
        <v>14.907105289999999</v>
      </c>
      <c r="O22" s="272"/>
    </row>
    <row r="23" spans="2:15" ht="13.5" thickBot="1" x14ac:dyDescent="0.25">
      <c r="B23" s="48"/>
      <c r="C23" s="6"/>
      <c r="D23" s="6"/>
      <c r="E23" s="6"/>
      <c r="F23" s="6"/>
      <c r="G23" s="271" t="str">
        <f>CONCATENATE(INDEX(Symbol_values,MATCH(INDEX(Z_values,MATCH(E17,Symbol_values,0)),Z_values,0)),F17," ( ",INDEX(Symbol_values,MATCH(INDEX(Z_values,MATCH(G17,Symbol_values,0)),Z_values,0)),H17," ,  ",INDEX(Symbol_values,MATCH(INDEX(Z_values,MATCH(I17,Symbol_values,0)),Z_values,0)),J17," + ",L21,M21," ) ",N21,O21)</f>
        <v>Be10 ( H1 ,  He3 + nn1 ) Li7</v>
      </c>
      <c r="H23" s="271"/>
      <c r="I23" s="271"/>
      <c r="J23" s="271"/>
      <c r="K23" s="6"/>
      <c r="L23" s="6"/>
      <c r="M23" s="6"/>
      <c r="N23" s="6"/>
      <c r="O23" s="49"/>
    </row>
    <row r="24" spans="2:15" ht="13.5" thickBot="1" x14ac:dyDescent="0.25">
      <c r="B24" s="72"/>
      <c r="C24" s="72"/>
      <c r="D24" s="72"/>
      <c r="E24" s="72"/>
      <c r="F24" s="72"/>
      <c r="G24" s="73"/>
      <c r="H24" s="73"/>
      <c r="I24" s="73"/>
      <c r="J24" s="73"/>
      <c r="K24" s="72"/>
      <c r="L24" s="72"/>
      <c r="M24" s="72"/>
      <c r="N24" s="72"/>
      <c r="O24" s="72"/>
    </row>
    <row r="25" spans="2:15" x14ac:dyDescent="0.2">
      <c r="B25" s="242" t="s">
        <v>312</v>
      </c>
      <c r="C25" s="243"/>
      <c r="D25" s="243"/>
      <c r="E25" s="32"/>
      <c r="F25" s="32"/>
      <c r="G25" s="57"/>
      <c r="H25" s="57"/>
      <c r="I25" s="57"/>
      <c r="J25" s="57"/>
      <c r="K25" s="32"/>
      <c r="L25" s="32"/>
      <c r="M25" s="32"/>
      <c r="N25" s="32"/>
      <c r="O25" s="46"/>
    </row>
    <row r="26" spans="2:15" x14ac:dyDescent="0.2">
      <c r="B26" s="47"/>
      <c r="C26" s="9"/>
      <c r="D26" s="9"/>
      <c r="E26" s="28" t="s">
        <v>184</v>
      </c>
      <c r="F26" s="28" t="s">
        <v>185</v>
      </c>
      <c r="G26" s="9"/>
      <c r="H26" s="246" t="s">
        <v>308</v>
      </c>
      <c r="I26" s="246"/>
      <c r="J26" s="9"/>
      <c r="K26" s="9"/>
      <c r="L26" s="246" t="s">
        <v>309</v>
      </c>
      <c r="M26" s="246"/>
      <c r="N26" s="9"/>
      <c r="O26" s="50"/>
    </row>
    <row r="27" spans="2:15" x14ac:dyDescent="0.2">
      <c r="B27" s="47"/>
      <c r="C27" s="9"/>
      <c r="D27" s="9"/>
      <c r="E27" s="103">
        <f ca="1">F28+VLOOKUP(E28,INDIRECT(ADDRESS(MATCH(F28,A_values,0),4,1,TRUE,"mass_rmd.mas")):INDIRECT(ADDRESS(MATCH(F28+1,A_values,0)-1,7,1,TRUE,"mass_rmd.mas")),4,FALSE)/1000/mass_rmd.mas!$A$2</f>
        <v>6.0151228864893431</v>
      </c>
      <c r="F27" s="196">
        <v>3</v>
      </c>
      <c r="G27" s="9"/>
      <c r="H27" s="247">
        <v>98</v>
      </c>
      <c r="I27" s="248"/>
      <c r="J27" s="9"/>
      <c r="K27" s="9"/>
      <c r="L27" s="265">
        <f ca="1">3.10711*E27/F27*SQRT(POWER(H27/mass_rmd.mas!A2+1,2)-1)</f>
        <v>2.931907789542699</v>
      </c>
      <c r="M27" s="265"/>
      <c r="N27" s="9"/>
      <c r="O27" s="50"/>
    </row>
    <row r="28" spans="2:15" x14ac:dyDescent="0.2">
      <c r="B28" s="47"/>
      <c r="C28" s="9"/>
      <c r="D28" s="28" t="s">
        <v>313</v>
      </c>
      <c r="E28" s="194" t="s">
        <v>0</v>
      </c>
      <c r="F28" s="195">
        <v>6</v>
      </c>
      <c r="G28" s="9"/>
      <c r="H28" s="54"/>
      <c r="I28" s="54"/>
      <c r="J28" s="9"/>
      <c r="K28" s="9"/>
      <c r="L28" s="52"/>
      <c r="M28" s="52"/>
      <c r="N28" s="9"/>
      <c r="O28" s="50"/>
    </row>
    <row r="29" spans="2:15" x14ac:dyDescent="0.2">
      <c r="B29" s="47"/>
      <c r="C29" s="9"/>
      <c r="D29" s="28" t="s">
        <v>91</v>
      </c>
      <c r="E29" s="103">
        <f>INDEX(Z_values,MATCH(E28,Symbol_values,0))</f>
        <v>3</v>
      </c>
      <c r="F29" s="55"/>
      <c r="G29" s="9"/>
      <c r="H29" s="54"/>
      <c r="I29" s="54"/>
      <c r="J29" s="9"/>
      <c r="K29" s="9"/>
      <c r="L29" s="52"/>
      <c r="M29" s="52"/>
      <c r="N29" s="9"/>
      <c r="O29" s="50"/>
    </row>
    <row r="30" spans="2:15" x14ac:dyDescent="0.2">
      <c r="B30" s="47"/>
      <c r="C30" s="9"/>
      <c r="D30" s="9"/>
      <c r="E30" s="55"/>
      <c r="F30" s="55"/>
      <c r="G30" s="28" t="s">
        <v>316</v>
      </c>
      <c r="H30" s="269">
        <f ca="1">SQRT(1-POWER((1/H32),2))*100</f>
        <v>42.582060613528554</v>
      </c>
      <c r="I30" s="269"/>
      <c r="J30" s="9" t="s">
        <v>188</v>
      </c>
      <c r="K30" s="28" t="s">
        <v>314</v>
      </c>
      <c r="L30" s="257">
        <f ca="1">H27*E27</f>
        <v>589.48204287595559</v>
      </c>
      <c r="M30" s="257"/>
      <c r="N30" s="9" t="s">
        <v>170</v>
      </c>
      <c r="O30" s="50"/>
    </row>
    <row r="31" spans="2:15" x14ac:dyDescent="0.2">
      <c r="B31" s="47"/>
      <c r="C31" s="9"/>
      <c r="D31" s="9"/>
      <c r="E31" s="55"/>
      <c r="F31" s="55"/>
      <c r="G31" s="28" t="s">
        <v>317</v>
      </c>
      <c r="H31" s="268">
        <f ca="1">H30/100*29.998</f>
        <v>12.773766542846296</v>
      </c>
      <c r="I31" s="268"/>
      <c r="J31" s="9" t="s">
        <v>315</v>
      </c>
      <c r="K31" s="28"/>
      <c r="L31" s="56"/>
      <c r="M31" s="56"/>
      <c r="N31" s="9"/>
      <c r="O31" s="50"/>
    </row>
    <row r="32" spans="2:15" x14ac:dyDescent="0.2">
      <c r="B32" s="47"/>
      <c r="C32" s="9"/>
      <c r="D32" s="9"/>
      <c r="E32" s="246" t="s">
        <v>190</v>
      </c>
      <c r="F32" s="246"/>
      <c r="G32" s="28" t="s">
        <v>318</v>
      </c>
      <c r="H32" s="259">
        <f ca="1">1+L30/(E27*mass_rmd.mas!A2)</f>
        <v>1.1052073267056504</v>
      </c>
      <c r="I32" s="259"/>
      <c r="J32" s="9"/>
      <c r="K32" s="28" t="s">
        <v>310</v>
      </c>
      <c r="L32" s="265">
        <f ca="1">H32*E27*mass_rmd.mas!A2*H30/100/1000</f>
        <v>2.6369082781349817</v>
      </c>
      <c r="M32" s="265"/>
      <c r="N32" s="9" t="s">
        <v>311</v>
      </c>
      <c r="O32" s="50"/>
    </row>
    <row r="33" spans="2:17" x14ac:dyDescent="0.2">
      <c r="B33" s="47"/>
      <c r="C33" s="9"/>
      <c r="D33" s="9"/>
      <c r="E33" s="247">
        <v>20</v>
      </c>
      <c r="F33" s="248"/>
      <c r="G33" s="28" t="s">
        <v>319</v>
      </c>
      <c r="H33" s="268">
        <f ca="1">IF(ISNUMBER(E33),E33*100/H31," ")</f>
        <v>156.57089029234388</v>
      </c>
      <c r="I33" s="268"/>
      <c r="J33" s="9" t="s">
        <v>189</v>
      </c>
      <c r="K33" s="28"/>
      <c r="L33" s="52"/>
      <c r="M33" s="52"/>
      <c r="N33" s="9"/>
      <c r="O33" s="50"/>
    </row>
    <row r="34" spans="2:17" ht="13.5" thickBot="1" x14ac:dyDescent="0.25">
      <c r="B34" s="48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49"/>
    </row>
    <row r="35" spans="2:17" ht="13.5" thickBot="1" x14ac:dyDescent="0.25">
      <c r="B35" s="72"/>
      <c r="C35" s="72"/>
      <c r="D35" s="72"/>
      <c r="E35" s="72"/>
      <c r="F35" s="72"/>
      <c r="G35" s="73"/>
      <c r="H35" s="73"/>
      <c r="I35" s="73"/>
      <c r="J35" s="73"/>
      <c r="K35" s="72"/>
      <c r="L35" s="72"/>
      <c r="M35" s="72"/>
      <c r="N35" s="72"/>
      <c r="O35" s="72"/>
    </row>
    <row r="36" spans="2:17" ht="13.5" thickBot="1" x14ac:dyDescent="0.25">
      <c r="B36" s="249" t="s">
        <v>322</v>
      </c>
      <c r="C36" s="250"/>
      <c r="D36" s="59" t="s">
        <v>93</v>
      </c>
      <c r="E36" s="190">
        <v>12.02</v>
      </c>
      <c r="F36" s="60"/>
      <c r="G36" s="59" t="s">
        <v>323</v>
      </c>
      <c r="H36" s="270">
        <f>L36/E36</f>
        <v>44.026622296173052</v>
      </c>
      <c r="I36" s="270"/>
      <c r="J36" s="61" t="s">
        <v>324</v>
      </c>
      <c r="K36" s="59" t="s">
        <v>314</v>
      </c>
      <c r="L36" s="260">
        <v>529.20000000000005</v>
      </c>
      <c r="M36" s="261"/>
      <c r="N36" s="60" t="s">
        <v>170</v>
      </c>
      <c r="O36" s="62"/>
    </row>
    <row r="37" spans="2:17" ht="13.5" thickBot="1" x14ac:dyDescent="0.25"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</row>
    <row r="38" spans="2:17" x14ac:dyDescent="0.2">
      <c r="B38" s="242" t="s">
        <v>192</v>
      </c>
      <c r="C38" s="243"/>
      <c r="D38" s="58"/>
      <c r="E38" s="58"/>
      <c r="F38" s="32"/>
      <c r="G38" s="32"/>
      <c r="H38" s="32"/>
      <c r="I38" s="32"/>
      <c r="J38" s="32"/>
      <c r="K38" s="32"/>
      <c r="L38" s="32"/>
      <c r="M38" s="32"/>
      <c r="N38" s="32"/>
      <c r="O38" s="46"/>
    </row>
    <row r="39" spans="2:17" x14ac:dyDescent="0.2">
      <c r="B39" s="251" t="s">
        <v>191</v>
      </c>
      <c r="C39" s="252"/>
      <c r="D39" s="9"/>
      <c r="E39" s="28" t="s">
        <v>184</v>
      </c>
      <c r="F39" s="28" t="s">
        <v>185</v>
      </c>
      <c r="G39" s="9"/>
      <c r="H39" s="246" t="s">
        <v>186</v>
      </c>
      <c r="I39" s="246"/>
      <c r="J39" s="9"/>
      <c r="K39" s="9"/>
      <c r="L39" s="246" t="s">
        <v>187</v>
      </c>
      <c r="M39" s="246"/>
      <c r="N39" s="9"/>
      <c r="O39" s="50"/>
    </row>
    <row r="40" spans="2:17" x14ac:dyDescent="0.2">
      <c r="B40" s="47"/>
      <c r="C40" s="9"/>
      <c r="D40" s="9"/>
      <c r="E40" s="103">
        <f ca="1">F41+VLOOKUP(E41,INDIRECT(ADDRESS(MATCH(F41,A_values,0),4,1,TRUE,"mass_rmd.mas")):INDIRECT(ADDRESS(MATCH(F41+1,A_values,0)-1,7,1,TRUE,"mass_rmd.mas")),4,FALSE)/1000/mass_rmd.mas!$A$2</f>
        <v>6.0151228864893431</v>
      </c>
      <c r="F40" s="193">
        <v>2</v>
      </c>
      <c r="G40" s="9"/>
      <c r="H40" s="257">
        <f ca="1">mass_rmd.mas!A2*(SQRT(POWER( (L40/(3.10711*E40/F40)),2)+1)-1)</f>
        <v>43.97585902895117</v>
      </c>
      <c r="I40" s="257"/>
      <c r="J40" s="9"/>
      <c r="K40" s="9"/>
      <c r="L40" s="266">
        <v>2.9051559999999998</v>
      </c>
      <c r="M40" s="267"/>
      <c r="N40" s="9"/>
      <c r="O40" s="50"/>
    </row>
    <row r="41" spans="2:17" x14ac:dyDescent="0.2">
      <c r="B41" s="47"/>
      <c r="C41" s="9"/>
      <c r="D41" s="28" t="s">
        <v>313</v>
      </c>
      <c r="E41" s="194" t="s">
        <v>0</v>
      </c>
      <c r="F41" s="195">
        <v>6</v>
      </c>
      <c r="G41" s="9"/>
      <c r="H41" s="54"/>
      <c r="I41" s="54"/>
      <c r="J41" s="9"/>
      <c r="K41" s="9"/>
      <c r="L41" s="52"/>
      <c r="M41" s="52"/>
      <c r="N41" s="9"/>
      <c r="O41" s="50"/>
    </row>
    <row r="42" spans="2:17" x14ac:dyDescent="0.2">
      <c r="B42" s="47"/>
      <c r="C42" s="9"/>
      <c r="D42" s="28" t="s">
        <v>91</v>
      </c>
      <c r="E42" s="103">
        <f>INDEX(Z_values,MATCH(E41,Symbol_values,0))</f>
        <v>3</v>
      </c>
      <c r="F42" s="55"/>
      <c r="G42" s="9"/>
      <c r="H42" s="54"/>
      <c r="I42" s="54"/>
      <c r="J42" s="9"/>
      <c r="K42" s="9"/>
      <c r="L42" s="9"/>
      <c r="M42" s="9"/>
      <c r="N42" s="9"/>
      <c r="O42" s="50"/>
    </row>
    <row r="43" spans="2:17" x14ac:dyDescent="0.2">
      <c r="B43" s="47"/>
      <c r="C43" s="9"/>
      <c r="D43" s="9"/>
      <c r="E43" s="9"/>
      <c r="F43" s="9"/>
      <c r="G43" s="28" t="s">
        <v>316</v>
      </c>
      <c r="H43" s="269">
        <f ca="1">SQRT(1-POWER((1/H45),2))*100</f>
        <v>29.686878092905921</v>
      </c>
      <c r="I43" s="269"/>
      <c r="J43" s="9" t="s">
        <v>188</v>
      </c>
      <c r="K43" s="28" t="s">
        <v>314</v>
      </c>
      <c r="L43" s="257">
        <f ca="1">H40*E40</f>
        <v>264.5201960980732</v>
      </c>
      <c r="M43" s="257"/>
      <c r="N43" s="9" t="s">
        <v>170</v>
      </c>
      <c r="O43" s="50"/>
    </row>
    <row r="44" spans="2:17" x14ac:dyDescent="0.2">
      <c r="B44" s="47"/>
      <c r="C44" s="9"/>
      <c r="D44" s="9"/>
      <c r="E44" s="9"/>
      <c r="F44" s="9"/>
      <c r="G44" s="28" t="s">
        <v>320</v>
      </c>
      <c r="H44" s="268">
        <f ca="1">H43/100*29.998</f>
        <v>8.9054696903099195</v>
      </c>
      <c r="I44" s="268"/>
      <c r="J44" s="9" t="s">
        <v>315</v>
      </c>
      <c r="K44" s="28"/>
      <c r="L44" s="56"/>
      <c r="M44" s="56"/>
      <c r="N44" s="9"/>
      <c r="O44" s="50"/>
    </row>
    <row r="45" spans="2:17" x14ac:dyDescent="0.2">
      <c r="B45" s="47"/>
      <c r="C45" s="9"/>
      <c r="D45" s="9"/>
      <c r="E45" s="246" t="s">
        <v>190</v>
      </c>
      <c r="F45" s="246"/>
      <c r="G45" s="28" t="s">
        <v>321</v>
      </c>
      <c r="H45" s="259">
        <f ca="1">1+L43/(E40*mass_rmd.mas!A2)</f>
        <v>1.0472100262042907</v>
      </c>
      <c r="I45" s="259"/>
      <c r="J45" s="9"/>
      <c r="K45" s="28" t="s">
        <v>310</v>
      </c>
      <c r="L45" s="265">
        <f ca="1">H45*E40*mass_rmd.mas!A2*H43/100/1000</f>
        <v>1.741898780718105</v>
      </c>
      <c r="M45" s="265"/>
      <c r="N45" s="9" t="s">
        <v>311</v>
      </c>
      <c r="O45" s="50"/>
    </row>
    <row r="46" spans="2:17" x14ac:dyDescent="0.2">
      <c r="B46" s="47"/>
      <c r="C46" s="9"/>
      <c r="D46" s="9"/>
      <c r="E46" s="247">
        <v>10</v>
      </c>
      <c r="F46" s="248"/>
      <c r="G46" s="28" t="s">
        <v>319</v>
      </c>
      <c r="H46" s="268">
        <f ca="1">IF(ISNUMBER(E46),E46*100/H44," ")</f>
        <v>112.2905399462652</v>
      </c>
      <c r="I46" s="268"/>
      <c r="J46" s="9" t="s">
        <v>189</v>
      </c>
      <c r="K46" s="9"/>
      <c r="L46" s="9"/>
      <c r="M46" s="9"/>
      <c r="N46" s="9"/>
      <c r="O46" s="50"/>
    </row>
    <row r="47" spans="2:17" ht="13.5" thickBot="1" x14ac:dyDescent="0.25">
      <c r="B47" s="48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49"/>
      <c r="Q47" s="205" t="s">
        <v>472</v>
      </c>
    </row>
    <row r="48" spans="2:17" ht="13.5" thickBot="1" x14ac:dyDescent="0.25"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</row>
    <row r="49" spans="2:17" x14ac:dyDescent="0.2">
      <c r="B49" s="242" t="s">
        <v>341</v>
      </c>
      <c r="C49" s="243"/>
      <c r="D49" s="243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46"/>
    </row>
    <row r="50" spans="2:17" ht="15" x14ac:dyDescent="0.3">
      <c r="B50" s="75"/>
      <c r="C50" s="9" t="s">
        <v>325</v>
      </c>
      <c r="D50" s="9" t="s">
        <v>326</v>
      </c>
      <c r="E50" s="9" t="s">
        <v>327</v>
      </c>
      <c r="F50" s="9" t="s">
        <v>328</v>
      </c>
      <c r="G50" s="76" t="s">
        <v>329</v>
      </c>
      <c r="H50" s="9" t="s">
        <v>343</v>
      </c>
      <c r="I50" s="9" t="s">
        <v>330</v>
      </c>
      <c r="J50" s="9" t="s">
        <v>331</v>
      </c>
      <c r="K50" s="29" t="s">
        <v>332</v>
      </c>
      <c r="L50" s="76" t="s">
        <v>333</v>
      </c>
      <c r="M50" s="9" t="s">
        <v>334</v>
      </c>
      <c r="N50" s="9" t="s">
        <v>335</v>
      </c>
      <c r="O50" s="50" t="s">
        <v>336</v>
      </c>
    </row>
    <row r="51" spans="2:17" x14ac:dyDescent="0.2">
      <c r="B51" s="36" t="s">
        <v>337</v>
      </c>
      <c r="C51" s="193">
        <v>5.0000000000000001E-4</v>
      </c>
      <c r="D51" s="74"/>
      <c r="E51" s="193">
        <v>9.9999999999999995E-8</v>
      </c>
      <c r="F51" s="197">
        <v>60000000000</v>
      </c>
      <c r="G51" s="74"/>
      <c r="H51" s="74"/>
      <c r="I51" s="74"/>
      <c r="J51" s="193">
        <v>142</v>
      </c>
      <c r="K51" s="74"/>
      <c r="L51" s="74"/>
      <c r="M51" s="74"/>
      <c r="N51" s="185">
        <f>0.602/J51*C51*E51*F51</f>
        <v>1.2718309859154928E-2</v>
      </c>
      <c r="O51" s="186">
        <f>3600*N51</f>
        <v>45.785915492957741</v>
      </c>
    </row>
    <row r="52" spans="2:17" x14ac:dyDescent="0.2">
      <c r="B52" s="36"/>
      <c r="C52" s="55"/>
      <c r="D52" s="9"/>
      <c r="E52" s="55"/>
      <c r="F52" s="55"/>
      <c r="G52" s="9"/>
      <c r="H52" s="9"/>
      <c r="I52" s="9"/>
      <c r="J52" s="9"/>
      <c r="K52" s="9"/>
      <c r="L52" s="9"/>
      <c r="M52" s="9"/>
      <c r="N52" s="55"/>
      <c r="O52" s="80"/>
    </row>
    <row r="53" spans="2:17" x14ac:dyDescent="0.2">
      <c r="B53" s="36" t="s">
        <v>338</v>
      </c>
      <c r="C53" s="193">
        <v>5.0000000000000001E-4</v>
      </c>
      <c r="D53" s="74"/>
      <c r="E53" s="193">
        <v>9.9999999999999995E-8</v>
      </c>
      <c r="F53" s="79"/>
      <c r="G53" s="74"/>
      <c r="H53" s="74"/>
      <c r="I53" s="74"/>
      <c r="J53" s="193">
        <v>142</v>
      </c>
      <c r="K53" s="184">
        <f>0.6*C53/J53*E53</f>
        <v>2.112676056338028E-13</v>
      </c>
      <c r="L53" s="9"/>
      <c r="M53" s="9"/>
      <c r="N53" s="55"/>
      <c r="O53" s="50"/>
    </row>
    <row r="54" spans="2:17" x14ac:dyDescent="0.2">
      <c r="B54" s="47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263" t="s">
        <v>342</v>
      </c>
      <c r="O54" s="264"/>
    </row>
    <row r="55" spans="2:17" x14ac:dyDescent="0.2">
      <c r="B55" s="36" t="s">
        <v>339</v>
      </c>
      <c r="C55" s="74"/>
      <c r="D55" s="193">
        <v>0.5</v>
      </c>
      <c r="E55" s="74"/>
      <c r="F55" s="74"/>
      <c r="G55" s="74"/>
      <c r="H55" s="193">
        <v>10</v>
      </c>
      <c r="I55" s="193">
        <v>2</v>
      </c>
      <c r="J55" s="193">
        <v>142</v>
      </c>
      <c r="K55" s="74"/>
      <c r="L55" s="187">
        <f>(O55*H55*J55)/(3.75*D55*1000*I55*M55)</f>
        <v>3.7866666666666666</v>
      </c>
      <c r="M55" s="193">
        <v>10</v>
      </c>
      <c r="N55" s="74"/>
      <c r="O55" s="198">
        <v>100</v>
      </c>
    </row>
    <row r="56" spans="2:17" x14ac:dyDescent="0.2">
      <c r="B56" s="47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50"/>
    </row>
    <row r="57" spans="2:17" x14ac:dyDescent="0.2">
      <c r="B57" s="36" t="s">
        <v>340</v>
      </c>
      <c r="C57" s="74"/>
      <c r="D57" s="193">
        <v>10</v>
      </c>
      <c r="E57" s="74"/>
      <c r="F57" s="74"/>
      <c r="G57" s="193">
        <v>1E-3</v>
      </c>
      <c r="H57" s="193">
        <v>1</v>
      </c>
      <c r="I57" s="74"/>
      <c r="J57" s="193">
        <v>56</v>
      </c>
      <c r="K57" s="74"/>
      <c r="L57" s="193">
        <v>1000</v>
      </c>
      <c r="M57" s="193">
        <v>4</v>
      </c>
      <c r="N57" s="185">
        <f>L57*3.75*D57*G57*M57/H57/J57</f>
        <v>2.6785714285714284</v>
      </c>
      <c r="O57" s="50"/>
    </row>
    <row r="58" spans="2:17" ht="13.5" thickBot="1" x14ac:dyDescent="0.25">
      <c r="B58" s="48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49"/>
      <c r="Q58" s="205" t="s">
        <v>472</v>
      </c>
    </row>
    <row r="59" spans="2:17" ht="13.5" thickBot="1" x14ac:dyDescent="0.25"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</row>
    <row r="60" spans="2:17" x14ac:dyDescent="0.2">
      <c r="B60" s="174" t="s">
        <v>443</v>
      </c>
      <c r="C60" s="175"/>
      <c r="D60" s="175"/>
      <c r="E60" s="175"/>
      <c r="F60" s="32"/>
      <c r="G60" s="32" t="s">
        <v>459</v>
      </c>
      <c r="H60" s="32"/>
      <c r="I60" s="32"/>
      <c r="J60" s="32"/>
      <c r="K60" s="32"/>
      <c r="L60" s="32"/>
      <c r="M60" s="32"/>
      <c r="N60" s="32"/>
      <c r="O60" s="46"/>
    </row>
    <row r="61" spans="2:17" x14ac:dyDescent="0.2">
      <c r="B61" s="47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50"/>
    </row>
    <row r="62" spans="2:17" x14ac:dyDescent="0.2">
      <c r="B62" s="176"/>
      <c r="C62" s="101"/>
      <c r="D62" s="101"/>
      <c r="E62" s="101"/>
      <c r="F62" s="101"/>
      <c r="G62" s="173" t="s">
        <v>118</v>
      </c>
      <c r="H62" s="83" t="s">
        <v>401</v>
      </c>
      <c r="I62" s="9"/>
      <c r="J62" s="177" t="s">
        <v>460</v>
      </c>
      <c r="K62" s="193">
        <v>5</v>
      </c>
      <c r="L62" s="9" t="s">
        <v>461</v>
      </c>
      <c r="M62" s="9"/>
      <c r="N62" s="9"/>
      <c r="O62" s="50"/>
    </row>
    <row r="63" spans="2:17" x14ac:dyDescent="0.2">
      <c r="B63" s="47" t="s">
        <v>398</v>
      </c>
      <c r="C63" s="9"/>
      <c r="D63" s="169" t="s">
        <v>462</v>
      </c>
      <c r="E63" s="191">
        <v>74</v>
      </c>
      <c r="F63" s="9"/>
      <c r="G63" s="9">
        <f ca="1">VLOOKUP(D63,INDIRECT(ADDRESS(MATCH(E63,A_values,0),4,1,TRUE,"mass_rmd.mas")):INDIRECT(ADDRESS(MATCH(E63+1,A_values,0)-1,7,1,TRUE,"mass_rmd.mas")),4,FALSE)/1000</f>
        <v>-62.331836000000003</v>
      </c>
      <c r="H63" s="94">
        <f ca="1">E63+G63/mass_rmd.mas!$A$2</f>
        <v>73.933084022099848</v>
      </c>
      <c r="I63" s="9"/>
      <c r="J63" s="9" t="s">
        <v>444</v>
      </c>
      <c r="K63" s="169">
        <v>1.25</v>
      </c>
      <c r="L63" s="9" t="s">
        <v>445</v>
      </c>
      <c r="M63" s="9"/>
      <c r="N63" s="9"/>
      <c r="O63" s="50"/>
    </row>
    <row r="64" spans="2:17" x14ac:dyDescent="0.2">
      <c r="B64" s="47"/>
      <c r="C64" s="9"/>
      <c r="D64" s="9"/>
      <c r="E64" s="9"/>
      <c r="F64" s="9"/>
      <c r="G64" s="9"/>
      <c r="H64" s="94"/>
      <c r="I64" s="9"/>
      <c r="J64" s="9"/>
      <c r="K64" s="9"/>
      <c r="L64" s="9"/>
      <c r="M64" s="9"/>
      <c r="N64" s="9"/>
      <c r="O64" s="50"/>
    </row>
    <row r="65" spans="2:15" x14ac:dyDescent="0.2">
      <c r="B65" s="178"/>
      <c r="C65" s="99"/>
      <c r="D65" s="99"/>
      <c r="E65" s="99"/>
      <c r="F65" s="99"/>
      <c r="G65" s="99"/>
      <c r="H65" s="85"/>
      <c r="I65" s="9"/>
      <c r="J65" s="9"/>
      <c r="K65" s="9"/>
      <c r="L65" s="9"/>
      <c r="M65" s="9"/>
      <c r="N65" s="9"/>
      <c r="O65" s="50"/>
    </row>
    <row r="66" spans="2:15" x14ac:dyDescent="0.2">
      <c r="B66" s="176"/>
      <c r="C66" s="101"/>
      <c r="D66" s="101"/>
      <c r="E66" s="101"/>
      <c r="F66" s="101"/>
      <c r="G66" s="101"/>
      <c r="H66" s="101"/>
      <c r="I66" s="101"/>
      <c r="J66" s="83"/>
      <c r="K66" s="9"/>
      <c r="L66" s="82"/>
      <c r="M66" s="101"/>
      <c r="N66" s="101"/>
      <c r="O66" s="179"/>
    </row>
    <row r="67" spans="2:15" x14ac:dyDescent="0.2">
      <c r="B67" s="47" t="s">
        <v>446</v>
      </c>
      <c r="C67" s="9"/>
      <c r="D67" s="169" t="s">
        <v>448</v>
      </c>
      <c r="E67" s="191">
        <v>58</v>
      </c>
      <c r="F67" s="171" t="s">
        <v>454</v>
      </c>
      <c r="G67" s="9" t="s">
        <v>446</v>
      </c>
      <c r="H67" s="9"/>
      <c r="I67" s="169" t="s">
        <v>449</v>
      </c>
      <c r="J67" s="191">
        <v>208</v>
      </c>
      <c r="K67" s="9"/>
      <c r="L67" s="92" t="s">
        <v>398</v>
      </c>
      <c r="M67" s="9"/>
      <c r="N67" s="169" t="s">
        <v>462</v>
      </c>
      <c r="O67" s="199">
        <v>74</v>
      </c>
    </row>
    <row r="68" spans="2:15" x14ac:dyDescent="0.2">
      <c r="B68" s="47"/>
      <c r="C68" s="9"/>
      <c r="D68" s="9"/>
      <c r="E68" s="9"/>
      <c r="F68" s="9"/>
      <c r="G68" s="9"/>
      <c r="H68" s="9"/>
      <c r="I68" s="9"/>
      <c r="J68" s="94"/>
      <c r="K68" s="9"/>
      <c r="L68" s="92" t="s">
        <v>455</v>
      </c>
      <c r="M68" s="9"/>
      <c r="N68" s="193">
        <v>472.43599999999998</v>
      </c>
      <c r="O68" s="50" t="s">
        <v>170</v>
      </c>
    </row>
    <row r="69" spans="2:15" x14ac:dyDescent="0.2">
      <c r="B69" s="47"/>
      <c r="C69" s="9" t="s">
        <v>447</v>
      </c>
      <c r="D69" s="114">
        <f xml:space="preserve"> 1.152*INDEX(Z_values,MATCH($D$63,Symbol_values,0))*INDEX(Z_values,MATCH(D67,Symbol_values,0)) / ($E$63^0.33333 + E67^0.33333)*1.25/$K$63</f>
        <v>143.90897773936243</v>
      </c>
      <c r="E69" s="9" t="s">
        <v>170</v>
      </c>
      <c r="F69" s="9"/>
      <c r="G69" s="9"/>
      <c r="H69" s="9" t="s">
        <v>447</v>
      </c>
      <c r="I69" s="114">
        <f xml:space="preserve"> 1.152*INDEX(Z_values,MATCH($D$63,Symbol_values,0))*INDEX(Z_values,MATCH(I67,Symbol_values,0)) / ($E$63^0.33333 + J67^0.33333)*1.25/$K$63</f>
        <v>335.93295092108951</v>
      </c>
      <c r="J69" s="94" t="s">
        <v>170</v>
      </c>
      <c r="K69" s="9"/>
      <c r="L69" s="92"/>
      <c r="M69" s="9"/>
      <c r="N69" s="167">
        <f>N68/O67</f>
        <v>6.3842702702702701</v>
      </c>
      <c r="O69" s="50" t="s">
        <v>463</v>
      </c>
    </row>
    <row r="70" spans="2:15" x14ac:dyDescent="0.2">
      <c r="B70" s="47"/>
      <c r="C70" s="28" t="s">
        <v>404</v>
      </c>
      <c r="D70" s="114">
        <f ca="1">D69/$H$63</f>
        <v>1.9464760552440312</v>
      </c>
      <c r="E70" s="9" t="s">
        <v>463</v>
      </c>
      <c r="F70" s="9"/>
      <c r="G70" s="9"/>
      <c r="H70" s="28" t="s">
        <v>404</v>
      </c>
      <c r="I70" s="114">
        <f ca="1">I69/$H$63</f>
        <v>4.5437432424795574</v>
      </c>
      <c r="J70" s="94" t="s">
        <v>463</v>
      </c>
      <c r="K70" s="9"/>
      <c r="L70" s="92" t="s">
        <v>446</v>
      </c>
      <c r="M70" s="9"/>
      <c r="N70" s="169" t="s">
        <v>449</v>
      </c>
      <c r="O70" s="199">
        <v>208</v>
      </c>
    </row>
    <row r="71" spans="2:15" x14ac:dyDescent="0.2">
      <c r="B71" s="47"/>
      <c r="C71" s="9"/>
      <c r="D71" s="9"/>
      <c r="E71" s="9"/>
      <c r="F71" s="9"/>
      <c r="G71" s="9"/>
      <c r="H71" s="9"/>
      <c r="I71" s="9"/>
      <c r="J71" s="94"/>
      <c r="K71" s="9"/>
      <c r="L71" s="92" t="s">
        <v>458</v>
      </c>
      <c r="M71" s="9"/>
      <c r="N71" s="150">
        <f>K63*(O67^0.3333+O70^0.3333)</f>
        <v>12.652090293478487</v>
      </c>
      <c r="O71" s="50" t="s">
        <v>350</v>
      </c>
    </row>
    <row r="72" spans="2:15" x14ac:dyDescent="0.2">
      <c r="B72" s="144" t="s">
        <v>450</v>
      </c>
      <c r="C72" s="104"/>
      <c r="D72" s="104" t="s">
        <v>451</v>
      </c>
      <c r="E72" s="104" t="s">
        <v>452</v>
      </c>
      <c r="F72" s="9"/>
      <c r="G72" s="104" t="s">
        <v>450</v>
      </c>
      <c r="H72" s="104"/>
      <c r="I72" s="104" t="s">
        <v>451</v>
      </c>
      <c r="J72" s="168" t="s">
        <v>452</v>
      </c>
      <c r="K72" s="9"/>
      <c r="L72" s="113" t="s">
        <v>450</v>
      </c>
      <c r="M72" s="104"/>
      <c r="N72" s="98" t="s">
        <v>456</v>
      </c>
      <c r="O72" s="145"/>
    </row>
    <row r="73" spans="2:15" x14ac:dyDescent="0.2">
      <c r="B73" s="144" t="s">
        <v>453</v>
      </c>
      <c r="C73" s="104"/>
      <c r="D73" s="104" t="s">
        <v>117</v>
      </c>
      <c r="E73" s="104" t="s">
        <v>464</v>
      </c>
      <c r="F73" s="9"/>
      <c r="G73" s="104" t="s">
        <v>453</v>
      </c>
      <c r="H73" s="104"/>
      <c r="I73" s="104" t="s">
        <v>117</v>
      </c>
      <c r="J73" s="168" t="s">
        <v>464</v>
      </c>
      <c r="K73" s="9"/>
      <c r="L73" s="113" t="s">
        <v>453</v>
      </c>
      <c r="M73" s="104"/>
      <c r="N73" s="98" t="s">
        <v>457</v>
      </c>
      <c r="O73" s="145"/>
    </row>
    <row r="74" spans="2:15" x14ac:dyDescent="0.2">
      <c r="B74" s="47">
        <v>10</v>
      </c>
      <c r="C74" s="9"/>
      <c r="D74" s="10">
        <f xml:space="preserve"> 1.152 * INDEX(Z_values,MATCH($D$63,Symbol_values,0)) *  INDEX(Z_values,MATCH($D$67,Symbol_values,0)) / ( ($E$63^0.33333 + $E$67^0.3333) + 4*$K$62/5 )*1.25/$K$63* ( 1 + (1/SIN(RADIANS(B74/2))) )/2</f>
        <v>600.0961427563243</v>
      </c>
      <c r="E74" s="10">
        <f>D74/$E$63</f>
        <v>8.1094073345449225</v>
      </c>
      <c r="F74" s="9"/>
      <c r="G74" s="9">
        <v>10</v>
      </c>
      <c r="H74" s="9"/>
      <c r="I74" s="10">
        <f xml:space="preserve"> 1.152 * INDEX(Z_values,MATCH($D$63,Symbol_values,0)) *  INDEX(Z_values,MATCH($I$67,Symbol_values,0)) / ( ($E$63^0.33333 + $J$67^0.3333) + 4*$K$62/5 )*1.25/$K$63* ( 1 + (1/SIN(RADIANS(G74/2))) )/2</f>
        <v>1501.8681086439276</v>
      </c>
      <c r="J74" s="96">
        <f>I74/$E$63</f>
        <v>20.295514981674696</v>
      </c>
      <c r="K74" s="9"/>
      <c r="L74" s="92">
        <v>10</v>
      </c>
      <c r="M74" s="166" t="s">
        <v>147</v>
      </c>
      <c r="N74" s="170">
        <f xml:space="preserve"> (1.44 *INDEX(Z_values,MATCH($N$67,Symbol_values,0)) *  INDEX(Z_values,MATCH($N$70,Symbol_values,0)) / $N$68 ) * (1 + 1/SIN((RADIANS(L74/2)))  )/2</f>
        <v>56.117927255493953</v>
      </c>
      <c r="O74" s="180" t="str">
        <f>IF(N74&lt;$N$71,"touch",IF(N74&lt;($N$71+$K$62)," ","safe"))</f>
        <v>safe</v>
      </c>
    </row>
    <row r="75" spans="2:15" x14ac:dyDescent="0.2">
      <c r="B75" s="47">
        <f>10+B74</f>
        <v>20</v>
      </c>
      <c r="C75" s="9"/>
      <c r="D75" s="10">
        <f t="shared" ref="D75:D91" si="0" xml:space="preserve"> 1.152 * INDEX(Z_values,MATCH($D$63,Symbol_values,0)) *  INDEX(Z_values,MATCH($D$67,Symbol_values,0)) / ( ($E$63^0.33333 + $E$67^0.3333) + 4*$K$62/5 )*1.25/$K$63* ( 1 + (1/SIN(RADIANS(B75/2))) )/2</f>
        <v>325.15675299155754</v>
      </c>
      <c r="E75" s="10">
        <f t="shared" ref="E75:E91" si="1">D75/$E$63</f>
        <v>4.3940101755615881</v>
      </c>
      <c r="F75" s="9"/>
      <c r="G75" s="9">
        <f>10+G74</f>
        <v>20</v>
      </c>
      <c r="H75" s="9"/>
      <c r="I75" s="10">
        <f t="shared" ref="I75:I91" si="2" xml:space="preserve"> 1.152 * INDEX(Z_values,MATCH($D$63,Symbol_values,0)) *  INDEX(Z_values,MATCH($I$67,Symbol_values,0)) / ( ($E$63^0.33333 + $J$67^0.3333) + 4*$K$62/5 )*1.25/$K$63* ( 1 + (1/SIN(RADIANS(G75/2))) )/2</f>
        <v>813.77386527633155</v>
      </c>
      <c r="J75" s="96">
        <f t="shared" ref="J75:J91" si="3">I75/$E$63</f>
        <v>10.996944125355832</v>
      </c>
      <c r="K75" s="9"/>
      <c r="L75" s="92">
        <f>$M$75+L74</f>
        <v>20</v>
      </c>
      <c r="M75" s="193">
        <v>10</v>
      </c>
      <c r="N75" s="170">
        <f t="shared" ref="N75:N91" si="4" xml:space="preserve"> (1.44 *INDEX(Z_values,MATCH($N$67,Symbol_values,0)) *  INDEX(Z_values,MATCH($N$70,Symbol_values,0)) / $N$68 ) * (1 + 1/SIN((RADIANS(L75/2)))  )/2</f>
        <v>30.406999330476097</v>
      </c>
      <c r="O75" s="180" t="str">
        <f t="shared" ref="O75:O91" si="5">IF(N75&lt;$N$71,"touch",IF(N75&lt;($N$71+$K$62)," ","safe"))</f>
        <v>safe</v>
      </c>
    </row>
    <row r="76" spans="2:15" x14ac:dyDescent="0.2">
      <c r="B76" s="47">
        <f t="shared" ref="B76:B91" si="6">10+B75</f>
        <v>30</v>
      </c>
      <c r="C76" s="9"/>
      <c r="D76" s="10">
        <f t="shared" si="0"/>
        <v>233.98722861844399</v>
      </c>
      <c r="E76" s="10">
        <f t="shared" si="1"/>
        <v>3.161989575924919</v>
      </c>
      <c r="F76" s="9"/>
      <c r="G76" s="9">
        <f t="shared" ref="G76:G91" si="7">10+G75</f>
        <v>30</v>
      </c>
      <c r="H76" s="9"/>
      <c r="I76" s="10">
        <f t="shared" si="2"/>
        <v>585.60275838119151</v>
      </c>
      <c r="J76" s="96">
        <f t="shared" si="3"/>
        <v>7.9135507889350203</v>
      </c>
      <c r="K76" s="9"/>
      <c r="L76" s="92">
        <f t="shared" ref="L76:L91" si="8">$M$75+L75</f>
        <v>30</v>
      </c>
      <c r="M76" s="9"/>
      <c r="N76" s="170">
        <f t="shared" si="4"/>
        <v>21.881290911173895</v>
      </c>
      <c r="O76" s="180" t="str">
        <f t="shared" si="5"/>
        <v>safe</v>
      </c>
    </row>
    <row r="77" spans="2:15" x14ac:dyDescent="0.2">
      <c r="B77" s="47">
        <f t="shared" si="6"/>
        <v>40</v>
      </c>
      <c r="C77" s="9"/>
      <c r="D77" s="10">
        <f t="shared" si="0"/>
        <v>188.76976238695897</v>
      </c>
      <c r="E77" s="10">
        <f t="shared" si="1"/>
        <v>2.5509427349589049</v>
      </c>
      <c r="F77" s="9"/>
      <c r="G77" s="9">
        <f t="shared" si="7"/>
        <v>40</v>
      </c>
      <c r="H77" s="9"/>
      <c r="I77" s="10">
        <f t="shared" si="2"/>
        <v>472.43644110604959</v>
      </c>
      <c r="J77" s="96">
        <f t="shared" si="3"/>
        <v>6.3842762311628318</v>
      </c>
      <c r="K77" s="9"/>
      <c r="L77" s="92">
        <f t="shared" si="8"/>
        <v>40</v>
      </c>
      <c r="M77" s="9"/>
      <c r="N77" s="170">
        <f t="shared" si="4"/>
        <v>17.652784343874373</v>
      </c>
      <c r="O77" s="180" t="str">
        <f t="shared" si="5"/>
        <v>safe</v>
      </c>
    </row>
    <row r="78" spans="2:15" x14ac:dyDescent="0.2">
      <c r="B78" s="47">
        <f t="shared" si="6"/>
        <v>50</v>
      </c>
      <c r="C78" s="9"/>
      <c r="D78" s="10">
        <f t="shared" si="0"/>
        <v>161.94412569900049</v>
      </c>
      <c r="E78" s="10">
        <f t="shared" si="1"/>
        <v>2.1884341310675741</v>
      </c>
      <c r="F78" s="9"/>
      <c r="G78" s="9">
        <f t="shared" si="7"/>
        <v>50</v>
      </c>
      <c r="H78" s="9"/>
      <c r="I78" s="10">
        <f t="shared" si="2"/>
        <v>405.29958525048215</v>
      </c>
      <c r="J78" s="96">
        <f t="shared" si="3"/>
        <v>5.4770214223038129</v>
      </c>
      <c r="K78" s="9"/>
      <c r="L78" s="92">
        <f t="shared" si="8"/>
        <v>50</v>
      </c>
      <c r="M78" s="9"/>
      <c r="N78" s="170">
        <f t="shared" si="4"/>
        <v>15.14418776912777</v>
      </c>
      <c r="O78" s="180" t="str">
        <f t="shared" si="5"/>
        <v xml:space="preserve"> </v>
      </c>
    </row>
    <row r="79" spans="2:15" x14ac:dyDescent="0.2">
      <c r="B79" s="47">
        <f t="shared" si="6"/>
        <v>60</v>
      </c>
      <c r="C79" s="9"/>
      <c r="D79" s="10">
        <f t="shared" si="0"/>
        <v>144.32658445903652</v>
      </c>
      <c r="E79" s="10">
        <f t="shared" si="1"/>
        <v>1.9503592494464395</v>
      </c>
      <c r="F79" s="9"/>
      <c r="G79" s="9">
        <f t="shared" si="7"/>
        <v>60</v>
      </c>
      <c r="H79" s="9"/>
      <c r="I79" s="10">
        <f t="shared" si="2"/>
        <v>361.20794483518097</v>
      </c>
      <c r="J79" s="96">
        <f t="shared" si="3"/>
        <v>4.8811884437186617</v>
      </c>
      <c r="K79" s="9"/>
      <c r="L79" s="92">
        <f t="shared" si="8"/>
        <v>60</v>
      </c>
      <c r="M79" s="9"/>
      <c r="N79" s="170">
        <f t="shared" si="4"/>
        <v>13.49668526530578</v>
      </c>
      <c r="O79" s="180" t="str">
        <f t="shared" si="5"/>
        <v xml:space="preserve"> </v>
      </c>
    </row>
    <row r="80" spans="2:15" x14ac:dyDescent="0.2">
      <c r="B80" s="47">
        <f t="shared" si="6"/>
        <v>70</v>
      </c>
      <c r="C80" s="9"/>
      <c r="D80" s="10">
        <f t="shared" si="0"/>
        <v>131.98410188569383</v>
      </c>
      <c r="E80" s="10">
        <f t="shared" si="1"/>
        <v>1.7835689444012679</v>
      </c>
      <c r="F80" s="9"/>
      <c r="G80" s="9">
        <f t="shared" si="7"/>
        <v>70</v>
      </c>
      <c r="H80" s="9"/>
      <c r="I80" s="10">
        <f t="shared" si="2"/>
        <v>330.31825960365319</v>
      </c>
      <c r="J80" s="96">
        <f t="shared" si="3"/>
        <v>4.4637602649142325</v>
      </c>
      <c r="K80" s="9"/>
      <c r="L80" s="92">
        <f t="shared" si="8"/>
        <v>70</v>
      </c>
      <c r="M80" s="9"/>
      <c r="N80" s="170">
        <f t="shared" si="4"/>
        <v>12.34247931420321</v>
      </c>
      <c r="O80" s="180" t="str">
        <f t="shared" si="5"/>
        <v>touch</v>
      </c>
    </row>
    <row r="81" spans="2:17" x14ac:dyDescent="0.2">
      <c r="B81" s="47">
        <f t="shared" si="6"/>
        <v>80</v>
      </c>
      <c r="C81" s="9"/>
      <c r="D81" s="10">
        <f t="shared" si="0"/>
        <v>122.95296358378044</v>
      </c>
      <c r="E81" s="10">
        <f t="shared" si="1"/>
        <v>1.661526534915952</v>
      </c>
      <c r="F81" s="9"/>
      <c r="G81" s="9">
        <f t="shared" si="7"/>
        <v>80</v>
      </c>
      <c r="H81" s="9"/>
      <c r="I81" s="10">
        <f t="shared" si="2"/>
        <v>307.71591702218444</v>
      </c>
      <c r="J81" s="96">
        <f t="shared" si="3"/>
        <v>4.1583232030024924</v>
      </c>
      <c r="K81" s="9"/>
      <c r="L81" s="92">
        <f t="shared" si="8"/>
        <v>80</v>
      </c>
      <c r="M81" s="9"/>
      <c r="N81" s="170">
        <f t="shared" si="4"/>
        <v>11.497933372059276</v>
      </c>
      <c r="O81" s="180" t="str">
        <f t="shared" si="5"/>
        <v>touch</v>
      </c>
    </row>
    <row r="82" spans="2:17" x14ac:dyDescent="0.2">
      <c r="B82" s="47">
        <f t="shared" si="6"/>
        <v>90</v>
      </c>
      <c r="C82" s="9"/>
      <c r="D82" s="10">
        <f t="shared" si="0"/>
        <v>116.14506587066397</v>
      </c>
      <c r="E82" s="10">
        <f t="shared" si="1"/>
        <v>1.5695279171711347</v>
      </c>
      <c r="F82" s="9"/>
      <c r="G82" s="9">
        <f t="shared" si="7"/>
        <v>90</v>
      </c>
      <c r="H82" s="9"/>
      <c r="I82" s="10">
        <f t="shared" si="2"/>
        <v>290.67770641933549</v>
      </c>
      <c r="J82" s="96">
        <f t="shared" si="3"/>
        <v>3.9280771137748038</v>
      </c>
      <c r="K82" s="9"/>
      <c r="L82" s="92">
        <f t="shared" si="8"/>
        <v>90</v>
      </c>
      <c r="M82" s="9"/>
      <c r="N82" s="170">
        <f t="shared" si="4"/>
        <v>10.861293538194108</v>
      </c>
      <c r="O82" s="180" t="str">
        <f t="shared" si="5"/>
        <v>touch</v>
      </c>
    </row>
    <row r="83" spans="2:17" x14ac:dyDescent="0.2">
      <c r="B83" s="47">
        <f t="shared" si="6"/>
        <v>100</v>
      </c>
      <c r="C83" s="9"/>
      <c r="D83" s="10">
        <f t="shared" si="0"/>
        <v>110.91051995209786</v>
      </c>
      <c r="E83" s="10">
        <f t="shared" si="1"/>
        <v>1.4987908101634846</v>
      </c>
      <c r="F83" s="9"/>
      <c r="G83" s="9">
        <f t="shared" si="7"/>
        <v>100</v>
      </c>
      <c r="H83" s="9"/>
      <c r="I83" s="10">
        <f t="shared" si="2"/>
        <v>277.57714299591925</v>
      </c>
      <c r="J83" s="96">
        <f t="shared" si="3"/>
        <v>3.7510424729178276</v>
      </c>
      <c r="K83" s="9"/>
      <c r="L83" s="92">
        <f t="shared" si="8"/>
        <v>100</v>
      </c>
      <c r="M83" s="9"/>
      <c r="N83" s="170">
        <f t="shared" si="4"/>
        <v>10.371785530819833</v>
      </c>
      <c r="O83" s="180" t="str">
        <f t="shared" si="5"/>
        <v>touch</v>
      </c>
    </row>
    <row r="84" spans="2:17" x14ac:dyDescent="0.2">
      <c r="B84" s="47">
        <f t="shared" si="6"/>
        <v>110</v>
      </c>
      <c r="C84" s="9"/>
      <c r="D84" s="10">
        <f t="shared" si="0"/>
        <v>106.83893708312078</v>
      </c>
      <c r="E84" s="10">
        <f t="shared" si="1"/>
        <v>1.4437694200421727</v>
      </c>
      <c r="F84" s="9"/>
      <c r="G84" s="9">
        <f t="shared" si="7"/>
        <v>110</v>
      </c>
      <c r="H84" s="9"/>
      <c r="I84" s="10">
        <f t="shared" si="2"/>
        <v>267.38714171623985</v>
      </c>
      <c r="J84" s="96">
        <f t="shared" si="3"/>
        <v>3.61333975292216</v>
      </c>
      <c r="K84" s="9"/>
      <c r="L84" s="92">
        <f t="shared" si="8"/>
        <v>110</v>
      </c>
      <c r="M84" s="9"/>
      <c r="N84" s="170">
        <f t="shared" si="4"/>
        <v>9.9910318899007464</v>
      </c>
      <c r="O84" s="180" t="str">
        <f t="shared" si="5"/>
        <v>touch</v>
      </c>
    </row>
    <row r="85" spans="2:17" x14ac:dyDescent="0.2">
      <c r="B85" s="47">
        <f t="shared" si="6"/>
        <v>120</v>
      </c>
      <c r="C85" s="9"/>
      <c r="D85" s="10">
        <f t="shared" si="0"/>
        <v>103.66018974544149</v>
      </c>
      <c r="E85" s="10">
        <f t="shared" si="1"/>
        <v>1.4008133749383984</v>
      </c>
      <c r="F85" s="9"/>
      <c r="G85" s="9">
        <f t="shared" si="7"/>
        <v>120</v>
      </c>
      <c r="H85" s="9"/>
      <c r="I85" s="10">
        <f t="shared" si="2"/>
        <v>259.43165106774245</v>
      </c>
      <c r="J85" s="96">
        <f t="shared" si="3"/>
        <v>3.50583312253706</v>
      </c>
      <c r="K85" s="9"/>
      <c r="L85" s="92">
        <f t="shared" si="8"/>
        <v>120</v>
      </c>
      <c r="M85" s="9"/>
      <c r="N85" s="170">
        <f t="shared" si="4"/>
        <v>9.6937716691632225</v>
      </c>
      <c r="O85" s="180" t="str">
        <f t="shared" si="5"/>
        <v>touch</v>
      </c>
    </row>
    <row r="86" spans="2:17" x14ac:dyDescent="0.2">
      <c r="B86" s="47">
        <f t="shared" si="6"/>
        <v>130</v>
      </c>
      <c r="C86" s="9"/>
      <c r="D86" s="10">
        <f t="shared" si="0"/>
        <v>101.19111695680418</v>
      </c>
      <c r="E86" s="10">
        <f t="shared" si="1"/>
        <v>1.3674475264432997</v>
      </c>
      <c r="F86" s="9"/>
      <c r="G86" s="9">
        <f t="shared" si="7"/>
        <v>130</v>
      </c>
      <c r="H86" s="9"/>
      <c r="I86" s="10">
        <f t="shared" si="2"/>
        <v>253.25227177338047</v>
      </c>
      <c r="J86" s="96">
        <f t="shared" si="3"/>
        <v>3.4223279969375739</v>
      </c>
      <c r="K86" s="9"/>
      <c r="L86" s="92">
        <f t="shared" si="8"/>
        <v>130</v>
      </c>
      <c r="M86" s="9"/>
      <c r="N86" s="170">
        <f t="shared" si="4"/>
        <v>9.4628765887435318</v>
      </c>
      <c r="O86" s="180" t="str">
        <f t="shared" si="5"/>
        <v>touch</v>
      </c>
    </row>
    <row r="87" spans="2:17" x14ac:dyDescent="0.2">
      <c r="B87" s="47">
        <f t="shared" si="6"/>
        <v>140</v>
      </c>
      <c r="C87" s="9"/>
      <c r="D87" s="10">
        <f t="shared" si="0"/>
        <v>99.305242539236872</v>
      </c>
      <c r="E87" s="10">
        <f t="shared" si="1"/>
        <v>1.3419627370167144</v>
      </c>
      <c r="F87" s="9"/>
      <c r="G87" s="9">
        <f t="shared" si="7"/>
        <v>140</v>
      </c>
      <c r="H87" s="9"/>
      <c r="I87" s="10">
        <f t="shared" si="2"/>
        <v>248.53247032349535</v>
      </c>
      <c r="J87" s="96">
        <f t="shared" si="3"/>
        <v>3.3585468962634506</v>
      </c>
      <c r="K87" s="9"/>
      <c r="L87" s="92">
        <f t="shared" si="8"/>
        <v>140</v>
      </c>
      <c r="M87" s="9"/>
      <c r="N87" s="170">
        <f t="shared" si="4"/>
        <v>9.286519242249117</v>
      </c>
      <c r="O87" s="180" t="str">
        <f t="shared" si="5"/>
        <v>touch</v>
      </c>
    </row>
    <row r="88" spans="2:17" x14ac:dyDescent="0.2">
      <c r="B88" s="47">
        <f t="shared" si="6"/>
        <v>150</v>
      </c>
      <c r="C88" s="9"/>
      <c r="D88" s="10">
        <f t="shared" si="0"/>
        <v>97.914819849807017</v>
      </c>
      <c r="E88" s="10">
        <f t="shared" si="1"/>
        <v>1.3231732412136084</v>
      </c>
      <c r="F88" s="9"/>
      <c r="G88" s="9">
        <f t="shared" si="7"/>
        <v>150</v>
      </c>
      <c r="H88" s="9"/>
      <c r="I88" s="10">
        <f t="shared" si="2"/>
        <v>245.05264209930766</v>
      </c>
      <c r="J88" s="96">
        <f t="shared" si="3"/>
        <v>3.3115221905311847</v>
      </c>
      <c r="K88" s="9"/>
      <c r="L88" s="92">
        <f t="shared" si="8"/>
        <v>150</v>
      </c>
      <c r="M88" s="9"/>
      <c r="N88" s="170">
        <f t="shared" si="4"/>
        <v>9.1564940116561964</v>
      </c>
      <c r="O88" s="180" t="str">
        <f t="shared" si="5"/>
        <v>touch</v>
      </c>
    </row>
    <row r="89" spans="2:17" x14ac:dyDescent="0.2">
      <c r="B89" s="47">
        <f t="shared" si="6"/>
        <v>160</v>
      </c>
      <c r="C89" s="9"/>
      <c r="D89" s="10">
        <f t="shared" si="0"/>
        <v>96.959879707105941</v>
      </c>
      <c r="E89" s="10">
        <f t="shared" si="1"/>
        <v>1.3102686446906209</v>
      </c>
      <c r="F89" s="9"/>
      <c r="G89" s="9">
        <f t="shared" si="7"/>
        <v>160</v>
      </c>
      <c r="H89" s="9"/>
      <c r="I89" s="10">
        <f t="shared" si="2"/>
        <v>242.66270148179396</v>
      </c>
      <c r="J89" s="96">
        <f t="shared" si="3"/>
        <v>3.2792256956999184</v>
      </c>
      <c r="K89" s="9"/>
      <c r="L89" s="92">
        <f t="shared" si="8"/>
        <v>160</v>
      </c>
      <c r="M89" s="9"/>
      <c r="N89" s="170">
        <f t="shared" si="4"/>
        <v>9.0671928853144959</v>
      </c>
      <c r="O89" s="180" t="str">
        <f t="shared" si="5"/>
        <v>touch</v>
      </c>
    </row>
    <row r="90" spans="2:17" x14ac:dyDescent="0.2">
      <c r="B90" s="47">
        <f t="shared" si="6"/>
        <v>170</v>
      </c>
      <c r="C90" s="9"/>
      <c r="D90" s="10">
        <f t="shared" si="0"/>
        <v>96.401491007964253</v>
      </c>
      <c r="E90" s="10">
        <f t="shared" si="1"/>
        <v>1.3027228514589764</v>
      </c>
      <c r="F90" s="9"/>
      <c r="G90" s="9">
        <f t="shared" si="7"/>
        <v>170</v>
      </c>
      <c r="H90" s="9"/>
      <c r="I90" s="10">
        <f t="shared" si="2"/>
        <v>241.26521511299956</v>
      </c>
      <c r="J90" s="96">
        <f t="shared" si="3"/>
        <v>3.2603407447702644</v>
      </c>
      <c r="K90" s="9"/>
      <c r="L90" s="92">
        <f t="shared" si="8"/>
        <v>170</v>
      </c>
      <c r="M90" s="9"/>
      <c r="N90" s="170">
        <f t="shared" si="4"/>
        <v>9.0149752252329058</v>
      </c>
      <c r="O90" s="180" t="str">
        <f t="shared" si="5"/>
        <v>touch</v>
      </c>
    </row>
    <row r="91" spans="2:17" x14ac:dyDescent="0.2">
      <c r="B91" s="182">
        <f t="shared" si="6"/>
        <v>180</v>
      </c>
      <c r="C91" s="122"/>
      <c r="D91" s="126">
        <f t="shared" si="0"/>
        <v>96.217722972691007</v>
      </c>
      <c r="E91" s="126">
        <f t="shared" si="1"/>
        <v>1.3002394996309596</v>
      </c>
      <c r="F91" s="9"/>
      <c r="G91" s="122">
        <f t="shared" si="7"/>
        <v>180</v>
      </c>
      <c r="H91" s="122"/>
      <c r="I91" s="126">
        <f t="shared" si="2"/>
        <v>240.80529655678728</v>
      </c>
      <c r="J91" s="183">
        <f t="shared" si="3"/>
        <v>3.2541256291457743</v>
      </c>
      <c r="K91" s="9"/>
      <c r="L91" s="92">
        <f t="shared" si="8"/>
        <v>180</v>
      </c>
      <c r="M91" s="9"/>
      <c r="N91" s="170">
        <f t="shared" si="4"/>
        <v>8.9977901768705184</v>
      </c>
      <c r="O91" s="180" t="str">
        <f t="shared" si="5"/>
        <v>touch</v>
      </c>
    </row>
    <row r="92" spans="2:17" x14ac:dyDescent="0.2">
      <c r="B92" s="178"/>
      <c r="C92" s="99"/>
      <c r="D92" s="99"/>
      <c r="E92" s="172"/>
      <c r="F92" s="99"/>
      <c r="G92" s="99"/>
      <c r="H92" s="99"/>
      <c r="I92" s="99"/>
      <c r="J92" s="85"/>
      <c r="K92" s="9"/>
      <c r="L92" s="84"/>
      <c r="M92" s="99"/>
      <c r="N92" s="99"/>
      <c r="O92" s="129"/>
    </row>
    <row r="93" spans="2:17" ht="13.5" thickBot="1" x14ac:dyDescent="0.25">
      <c r="B93" s="48"/>
      <c r="C93" s="6"/>
      <c r="D93" s="6"/>
      <c r="E93" s="8"/>
      <c r="F93" s="6"/>
      <c r="G93" s="6"/>
      <c r="H93" s="6"/>
      <c r="I93" s="6"/>
      <c r="J93" s="6"/>
      <c r="K93" s="6"/>
      <c r="L93" s="6"/>
      <c r="M93" s="6"/>
      <c r="N93" s="6"/>
      <c r="O93" s="49"/>
      <c r="Q93" s="205" t="s">
        <v>472</v>
      </c>
    </row>
    <row r="94" spans="2:17" ht="13.5" thickBot="1" x14ac:dyDescent="0.25">
      <c r="B94" s="63"/>
      <c r="C94" s="63"/>
      <c r="D94" s="63"/>
      <c r="E94" s="181"/>
      <c r="F94" s="63"/>
      <c r="G94" s="63"/>
      <c r="H94" s="63"/>
      <c r="I94" s="63"/>
      <c r="J94" s="63"/>
      <c r="K94" s="63"/>
      <c r="L94" s="63"/>
      <c r="M94" s="63"/>
      <c r="N94" s="63"/>
      <c r="O94" s="63"/>
    </row>
    <row r="95" spans="2:17" x14ac:dyDescent="0.2">
      <c r="B95" s="162" t="s">
        <v>430</v>
      </c>
      <c r="C95" s="163"/>
      <c r="D95" s="163"/>
      <c r="E95" s="32"/>
      <c r="F95" s="32"/>
      <c r="G95" s="32" t="s">
        <v>440</v>
      </c>
      <c r="H95" s="32"/>
      <c r="I95" s="32"/>
      <c r="J95" s="32"/>
      <c r="K95" s="32"/>
      <c r="L95" s="32"/>
      <c r="M95" s="32"/>
      <c r="N95" s="32"/>
      <c r="O95" s="46"/>
    </row>
    <row r="96" spans="2:17" x14ac:dyDescent="0.2">
      <c r="B96" s="164"/>
      <c r="C96" s="29"/>
      <c r="D96" s="29"/>
      <c r="E96" s="9"/>
      <c r="F96" s="9"/>
      <c r="G96" s="9"/>
      <c r="H96" s="9"/>
      <c r="I96" s="9"/>
      <c r="J96" s="9"/>
      <c r="K96" s="9"/>
      <c r="L96" s="9"/>
      <c r="M96" s="9"/>
      <c r="N96" s="9"/>
      <c r="O96" s="50"/>
    </row>
    <row r="97" spans="2:17" x14ac:dyDescent="0.2">
      <c r="B97" s="47"/>
      <c r="C97" s="9"/>
      <c r="D97" s="9"/>
      <c r="E97" s="9"/>
      <c r="F97" s="9"/>
      <c r="G97" s="112" t="s">
        <v>118</v>
      </c>
      <c r="H97" s="9" t="s">
        <v>401</v>
      </c>
      <c r="I97" s="9"/>
      <c r="J97" s="28"/>
      <c r="K97" s="9"/>
      <c r="L97" s="9"/>
      <c r="M97" s="9"/>
      <c r="N97" s="9"/>
      <c r="O97" s="50"/>
    </row>
    <row r="98" spans="2:17" x14ac:dyDescent="0.2">
      <c r="B98" s="47" t="s">
        <v>398</v>
      </c>
      <c r="C98" s="9"/>
      <c r="D98" s="169" t="s">
        <v>134</v>
      </c>
      <c r="E98" s="191">
        <v>12</v>
      </c>
      <c r="F98" s="9"/>
      <c r="G98" s="9">
        <f ca="1">VLOOKUP(D98,INDIRECT(ADDRESS(MATCH(E98,A_values,0),4,1,TRUE,"mass_rmd.mas")):INDIRECT(ADDRESS(MATCH(E98+1,A_values,0)-1,7,1,TRUE,"mass_rmd.mas")),4,FALSE)/1000</f>
        <v>0</v>
      </c>
      <c r="H98" s="9">
        <f ca="1">E98+G98/mass_rmd.mas!$A$2</f>
        <v>12</v>
      </c>
      <c r="I98" s="9"/>
      <c r="J98" s="9"/>
      <c r="K98" s="9"/>
      <c r="L98" s="9"/>
      <c r="M98" s="9"/>
      <c r="N98" s="9"/>
      <c r="O98" s="50"/>
    </row>
    <row r="99" spans="2:17" x14ac:dyDescent="0.2">
      <c r="B99" s="164" t="s">
        <v>433</v>
      </c>
      <c r="C99" s="29"/>
      <c r="D99" s="193">
        <v>7.6550000000000002</v>
      </c>
      <c r="E99" s="9" t="s">
        <v>170</v>
      </c>
      <c r="F99" s="9"/>
      <c r="G99" s="9"/>
      <c r="H99" s="9"/>
      <c r="I99" s="9"/>
      <c r="J99" s="9"/>
      <c r="K99" s="9"/>
      <c r="L99" s="9"/>
      <c r="M99" s="9"/>
      <c r="N99" s="9"/>
      <c r="O99" s="50"/>
    </row>
    <row r="100" spans="2:17" x14ac:dyDescent="0.2">
      <c r="B100" s="47"/>
      <c r="C100" s="9"/>
      <c r="D100" s="9"/>
      <c r="E100" s="9"/>
      <c r="F100" s="125" t="s">
        <v>405</v>
      </c>
      <c r="G100" s="55"/>
      <c r="H100" s="55"/>
      <c r="I100" s="9"/>
      <c r="J100" s="109" t="s">
        <v>434</v>
      </c>
      <c r="K100" s="155" t="s">
        <v>435</v>
      </c>
      <c r="L100" s="156" t="s">
        <v>437</v>
      </c>
      <c r="M100" s="106"/>
      <c r="N100" s="157" t="s">
        <v>439</v>
      </c>
      <c r="O100" s="50"/>
    </row>
    <row r="101" spans="2:17" x14ac:dyDescent="0.2">
      <c r="B101" s="47" t="s">
        <v>436</v>
      </c>
      <c r="C101" s="9"/>
      <c r="D101" s="193">
        <v>20</v>
      </c>
      <c r="E101" s="9" t="s">
        <v>170</v>
      </c>
      <c r="F101" s="9">
        <f ca="1">SQRT(1-1/(1+D101/H98/mass_rmd.mas!$A$2)^2)</f>
        <v>5.9740264639493147E-2</v>
      </c>
      <c r="G101" s="9"/>
      <c r="H101" s="9"/>
      <c r="I101" s="9"/>
      <c r="J101" s="92"/>
      <c r="K101" s="154" t="s">
        <v>117</v>
      </c>
      <c r="L101" s="154" t="s">
        <v>438</v>
      </c>
      <c r="M101" s="154" t="s">
        <v>412</v>
      </c>
      <c r="N101" s="158" t="s">
        <v>413</v>
      </c>
      <c r="O101" s="50"/>
    </row>
    <row r="102" spans="2:17" x14ac:dyDescent="0.2">
      <c r="B102" s="47"/>
      <c r="C102" s="9"/>
      <c r="D102" s="9"/>
      <c r="E102" s="9"/>
      <c r="F102" s="9"/>
      <c r="G102" s="9"/>
      <c r="H102" s="9"/>
      <c r="I102" s="9"/>
      <c r="J102" s="92"/>
      <c r="K102" s="9"/>
      <c r="L102" s="9"/>
      <c r="M102" s="9"/>
      <c r="N102" s="94"/>
      <c r="O102" s="50"/>
    </row>
    <row r="103" spans="2:17" x14ac:dyDescent="0.2">
      <c r="B103" s="47" t="s">
        <v>431</v>
      </c>
      <c r="C103" s="9"/>
      <c r="D103" s="169" t="s">
        <v>97</v>
      </c>
      <c r="E103" s="191">
        <v>4</v>
      </c>
      <c r="F103" s="9"/>
      <c r="G103" s="9">
        <f ca="1">VLOOKUP(D103,INDIRECT(ADDRESS(MATCH(E103,A_values,0),4,1,TRUE,"mass_rmd.mas")):INDIRECT(ADDRESS(MATCH(E103+1,A_values,0)-1,7,1,TRUE,"mass_rmd.mas")),4,FALSE)/1000</f>
        <v>2.4249156100000002</v>
      </c>
      <c r="H103" s="9">
        <f ca="1">E103+G103/mass_rmd.mas!$A$2</f>
        <v>4.0026032539674992</v>
      </c>
      <c r="I103" s="9"/>
      <c r="J103" s="159" t="str">
        <f>CONCATENATE(E103,INDEX(Symbol_values,MATCH(INDEX(Z_values,MATCH(D103,Symbol_values,0)),Z_values,0)))</f>
        <v>4He</v>
      </c>
      <c r="K103" s="9"/>
      <c r="L103" s="9">
        <f ca="1">SQRT(2*(H105+D106/mass_rmd.mas!$A$2)/(Calculator!H105+D106/mass_rmd.mas!$A$2+Calculator!H103)*Calculator!K104/H103/mass_rmd.mas!$A$2)</f>
        <v>1.0155858755485527E-2</v>
      </c>
      <c r="M103" s="160">
        <f ca="1">IF(L103&lt;$F$101,1000*ASIN(L103/$F$101)," ")</f>
        <v>170.829902976749</v>
      </c>
      <c r="N103" s="161">
        <f ca="1">IF(L103&lt;$F$101,DEGREES(ASIN(L103/$F$101)),"unconfined")</f>
        <v>9.787832455197055</v>
      </c>
      <c r="O103" s="50"/>
    </row>
    <row r="104" spans="2:17" x14ac:dyDescent="0.2">
      <c r="B104" s="47"/>
      <c r="C104" s="9"/>
      <c r="D104" s="9"/>
      <c r="E104" s="9"/>
      <c r="F104" s="9"/>
      <c r="G104" s="9"/>
      <c r="H104" s="9"/>
      <c r="I104" s="9"/>
      <c r="J104" s="92"/>
      <c r="K104" s="10">
        <f ca="1">G98+D99-G103-G105-D106</f>
        <v>0.28841338999999966</v>
      </c>
      <c r="L104" s="9"/>
      <c r="M104" s="9"/>
      <c r="N104" s="94"/>
      <c r="O104" s="50"/>
    </row>
    <row r="105" spans="2:17" x14ac:dyDescent="0.2">
      <c r="B105" s="47" t="s">
        <v>432</v>
      </c>
      <c r="C105" s="9"/>
      <c r="D105" s="153" t="str">
        <f>INDEX(Symbol_values,MATCH(INDEX(Z_values,MATCH(D98,Symbol_values,0))-INDEX(Z_values,MATCH(D103,Symbol_values,0)),Z_values,0))</f>
        <v>Be</v>
      </c>
      <c r="E105" s="147">
        <f>E98-E103</f>
        <v>8</v>
      </c>
      <c r="F105" s="9"/>
      <c r="G105" s="9">
        <f ca="1">VLOOKUP(D105,INDIRECT(ADDRESS(MATCH(E105,A_values,0),4,1,TRUE,"mass_rmd.mas")):INDIRECT(ADDRESS(MATCH(E105+1,A_values,0)-1,7,1,TRUE,"mass_rmd.mas")),4,FALSE)/1000</f>
        <v>4.9416710000000004</v>
      </c>
      <c r="H105" s="9">
        <f ca="1">E105+G105/mass_rmd.mas!$A$2</f>
        <v>8.0053051019935602</v>
      </c>
      <c r="I105" s="9"/>
      <c r="J105" s="159" t="str">
        <f>CONCATENATE(E105,INDEX(Symbol_values,MATCH(INDEX(Z_values,MATCH(D105,Symbol_values,0)),Z_values,0)))</f>
        <v>8Be</v>
      </c>
      <c r="K105" s="55"/>
      <c r="L105" s="9">
        <f ca="1">SQRT(2*(Calculator!H103)/(Calculator!H105+D106/mass_rmd.mas!$A$2+Calculator!H103)*Calculator!K104/(H105+D106/mass_rmd.mas!$A$2)/mass_rmd.mas!$A$2)</f>
        <v>5.0778668375072488E-3</v>
      </c>
      <c r="M105" s="160">
        <f ca="1">IF(L105&lt;$F$101,1000*ASIN(L105/$F$101)," ")</f>
        <v>85.101753352797701</v>
      </c>
      <c r="N105" s="161">
        <f ca="1">IF(L105&lt;$F$101,DEGREES(ASIN(L105/$F$101)),"unconfined")</f>
        <v>4.8759712962786113</v>
      </c>
      <c r="O105" s="50"/>
    </row>
    <row r="106" spans="2:17" x14ac:dyDescent="0.2">
      <c r="B106" s="164" t="s">
        <v>433</v>
      </c>
      <c r="C106" s="29"/>
      <c r="D106" s="193">
        <v>0</v>
      </c>
      <c r="E106" s="9" t="s">
        <v>170</v>
      </c>
      <c r="F106" s="9"/>
      <c r="G106" s="9"/>
      <c r="H106" s="9"/>
      <c r="I106" s="9"/>
      <c r="J106" s="84"/>
      <c r="K106" s="99"/>
      <c r="L106" s="99"/>
      <c r="M106" s="99"/>
      <c r="N106" s="85"/>
      <c r="O106" s="50"/>
    </row>
    <row r="107" spans="2:17" ht="13.5" thickBot="1" x14ac:dyDescent="0.25">
      <c r="B107" s="165"/>
      <c r="C107" s="16"/>
      <c r="D107" s="1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49"/>
      <c r="Q107" s="205" t="s">
        <v>472</v>
      </c>
    </row>
    <row r="108" spans="2:17" ht="13.5" thickBot="1" x14ac:dyDescent="0.25">
      <c r="B108" s="69"/>
      <c r="C108" s="69"/>
      <c r="D108" s="69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</row>
    <row r="109" spans="2:17" x14ac:dyDescent="0.2">
      <c r="B109" s="116" t="s">
        <v>389</v>
      </c>
      <c r="C109" s="117"/>
      <c r="D109" s="117"/>
      <c r="E109" s="117"/>
      <c r="F109" s="32"/>
      <c r="G109" s="32" t="s">
        <v>391</v>
      </c>
      <c r="H109" s="32"/>
      <c r="I109" s="32"/>
      <c r="J109" s="32"/>
      <c r="K109" s="32"/>
      <c r="L109" s="32"/>
      <c r="M109" s="32"/>
      <c r="N109" s="32"/>
      <c r="O109" s="46"/>
    </row>
    <row r="110" spans="2:17" x14ac:dyDescent="0.2">
      <c r="B110" s="47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50"/>
    </row>
    <row r="111" spans="2:17" x14ac:dyDescent="0.2">
      <c r="B111" s="144" t="s">
        <v>390</v>
      </c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  <c r="O111" s="145"/>
    </row>
    <row r="112" spans="2:17" x14ac:dyDescent="0.2">
      <c r="B112" s="47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50"/>
    </row>
    <row r="113" spans="2:15" x14ac:dyDescent="0.2">
      <c r="B113" s="47"/>
      <c r="C113" s="105"/>
      <c r="D113" s="130"/>
      <c r="E113" s="131" t="s">
        <v>98</v>
      </c>
      <c r="F113" s="130"/>
      <c r="G113" s="101"/>
      <c r="H113" s="101"/>
      <c r="I113" s="101"/>
      <c r="J113" s="131" t="s">
        <v>109</v>
      </c>
      <c r="K113" s="132"/>
      <c r="L113" s="101"/>
      <c r="M113" s="101"/>
      <c r="N113" s="83"/>
      <c r="O113" s="50"/>
    </row>
    <row r="114" spans="2:15" x14ac:dyDescent="0.2">
      <c r="B114" s="47"/>
      <c r="C114" s="133" t="s">
        <v>102</v>
      </c>
      <c r="D114" s="29" t="s">
        <v>103</v>
      </c>
      <c r="E114" s="23" t="s">
        <v>104</v>
      </c>
      <c r="F114" s="23" t="s">
        <v>123</v>
      </c>
      <c r="G114" s="9"/>
      <c r="H114" s="9"/>
      <c r="I114" s="9" t="s">
        <v>106</v>
      </c>
      <c r="J114" s="23" t="s">
        <v>110</v>
      </c>
      <c r="K114" s="28" t="s">
        <v>109</v>
      </c>
      <c r="L114" s="9"/>
      <c r="M114" s="23" t="s">
        <v>108</v>
      </c>
      <c r="N114" s="94"/>
      <c r="O114" s="39"/>
    </row>
    <row r="115" spans="2:15" ht="13.5" thickBot="1" x14ac:dyDescent="0.25">
      <c r="B115" s="47"/>
      <c r="C115" s="134"/>
      <c r="D115" s="16"/>
      <c r="E115" s="17" t="s">
        <v>117</v>
      </c>
      <c r="F115" s="17" t="s">
        <v>117</v>
      </c>
      <c r="G115" s="6"/>
      <c r="H115" s="6"/>
      <c r="I115" s="6"/>
      <c r="J115" s="14" t="s">
        <v>118</v>
      </c>
      <c r="K115" s="7" t="s">
        <v>119</v>
      </c>
      <c r="L115" s="9"/>
      <c r="M115" s="6"/>
      <c r="N115" s="135"/>
      <c r="O115" s="50"/>
    </row>
    <row r="116" spans="2:15" x14ac:dyDescent="0.2">
      <c r="B116" s="47"/>
      <c r="C116" s="133"/>
      <c r="D116" s="29"/>
      <c r="E116" s="9"/>
      <c r="F116" s="9"/>
      <c r="G116" s="9" t="s">
        <v>125</v>
      </c>
      <c r="H116" s="9"/>
      <c r="I116" s="9"/>
      <c r="J116" s="9"/>
      <c r="K116" s="28"/>
      <c r="L116" s="9"/>
      <c r="M116" s="9"/>
      <c r="N116" s="94"/>
      <c r="O116" s="50"/>
    </row>
    <row r="117" spans="2:15" x14ac:dyDescent="0.2">
      <c r="B117" s="47" t="s">
        <v>98</v>
      </c>
      <c r="C117" s="169" t="s">
        <v>392</v>
      </c>
      <c r="D117" s="191">
        <v>17</v>
      </c>
      <c r="E117" s="190">
        <v>100</v>
      </c>
      <c r="F117" s="118">
        <f ca="1">E117*K118/(K117+K118)</f>
        <v>41.380549254646681</v>
      </c>
      <c r="G117" s="119" t="str">
        <f ca="1">IF((F117+M122)&gt;0,"above","BELOW")</f>
        <v>above</v>
      </c>
      <c r="H117" s="9"/>
      <c r="I117" s="9">
        <f>INDEX(Z_values,MATCH(C117,Symbol_values,0))</f>
        <v>8</v>
      </c>
      <c r="J117" s="10">
        <f ca="1">VLOOKUP(C117,INDIRECT(ADDRESS(MATCH(D117,A_values,0),4,1,TRUE,"mass_rmd.mas")):INDIRECT(ADDRESS(MATCH(D117+1,A_values,0)-1,7,1,TRUE,"mass_rmd.mas")),4,FALSE)/1000</f>
        <v>-0.80876347999999998</v>
      </c>
      <c r="K117" s="10">
        <f ca="1">D117+J117/mass_rmd.mas!A2</f>
        <v>16.999131756697267</v>
      </c>
      <c r="L117" s="9"/>
      <c r="M117" s="120" t="s">
        <v>120</v>
      </c>
      <c r="N117" s="93" t="s">
        <v>126</v>
      </c>
      <c r="O117" s="50"/>
    </row>
    <row r="118" spans="2:15" x14ac:dyDescent="0.2">
      <c r="B118" s="47" t="s">
        <v>99</v>
      </c>
      <c r="C118" s="169" t="s">
        <v>134</v>
      </c>
      <c r="D118" s="191">
        <v>12</v>
      </c>
      <c r="E118" s="9"/>
      <c r="F118" s="29"/>
      <c r="G118" s="9" t="s">
        <v>124</v>
      </c>
      <c r="H118" s="9"/>
      <c r="I118" s="9">
        <f>INDEX(Z_values,MATCH(C118,Symbol_values,0))</f>
        <v>6</v>
      </c>
      <c r="J118" s="10">
        <f ca="1">VLOOKUP(C118,INDIRECT(ADDRESS(MATCH(D118,A_values,0),4,1,TRUE,"mass_rmd.mas")):INDIRECT(ADDRESS(MATCH(D118+1,A_values,0)-1,7,1,TRUE,"mass_rmd.mas")),4,FALSE)/1000</f>
        <v>0</v>
      </c>
      <c r="K118" s="10">
        <f ca="1">D118+J118/mass_rmd.mas!$A$2</f>
        <v>12</v>
      </c>
      <c r="L118" s="9"/>
      <c r="M118" s="120" t="s">
        <v>107</v>
      </c>
      <c r="N118" s="93" t="s">
        <v>107</v>
      </c>
      <c r="O118" s="50"/>
    </row>
    <row r="119" spans="2:15" x14ac:dyDescent="0.2">
      <c r="B119" s="47"/>
      <c r="C119" s="133"/>
      <c r="D119" s="29"/>
      <c r="E119" s="9"/>
      <c r="F119" s="9"/>
      <c r="G119" s="23"/>
      <c r="H119" s="9"/>
      <c r="I119" s="9"/>
      <c r="J119" s="9"/>
      <c r="K119" s="9"/>
      <c r="L119" s="9"/>
      <c r="M119" s="120" t="s">
        <v>108</v>
      </c>
      <c r="N119" s="93" t="s">
        <v>108</v>
      </c>
      <c r="O119" s="50"/>
    </row>
    <row r="120" spans="2:15" x14ac:dyDescent="0.2">
      <c r="B120" s="47" t="s">
        <v>100</v>
      </c>
      <c r="C120" s="169" t="s">
        <v>392</v>
      </c>
      <c r="D120" s="191">
        <v>16</v>
      </c>
      <c r="E120" s="9"/>
      <c r="F120" s="9"/>
      <c r="G120" s="23" t="s">
        <v>105</v>
      </c>
      <c r="H120" s="9"/>
      <c r="I120" s="9">
        <f>INDEX(Z_values,MATCH(C120,Symbol_values,0))</f>
        <v>8</v>
      </c>
      <c r="J120" s="10">
        <f ca="1">VLOOKUP(C120,INDIRECT(ADDRESS(MATCH(D120,A_values,0),4,1,TRUE,"mass_rmd.mas")):INDIRECT(ADDRESS(MATCH(D120+1,A_values,0)-1,7,1,TRUE,"mass_rmd.mas")),4,FALSE)/1000</f>
        <v>-4.7370013499999999</v>
      </c>
      <c r="K120" s="10">
        <f ca="1">D120+J120/mass_rmd.mas!$A$2</f>
        <v>15.994914619911892</v>
      </c>
      <c r="L120" s="9"/>
      <c r="M120" s="120" t="s">
        <v>117</v>
      </c>
      <c r="N120" s="93" t="s">
        <v>117</v>
      </c>
      <c r="O120" s="50"/>
    </row>
    <row r="121" spans="2:15" x14ac:dyDescent="0.2">
      <c r="B121" s="47"/>
      <c r="C121" s="133"/>
      <c r="D121" s="29"/>
      <c r="E121" s="9"/>
      <c r="F121" s="9"/>
      <c r="G121" s="23" t="s">
        <v>117</v>
      </c>
      <c r="H121" s="9"/>
      <c r="I121" s="9"/>
      <c r="J121" s="9"/>
      <c r="K121" s="9"/>
      <c r="L121" s="9"/>
      <c r="M121" s="120"/>
      <c r="N121" s="93"/>
      <c r="O121" s="50"/>
    </row>
    <row r="122" spans="2:15" x14ac:dyDescent="0.2">
      <c r="B122" s="47" t="s">
        <v>101</v>
      </c>
      <c r="C122" s="200" t="str">
        <f>INDEX(Symbol_values,MATCH(I122,Z_values,1))</f>
        <v>C</v>
      </c>
      <c r="D122" s="201">
        <f>D117+D118-D120</f>
        <v>13</v>
      </c>
      <c r="E122" s="9"/>
      <c r="F122" s="9"/>
      <c r="G122" s="190">
        <v>5</v>
      </c>
      <c r="H122" s="9"/>
      <c r="I122" s="9">
        <f>I117+I118-I120</f>
        <v>6</v>
      </c>
      <c r="J122" s="10">
        <f ca="1">VLOOKUP(C122,INDIRECT(ADDRESS(MATCH(D122,A_values,0),4,1,TRUE,"mass_rmd.mas")):INDIRECT(ADDRESS(MATCH(D122+1,A_values,0)-1,7,1,TRUE,"mass_rmd.mas")),4,FALSE)/1000</f>
        <v>3.1250088799999998</v>
      </c>
      <c r="K122" s="10">
        <f ca="1">D122+J122/mass_rmd.mas!$A$2</f>
        <v>13.003354835002002</v>
      </c>
      <c r="L122" s="9"/>
      <c r="M122" s="81">
        <f ca="1">J117+J118-J120-J122</f>
        <v>0.80322899000000003</v>
      </c>
      <c r="N122" s="136">
        <f ca="1">M122-G122</f>
        <v>-4.19677101</v>
      </c>
      <c r="O122" s="50"/>
    </row>
    <row r="123" spans="2:15" x14ac:dyDescent="0.2">
      <c r="B123" s="47"/>
      <c r="C123" s="137"/>
      <c r="D123" s="138"/>
      <c r="E123" s="139"/>
      <c r="F123" s="139"/>
      <c r="G123" s="140"/>
      <c r="H123" s="139"/>
      <c r="I123" s="139"/>
      <c r="J123" s="141"/>
      <c r="K123" s="141"/>
      <c r="L123" s="139"/>
      <c r="M123" s="142"/>
      <c r="N123" s="143"/>
      <c r="O123" s="50"/>
    </row>
    <row r="124" spans="2:15" x14ac:dyDescent="0.2">
      <c r="B124" s="47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50"/>
    </row>
    <row r="125" spans="2:15" x14ac:dyDescent="0.2">
      <c r="B125" s="47" t="s">
        <v>344</v>
      </c>
      <c r="C125" s="9"/>
      <c r="D125" s="190">
        <v>2</v>
      </c>
      <c r="E125" s="9"/>
      <c r="F125" s="82" t="s">
        <v>346</v>
      </c>
      <c r="G125" s="86">
        <f>INDEX(Z_values,MATCH(C120,Symbol_values,0))-INDEX(Z_values,MATCH(C117,Symbol_values,0))</f>
        <v>0</v>
      </c>
      <c r="H125" s="86" t="str">
        <f>IF(G125*G126=0," ",IF((G125/G126)&gt;0," ","not"))</f>
        <v xml:space="preserve"> </v>
      </c>
      <c r="I125" s="83" t="s">
        <v>348</v>
      </c>
      <c r="J125" s="9"/>
      <c r="K125" s="9"/>
      <c r="L125" s="9"/>
      <c r="M125" s="28" t="s">
        <v>363</v>
      </c>
      <c r="N125" s="9">
        <v>197.315</v>
      </c>
      <c r="O125" s="50"/>
    </row>
    <row r="126" spans="2:15" x14ac:dyDescent="0.2">
      <c r="B126" s="47"/>
      <c r="C126" s="9"/>
      <c r="D126" s="9"/>
      <c r="E126" s="9"/>
      <c r="F126" s="84" t="s">
        <v>347</v>
      </c>
      <c r="G126" s="87">
        <f>D120-D117</f>
        <v>-1</v>
      </c>
      <c r="H126" s="89" t="str">
        <f>H125</f>
        <v xml:space="preserve"> </v>
      </c>
      <c r="I126" s="85" t="s">
        <v>348</v>
      </c>
      <c r="J126" s="9"/>
      <c r="K126" s="9"/>
      <c r="L126" s="9"/>
      <c r="M126" s="9"/>
      <c r="N126" s="9"/>
      <c r="O126" s="50"/>
    </row>
    <row r="127" spans="2:15" x14ac:dyDescent="0.2">
      <c r="B127" s="47" t="s">
        <v>345</v>
      </c>
      <c r="C127" s="88" t="str">
        <f>INDEX(Symbol_values,MATCH(ABS(INDEX(Z_values,MATCH(C120,Symbol_values,0))-INDEX(Z_values,MATCH(C117,Symbol_values,0))),Z_values,0))</f>
        <v>nn</v>
      </c>
      <c r="D127" s="121">
        <f>ABS(G126)</f>
        <v>1</v>
      </c>
      <c r="E127" s="122" t="str">
        <f>IF(H125=" ",IF(G125&gt;0,"pickup",IF(G125&lt;0,"stripping",IF(G126&gt;0,"pickup","stripping"))))</f>
        <v>stripping</v>
      </c>
      <c r="F127" s="9"/>
      <c r="G127" s="9"/>
      <c r="H127" s="9"/>
      <c r="I127" s="9"/>
      <c r="J127" s="10">
        <f ca="1">VLOOKUP(C127,INDIRECT(ADDRESS(MATCH(D127,A_values,0),4,1,TRUE,"mass_rmd.mas")):INDIRECT(ADDRESS(MATCH(D127+1,A_values,0)-1,7,1,TRUE,"mass_rmd.mas")),4,FALSE)/1000</f>
        <v>8.0713171300000006</v>
      </c>
      <c r="K127" s="9">
        <f ca="1">D127+J127/mass_rmd.mas!A2</f>
        <v>1.0086649152881717</v>
      </c>
      <c r="L127" s="9"/>
      <c r="M127" s="28" t="s">
        <v>355</v>
      </c>
      <c r="N127" s="10">
        <f ca="1">F117+M122</f>
        <v>42.183778244646682</v>
      </c>
      <c r="O127" s="50"/>
    </row>
    <row r="128" spans="2:15" x14ac:dyDescent="0.2">
      <c r="B128" s="47"/>
      <c r="C128" s="9" t="s">
        <v>469</v>
      </c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50"/>
    </row>
    <row r="129" spans="2:17" x14ac:dyDescent="0.2">
      <c r="B129" s="124" t="s">
        <v>349</v>
      </c>
      <c r="C129" s="190">
        <v>1.4</v>
      </c>
      <c r="D129" s="9" t="s">
        <v>350</v>
      </c>
      <c r="E129" s="9"/>
      <c r="F129" s="28" t="s">
        <v>351</v>
      </c>
      <c r="G129" s="10">
        <f ca="1">IF(E127="stripping",C129*K117^(0.3333),IF(E127="pickup",C129*K118^(0.3333)," "))</f>
        <v>3.5993930034190105</v>
      </c>
      <c r="H129" s="9" t="s">
        <v>350</v>
      </c>
      <c r="I129" s="28" t="s">
        <v>352</v>
      </c>
      <c r="J129" s="10">
        <f ca="1">IF(E127="stripping",C129*K118^(0.3333),IF(E127="pickup",C129*K117^(0.3333)," "))</f>
        <v>3.2049344027277624</v>
      </c>
      <c r="K129" s="9" t="s">
        <v>350</v>
      </c>
      <c r="L129" s="9"/>
      <c r="M129" s="125" t="s">
        <v>354</v>
      </c>
      <c r="N129" s="9">
        <f ca="1">SQRT(1-1/(1+E117/K117/mass_rmd.mas!$A$2)^2)</f>
        <v>0.11185672649202968</v>
      </c>
      <c r="O129" s="50"/>
    </row>
    <row r="130" spans="2:17" x14ac:dyDescent="0.2">
      <c r="B130" s="124" t="s">
        <v>353</v>
      </c>
      <c r="C130" s="126">
        <f ca="1">G129+J129</f>
        <v>6.8043274061467729</v>
      </c>
      <c r="D130" s="9" t="s">
        <v>350</v>
      </c>
      <c r="E130" s="9"/>
      <c r="F130" s="9"/>
      <c r="G130" s="9"/>
      <c r="H130" s="9"/>
      <c r="I130" s="9"/>
      <c r="J130" s="9"/>
      <c r="K130" s="9"/>
      <c r="L130" s="9"/>
      <c r="M130" s="28" t="s">
        <v>364</v>
      </c>
      <c r="N130" s="9">
        <f ca="1">$C$130/($N$125*$N$129)*($M$122-$G$122-1.44/$C$130*($I$120*$I$122-$I$117*$I$118))</f>
        <v>-1.2938331329867818</v>
      </c>
      <c r="O130" s="50"/>
    </row>
    <row r="131" spans="2:17" x14ac:dyDescent="0.2">
      <c r="B131" s="47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50"/>
    </row>
    <row r="132" spans="2:17" x14ac:dyDescent="0.2">
      <c r="B132" s="127" t="s">
        <v>356</v>
      </c>
      <c r="C132" s="106">
        <f>G122</f>
        <v>5</v>
      </c>
      <c r="D132" s="101" t="s">
        <v>170</v>
      </c>
      <c r="E132" s="83"/>
      <c r="F132" s="90" t="s">
        <v>358</v>
      </c>
      <c r="G132" s="101"/>
      <c r="H132" s="100" t="s">
        <v>359</v>
      </c>
      <c r="I132" s="100" t="s">
        <v>359</v>
      </c>
      <c r="J132" s="101"/>
      <c r="K132" s="102" t="s">
        <v>367</v>
      </c>
      <c r="L132" s="101"/>
      <c r="M132" s="91" t="s">
        <v>362</v>
      </c>
      <c r="N132" s="9"/>
      <c r="O132" s="50"/>
    </row>
    <row r="133" spans="2:17" x14ac:dyDescent="0.2">
      <c r="B133" s="244" t="s">
        <v>357</v>
      </c>
      <c r="C133" s="245"/>
      <c r="D133" s="245"/>
      <c r="E133" s="85"/>
      <c r="F133" s="92"/>
      <c r="G133" s="9"/>
      <c r="H133" s="98" t="s">
        <v>360</v>
      </c>
      <c r="I133" s="98" t="s">
        <v>361</v>
      </c>
      <c r="J133" s="9"/>
      <c r="K133" s="103" t="s">
        <v>368</v>
      </c>
      <c r="L133" s="9"/>
      <c r="M133" s="93" t="s">
        <v>117</v>
      </c>
      <c r="N133" s="9"/>
      <c r="O133" s="50"/>
    </row>
    <row r="134" spans="2:17" x14ac:dyDescent="0.2">
      <c r="B134" s="47"/>
      <c r="C134" s="9"/>
      <c r="D134" s="9"/>
      <c r="E134" s="9"/>
      <c r="F134" s="92"/>
      <c r="G134" s="9"/>
      <c r="H134" s="9"/>
      <c r="I134" s="9"/>
      <c r="J134" s="9"/>
      <c r="K134" s="9"/>
      <c r="L134" s="9"/>
      <c r="M134" s="94"/>
      <c r="N134" s="9"/>
      <c r="O134" s="50"/>
      <c r="Q134" s="205" t="s">
        <v>472</v>
      </c>
    </row>
    <row r="135" spans="2:17" x14ac:dyDescent="0.2">
      <c r="B135" s="47"/>
      <c r="C135" s="9"/>
      <c r="D135" s="9"/>
      <c r="E135" s="9"/>
      <c r="F135" s="92">
        <f>-D125</f>
        <v>-2</v>
      </c>
      <c r="G135" s="9"/>
      <c r="H135" s="95">
        <f ca="1">IF(ISNUMBER(F135),($K$127*mass_rmd.mas!$A$2*Calculator!$N$129/$N$125-F135/$G$129)*$J$129," ")</f>
        <v>3.4878768917739498</v>
      </c>
      <c r="I135" s="95">
        <f ca="1">IF(ISNUMBER(F135),F135-0.5*$K$127*mass_rmd.mas!$A$2*Calculator!$N$129/Calculator!$N$125*(Calculator!$G$129-Calculator!$J$129)-Calculator!$N$130," ")</f>
        <v>-0.8112179279734284</v>
      </c>
      <c r="J135" s="9"/>
      <c r="K135" s="95">
        <f t="shared" ref="K135:K140" ca="1" si="9">IF(ISNUMBER(F135),H135-I135," ")</f>
        <v>4.2990948197473777</v>
      </c>
      <c r="L135" s="9"/>
      <c r="M135" s="96">
        <f t="shared" ref="M135:M140" si="10">IF(ISNUMBER(F135),$C$132," ")</f>
        <v>5</v>
      </c>
      <c r="N135" s="9"/>
      <c r="O135" s="50"/>
    </row>
    <row r="136" spans="2:17" x14ac:dyDescent="0.2">
      <c r="B136" s="47"/>
      <c r="C136" s="9"/>
      <c r="D136" s="9"/>
      <c r="E136" s="9"/>
      <c r="F136" s="92">
        <f>IF(ISNUMBER(F135),IF(F135+2&lt;($D$125+1),F135+2," ")," ")</f>
        <v>0</v>
      </c>
      <c r="G136" s="9"/>
      <c r="H136" s="95">
        <f ca="1">IF(ISNUMBER(F136),($K$127*mass_rmd.mas!$A$2*Calculator!$N$129/$N$125-F136/$G$129)*$J$129," ")</f>
        <v>1.7070575149048821</v>
      </c>
      <c r="I136" s="95">
        <f ca="1">IF(ISNUMBER(F136),F136-0.5*$K$127*mass_rmd.mas!$A$2*Calculator!$N$129/Calculator!$N$125*(Calculator!$G$129-Calculator!$J$129)-Calculator!$N$130," ")</f>
        <v>1.1887820720265714</v>
      </c>
      <c r="J136" s="9"/>
      <c r="K136" s="95">
        <f t="shared" ca="1" si="9"/>
        <v>0.51827544287831073</v>
      </c>
      <c r="L136" s="9"/>
      <c r="M136" s="96">
        <f t="shared" si="10"/>
        <v>5</v>
      </c>
      <c r="N136" s="9"/>
      <c r="O136" s="50"/>
    </row>
    <row r="137" spans="2:17" x14ac:dyDescent="0.2">
      <c r="B137" s="47"/>
      <c r="C137" s="9"/>
      <c r="D137" s="9"/>
      <c r="E137" s="9"/>
      <c r="F137" s="92">
        <f>IF(ISNUMBER(F136),IF(F136+2&lt;($D$125+1),F136+2," ")," ")</f>
        <v>2</v>
      </c>
      <c r="G137" s="9"/>
      <c r="H137" s="95">
        <f ca="1">IF(ISNUMBER(F137),($K$127*mass_rmd.mas!$A$2*Calculator!$N$129/$N$125-F137/$G$129)*$J$129," ")</f>
        <v>-7.3761861964185632E-2</v>
      </c>
      <c r="I137" s="95">
        <f ca="1">IF(ISNUMBER(F137),F137-0.5*$K$127*mass_rmd.mas!$A$2*Calculator!$N$129/Calculator!$N$125*(Calculator!$G$129-Calculator!$J$129)-Calculator!$N$130," ")</f>
        <v>3.1887820720265712</v>
      </c>
      <c r="J137" s="9"/>
      <c r="K137" s="95">
        <f t="shared" ca="1" si="9"/>
        <v>-3.2625439339907567</v>
      </c>
      <c r="L137" s="9"/>
      <c r="M137" s="96">
        <f t="shared" si="10"/>
        <v>5</v>
      </c>
      <c r="N137" s="9"/>
      <c r="O137" s="50"/>
    </row>
    <row r="138" spans="2:17" x14ac:dyDescent="0.2">
      <c r="B138" s="47"/>
      <c r="C138" s="9"/>
      <c r="D138" s="9"/>
      <c r="E138" s="9"/>
      <c r="F138" s="92" t="str">
        <f>IF(ISNUMBER(F137),IF(F137+2&lt;($D$125+1),F137+2," ")," ")</f>
        <v xml:space="preserve"> </v>
      </c>
      <c r="G138" s="9"/>
      <c r="H138" s="95" t="str">
        <f>IF(ISNUMBER(F138),($K$127*mass_rmd.mas!$A$2*Calculator!$N$129/$N$125-F138/$G$129)*$J$129," ")</f>
        <v xml:space="preserve"> </v>
      </c>
      <c r="I138" s="95" t="str">
        <f>IF(ISNUMBER(F138),F138-0.5*$K$127*mass_rmd.mas!$A$2*Calculator!$N$129/Calculator!$N$125*(Calculator!$G$129-Calculator!$J$129)-Calculator!$N$130," ")</f>
        <v xml:space="preserve"> </v>
      </c>
      <c r="J138" s="9"/>
      <c r="K138" s="95" t="str">
        <f t="shared" si="9"/>
        <v xml:space="preserve"> </v>
      </c>
      <c r="L138" s="9"/>
      <c r="M138" s="96" t="str">
        <f t="shared" si="10"/>
        <v xml:space="preserve"> </v>
      </c>
      <c r="N138" s="9"/>
      <c r="O138" s="50"/>
    </row>
    <row r="139" spans="2:17" x14ac:dyDescent="0.2">
      <c r="B139" s="47"/>
      <c r="C139" s="9"/>
      <c r="D139" s="9"/>
      <c r="E139" s="9"/>
      <c r="F139" s="92" t="str">
        <f>IF(ISNUMBER(F138),IF(F138+2&lt;($D$125+1),F138+2," ")," ")</f>
        <v xml:space="preserve"> </v>
      </c>
      <c r="G139" s="9"/>
      <c r="H139" s="95" t="str">
        <f>IF(ISNUMBER(F139),($K$127*mass_rmd.mas!$A$2*Calculator!$N$129/$N$125-F139/$G$129)*$J$129," ")</f>
        <v xml:space="preserve"> </v>
      </c>
      <c r="I139" s="95" t="str">
        <f>IF(ISNUMBER(F139),F139-0.5*$K$127*mass_rmd.mas!$A$2*Calculator!$N$129/Calculator!$N$125*(Calculator!$G$129-Calculator!$J$129)-Calculator!$N$130," ")</f>
        <v xml:space="preserve"> </v>
      </c>
      <c r="J139" s="9"/>
      <c r="K139" s="95" t="str">
        <f t="shared" si="9"/>
        <v xml:space="preserve"> </v>
      </c>
      <c r="L139" s="9"/>
      <c r="M139" s="96" t="str">
        <f t="shared" si="10"/>
        <v xml:space="preserve"> </v>
      </c>
      <c r="N139" s="9"/>
      <c r="O139" s="50"/>
    </row>
    <row r="140" spans="2:17" x14ac:dyDescent="0.2">
      <c r="B140" s="47"/>
      <c r="C140" s="9"/>
      <c r="D140" s="9"/>
      <c r="E140" s="9"/>
      <c r="F140" s="92" t="str">
        <f>IF(ISNUMBER(F139),IF(F139+2&lt;($D$125+1),F139+2," ")," ")</f>
        <v xml:space="preserve"> </v>
      </c>
      <c r="G140" s="9"/>
      <c r="H140" s="95" t="str">
        <f>IF(ISNUMBER(F140),($K$127*mass_rmd.mas!$A$2*Calculator!$N$129/$N$125-F140/$G$129)*$J$129," ")</f>
        <v xml:space="preserve"> </v>
      </c>
      <c r="I140" s="95" t="str">
        <f>IF(ISNUMBER(F140),F140-0.5*$K$127*mass_rmd.mas!$A$2*Calculator!$N$129/Calculator!$N$125*(Calculator!$G$129-Calculator!$J$129)-Calculator!$N$130," ")</f>
        <v xml:space="preserve"> </v>
      </c>
      <c r="J140" s="9"/>
      <c r="K140" s="95" t="str">
        <f t="shared" si="9"/>
        <v xml:space="preserve"> </v>
      </c>
      <c r="L140" s="9"/>
      <c r="M140" s="96" t="str">
        <f t="shared" si="10"/>
        <v xml:space="preserve"> </v>
      </c>
      <c r="N140" s="9"/>
      <c r="O140" s="50"/>
    </row>
    <row r="141" spans="2:17" x14ac:dyDescent="0.2">
      <c r="B141" s="47"/>
      <c r="C141" s="9"/>
      <c r="D141" s="9"/>
      <c r="E141" s="9"/>
      <c r="F141" s="92"/>
      <c r="G141" s="9"/>
      <c r="H141" s="97" t="s">
        <v>366</v>
      </c>
      <c r="I141" s="98"/>
      <c r="J141" s="9"/>
      <c r="K141" s="103" t="s">
        <v>371</v>
      </c>
      <c r="L141" s="9"/>
      <c r="M141" s="94"/>
      <c r="N141" s="9"/>
      <c r="O141" s="50"/>
    </row>
    <row r="142" spans="2:17" x14ac:dyDescent="0.2">
      <c r="B142" s="47"/>
      <c r="C142" s="9"/>
      <c r="D142" s="9"/>
      <c r="E142" s="9"/>
      <c r="F142" s="92"/>
      <c r="G142" s="9"/>
      <c r="H142" s="97" t="s">
        <v>370</v>
      </c>
      <c r="I142" s="98"/>
      <c r="J142" s="9"/>
      <c r="K142" s="103" t="s">
        <v>369</v>
      </c>
      <c r="L142" s="9"/>
      <c r="M142" s="94"/>
      <c r="N142" s="9"/>
      <c r="O142" s="50"/>
    </row>
    <row r="143" spans="2:17" x14ac:dyDescent="0.2">
      <c r="B143" s="47"/>
      <c r="C143" s="9"/>
      <c r="D143" s="9"/>
      <c r="E143" s="9"/>
      <c r="F143" s="92"/>
      <c r="G143" s="9"/>
      <c r="H143" s="9"/>
      <c r="I143" s="9"/>
      <c r="J143" s="9"/>
      <c r="K143" s="9"/>
      <c r="L143" s="9"/>
      <c r="M143" s="94"/>
      <c r="N143" s="9"/>
      <c r="O143" s="50"/>
    </row>
    <row r="144" spans="2:17" x14ac:dyDescent="0.2">
      <c r="B144" s="47"/>
      <c r="C144" s="9"/>
      <c r="D144" s="9"/>
      <c r="E144" s="9"/>
      <c r="F144" s="92"/>
      <c r="G144" s="9" t="s">
        <v>372</v>
      </c>
      <c r="H144" s="9"/>
      <c r="I144" s="9"/>
      <c r="J144" s="9"/>
      <c r="K144" s="9"/>
      <c r="L144" s="9"/>
      <c r="M144" s="94"/>
      <c r="N144" s="9"/>
      <c r="O144" s="50"/>
    </row>
    <row r="145" spans="2:15" x14ac:dyDescent="0.2">
      <c r="B145" s="47"/>
      <c r="C145" s="9"/>
      <c r="D145" s="9"/>
      <c r="E145" s="9"/>
      <c r="F145" s="92"/>
      <c r="G145" s="9" t="s">
        <v>373</v>
      </c>
      <c r="H145" s="9"/>
      <c r="I145" s="9"/>
      <c r="J145" s="9"/>
      <c r="K145" s="9"/>
      <c r="L145" s="9"/>
      <c r="M145" s="94"/>
      <c r="N145" s="9"/>
      <c r="O145" s="50"/>
    </row>
    <row r="146" spans="2:15" x14ac:dyDescent="0.2">
      <c r="B146" s="47"/>
      <c r="C146" s="9"/>
      <c r="D146" s="9"/>
      <c r="E146" s="9"/>
      <c r="F146" s="92"/>
      <c r="G146" s="9"/>
      <c r="H146" s="9"/>
      <c r="I146" s="104" t="s">
        <v>374</v>
      </c>
      <c r="J146" s="104"/>
      <c r="K146" s="193">
        <v>0</v>
      </c>
      <c r="L146" s="9"/>
      <c r="M146" s="94"/>
      <c r="N146" s="9"/>
      <c r="O146" s="50"/>
    </row>
    <row r="147" spans="2:15" x14ac:dyDescent="0.2">
      <c r="B147" s="47"/>
      <c r="C147" s="9"/>
      <c r="D147" s="9"/>
      <c r="E147" s="9"/>
      <c r="F147" s="84"/>
      <c r="G147" s="99"/>
      <c r="H147" s="99"/>
      <c r="I147" s="99"/>
      <c r="J147" s="99"/>
      <c r="K147" s="99"/>
      <c r="L147" s="99"/>
      <c r="M147" s="85"/>
      <c r="N147" s="9"/>
      <c r="O147" s="50"/>
    </row>
    <row r="148" spans="2:15" x14ac:dyDescent="0.2">
      <c r="B148" s="47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50"/>
    </row>
    <row r="149" spans="2:15" x14ac:dyDescent="0.2">
      <c r="B149" s="47"/>
      <c r="C149" s="109" t="s">
        <v>375</v>
      </c>
      <c r="D149" s="106"/>
      <c r="E149" s="106"/>
      <c r="F149" s="106"/>
      <c r="G149" s="106"/>
      <c r="H149" s="110"/>
      <c r="I149" s="9"/>
      <c r="J149" s="109" t="s">
        <v>379</v>
      </c>
      <c r="K149" s="106"/>
      <c r="L149" s="106"/>
      <c r="M149" s="106"/>
      <c r="N149" s="106"/>
      <c r="O149" s="128"/>
    </row>
    <row r="150" spans="2:15" x14ac:dyDescent="0.2">
      <c r="B150" s="47"/>
      <c r="C150" s="92"/>
      <c r="D150" s="9"/>
      <c r="E150" s="9"/>
      <c r="F150" s="9"/>
      <c r="G150" s="9"/>
      <c r="H150" s="94"/>
      <c r="I150" s="9"/>
      <c r="J150" s="92"/>
      <c r="K150" s="9"/>
      <c r="L150" s="9"/>
      <c r="M150" s="9"/>
      <c r="N150" s="9"/>
      <c r="O150" s="50"/>
    </row>
    <row r="151" spans="2:15" x14ac:dyDescent="0.2">
      <c r="B151" s="47"/>
      <c r="C151" s="111" t="s">
        <v>358</v>
      </c>
      <c r="D151" s="112" t="s">
        <v>359</v>
      </c>
      <c r="E151" s="112" t="s">
        <v>359</v>
      </c>
      <c r="F151" s="107" t="s">
        <v>367</v>
      </c>
      <c r="G151" s="23" t="s">
        <v>362</v>
      </c>
      <c r="H151" s="93" t="s">
        <v>365</v>
      </c>
      <c r="I151" s="9"/>
      <c r="J151" s="111" t="s">
        <v>358</v>
      </c>
      <c r="K151" s="112" t="s">
        <v>359</v>
      </c>
      <c r="L151" s="112" t="s">
        <v>359</v>
      </c>
      <c r="M151" s="107" t="s">
        <v>367</v>
      </c>
      <c r="N151" s="23" t="s">
        <v>377</v>
      </c>
      <c r="O151" s="39" t="s">
        <v>365</v>
      </c>
    </row>
    <row r="152" spans="2:15" x14ac:dyDescent="0.2">
      <c r="B152" s="47"/>
      <c r="C152" s="92"/>
      <c r="D152" s="23" t="s">
        <v>360</v>
      </c>
      <c r="E152" s="23" t="s">
        <v>361</v>
      </c>
      <c r="F152" s="103" t="s">
        <v>368</v>
      </c>
      <c r="G152" s="23" t="s">
        <v>117</v>
      </c>
      <c r="H152" s="93" t="s">
        <v>117</v>
      </c>
      <c r="I152" s="9"/>
      <c r="J152" s="92"/>
      <c r="K152" s="23" t="s">
        <v>360</v>
      </c>
      <c r="L152" s="23" t="s">
        <v>361</v>
      </c>
      <c r="M152" s="103" t="s">
        <v>368</v>
      </c>
      <c r="N152" s="115" t="s">
        <v>376</v>
      </c>
      <c r="O152" s="39" t="s">
        <v>117</v>
      </c>
    </row>
    <row r="153" spans="2:15" x14ac:dyDescent="0.2">
      <c r="B153" s="47"/>
      <c r="C153" s="92"/>
      <c r="D153" s="9"/>
      <c r="E153" s="9"/>
      <c r="F153" s="9"/>
      <c r="G153" s="9"/>
      <c r="H153" s="94"/>
      <c r="I153" s="9"/>
      <c r="J153" s="92"/>
      <c r="K153" s="9"/>
      <c r="L153" s="9"/>
      <c r="M153" s="9"/>
      <c r="N153" s="202">
        <v>0.2</v>
      </c>
      <c r="O153" s="50"/>
    </row>
    <row r="154" spans="2:15" x14ac:dyDescent="0.2">
      <c r="B154" s="47"/>
      <c r="C154" s="113">
        <f t="shared" ref="C154:C164" si="11">$K$146</f>
        <v>0</v>
      </c>
      <c r="D154" s="95">
        <f ca="1">IF(ISNUMBER(C154),($K$127*mass_rmd.mas!$A$2*Calculator!$N$129/$N$125-C154/$G$129)*$J$129," ")</f>
        <v>1.7070575149048821</v>
      </c>
      <c r="E154" s="95">
        <f ca="1">IF(ISNUMBER(C154),C154-0.5*$K$127*mass_rmd.mas!$A$2*Calculator!$N$129/Calculator!$N$125*(Calculator!$G$129-Calculator!$J$129)-H154," ")</f>
        <v>-0.35268055472129806</v>
      </c>
      <c r="F154" s="108">
        <f ca="1">IF(ISNUMBER(C154),D154-E154," ")</f>
        <v>2.0597380696261802</v>
      </c>
      <c r="G154" s="114">
        <v>0</v>
      </c>
      <c r="H154" s="96">
        <f t="shared" ref="H154:H164" ca="1" si="12">$C$130/($N$125*$N$129)*($M$122-G154-1.44/$C$130*($I$120*$I$122-$I$117*$I$118))</f>
        <v>0.24762949376108767</v>
      </c>
      <c r="I154" s="9"/>
      <c r="J154" s="92"/>
      <c r="K154" s="9"/>
      <c r="L154" s="9"/>
      <c r="M154" s="9"/>
      <c r="N154" s="23" t="s">
        <v>378</v>
      </c>
      <c r="O154" s="50"/>
    </row>
    <row r="155" spans="2:15" x14ac:dyDescent="0.2">
      <c r="B155" s="47"/>
      <c r="C155" s="113">
        <f t="shared" si="11"/>
        <v>0</v>
      </c>
      <c r="D155" s="95">
        <f ca="1">IF(ISNUMBER(C155),($K$127*mass_rmd.mas!$A$2*Calculator!$N$129/$N$125-C155/$G$129)*$J$129," ")</f>
        <v>1.7070575149048821</v>
      </c>
      <c r="E155" s="95">
        <f ca="1">IF(ISNUMBER(C155),C155-0.5*$K$127*mass_rmd.mas!$A$2*Calculator!$N$129/Calculator!$N$125*(Calculator!$G$129-Calculator!$J$129)-H155," ")</f>
        <v>0.94781379766155627</v>
      </c>
      <c r="F155" s="108">
        <f t="shared" ref="F155:F164" ca="1" si="13">IF(ISNUMBER(C155),D155-E155," ")</f>
        <v>0.75924371724332584</v>
      </c>
      <c r="G155" s="114">
        <f t="shared" ref="G155:G164" ca="1" si="14">G154+$N$127/10</f>
        <v>4.2183778244646684</v>
      </c>
      <c r="H155" s="96">
        <f t="shared" ca="1" si="12"/>
        <v>-1.0528648586217666</v>
      </c>
      <c r="I155" s="9"/>
      <c r="J155" s="113">
        <f>$K$146</f>
        <v>0</v>
      </c>
      <c r="K155" s="95">
        <f ca="1">IF(ISNUMBER(J155),($K$127*mass_rmd.mas!$A$2*Calculator!$N$129/$N$125-J155/$G$129)*$J$129," ")</f>
        <v>1.7070575149048821</v>
      </c>
      <c r="L155" s="95">
        <f ca="1">IF(ISNUMBER(J155),J155-0.5*$K$127*mass_rmd.mas!$A$2*Calculator!$N$129/Calculator!$N$125*(Calculator!$G$129-Calculator!$J$129)-O155," ")</f>
        <v>2.4435326501993373</v>
      </c>
      <c r="M155" s="108">
        <f ca="1">IF(ISNUMBER(J155),K155-L155," ")</f>
        <v>-0.73647513529445519</v>
      </c>
      <c r="N155" s="202">
        <v>9.07</v>
      </c>
      <c r="O155" s="123">
        <f t="shared" ref="O155:O164" ca="1" si="15">$C$130/($N$125*$N$129)*($M$122-N155-1.44/$C$130*($I$120*$I$122-$I$117*$I$118))</f>
        <v>-2.5485837111595475</v>
      </c>
    </row>
    <row r="156" spans="2:15" x14ac:dyDescent="0.2">
      <c r="B156" s="47"/>
      <c r="C156" s="113">
        <f t="shared" si="11"/>
        <v>0</v>
      </c>
      <c r="D156" s="95">
        <f ca="1">IF(ISNUMBER(C156),($K$127*mass_rmd.mas!$A$2*Calculator!$N$129/$N$125-C156/$G$129)*$J$129," ")</f>
        <v>1.7070575149048821</v>
      </c>
      <c r="E156" s="95">
        <f ca="1">IF(ISNUMBER(C156),C156-0.5*$K$127*mass_rmd.mas!$A$2*Calculator!$N$129/Calculator!$N$125*(Calculator!$G$129-Calculator!$J$129)-H156," ")</f>
        <v>2.2483081500444104</v>
      </c>
      <c r="F156" s="108">
        <f t="shared" ca="1" si="13"/>
        <v>-0.54125063513952831</v>
      </c>
      <c r="G156" s="114">
        <f t="shared" ca="1" si="14"/>
        <v>8.4367556489293367</v>
      </c>
      <c r="H156" s="96">
        <f t="shared" ca="1" si="12"/>
        <v>-2.3533592110046206</v>
      </c>
      <c r="I156" s="9"/>
      <c r="J156" s="113">
        <f t="shared" ref="J156:J164" si="16">$K$146</f>
        <v>0</v>
      </c>
      <c r="K156" s="95">
        <f ca="1">IF(ISNUMBER(J156),($K$127*mass_rmd.mas!$A$2*Calculator!$N$129/$N$125-J156/$G$129)*$J$129," ")</f>
        <v>1.7070575149048821</v>
      </c>
      <c r="L156" s="95">
        <f ca="1">IF(ISNUMBER(J156),J156-0.5*$K$127*mass_rmd.mas!$A$2*Calculator!$N$129/Calculator!$N$125*(Calculator!$G$129-Calculator!$J$129)-O156," ")</f>
        <v>2.5051911552692521</v>
      </c>
      <c r="M156" s="108">
        <f t="shared" ref="M156:M164" ca="1" si="17">IF(ISNUMBER(J156),K156-L156," ")</f>
        <v>-0.79813364036436996</v>
      </c>
      <c r="N156" s="10">
        <f>N155+$N$153</f>
        <v>9.27</v>
      </c>
      <c r="O156" s="123">
        <f t="shared" ca="1" si="15"/>
        <v>-2.6102422162294623</v>
      </c>
    </row>
    <row r="157" spans="2:15" x14ac:dyDescent="0.2">
      <c r="B157" s="47"/>
      <c r="C157" s="113">
        <f t="shared" si="11"/>
        <v>0</v>
      </c>
      <c r="D157" s="95">
        <f ca="1">IF(ISNUMBER(C157),($K$127*mass_rmd.mas!$A$2*Calculator!$N$129/$N$125-C157/$G$129)*$J$129," ")</f>
        <v>1.7070575149048821</v>
      </c>
      <c r="E157" s="95">
        <f ca="1">IF(ISNUMBER(C157),C157-0.5*$K$127*mass_rmd.mas!$A$2*Calculator!$N$129/Calculator!$N$125*(Calculator!$G$129-Calculator!$J$129)-H157," ")</f>
        <v>3.5488025024272649</v>
      </c>
      <c r="F157" s="108">
        <f t="shared" ca="1" si="13"/>
        <v>-1.8417449875223828</v>
      </c>
      <c r="G157" s="114">
        <f t="shared" ca="1" si="14"/>
        <v>12.655133473394006</v>
      </c>
      <c r="H157" s="96">
        <f t="shared" ca="1" si="12"/>
        <v>-3.6538535633874751</v>
      </c>
      <c r="I157" s="9"/>
      <c r="J157" s="113">
        <f t="shared" si="16"/>
        <v>0</v>
      </c>
      <c r="K157" s="95">
        <f ca="1">IF(ISNUMBER(J157),($K$127*mass_rmd.mas!$A$2*Calculator!$N$129/$N$125-J157/$G$129)*$J$129," ")</f>
        <v>1.7070575149048821</v>
      </c>
      <c r="L157" s="95">
        <f ca="1">IF(ISNUMBER(J157),J157-0.5*$K$127*mass_rmd.mas!$A$2*Calculator!$N$129/Calculator!$N$125*(Calculator!$G$129-Calculator!$J$129)-O157," ")</f>
        <v>2.5668496603391664</v>
      </c>
      <c r="M157" s="108">
        <f t="shared" ca="1" si="17"/>
        <v>-0.85979214543428428</v>
      </c>
      <c r="N157" s="10">
        <f t="shared" ref="N157:N164" si="18">N156+$N$153</f>
        <v>9.4699999999999989</v>
      </c>
      <c r="O157" s="123">
        <f t="shared" ca="1" si="15"/>
        <v>-2.6719007212993766</v>
      </c>
    </row>
    <row r="158" spans="2:15" x14ac:dyDescent="0.2">
      <c r="B158" s="47"/>
      <c r="C158" s="113">
        <f t="shared" si="11"/>
        <v>0</v>
      </c>
      <c r="D158" s="95">
        <f ca="1">IF(ISNUMBER(C158),($K$127*mass_rmd.mas!$A$2*Calculator!$N$129/$N$125-C158/$G$129)*$J$129," ")</f>
        <v>1.7070575149048821</v>
      </c>
      <c r="E158" s="95">
        <f ca="1">IF(ISNUMBER(C158),C158-0.5*$K$127*mass_rmd.mas!$A$2*Calculator!$N$129/Calculator!$N$125*(Calculator!$G$129-Calculator!$J$129)-H158," ")</f>
        <v>4.8492968548101185</v>
      </c>
      <c r="F158" s="108">
        <f t="shared" ca="1" si="13"/>
        <v>-3.1422393399052364</v>
      </c>
      <c r="G158" s="114">
        <f t="shared" ca="1" si="14"/>
        <v>16.873511297858673</v>
      </c>
      <c r="H158" s="96">
        <f t="shared" ca="1" si="12"/>
        <v>-4.9543479157703292</v>
      </c>
      <c r="I158" s="9"/>
      <c r="J158" s="113">
        <f t="shared" si="16"/>
        <v>0</v>
      </c>
      <c r="K158" s="95">
        <f ca="1">IF(ISNUMBER(J158),($K$127*mass_rmd.mas!$A$2*Calculator!$N$129/$N$125-J158/$G$129)*$J$129," ")</f>
        <v>1.7070575149048821</v>
      </c>
      <c r="L158" s="95">
        <f ca="1">IF(ISNUMBER(J158),J158-0.5*$K$127*mass_rmd.mas!$A$2*Calculator!$N$129/Calculator!$N$125*(Calculator!$G$129-Calculator!$J$129)-O158," ")</f>
        <v>2.6285081654090812</v>
      </c>
      <c r="M158" s="108">
        <f t="shared" ca="1" si="17"/>
        <v>-0.92145065050419905</v>
      </c>
      <c r="N158" s="10">
        <f t="shared" si="18"/>
        <v>9.6699999999999982</v>
      </c>
      <c r="O158" s="123">
        <f t="shared" ca="1" si="15"/>
        <v>-2.7335592263692914</v>
      </c>
    </row>
    <row r="159" spans="2:15" x14ac:dyDescent="0.2">
      <c r="B159" s="47"/>
      <c r="C159" s="113">
        <f t="shared" si="11"/>
        <v>0</v>
      </c>
      <c r="D159" s="95">
        <f ca="1">IF(ISNUMBER(C159),($K$127*mass_rmd.mas!$A$2*Calculator!$N$129/$N$125-C159/$G$129)*$J$129," ")</f>
        <v>1.7070575149048821</v>
      </c>
      <c r="E159" s="95">
        <f ca="1">IF(ISNUMBER(C159),C159-0.5*$K$127*mass_rmd.mas!$A$2*Calculator!$N$129/Calculator!$N$125*(Calculator!$G$129-Calculator!$J$129)-H159," ")</f>
        <v>6.1497912071929726</v>
      </c>
      <c r="F159" s="108">
        <f t="shared" ca="1" si="13"/>
        <v>-4.4427336922880905</v>
      </c>
      <c r="G159" s="114">
        <f t="shared" ca="1" si="14"/>
        <v>21.091889122323341</v>
      </c>
      <c r="H159" s="96">
        <f t="shared" ca="1" si="12"/>
        <v>-6.2548422681531832</v>
      </c>
      <c r="I159" s="9"/>
      <c r="J159" s="113">
        <f t="shared" si="16"/>
        <v>0</v>
      </c>
      <c r="K159" s="95">
        <f ca="1">IF(ISNUMBER(J159),($K$127*mass_rmd.mas!$A$2*Calculator!$N$129/$N$125-J159/$G$129)*$J$129," ")</f>
        <v>1.7070575149048821</v>
      </c>
      <c r="L159" s="95">
        <f ca="1">IF(ISNUMBER(J159),J159-0.5*$K$127*mass_rmd.mas!$A$2*Calculator!$N$129/Calculator!$N$125*(Calculator!$G$129-Calculator!$J$129)-O159," ")</f>
        <v>2.6901666704789955</v>
      </c>
      <c r="M159" s="108">
        <f t="shared" ca="1" si="17"/>
        <v>-0.98310915557411338</v>
      </c>
      <c r="N159" s="10">
        <f t="shared" si="18"/>
        <v>9.8699999999999974</v>
      </c>
      <c r="O159" s="123">
        <f t="shared" ca="1" si="15"/>
        <v>-2.7952177314392057</v>
      </c>
    </row>
    <row r="160" spans="2:15" x14ac:dyDescent="0.2">
      <c r="B160" s="47"/>
      <c r="C160" s="113">
        <f t="shared" si="11"/>
        <v>0</v>
      </c>
      <c r="D160" s="95">
        <f ca="1">IF(ISNUMBER(C160),($K$127*mass_rmd.mas!$A$2*Calculator!$N$129/$N$125-C160/$G$129)*$J$129," ")</f>
        <v>1.7070575149048821</v>
      </c>
      <c r="E160" s="95">
        <f ca="1">IF(ISNUMBER(C160),C160-0.5*$K$127*mass_rmd.mas!$A$2*Calculator!$N$129/Calculator!$N$125*(Calculator!$G$129-Calculator!$J$129)-H160," ")</f>
        <v>7.4502855595758257</v>
      </c>
      <c r="F160" s="108">
        <f t="shared" ca="1" si="13"/>
        <v>-5.7432280446709436</v>
      </c>
      <c r="G160" s="114">
        <f t="shared" ca="1" si="14"/>
        <v>25.310266946788008</v>
      </c>
      <c r="H160" s="96">
        <f t="shared" ca="1" si="12"/>
        <v>-7.5553366205360364</v>
      </c>
      <c r="I160" s="9"/>
      <c r="J160" s="113">
        <f t="shared" si="16"/>
        <v>0</v>
      </c>
      <c r="K160" s="95">
        <f ca="1">IF(ISNUMBER(J160),($K$127*mass_rmd.mas!$A$2*Calculator!$N$129/$N$125-J160/$G$129)*$J$129," ")</f>
        <v>1.7070575149048821</v>
      </c>
      <c r="L160" s="95">
        <f ca="1">IF(ISNUMBER(J160),J160-0.5*$K$127*mass_rmd.mas!$A$2*Calculator!$N$129/Calculator!$N$125*(Calculator!$G$129-Calculator!$J$129)-O160," ")</f>
        <v>2.7518251755489103</v>
      </c>
      <c r="M160" s="108">
        <f t="shared" ca="1" si="17"/>
        <v>-1.0447676606440282</v>
      </c>
      <c r="N160" s="10">
        <f t="shared" si="18"/>
        <v>10.069999999999997</v>
      </c>
      <c r="O160" s="123">
        <f t="shared" ca="1" si="15"/>
        <v>-2.8568762365091205</v>
      </c>
    </row>
    <row r="161" spans="2:17" x14ac:dyDescent="0.2">
      <c r="B161" s="47"/>
      <c r="C161" s="113">
        <f t="shared" si="11"/>
        <v>0</v>
      </c>
      <c r="D161" s="95">
        <f ca="1">IF(ISNUMBER(C161),($K$127*mass_rmd.mas!$A$2*Calculator!$N$129/$N$125-C161/$G$129)*$J$129," ")</f>
        <v>1.7070575149048821</v>
      </c>
      <c r="E161" s="95">
        <f ca="1">IF(ISNUMBER(C161),C161-0.5*$K$127*mass_rmd.mas!$A$2*Calculator!$N$129/Calculator!$N$125*(Calculator!$G$129-Calculator!$J$129)-H161," ")</f>
        <v>8.7507799119586807</v>
      </c>
      <c r="F161" s="108">
        <f t="shared" ca="1" si="13"/>
        <v>-7.0437223970537985</v>
      </c>
      <c r="G161" s="114">
        <f t="shared" ca="1" si="14"/>
        <v>29.528644771252676</v>
      </c>
      <c r="H161" s="96">
        <f t="shared" ca="1" si="12"/>
        <v>-8.8558309729188913</v>
      </c>
      <c r="I161" s="9"/>
      <c r="J161" s="113">
        <f t="shared" si="16"/>
        <v>0</v>
      </c>
      <c r="K161" s="95">
        <f ca="1">IF(ISNUMBER(J161),($K$127*mass_rmd.mas!$A$2*Calculator!$N$129/$N$125-J161/$G$129)*$J$129," ")</f>
        <v>1.7070575149048821</v>
      </c>
      <c r="L161" s="95">
        <f ca="1">IF(ISNUMBER(J161),J161-0.5*$K$127*mass_rmd.mas!$A$2*Calculator!$N$129/Calculator!$N$125*(Calculator!$G$129-Calculator!$J$129)-O161," ")</f>
        <v>2.8134836806188246</v>
      </c>
      <c r="M161" s="108">
        <f t="shared" ca="1" si="17"/>
        <v>-1.1064261657139425</v>
      </c>
      <c r="N161" s="10">
        <f t="shared" si="18"/>
        <v>10.269999999999996</v>
      </c>
      <c r="O161" s="123">
        <f t="shared" ca="1" si="15"/>
        <v>-2.9185347415790348</v>
      </c>
    </row>
    <row r="162" spans="2:17" x14ac:dyDescent="0.2">
      <c r="B162" s="47"/>
      <c r="C162" s="113">
        <f t="shared" si="11"/>
        <v>0</v>
      </c>
      <c r="D162" s="95">
        <f ca="1">IF(ISNUMBER(C162),($K$127*mass_rmd.mas!$A$2*Calculator!$N$129/$N$125-C162/$G$129)*$J$129," ")</f>
        <v>1.7070575149048821</v>
      </c>
      <c r="E162" s="95">
        <f ca="1">IF(ISNUMBER(C162),C162-0.5*$K$127*mass_rmd.mas!$A$2*Calculator!$N$129/Calculator!$N$125*(Calculator!$G$129-Calculator!$J$129)-H162," ")</f>
        <v>10.051274264341535</v>
      </c>
      <c r="F162" s="108">
        <f t="shared" ca="1" si="13"/>
        <v>-8.3442167494366526</v>
      </c>
      <c r="G162" s="114">
        <f t="shared" ca="1" si="14"/>
        <v>33.747022595717347</v>
      </c>
      <c r="H162" s="96">
        <f t="shared" ca="1" si="12"/>
        <v>-10.156325325301745</v>
      </c>
      <c r="I162" s="9"/>
      <c r="J162" s="113">
        <f t="shared" si="16"/>
        <v>0</v>
      </c>
      <c r="K162" s="95">
        <f ca="1">IF(ISNUMBER(J162),($K$127*mass_rmd.mas!$A$2*Calculator!$N$129/$N$125-J162/$G$129)*$J$129," ")</f>
        <v>1.7070575149048821</v>
      </c>
      <c r="L162" s="95">
        <f ca="1">IF(ISNUMBER(J162),J162-0.5*$K$127*mass_rmd.mas!$A$2*Calculator!$N$129/Calculator!$N$125*(Calculator!$G$129-Calculator!$J$129)-O162," ")</f>
        <v>2.8751421856887394</v>
      </c>
      <c r="M162" s="108">
        <f t="shared" ca="1" si="17"/>
        <v>-1.1680846707838572</v>
      </c>
      <c r="N162" s="10">
        <f t="shared" si="18"/>
        <v>10.469999999999995</v>
      </c>
      <c r="O162" s="123">
        <f t="shared" ca="1" si="15"/>
        <v>-2.9801932466489496</v>
      </c>
    </row>
    <row r="163" spans="2:17" x14ac:dyDescent="0.2">
      <c r="B163" s="47"/>
      <c r="C163" s="113">
        <f t="shared" si="11"/>
        <v>0</v>
      </c>
      <c r="D163" s="95">
        <f ca="1">IF(ISNUMBER(C163),($K$127*mass_rmd.mas!$A$2*Calculator!$N$129/$N$125-C163/$G$129)*$J$129," ")</f>
        <v>1.7070575149048821</v>
      </c>
      <c r="E163" s="95">
        <f ca="1">IF(ISNUMBER(C163),C163-0.5*$K$127*mass_rmd.mas!$A$2*Calculator!$N$129/Calculator!$N$125*(Calculator!$G$129-Calculator!$J$129)-H163," ")</f>
        <v>11.351768616724389</v>
      </c>
      <c r="F163" s="108">
        <f t="shared" ca="1" si="13"/>
        <v>-9.6447111018195066</v>
      </c>
      <c r="G163" s="114">
        <f t="shared" ca="1" si="14"/>
        <v>37.965400420182014</v>
      </c>
      <c r="H163" s="96">
        <f t="shared" ca="1" si="12"/>
        <v>-11.456819677684599</v>
      </c>
      <c r="I163" s="9"/>
      <c r="J163" s="113">
        <f t="shared" si="16"/>
        <v>0</v>
      </c>
      <c r="K163" s="95">
        <f ca="1">IF(ISNUMBER(J163),($K$127*mass_rmd.mas!$A$2*Calculator!$N$129/$N$125-J163/$G$129)*$J$129," ")</f>
        <v>1.7070575149048821</v>
      </c>
      <c r="L163" s="95">
        <f ca="1">IF(ISNUMBER(J163),J163-0.5*$K$127*mass_rmd.mas!$A$2*Calculator!$N$129/Calculator!$N$125*(Calculator!$G$129-Calculator!$J$129)-O163," ")</f>
        <v>2.9368006907586537</v>
      </c>
      <c r="M163" s="108">
        <f t="shared" ca="1" si="17"/>
        <v>-1.2297431758537716</v>
      </c>
      <c r="N163" s="10">
        <f t="shared" si="18"/>
        <v>10.669999999999995</v>
      </c>
      <c r="O163" s="123">
        <f t="shared" ca="1" si="15"/>
        <v>-3.0418517517188639</v>
      </c>
    </row>
    <row r="164" spans="2:17" x14ac:dyDescent="0.2">
      <c r="B164" s="47"/>
      <c r="C164" s="113">
        <f t="shared" si="11"/>
        <v>0</v>
      </c>
      <c r="D164" s="95">
        <f ca="1">IF(ISNUMBER(C164),($K$127*mass_rmd.mas!$A$2*Calculator!$N$129/$N$125-C164/$G$129)*$J$129," ")</f>
        <v>1.7070575149048821</v>
      </c>
      <c r="E164" s="95">
        <f ca="1">IF(ISNUMBER(C164),C164-0.5*$K$127*mass_rmd.mas!$A$2*Calculator!$N$129/Calculator!$N$125*(Calculator!$G$129-Calculator!$J$129)-H164," ")</f>
        <v>12.652262969107243</v>
      </c>
      <c r="F164" s="108">
        <f t="shared" ca="1" si="13"/>
        <v>-10.945205454202361</v>
      </c>
      <c r="G164" s="114">
        <f t="shared" ca="1" si="14"/>
        <v>42.183778244646682</v>
      </c>
      <c r="H164" s="96">
        <f t="shared" ca="1" si="12"/>
        <v>-12.757314030067453</v>
      </c>
      <c r="I164" s="9"/>
      <c r="J164" s="113">
        <f t="shared" si="16"/>
        <v>0</v>
      </c>
      <c r="K164" s="95">
        <f ca="1">IF(ISNUMBER(J164),($K$127*mass_rmd.mas!$A$2*Calculator!$N$129/$N$125-J164/$G$129)*$J$129," ")</f>
        <v>1.7070575149048821</v>
      </c>
      <c r="L164" s="95">
        <f ca="1">IF(ISNUMBER(J164),J164-0.5*$K$127*mass_rmd.mas!$A$2*Calculator!$N$129/Calculator!$N$125*(Calculator!$G$129-Calculator!$J$129)-O164," ")</f>
        <v>2.9984591958285685</v>
      </c>
      <c r="M164" s="108">
        <f t="shared" ca="1" si="17"/>
        <v>-1.2914016809236863</v>
      </c>
      <c r="N164" s="10">
        <f t="shared" si="18"/>
        <v>10.869999999999994</v>
      </c>
      <c r="O164" s="123">
        <f t="shared" ca="1" si="15"/>
        <v>-3.1035102567887787</v>
      </c>
    </row>
    <row r="165" spans="2:17" x14ac:dyDescent="0.2">
      <c r="B165" s="47"/>
      <c r="C165" s="92"/>
      <c r="D165" s="9"/>
      <c r="E165" s="9"/>
      <c r="F165" s="9"/>
      <c r="G165" s="9"/>
      <c r="H165" s="94"/>
      <c r="I165" s="9"/>
      <c r="J165" s="92"/>
      <c r="K165" s="9"/>
      <c r="L165" s="9"/>
      <c r="M165" s="9"/>
      <c r="N165" s="9"/>
      <c r="O165" s="50"/>
    </row>
    <row r="166" spans="2:17" x14ac:dyDescent="0.2">
      <c r="B166" s="47"/>
      <c r="C166" s="92"/>
      <c r="D166" s="97" t="s">
        <v>366</v>
      </c>
      <c r="E166" s="98"/>
      <c r="F166" s="103" t="s">
        <v>371</v>
      </c>
      <c r="G166" s="9"/>
      <c r="H166" s="94"/>
      <c r="I166" s="9"/>
      <c r="J166" s="92"/>
      <c r="K166" s="97" t="s">
        <v>366</v>
      </c>
      <c r="L166" s="98"/>
      <c r="M166" s="103" t="s">
        <v>371</v>
      </c>
      <c r="N166" s="9"/>
      <c r="O166" s="50"/>
      <c r="Q166" s="205" t="s">
        <v>472</v>
      </c>
    </row>
    <row r="167" spans="2:17" x14ac:dyDescent="0.2">
      <c r="B167" s="47"/>
      <c r="C167" s="92"/>
      <c r="D167" s="97" t="s">
        <v>370</v>
      </c>
      <c r="E167" s="98"/>
      <c r="F167" s="103" t="s">
        <v>369</v>
      </c>
      <c r="G167" s="9"/>
      <c r="H167" s="94"/>
      <c r="I167" s="9"/>
      <c r="J167" s="92"/>
      <c r="K167" s="97" t="s">
        <v>370</v>
      </c>
      <c r="L167" s="98"/>
      <c r="M167" s="103" t="s">
        <v>369</v>
      </c>
      <c r="N167" s="9"/>
      <c r="O167" s="50"/>
    </row>
    <row r="168" spans="2:17" x14ac:dyDescent="0.2">
      <c r="B168" s="47"/>
      <c r="C168" s="84"/>
      <c r="D168" s="99"/>
      <c r="E168" s="99"/>
      <c r="F168" s="99"/>
      <c r="G168" s="99"/>
      <c r="H168" s="85"/>
      <c r="I168" s="9"/>
      <c r="J168" s="84"/>
      <c r="K168" s="99"/>
      <c r="L168" s="99"/>
      <c r="M168" s="99"/>
      <c r="N168" s="99"/>
      <c r="O168" s="129"/>
    </row>
    <row r="169" spans="2:17" x14ac:dyDescent="0.2">
      <c r="B169" s="47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50"/>
    </row>
    <row r="170" spans="2:17" x14ac:dyDescent="0.2">
      <c r="B170" s="47"/>
      <c r="C170" s="9"/>
      <c r="D170" s="9"/>
      <c r="E170" s="9"/>
      <c r="F170" s="9" t="s">
        <v>380</v>
      </c>
      <c r="G170" s="9"/>
      <c r="H170" s="9"/>
      <c r="I170" s="9"/>
      <c r="J170" s="9"/>
      <c r="K170" s="9"/>
      <c r="L170" s="9"/>
      <c r="M170" s="9"/>
      <c r="N170" s="9"/>
      <c r="O170" s="50"/>
    </row>
    <row r="171" spans="2:17" x14ac:dyDescent="0.2">
      <c r="B171" s="47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50"/>
    </row>
    <row r="172" spans="2:17" x14ac:dyDescent="0.2">
      <c r="B172" s="47"/>
      <c r="C172" s="9"/>
      <c r="D172" s="9"/>
      <c r="E172" s="9"/>
      <c r="F172" s="9" t="s">
        <v>381</v>
      </c>
      <c r="G172" s="9"/>
      <c r="H172" s="9"/>
      <c r="I172" s="9"/>
      <c r="J172" s="9"/>
      <c r="K172" s="9"/>
      <c r="L172" s="9"/>
      <c r="M172" s="9"/>
      <c r="N172" s="9"/>
      <c r="O172" s="50"/>
    </row>
    <row r="173" spans="2:17" x14ac:dyDescent="0.2">
      <c r="B173" s="47"/>
      <c r="C173" s="9"/>
      <c r="D173" s="9"/>
      <c r="E173" s="9"/>
      <c r="F173" s="9" t="s">
        <v>382</v>
      </c>
      <c r="G173" s="9"/>
      <c r="H173" s="9"/>
      <c r="I173" s="9"/>
      <c r="J173" s="9"/>
      <c r="K173" s="9"/>
      <c r="L173" s="9"/>
      <c r="M173" s="9"/>
      <c r="N173" s="9"/>
      <c r="O173" s="50"/>
    </row>
    <row r="174" spans="2:17" x14ac:dyDescent="0.2">
      <c r="B174" s="47"/>
      <c r="C174" s="9"/>
      <c r="D174" s="9"/>
      <c r="E174" s="9"/>
      <c r="F174" s="9" t="s">
        <v>383</v>
      </c>
      <c r="G174" s="9"/>
      <c r="H174" s="9"/>
      <c r="I174" s="9"/>
      <c r="J174" s="9"/>
      <c r="K174" s="9"/>
      <c r="L174" s="9"/>
      <c r="M174" s="9"/>
      <c r="N174" s="9"/>
      <c r="O174" s="50"/>
    </row>
    <row r="175" spans="2:17" x14ac:dyDescent="0.2">
      <c r="B175" s="47"/>
      <c r="C175" s="9"/>
      <c r="D175" s="9"/>
      <c r="E175" s="9"/>
      <c r="F175" s="9" t="s">
        <v>384</v>
      </c>
      <c r="G175" s="9"/>
      <c r="H175" s="9"/>
      <c r="I175" s="9"/>
      <c r="J175" s="9"/>
      <c r="K175" s="9"/>
      <c r="L175" s="9"/>
      <c r="M175" s="9"/>
      <c r="N175" s="9"/>
      <c r="O175" s="50"/>
    </row>
    <row r="176" spans="2:17" x14ac:dyDescent="0.2">
      <c r="B176" s="47"/>
      <c r="C176" s="9"/>
      <c r="D176" s="9"/>
      <c r="E176" s="9"/>
      <c r="F176" s="9" t="s">
        <v>385</v>
      </c>
      <c r="G176" s="9"/>
      <c r="H176" s="9"/>
      <c r="I176" s="9"/>
      <c r="J176" s="9"/>
      <c r="K176" s="9"/>
      <c r="L176" s="9"/>
      <c r="M176" s="9"/>
      <c r="N176" s="9"/>
      <c r="O176" s="50"/>
    </row>
    <row r="177" spans="2:15" x14ac:dyDescent="0.2">
      <c r="B177" s="47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50"/>
    </row>
    <row r="178" spans="2:15" x14ac:dyDescent="0.2">
      <c r="B178" s="47"/>
      <c r="C178" s="9"/>
      <c r="D178" s="9"/>
      <c r="E178" s="9"/>
      <c r="F178" s="9" t="s">
        <v>386</v>
      </c>
      <c r="G178" s="9"/>
      <c r="H178" s="9"/>
      <c r="I178" s="9"/>
      <c r="J178" s="9"/>
      <c r="K178" s="9"/>
      <c r="L178" s="9"/>
      <c r="M178" s="9"/>
      <c r="N178" s="9"/>
      <c r="O178" s="50"/>
    </row>
    <row r="179" spans="2:15" x14ac:dyDescent="0.2">
      <c r="B179" s="47"/>
      <c r="C179" s="9"/>
      <c r="D179" s="9"/>
      <c r="E179" s="9"/>
      <c r="F179" s="9" t="s">
        <v>387</v>
      </c>
      <c r="G179" s="9"/>
      <c r="H179" s="9"/>
      <c r="I179" s="9"/>
      <c r="J179" s="9"/>
      <c r="K179" s="9"/>
      <c r="L179" s="9"/>
      <c r="M179" s="9"/>
      <c r="N179" s="9"/>
      <c r="O179" s="50"/>
    </row>
    <row r="180" spans="2:15" x14ac:dyDescent="0.2">
      <c r="B180" s="47"/>
      <c r="C180" s="9"/>
      <c r="D180" s="9"/>
      <c r="E180" s="9"/>
      <c r="F180" s="9" t="s">
        <v>388</v>
      </c>
      <c r="G180" s="9"/>
      <c r="H180" s="9"/>
      <c r="I180" s="9"/>
      <c r="J180" s="9"/>
      <c r="K180" s="9"/>
      <c r="L180" s="9"/>
      <c r="M180" s="9"/>
      <c r="N180" s="9"/>
      <c r="O180" s="50"/>
    </row>
    <row r="181" spans="2:15" x14ac:dyDescent="0.2">
      <c r="B181" s="47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50"/>
    </row>
    <row r="182" spans="2:15" ht="13.5" thickBot="1" x14ac:dyDescent="0.25">
      <c r="B182" s="48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49"/>
    </row>
    <row r="183" spans="2:15" ht="13.5" thickBot="1" x14ac:dyDescent="0.25">
      <c r="B183" s="63"/>
      <c r="C183" s="63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</row>
    <row r="184" spans="2:15" x14ac:dyDescent="0.2">
      <c r="B184" s="116" t="s">
        <v>397</v>
      </c>
      <c r="C184" s="117"/>
      <c r="D184" s="117"/>
      <c r="E184" s="117"/>
      <c r="F184" s="32"/>
      <c r="G184" s="32" t="s">
        <v>418</v>
      </c>
      <c r="H184" s="32"/>
      <c r="I184" s="32"/>
      <c r="J184" s="32"/>
      <c r="K184" s="32"/>
      <c r="L184" s="32"/>
      <c r="M184" s="32"/>
      <c r="N184" s="32"/>
      <c r="O184" s="46"/>
    </row>
    <row r="185" spans="2:15" x14ac:dyDescent="0.2">
      <c r="B185" s="47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50"/>
    </row>
    <row r="186" spans="2:15" x14ac:dyDescent="0.2">
      <c r="B186" s="47"/>
      <c r="C186" s="9"/>
      <c r="D186" s="9"/>
      <c r="E186" s="9"/>
      <c r="F186" s="9"/>
      <c r="G186" s="9"/>
      <c r="H186" s="112" t="s">
        <v>118</v>
      </c>
      <c r="I186" s="9" t="s">
        <v>401</v>
      </c>
      <c r="J186" s="28" t="s">
        <v>302</v>
      </c>
      <c r="K186" s="28" t="s">
        <v>417</v>
      </c>
      <c r="L186" s="125" t="s">
        <v>405</v>
      </c>
      <c r="M186" s="9"/>
      <c r="N186" s="9"/>
      <c r="O186" s="50"/>
    </row>
    <row r="187" spans="2:15" x14ac:dyDescent="0.2">
      <c r="B187" s="47"/>
      <c r="C187" s="9" t="s">
        <v>398</v>
      </c>
      <c r="D187" s="9"/>
      <c r="E187" s="169" t="s">
        <v>97</v>
      </c>
      <c r="F187" s="191">
        <v>4</v>
      </c>
      <c r="G187" s="9"/>
      <c r="H187" s="9">
        <f ca="1">VLOOKUP(E187,INDIRECT(ADDRESS(MATCH(F187,A_values,0),4,1,TRUE,"mass_rmd.mas")):INDIRECT(ADDRESS(MATCH(F187+1,A_values,0)-1,7,1,TRUE,"mass_rmd.mas")),4,FALSE)/1000</f>
        <v>2.4249156100000002</v>
      </c>
      <c r="I187" s="9">
        <f ca="1">F187+H187/mass_rmd.mas!$A$2</f>
        <v>4.0026032539674992</v>
      </c>
      <c r="J187" s="9">
        <f>INDEX(Z_values,MATCH(E187,Symbol_values,0))</f>
        <v>2</v>
      </c>
      <c r="K187" s="9">
        <f ca="1" xml:space="preserve"> SQRT(0.1569*J189*(J189+1)*J187*J187*E194/(F189*(E191^2 + 2*E191*I187*mass_rmd.mas!$A$2)*L187^2))</f>
        <v>4.0926089967069619E-3</v>
      </c>
      <c r="L187" s="9">
        <f ca="1">SQRT(1-1/(1+E191/I187/mass_rmd.mas!$A$2)^2)</f>
        <v>5.4187950432459754E-2</v>
      </c>
      <c r="M187" s="28" t="s">
        <v>406</v>
      </c>
      <c r="N187" s="104">
        <f ca="1">LN( (2730*(J189+1)*(J189^0.33333)*J187*J187*E194)/(F189*L187^2))-0.1544</f>
        <v>6.3194952599151435</v>
      </c>
      <c r="O187" s="50"/>
    </row>
    <row r="188" spans="2:15" x14ac:dyDescent="0.2">
      <c r="B188" s="47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50"/>
    </row>
    <row r="189" spans="2:15" x14ac:dyDescent="0.2">
      <c r="B189" s="47"/>
      <c r="C189" s="9" t="s">
        <v>399</v>
      </c>
      <c r="D189" s="9"/>
      <c r="E189" s="169" t="s">
        <v>400</v>
      </c>
      <c r="F189" s="191">
        <v>197</v>
      </c>
      <c r="G189" s="9"/>
      <c r="H189" s="9">
        <f ca="1">VLOOKUP(E189,INDIRECT(ADDRESS(MATCH(F189,A_values,0),4,1,TRUE,"mass_rmd.mas")):INDIRECT(ADDRESS(MATCH(F189+1,A_values,0)-1,7,1,TRUE,"mass_rmd.mas")),4,FALSE)/1000</f>
        <v>-31.139738000000001</v>
      </c>
      <c r="I189" s="9">
        <f ca="1">F189+H189/mass_rmd.mas!$A$2</f>
        <v>196.96657011643578</v>
      </c>
      <c r="J189" s="9">
        <f>INDEX(Z_values,MATCH(E189,Symbol_values,0))</f>
        <v>79</v>
      </c>
      <c r="K189" s="9"/>
      <c r="L189" s="9"/>
      <c r="M189" s="28" t="s">
        <v>407</v>
      </c>
      <c r="N189" s="104">
        <v>8.4541435624628747</v>
      </c>
      <c r="O189" s="50"/>
    </row>
    <row r="190" spans="2:15" x14ac:dyDescent="0.2">
      <c r="B190" s="47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50"/>
    </row>
    <row r="191" spans="2:15" x14ac:dyDescent="0.2">
      <c r="B191" s="47"/>
      <c r="C191" s="9"/>
      <c r="D191" s="9" t="s">
        <v>104</v>
      </c>
      <c r="E191" s="193">
        <v>5.4859999999999998</v>
      </c>
      <c r="F191" s="9" t="s">
        <v>170</v>
      </c>
      <c r="G191" s="9"/>
      <c r="H191" s="151" t="s">
        <v>408</v>
      </c>
      <c r="I191" s="151"/>
      <c r="J191" s="151"/>
      <c r="K191" s="151"/>
      <c r="L191" s="151"/>
      <c r="M191" s="28" t="s">
        <v>410</v>
      </c>
      <c r="N191" s="104">
        <f ca="1">N189-LN(N189)-N187</f>
        <v>-8.3810546298579425E-6</v>
      </c>
      <c r="O191" s="50"/>
    </row>
    <row r="192" spans="2:15" x14ac:dyDescent="0.2">
      <c r="B192" s="47"/>
      <c r="C192" s="9"/>
      <c r="D192" s="9"/>
      <c r="E192" s="9"/>
      <c r="F192" s="9"/>
      <c r="G192" s="9"/>
      <c r="H192" s="151" t="s">
        <v>409</v>
      </c>
      <c r="I192" s="151"/>
      <c r="J192" s="151"/>
      <c r="K192" s="151"/>
      <c r="L192" s="151"/>
      <c r="M192" s="9"/>
      <c r="N192" s="9"/>
      <c r="O192" s="50"/>
    </row>
    <row r="193" spans="2:17" x14ac:dyDescent="0.2">
      <c r="B193" s="47"/>
      <c r="C193" s="9"/>
      <c r="D193" s="9" t="s">
        <v>402</v>
      </c>
      <c r="E193" s="193">
        <v>100</v>
      </c>
      <c r="F193" s="76" t="s">
        <v>403</v>
      </c>
      <c r="G193" s="9"/>
      <c r="H193" s="151" t="s">
        <v>419</v>
      </c>
      <c r="I193" s="151"/>
      <c r="J193" s="151"/>
      <c r="K193" s="151"/>
      <c r="L193" s="151"/>
      <c r="M193" s="9"/>
      <c r="N193" s="9"/>
      <c r="O193" s="50"/>
    </row>
    <row r="194" spans="2:17" x14ac:dyDescent="0.2">
      <c r="B194" s="47"/>
      <c r="C194" s="9"/>
      <c r="D194" s="28" t="s">
        <v>404</v>
      </c>
      <c r="E194" s="152">
        <f>E193/1000000</f>
        <v>1E-4</v>
      </c>
      <c r="F194" s="9" t="s">
        <v>325</v>
      </c>
      <c r="G194" s="9"/>
      <c r="H194" s="151" t="s">
        <v>423</v>
      </c>
      <c r="I194" s="151"/>
      <c r="J194" s="151"/>
      <c r="K194" s="151"/>
      <c r="L194" s="151"/>
      <c r="M194" s="9"/>
      <c r="N194" s="9"/>
      <c r="O194" s="50"/>
    </row>
    <row r="195" spans="2:17" x14ac:dyDescent="0.2">
      <c r="B195" s="47"/>
      <c r="C195" s="9"/>
      <c r="D195" s="9"/>
      <c r="E195" s="9"/>
      <c r="F195" s="9"/>
      <c r="G195" s="9"/>
      <c r="H195" s="151" t="s">
        <v>420</v>
      </c>
      <c r="I195" s="151"/>
      <c r="J195" s="151"/>
      <c r="K195" s="151"/>
      <c r="L195" s="151"/>
      <c r="M195" s="9"/>
      <c r="N195" s="9"/>
      <c r="O195" s="50"/>
    </row>
    <row r="196" spans="2:17" x14ac:dyDescent="0.2">
      <c r="B196" s="47"/>
      <c r="C196" s="9"/>
      <c r="D196" s="9"/>
      <c r="E196" s="9"/>
      <c r="F196" s="9"/>
      <c r="G196" s="9"/>
      <c r="H196" s="151" t="s">
        <v>424</v>
      </c>
      <c r="I196" s="151"/>
      <c r="J196" s="151"/>
      <c r="K196" s="151"/>
      <c r="L196" s="151"/>
      <c r="M196" s="262" t="s">
        <v>473</v>
      </c>
      <c r="N196" s="262"/>
      <c r="O196" s="50"/>
    </row>
    <row r="197" spans="2:17" x14ac:dyDescent="0.2">
      <c r="B197" s="47"/>
      <c r="C197" s="9"/>
      <c r="D197" s="9"/>
      <c r="E197" s="9"/>
      <c r="F197" s="9"/>
      <c r="G197" s="9"/>
      <c r="H197" s="151" t="s">
        <v>425</v>
      </c>
      <c r="I197" s="151"/>
      <c r="J197" s="151"/>
      <c r="K197" s="151"/>
      <c r="L197" s="151"/>
      <c r="M197" s="9"/>
      <c r="N197" s="103" t="s">
        <v>474</v>
      </c>
      <c r="O197" s="50"/>
    </row>
    <row r="198" spans="2:17" x14ac:dyDescent="0.2">
      <c r="B198" s="47"/>
      <c r="C198" s="9"/>
      <c r="D198" s="9" t="s">
        <v>465</v>
      </c>
      <c r="E198" s="9"/>
      <c r="F198" s="9"/>
      <c r="G198" s="9"/>
      <c r="H198" s="151" t="s">
        <v>421</v>
      </c>
      <c r="I198" s="151"/>
      <c r="J198" s="151"/>
      <c r="K198" s="151"/>
      <c r="L198" s="151"/>
      <c r="M198" s="9"/>
      <c r="N198" s="115" t="s">
        <v>475</v>
      </c>
      <c r="O198" s="50"/>
    </row>
    <row r="199" spans="2:17" x14ac:dyDescent="0.2">
      <c r="B199" s="47"/>
      <c r="C199" s="9"/>
      <c r="D199" s="9" t="s">
        <v>466</v>
      </c>
      <c r="E199" s="9"/>
      <c r="F199" s="9"/>
      <c r="G199" s="9"/>
      <c r="H199" s="151" t="s">
        <v>426</v>
      </c>
      <c r="I199" s="151"/>
      <c r="J199" s="151"/>
      <c r="K199" s="151"/>
      <c r="L199" s="151"/>
      <c r="M199" s="9"/>
      <c r="N199" s="115" t="s">
        <v>476</v>
      </c>
      <c r="O199" s="50"/>
    </row>
    <row r="200" spans="2:17" x14ac:dyDescent="0.2">
      <c r="B200" s="47"/>
      <c r="C200" s="9"/>
      <c r="D200" s="9" t="s">
        <v>467</v>
      </c>
      <c r="E200" s="9"/>
      <c r="F200" s="9"/>
      <c r="G200" s="9"/>
      <c r="H200" s="151" t="s">
        <v>427</v>
      </c>
      <c r="I200" s="151"/>
      <c r="J200" s="151"/>
      <c r="K200" s="151"/>
      <c r="L200" s="151"/>
      <c r="M200" s="9"/>
      <c r="N200" s="115" t="s">
        <v>477</v>
      </c>
      <c r="O200" s="50"/>
    </row>
    <row r="201" spans="2:17" x14ac:dyDescent="0.2">
      <c r="B201" s="47"/>
      <c r="C201" s="9"/>
      <c r="D201" s="9" t="s">
        <v>468</v>
      </c>
      <c r="E201" s="9"/>
      <c r="F201" s="9"/>
      <c r="G201" s="9"/>
      <c r="H201" s="151" t="s">
        <v>422</v>
      </c>
      <c r="I201" s="151"/>
      <c r="J201" s="151"/>
      <c r="K201" s="151"/>
      <c r="L201" s="151"/>
      <c r="M201" s="9"/>
      <c r="N201" s="9"/>
      <c r="O201" s="50"/>
    </row>
    <row r="202" spans="2:17" x14ac:dyDescent="0.2">
      <c r="B202" s="47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50"/>
    </row>
    <row r="203" spans="2:17" x14ac:dyDescent="0.2">
      <c r="B203" s="47"/>
      <c r="C203" s="9"/>
      <c r="D203" s="82" t="s">
        <v>411</v>
      </c>
      <c r="E203" s="101"/>
      <c r="F203" s="131" t="s">
        <v>395</v>
      </c>
      <c r="G203" s="101"/>
      <c r="H203" s="131" t="s">
        <v>414</v>
      </c>
      <c r="I203" s="101"/>
      <c r="J203" s="131" t="s">
        <v>415</v>
      </c>
      <c r="K203" s="101"/>
      <c r="L203" s="131" t="s">
        <v>416</v>
      </c>
      <c r="M203" s="83"/>
      <c r="N203" s="9"/>
      <c r="O203" s="50"/>
    </row>
    <row r="204" spans="2:17" x14ac:dyDescent="0.2">
      <c r="B204" s="47"/>
      <c r="C204" s="9"/>
      <c r="D204" s="92"/>
      <c r="E204" s="9"/>
      <c r="F204" s="9"/>
      <c r="G204" s="9"/>
      <c r="H204" s="9"/>
      <c r="I204" s="9"/>
      <c r="J204" s="9"/>
      <c r="K204" s="9"/>
      <c r="L204" s="9"/>
      <c r="M204" s="94"/>
      <c r="N204" s="9"/>
      <c r="O204" s="50"/>
    </row>
    <row r="205" spans="2:17" x14ac:dyDescent="0.2">
      <c r="B205" s="47"/>
      <c r="C205" s="9"/>
      <c r="D205" s="92" t="s">
        <v>412</v>
      </c>
      <c r="E205" s="9"/>
      <c r="F205" s="149">
        <f ca="1">L205*2/2.83</f>
        <v>7.7518156513706895</v>
      </c>
      <c r="G205" s="122"/>
      <c r="H205" s="149">
        <f ca="1">2.3548*F205</f>
        <v>18.253975495847701</v>
      </c>
      <c r="I205" s="122"/>
      <c r="J205" s="149">
        <f ca="1">2.56*F205</f>
        <v>19.844648067508967</v>
      </c>
      <c r="K205" s="122"/>
      <c r="L205" s="149">
        <f ca="1">1000*((((-0.000012129*N189+0.00061864)*N189-0.012005)*N189+0.10969)*N189+0.54062)*K187*SQRT(N189)</f>
        <v>10.968819146689526</v>
      </c>
      <c r="M205" s="94"/>
      <c r="N205" s="9"/>
      <c r="O205" s="50"/>
    </row>
    <row r="206" spans="2:17" x14ac:dyDescent="0.2">
      <c r="B206" s="47"/>
      <c r="C206" s="9"/>
      <c r="D206" s="92" t="s">
        <v>413</v>
      </c>
      <c r="E206" s="9"/>
      <c r="F206" s="150">
        <f ca="1">0.18/3.14159*F205</f>
        <v>0.44414669554166014</v>
      </c>
      <c r="G206" s="122"/>
      <c r="H206" s="150">
        <f ca="1">0.18/3.14159*H205</f>
        <v>1.0458766386615015</v>
      </c>
      <c r="I206" s="122"/>
      <c r="J206" s="150">
        <f ca="1">0.18/3.14159*J205</f>
        <v>1.13701554058665</v>
      </c>
      <c r="K206" s="122"/>
      <c r="L206" s="150">
        <f ca="1">0.18/3.14159*L205</f>
        <v>0.62846757419144916</v>
      </c>
      <c r="M206" s="94"/>
      <c r="N206" s="9"/>
      <c r="O206" s="50"/>
    </row>
    <row r="207" spans="2:17" x14ac:dyDescent="0.2">
      <c r="B207" s="47"/>
      <c r="C207" s="9"/>
      <c r="D207" s="84"/>
      <c r="E207" s="99"/>
      <c r="F207" s="99"/>
      <c r="G207" s="99"/>
      <c r="H207" s="99"/>
      <c r="I207" s="99"/>
      <c r="J207" s="99"/>
      <c r="K207" s="99"/>
      <c r="L207" s="99"/>
      <c r="M207" s="85"/>
      <c r="N207" s="9"/>
      <c r="O207" s="50"/>
    </row>
    <row r="208" spans="2:17" ht="13.5" thickBot="1" x14ac:dyDescent="0.25">
      <c r="B208" s="48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49"/>
      <c r="Q208" s="205" t="s">
        <v>472</v>
      </c>
    </row>
    <row r="209" spans="2:15" x14ac:dyDescent="0.2">
      <c r="B209" s="63"/>
      <c r="C209" s="63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</row>
  </sheetData>
  <sheetProtection password="C786" sheet="1" objects="1" scenarios="1"/>
  <mergeCells count="66">
    <mergeCell ref="N5:O5"/>
    <mergeCell ref="N6:O6"/>
    <mergeCell ref="J5:K5"/>
    <mergeCell ref="N22:O22"/>
    <mergeCell ref="G20:J20"/>
    <mergeCell ref="L18:M18"/>
    <mergeCell ref="I18:J18"/>
    <mergeCell ref="L16:M16"/>
    <mergeCell ref="I16:J16"/>
    <mergeCell ref="G16:H16"/>
    <mergeCell ref="G18:H18"/>
    <mergeCell ref="E22:F22"/>
    <mergeCell ref="H22:I22"/>
    <mergeCell ref="L27:M27"/>
    <mergeCell ref="L30:M30"/>
    <mergeCell ref="H46:I46"/>
    <mergeCell ref="E45:F45"/>
    <mergeCell ref="H45:I45"/>
    <mergeCell ref="H30:I30"/>
    <mergeCell ref="H31:I31"/>
    <mergeCell ref="L22:M22"/>
    <mergeCell ref="H33:I33"/>
    <mergeCell ref="H43:I43"/>
    <mergeCell ref="H39:I39"/>
    <mergeCell ref="H36:I36"/>
    <mergeCell ref="H44:I44"/>
    <mergeCell ref="G23:J23"/>
    <mergeCell ref="M196:N196"/>
    <mergeCell ref="N54:O54"/>
    <mergeCell ref="L45:M45"/>
    <mergeCell ref="L43:M43"/>
    <mergeCell ref="L32:M32"/>
    <mergeCell ref="L39:M39"/>
    <mergeCell ref="L40:M40"/>
    <mergeCell ref="N2:P2"/>
    <mergeCell ref="H40:I40"/>
    <mergeCell ref="G10:H10"/>
    <mergeCell ref="G11:H11"/>
    <mergeCell ref="G12:H12"/>
    <mergeCell ref="L26:M26"/>
    <mergeCell ref="H19:I19"/>
    <mergeCell ref="L6:M6"/>
    <mergeCell ref="H6:I6"/>
    <mergeCell ref="L20:M20"/>
    <mergeCell ref="H26:I26"/>
    <mergeCell ref="H32:I32"/>
    <mergeCell ref="L36:M36"/>
    <mergeCell ref="H27:I27"/>
    <mergeCell ref="J6:K6"/>
    <mergeCell ref="L5:M5"/>
    <mergeCell ref="B4:C4"/>
    <mergeCell ref="B9:C9"/>
    <mergeCell ref="B25:D25"/>
    <mergeCell ref="B133:D133"/>
    <mergeCell ref="E32:F32"/>
    <mergeCell ref="E33:F33"/>
    <mergeCell ref="B36:C36"/>
    <mergeCell ref="E46:F46"/>
    <mergeCell ref="B49:D49"/>
    <mergeCell ref="B38:C38"/>
    <mergeCell ref="B39:C39"/>
    <mergeCell ref="B11:C11"/>
    <mergeCell ref="E16:F16"/>
    <mergeCell ref="E18:F18"/>
    <mergeCell ref="B16:C16"/>
    <mergeCell ref="B17:C17"/>
  </mergeCells>
  <phoneticPr fontId="0" type="noConversion"/>
  <hyperlinks>
    <hyperlink ref="D2" location="Calculator!E17" display="Calculator!E17"/>
    <hyperlink ref="B2" location="Calculator!E5" display="Calculator!E5"/>
    <hyperlink ref="C2" location="Calculator!E10" display="Calculator!E10"/>
    <hyperlink ref="E2" location="Calculator!E28" display="Calculator!E28"/>
    <hyperlink ref="F2" location="Calculator!E48" display="Calculator!E48"/>
    <hyperlink ref="G2" location="Calculator!E59" display="Calculator!E59"/>
    <hyperlink ref="H2" location="Calculator!E135" display="Calculator!E135"/>
    <hyperlink ref="I2" location="Calculator!E209" display="Calculator!E209"/>
    <hyperlink ref="J2" location="Calculator!E94" display="Calculator!E94"/>
    <hyperlink ref="K2" location="Calculator!E108" display="Calculator!E108"/>
    <hyperlink ref="Q47" location="Calculator!a1" display="Calculator!a1"/>
    <hyperlink ref="Q58" location="Calculator!a1" display="Calculator!a1"/>
    <hyperlink ref="Q93" location="Calculator!a1" display="Calculator!a1"/>
    <hyperlink ref="Q107" location="Calculator!a1" display="Calculator!a1"/>
    <hyperlink ref="Q166" location="Calculator!a1" display="Calculator!a1"/>
    <hyperlink ref="Q208" location="Calculator!a1" display="Calculator!a1"/>
    <hyperlink ref="Q134" location="Calculator!a1" display="Calculator!a1"/>
  </hyperlink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S368"/>
  <sheetViews>
    <sheetView workbookViewId="0">
      <selection activeCell="H363" sqref="H354:H363"/>
    </sheetView>
  </sheetViews>
  <sheetFormatPr defaultRowHeight="12.75" x14ac:dyDescent="0.2"/>
  <sheetData>
    <row r="3" spans="1:19" ht="13.5" thickBot="1" x14ac:dyDescent="0.25">
      <c r="A3" s="273" t="s">
        <v>154</v>
      </c>
      <c r="B3" s="273"/>
      <c r="C3" s="273"/>
      <c r="D3" s="273"/>
      <c r="E3" s="273"/>
      <c r="G3" s="273" t="s">
        <v>155</v>
      </c>
      <c r="H3" s="273"/>
      <c r="I3" s="273"/>
      <c r="J3" s="273"/>
      <c r="K3" s="273"/>
      <c r="R3" t="s">
        <v>195</v>
      </c>
      <c r="S3" t="s">
        <v>196</v>
      </c>
    </row>
    <row r="5" spans="1:19" x14ac:dyDescent="0.2">
      <c r="A5" t="s">
        <v>150</v>
      </c>
      <c r="C5" t="s">
        <v>149</v>
      </c>
      <c r="D5" t="s">
        <v>152</v>
      </c>
      <c r="E5" t="s">
        <v>153</v>
      </c>
      <c r="G5" t="s">
        <v>150</v>
      </c>
      <c r="I5" t="s">
        <v>149</v>
      </c>
      <c r="J5" t="s">
        <v>152</v>
      </c>
      <c r="K5" t="s">
        <v>153</v>
      </c>
      <c r="M5" t="s">
        <v>112</v>
      </c>
      <c r="N5" t="s">
        <v>114</v>
      </c>
      <c r="O5" t="s">
        <v>193</v>
      </c>
      <c r="P5" t="s">
        <v>194</v>
      </c>
      <c r="R5" t="s">
        <v>193</v>
      </c>
      <c r="S5" t="s">
        <v>194</v>
      </c>
    </row>
    <row r="6" spans="1:19" x14ac:dyDescent="0.2">
      <c r="C6" s="11">
        <f ca="1">IF(ISNUMBER(kinematics!D30),kinematics!D30,MAX(kinematics!$D$30:$D$210))</f>
        <v>0</v>
      </c>
      <c r="D6" s="18">
        <f ca="1">IF(ISNUMBER(kinematics!D30),kinematics!B30,0)</f>
        <v>0</v>
      </c>
      <c r="E6" s="11">
        <f ca="1">IF(ISNUMBER(kinematics!J30),kinematics!J30,0)</f>
        <v>0</v>
      </c>
      <c r="I6" s="11">
        <f ca="1">C6</f>
        <v>0</v>
      </c>
      <c r="J6" s="18">
        <f ca="1">IF(ISNUMBER(kinematics!D30),kinematics!F30,0)</f>
        <v>418.37539728023131</v>
      </c>
      <c r="K6" s="11">
        <f ca="1">IF(ISNUMBER(kinematics!L30),kinematics!L30,0)</f>
        <v>4.7719768701881549E-5</v>
      </c>
      <c r="M6" s="18">
        <f ca="1">IF(ISNUMBER(kinematics!D30),kinematics!B30,MAX($D$6:$D$186))</f>
        <v>0</v>
      </c>
      <c r="N6" s="18">
        <f ca="1">IF(ISNUMBER(kinematics!D30),kinematics!F30,0)</f>
        <v>418.37539728023131</v>
      </c>
      <c r="O6" s="18">
        <f ca="1">IF(ISNUMBER(kinematics!J30),kinematics!J30,0)</f>
        <v>0</v>
      </c>
      <c r="P6" s="11">
        <f ca="1">IF(ISNUMBER(kinematics!L30),kinematics!L30,0)</f>
        <v>4.7719768701881549E-5</v>
      </c>
      <c r="R6" s="11">
        <f t="shared" ref="R6:R37" ca="1" si="0">O6</f>
        <v>0</v>
      </c>
      <c r="S6" s="11">
        <f t="shared" ref="S6:S37" ca="1" si="1">P6</f>
        <v>4.7719768701881549E-5</v>
      </c>
    </row>
    <row r="7" spans="1:19" x14ac:dyDescent="0.2">
      <c r="C7" s="11">
        <f ca="1">IF(ISNUMBER(kinematics!D31),kinematics!D31,MAX(kinematics!$D$30:$D$210))</f>
        <v>1.028</v>
      </c>
      <c r="D7" s="18">
        <f ca="1">IF(ISNUMBER(kinematics!D31),kinematics!B31,0)</f>
        <v>1</v>
      </c>
      <c r="E7" s="11">
        <f ca="1">IF(ISNUMBER(kinematics!J31),kinematics!J31,0)</f>
        <v>82.724733541715565</v>
      </c>
      <c r="I7" s="11">
        <f t="shared" ref="I7:I70" ca="1" si="2">C7</f>
        <v>1.028</v>
      </c>
      <c r="J7" s="18">
        <f ca="1">IF(ISNUMBER(kinematics!D31),kinematics!F31,0)</f>
        <v>418.37200229089541</v>
      </c>
      <c r="K7" s="11">
        <f ca="1">IF(ISNUMBER(kinematics!L31),kinematics!L31,0)</f>
        <v>3.4427091046040914E-3</v>
      </c>
      <c r="M7" s="18">
        <f ca="1">IF(ISNUMBER(kinematics!D31),kinematics!B31,MAX($D$6:$D$186))</f>
        <v>1</v>
      </c>
      <c r="N7" s="18">
        <f ca="1">IF(ISNUMBER(kinematics!D31),kinematics!F31,0)</f>
        <v>418.37200229089541</v>
      </c>
      <c r="O7" s="18">
        <f ca="1">IF(ISNUMBER(kinematics!J31),kinematics!J31,0)</f>
        <v>82.724733541715565</v>
      </c>
      <c r="P7" s="11">
        <f ca="1">IF(ISNUMBER(kinematics!L31),kinematics!L31,0)</f>
        <v>3.4427091046040914E-3</v>
      </c>
      <c r="R7" s="11">
        <f t="shared" ca="1" si="0"/>
        <v>82.724733541715565</v>
      </c>
      <c r="S7" s="11">
        <f t="shared" ca="1" si="1"/>
        <v>3.4427091046040914E-3</v>
      </c>
    </row>
    <row r="8" spans="1:19" x14ac:dyDescent="0.2">
      <c r="C8" s="11">
        <f ca="1">IF(ISNUMBER(kinematics!D32),kinematics!D32,MAX(kinematics!$D$30:$D$210))</f>
        <v>2.0569999999999999</v>
      </c>
      <c r="D8" s="18">
        <f ca="1">IF(ISNUMBER(kinematics!D32),kinematics!B32,0)</f>
        <v>2</v>
      </c>
      <c r="E8" s="11">
        <f ca="1">IF(ISNUMBER(kinematics!J32),kinematics!J32,0)</f>
        <v>85.579457235511541</v>
      </c>
      <c r="I8" s="11">
        <f t="shared" ca="1" si="2"/>
        <v>2.0569999999999999</v>
      </c>
      <c r="J8" s="18">
        <f ca="1">IF(ISNUMBER(kinematics!D32),kinematics!F32,0)</f>
        <v>418.36181853184797</v>
      </c>
      <c r="K8" s="11">
        <f ca="1">IF(ISNUMBER(kinematics!L32),kinematics!L32,0)</f>
        <v>1.3626468152040161E-2</v>
      </c>
      <c r="M8" s="18">
        <f ca="1">IF(ISNUMBER(kinematics!D32),kinematics!B32,MAX($D$6:$D$186))</f>
        <v>2</v>
      </c>
      <c r="N8" s="18">
        <f ca="1">IF(ISNUMBER(kinematics!D32),kinematics!F32,0)</f>
        <v>418.36181853184797</v>
      </c>
      <c r="O8" s="18">
        <f ca="1">IF(ISNUMBER(kinematics!J32),kinematics!J32,0)</f>
        <v>85.579457235511541</v>
      </c>
      <c r="P8" s="11">
        <f ca="1">IF(ISNUMBER(kinematics!L32),kinematics!L32,0)</f>
        <v>1.3626468152040161E-2</v>
      </c>
      <c r="R8" s="11">
        <f t="shared" ca="1" si="0"/>
        <v>85.579457235511541</v>
      </c>
      <c r="S8" s="11">
        <f t="shared" ca="1" si="1"/>
        <v>1.3626468152040161E-2</v>
      </c>
    </row>
    <row r="9" spans="1:19" x14ac:dyDescent="0.2">
      <c r="C9" s="11">
        <f ca="1">IF(ISNUMBER(kinematics!D33),kinematics!D33,MAX(kinematics!$D$30:$D$210))</f>
        <v>3.085</v>
      </c>
      <c r="D9" s="18">
        <f ca="1">IF(ISNUMBER(kinematics!D33),kinematics!B33,0)</f>
        <v>3</v>
      </c>
      <c r="E9" s="11">
        <f ca="1">IF(ISNUMBER(kinematics!J33),kinematics!J33,0)</f>
        <v>86.194734978959744</v>
      </c>
      <c r="I9" s="11">
        <f t="shared" ca="1" si="2"/>
        <v>3.085</v>
      </c>
      <c r="J9" s="18">
        <f ca="1">IF(ISNUMBER(kinematics!D33),kinematics!F33,0)</f>
        <v>418.34484962936762</v>
      </c>
      <c r="K9" s="11">
        <f ca="1">IF(ISNUMBER(kinematics!L33),kinematics!L33,0)</f>
        <v>3.0595370632397589E-2</v>
      </c>
      <c r="M9" s="18">
        <f ca="1">IF(ISNUMBER(kinematics!D33),kinematics!B33,MAX($D$6:$D$186))</f>
        <v>3</v>
      </c>
      <c r="N9" s="18">
        <f ca="1">IF(ISNUMBER(kinematics!D33),kinematics!F33,0)</f>
        <v>418.34484962936762</v>
      </c>
      <c r="O9" s="18">
        <f ca="1">IF(ISNUMBER(kinematics!J33),kinematics!J33,0)</f>
        <v>86.194734978959744</v>
      </c>
      <c r="P9" s="11">
        <f ca="1">IF(ISNUMBER(kinematics!L33),kinematics!L33,0)</f>
        <v>3.0595370632397589E-2</v>
      </c>
      <c r="R9" s="11">
        <f t="shared" ca="1" si="0"/>
        <v>86.194734978959744</v>
      </c>
      <c r="S9" s="11">
        <f t="shared" ca="1" si="1"/>
        <v>3.0595370632397589E-2</v>
      </c>
    </row>
    <row r="10" spans="1:19" x14ac:dyDescent="0.2">
      <c r="C10" s="11">
        <f ca="1">IF(ISNUMBER(kinematics!D34),kinematics!D34,MAX(kinematics!$D$30:$D$210))</f>
        <v>4.1130000000000004</v>
      </c>
      <c r="D10" s="18">
        <f ca="1">IF(ISNUMBER(kinematics!D34),kinematics!B34,0)</f>
        <v>4</v>
      </c>
      <c r="E10" s="11">
        <f ca="1">IF(ISNUMBER(kinematics!J34),kinematics!J34,0)</f>
        <v>86.246074386692342</v>
      </c>
      <c r="I10" s="11">
        <f t="shared" ca="1" si="2"/>
        <v>4.1130000000000004</v>
      </c>
      <c r="J10" s="18">
        <f ca="1">IF(ISNUMBER(kinematics!D34),kinematics!F34,0)</f>
        <v>418.32110162527198</v>
      </c>
      <c r="K10" s="11">
        <f ca="1">IF(ISNUMBER(kinematics!L34),kinematics!L34,0)</f>
        <v>5.4343374728034632E-2</v>
      </c>
      <c r="M10" s="18">
        <f ca="1">IF(ISNUMBER(kinematics!D34),kinematics!B34,MAX($D$6:$D$186))</f>
        <v>4</v>
      </c>
      <c r="N10" s="18">
        <f ca="1">IF(ISNUMBER(kinematics!D34),kinematics!F34,0)</f>
        <v>418.32110162527198</v>
      </c>
      <c r="O10" s="18">
        <f ca="1">IF(ISNUMBER(kinematics!J34),kinematics!J34,0)</f>
        <v>86.246074386692342</v>
      </c>
      <c r="P10" s="11">
        <f ca="1">IF(ISNUMBER(kinematics!L34),kinematics!L34,0)</f>
        <v>5.4343374728034632E-2</v>
      </c>
      <c r="R10" s="11">
        <f t="shared" ca="1" si="0"/>
        <v>86.246074386692342</v>
      </c>
      <c r="S10" s="11">
        <f t="shared" ca="1" si="1"/>
        <v>5.4343374728034632E-2</v>
      </c>
    </row>
    <row r="11" spans="1:19" x14ac:dyDescent="0.2">
      <c r="C11" s="11">
        <f ca="1">IF(ISNUMBER(kinematics!D35),kinematics!D35,MAX(kinematics!$D$30:$D$210))</f>
        <v>5.1420000000000003</v>
      </c>
      <c r="D11" s="18">
        <f ca="1">IF(ISNUMBER(kinematics!D35),kinematics!B35,0)</f>
        <v>5</v>
      </c>
      <c r="E11" s="11">
        <f ca="1">IF(ISNUMBER(kinematics!J35),kinematics!J35,0)</f>
        <v>86.071444209006856</v>
      </c>
      <c r="I11" s="11">
        <f t="shared" ca="1" si="2"/>
        <v>5.1420000000000003</v>
      </c>
      <c r="J11" s="18">
        <f ca="1">IF(ISNUMBER(kinematics!D35),kinematics!F35,0)</f>
        <v>418.29058297394278</v>
      </c>
      <c r="K11" s="11">
        <f ca="1">IF(ISNUMBER(kinematics!L35),kinematics!L35,0)</f>
        <v>8.4862026057237472E-2</v>
      </c>
      <c r="M11" s="18">
        <f ca="1">IF(ISNUMBER(kinematics!D35),kinematics!B35,MAX($D$6:$D$186))</f>
        <v>5</v>
      </c>
      <c r="N11" s="18">
        <f ca="1">IF(ISNUMBER(kinematics!D35),kinematics!F35,0)</f>
        <v>418.29058297394278</v>
      </c>
      <c r="O11" s="18">
        <f ca="1">IF(ISNUMBER(kinematics!J35),kinematics!J35,0)</f>
        <v>86.071444209006856</v>
      </c>
      <c r="P11" s="11">
        <f ca="1">IF(ISNUMBER(kinematics!L35),kinematics!L35,0)</f>
        <v>8.4862026057237472E-2</v>
      </c>
      <c r="R11" s="11">
        <f t="shared" ca="1" si="0"/>
        <v>86.071444209006856</v>
      </c>
      <c r="S11" s="11">
        <f t="shared" ca="1" si="1"/>
        <v>8.4862026057237472E-2</v>
      </c>
    </row>
    <row r="12" spans="1:19" x14ac:dyDescent="0.2">
      <c r="C12" s="11">
        <f ca="1">IF(ISNUMBER(kinematics!D36),kinematics!D36,MAX(kinematics!$D$30:$D$210))</f>
        <v>6.17</v>
      </c>
      <c r="D12" s="18">
        <f ca="1">IF(ISNUMBER(kinematics!D36),kinematics!B36,0)</f>
        <v>6</v>
      </c>
      <c r="E12" s="11">
        <f ca="1">IF(ISNUMBER(kinematics!J36),kinematics!J36,0)</f>
        <v>85.783758597950182</v>
      </c>
      <c r="I12" s="11">
        <f t="shared" ca="1" si="2"/>
        <v>6.17</v>
      </c>
      <c r="J12" s="18">
        <f ca="1">IF(ISNUMBER(kinematics!D36),kinematics!F36,0)</f>
        <v>418.25330453816667</v>
      </c>
      <c r="K12" s="11">
        <f ca="1">IF(ISNUMBER(kinematics!L36),kinematics!L36,0)</f>
        <v>0.12214046183333949</v>
      </c>
      <c r="M12" s="18">
        <f ca="1">IF(ISNUMBER(kinematics!D36),kinematics!B36,MAX($D$6:$D$186))</f>
        <v>6</v>
      </c>
      <c r="N12" s="18">
        <f ca="1">IF(ISNUMBER(kinematics!D36),kinematics!F36,0)</f>
        <v>418.25330453816667</v>
      </c>
      <c r="O12" s="18">
        <f ca="1">IF(ISNUMBER(kinematics!J36),kinematics!J36,0)</f>
        <v>85.783758597950182</v>
      </c>
      <c r="P12" s="11">
        <f ca="1">IF(ISNUMBER(kinematics!L36),kinematics!L36,0)</f>
        <v>0.12214046183333949</v>
      </c>
      <c r="R12" s="11">
        <f t="shared" ca="1" si="0"/>
        <v>85.783758597950182</v>
      </c>
      <c r="S12" s="11">
        <f t="shared" ca="1" si="1"/>
        <v>0.12214046183333949</v>
      </c>
    </row>
    <row r="13" spans="1:19" x14ac:dyDescent="0.2">
      <c r="C13" s="11">
        <f ca="1">IF(ISNUMBER(kinematics!D37),kinematics!D37,MAX(kinematics!$D$30:$D$210))</f>
        <v>7.1980000000000004</v>
      </c>
      <c r="D13" s="18">
        <f ca="1">IF(ISNUMBER(kinematics!D37),kinematics!B37,0)</f>
        <v>7</v>
      </c>
      <c r="E13" s="11">
        <f ca="1">IF(ISNUMBER(kinematics!J37),kinematics!J37,0)</f>
        <v>85.431459009368695</v>
      </c>
      <c r="I13" s="11">
        <f t="shared" ca="1" si="2"/>
        <v>7.1980000000000004</v>
      </c>
      <c r="J13" s="18">
        <f ca="1">IF(ISNUMBER(kinematics!D37),kinematics!F37,0)</f>
        <v>418.20927958379679</v>
      </c>
      <c r="K13" s="11">
        <f ca="1">IF(ISNUMBER(kinematics!L37),kinematics!L37,0)</f>
        <v>0.16616541620322778</v>
      </c>
      <c r="M13" s="18">
        <f ca="1">IF(ISNUMBER(kinematics!D37),kinematics!B37,MAX($D$6:$D$186))</f>
        <v>7</v>
      </c>
      <c r="N13" s="18">
        <f ca="1">IF(ISNUMBER(kinematics!D37),kinematics!F37,0)</f>
        <v>418.20927958379679</v>
      </c>
      <c r="O13" s="18">
        <f ca="1">IF(ISNUMBER(kinematics!J37),kinematics!J37,0)</f>
        <v>85.431459009368695</v>
      </c>
      <c r="P13" s="11">
        <f ca="1">IF(ISNUMBER(kinematics!L37),kinematics!L37,0)</f>
        <v>0.16616541620322778</v>
      </c>
      <c r="R13" s="11">
        <f t="shared" ca="1" si="0"/>
        <v>85.431459009368695</v>
      </c>
      <c r="S13" s="11">
        <f t="shared" ca="1" si="1"/>
        <v>0.16616541620322778</v>
      </c>
    </row>
    <row r="14" spans="1:19" x14ac:dyDescent="0.2">
      <c r="C14" s="11">
        <f ca="1">IF(ISNUMBER(kinematics!D38),kinematics!D38,MAX(kinematics!$D$30:$D$210))</f>
        <v>8.2260000000000009</v>
      </c>
      <c r="D14" s="18">
        <f ca="1">IF(ISNUMBER(kinematics!D38),kinematics!B38,0)</f>
        <v>8</v>
      </c>
      <c r="E14" s="11">
        <f ca="1">IF(ISNUMBER(kinematics!J38),kinematics!J38,0)</f>
        <v>85.038780890096561</v>
      </c>
      <c r="I14" s="11">
        <f t="shared" ca="1" si="2"/>
        <v>8.2260000000000009</v>
      </c>
      <c r="J14" s="18">
        <f ca="1">IF(ISNUMBER(kinematics!D38),kinematics!F38,0)</f>
        <v>418.15852377323506</v>
      </c>
      <c r="K14" s="11">
        <f ca="1">IF(ISNUMBER(kinematics!L38),kinematics!L38,0)</f>
        <v>0.21692122676495273</v>
      </c>
      <c r="M14" s="18">
        <f ca="1">IF(ISNUMBER(kinematics!D38),kinematics!B38,MAX($D$6:$D$186))</f>
        <v>8</v>
      </c>
      <c r="N14" s="18">
        <f ca="1">IF(ISNUMBER(kinematics!D38),kinematics!F38,0)</f>
        <v>418.15852377323506</v>
      </c>
      <c r="O14" s="18">
        <f ca="1">IF(ISNUMBER(kinematics!J38),kinematics!J38,0)</f>
        <v>85.038780890096561</v>
      </c>
      <c r="P14" s="11">
        <f ca="1">IF(ISNUMBER(kinematics!L38),kinematics!L38,0)</f>
        <v>0.21692122676495273</v>
      </c>
      <c r="R14" s="11">
        <f t="shared" ca="1" si="0"/>
        <v>85.038780890096561</v>
      </c>
      <c r="S14" s="11">
        <f t="shared" ca="1" si="1"/>
        <v>0.21692122676495273</v>
      </c>
    </row>
    <row r="15" spans="1:19" x14ac:dyDescent="0.2">
      <c r="C15" s="11">
        <f ca="1">IF(ISNUMBER(kinematics!D39),kinematics!D39,MAX(kinematics!$D$30:$D$210))</f>
        <v>9.2539999999999996</v>
      </c>
      <c r="D15" s="18">
        <f ca="1">IF(ISNUMBER(kinematics!D39),kinematics!B39,0)</f>
        <v>9</v>
      </c>
      <c r="E15" s="11">
        <f ca="1">IF(ISNUMBER(kinematics!J39),kinematics!J39,0)</f>
        <v>84.619194480390647</v>
      </c>
      <c r="I15" s="11">
        <f t="shared" ca="1" si="2"/>
        <v>9.2539999999999996</v>
      </c>
      <c r="J15" s="18">
        <f ca="1">IF(ISNUMBER(kinematics!D39),kinematics!F39,0)</f>
        <v>418.10105515773915</v>
      </c>
      <c r="K15" s="11">
        <f ca="1">IF(ISNUMBER(kinematics!L39),kinematics!L39,0)</f>
        <v>0.2743898422608595</v>
      </c>
      <c r="M15" s="18">
        <f ca="1">IF(ISNUMBER(kinematics!D39),kinematics!B39,MAX($D$6:$D$186))</f>
        <v>9</v>
      </c>
      <c r="N15" s="18">
        <f ca="1">IF(ISNUMBER(kinematics!D39),kinematics!F39,0)</f>
        <v>418.10105515773915</v>
      </c>
      <c r="O15" s="18">
        <f ca="1">IF(ISNUMBER(kinematics!J39),kinematics!J39,0)</f>
        <v>84.619194480390647</v>
      </c>
      <c r="P15" s="11">
        <f ca="1">IF(ISNUMBER(kinematics!L39),kinematics!L39,0)</f>
        <v>0.2743898422608595</v>
      </c>
      <c r="R15" s="11">
        <f t="shared" ca="1" si="0"/>
        <v>84.619194480390647</v>
      </c>
      <c r="S15" s="11">
        <f t="shared" ca="1" si="1"/>
        <v>0.2743898422608595</v>
      </c>
    </row>
    <row r="16" spans="1:19" x14ac:dyDescent="0.2">
      <c r="C16" s="11">
        <f ca="1">IF(ISNUMBER(kinematics!D40),kinematics!D40,MAX(kinematics!$D$30:$D$210))</f>
        <v>10.282</v>
      </c>
      <c r="D16" s="18">
        <f ca="1">IF(ISNUMBER(kinematics!D40),kinematics!B40,0)</f>
        <v>10</v>
      </c>
      <c r="E16" s="11">
        <f ca="1">IF(ISNUMBER(kinematics!J40),kinematics!J40,0)</f>
        <v>84.180785281557476</v>
      </c>
      <c r="I16" s="11">
        <f t="shared" ca="1" si="2"/>
        <v>10.282</v>
      </c>
      <c r="J16" s="18">
        <f ca="1">IF(ISNUMBER(kinematics!D40),kinematics!F40,0)</f>
        <v>418.03689416856741</v>
      </c>
      <c r="K16" s="11">
        <f ca="1">IF(ISNUMBER(kinematics!L40),kinematics!L40,0)</f>
        <v>0.3385508314325989</v>
      </c>
      <c r="M16" s="18">
        <f ca="1">IF(ISNUMBER(kinematics!D40),kinematics!B40,MAX($D$6:$D$186))</f>
        <v>10</v>
      </c>
      <c r="N16" s="18">
        <f ca="1">IF(ISNUMBER(kinematics!D40),kinematics!F40,0)</f>
        <v>418.03689416856741</v>
      </c>
      <c r="O16" s="18">
        <f ca="1">IF(ISNUMBER(kinematics!J40),kinematics!J40,0)</f>
        <v>84.180785281557476</v>
      </c>
      <c r="P16" s="11">
        <f ca="1">IF(ISNUMBER(kinematics!L40),kinematics!L40,0)</f>
        <v>0.3385508314325989</v>
      </c>
      <c r="R16" s="11">
        <f t="shared" ca="1" si="0"/>
        <v>84.180785281557476</v>
      </c>
      <c r="S16" s="11">
        <f t="shared" ca="1" si="1"/>
        <v>0.3385508314325989</v>
      </c>
    </row>
    <row r="17" spans="3:19" x14ac:dyDescent="0.2">
      <c r="C17" s="11">
        <f ca="1">IF(ISNUMBER(kinematics!D41),kinematics!D41,MAX(kinematics!$D$30:$D$210))</f>
        <v>11.31</v>
      </c>
      <c r="D17" s="18">
        <f ca="1">IF(ISNUMBER(kinematics!D41),kinematics!B41,0)</f>
        <v>11</v>
      </c>
      <c r="E17" s="11">
        <f ca="1">IF(ISNUMBER(kinematics!J41),kinematics!J41,0)</f>
        <v>83.728700891948449</v>
      </c>
      <c r="I17" s="11">
        <f t="shared" ca="1" si="2"/>
        <v>11.31</v>
      </c>
      <c r="J17" s="18">
        <f ca="1">IF(ISNUMBER(kinematics!D41),kinematics!F41,0)</f>
        <v>417.96606360696666</v>
      </c>
      <c r="K17" s="11">
        <f ca="1">IF(ISNUMBER(kinematics!L41),kinematics!L41,0)</f>
        <v>0.40938139303335674</v>
      </c>
      <c r="M17" s="18">
        <f ca="1">IF(ISNUMBER(kinematics!D41),kinematics!B41,MAX($D$6:$D$186))</f>
        <v>11</v>
      </c>
      <c r="N17" s="18">
        <f ca="1">IF(ISNUMBER(kinematics!D41),kinematics!F41,0)</f>
        <v>417.96606360696666</v>
      </c>
      <c r="O17" s="18">
        <f ca="1">IF(ISNUMBER(kinematics!J41),kinematics!J41,0)</f>
        <v>83.728700891948449</v>
      </c>
      <c r="P17" s="11">
        <f ca="1">IF(ISNUMBER(kinematics!L41),kinematics!L41,0)</f>
        <v>0.40938139303335674</v>
      </c>
      <c r="R17" s="11">
        <f t="shared" ca="1" si="0"/>
        <v>83.728700891948449</v>
      </c>
      <c r="S17" s="11">
        <f t="shared" ca="1" si="1"/>
        <v>0.40938139303335674</v>
      </c>
    </row>
    <row r="18" spans="3:19" x14ac:dyDescent="0.2">
      <c r="C18" s="11">
        <f ca="1">IF(ISNUMBER(kinematics!D42),kinematics!D42,MAX(kinematics!$D$30:$D$210))</f>
        <v>12.337999999999999</v>
      </c>
      <c r="D18" s="18">
        <f ca="1">IF(ISNUMBER(kinematics!D42),kinematics!B42,0)</f>
        <v>12</v>
      </c>
      <c r="E18" s="11">
        <f ca="1">IF(ISNUMBER(kinematics!J42),kinematics!J42,0)</f>
        <v>83.266374811645562</v>
      </c>
      <c r="I18" s="11">
        <f t="shared" ca="1" si="2"/>
        <v>12.337999999999999</v>
      </c>
      <c r="J18" s="18">
        <f ca="1">IF(ISNUMBER(kinematics!D42),kinematics!F42,0)</f>
        <v>417.88858863300374</v>
      </c>
      <c r="K18" s="11">
        <f ca="1">IF(ISNUMBER(kinematics!L42),kinematics!L42,0)</f>
        <v>0.48685636699627821</v>
      </c>
      <c r="M18" s="18">
        <f ca="1">IF(ISNUMBER(kinematics!D42),kinematics!B42,MAX($D$6:$D$186))</f>
        <v>12</v>
      </c>
      <c r="N18" s="18">
        <f ca="1">IF(ISNUMBER(kinematics!D42),kinematics!F42,0)</f>
        <v>417.88858863300374</v>
      </c>
      <c r="O18" s="18">
        <f ca="1">IF(ISNUMBER(kinematics!J42),kinematics!J42,0)</f>
        <v>83.266374811645562</v>
      </c>
      <c r="P18" s="11">
        <f ca="1">IF(ISNUMBER(kinematics!L42),kinematics!L42,0)</f>
        <v>0.48685636699627821</v>
      </c>
      <c r="R18" s="11">
        <f t="shared" ca="1" si="0"/>
        <v>83.266374811645562</v>
      </c>
      <c r="S18" s="11">
        <f t="shared" ca="1" si="1"/>
        <v>0.48685636699627821</v>
      </c>
    </row>
    <row r="19" spans="3:19" x14ac:dyDescent="0.2">
      <c r="C19" s="11">
        <f ca="1">IF(ISNUMBER(kinematics!D43),kinematics!D43,MAX(kinematics!$D$30:$D$210))</f>
        <v>13.366</v>
      </c>
      <c r="D19" s="18">
        <f ca="1">IF(ISNUMBER(kinematics!D43),kinematics!B43,0)</f>
        <v>13</v>
      </c>
      <c r="E19" s="11">
        <f ca="1">IF(ISNUMBER(kinematics!J43),kinematics!J43,0)</f>
        <v>82.796185566034708</v>
      </c>
      <c r="I19" s="11">
        <f t="shared" ca="1" si="2"/>
        <v>13.366</v>
      </c>
      <c r="J19" s="18">
        <f ca="1">IF(ISNUMBER(kinematics!D43),kinematics!F43,0)</f>
        <v>417.80449675326093</v>
      </c>
      <c r="K19" s="11">
        <f ca="1">IF(ISNUMBER(kinematics!L43),kinematics!L43,0)</f>
        <v>0.57094824673907851</v>
      </c>
      <c r="M19" s="18">
        <f ca="1">IF(ISNUMBER(kinematics!D43),kinematics!B43,MAX($D$6:$D$186))</f>
        <v>13</v>
      </c>
      <c r="N19" s="18">
        <f ca="1">IF(ISNUMBER(kinematics!D43),kinematics!F43,0)</f>
        <v>417.80449675326093</v>
      </c>
      <c r="O19" s="18">
        <f ca="1">IF(ISNUMBER(kinematics!J43),kinematics!J43,0)</f>
        <v>82.796185566034708</v>
      </c>
      <c r="P19" s="11">
        <f ca="1">IF(ISNUMBER(kinematics!L43),kinematics!L43,0)</f>
        <v>0.57094824673907851</v>
      </c>
      <c r="R19" s="11">
        <f t="shared" ca="1" si="0"/>
        <v>82.796185566034708</v>
      </c>
      <c r="S19" s="11">
        <f t="shared" ca="1" si="1"/>
        <v>0.57094824673907851</v>
      </c>
    </row>
    <row r="20" spans="3:19" x14ac:dyDescent="0.2">
      <c r="C20" s="11">
        <f ca="1">IF(ISNUMBER(kinematics!D44),kinematics!D44,MAX(kinematics!$D$30:$D$210))</f>
        <v>14.393000000000001</v>
      </c>
      <c r="D20" s="18">
        <f ca="1">IF(ISNUMBER(kinematics!D44),kinematics!B44,0)</f>
        <v>14</v>
      </c>
      <c r="E20" s="11">
        <f ca="1">IF(ISNUMBER(kinematics!J44),kinematics!J44,0)</f>
        <v>82.319833408655569</v>
      </c>
      <c r="I20" s="11">
        <f t="shared" ca="1" si="2"/>
        <v>14.393000000000001</v>
      </c>
      <c r="J20" s="18">
        <f ca="1">IF(ISNUMBER(kinematics!D44),kinematics!F44,0)</f>
        <v>417.71381780740001</v>
      </c>
      <c r="K20" s="11">
        <f ca="1">IF(ISNUMBER(kinematics!L44),kinematics!L44,0)</f>
        <v>0.66162719260000813</v>
      </c>
      <c r="M20" s="18">
        <f ca="1">IF(ISNUMBER(kinematics!D44),kinematics!B44,MAX($D$6:$D$186))</f>
        <v>14</v>
      </c>
      <c r="N20" s="18">
        <f ca="1">IF(ISNUMBER(kinematics!D44),kinematics!F44,0)</f>
        <v>417.71381780740001</v>
      </c>
      <c r="O20" s="18">
        <f ca="1">IF(ISNUMBER(kinematics!J44),kinematics!J44,0)</f>
        <v>82.319833408655569</v>
      </c>
      <c r="P20" s="11">
        <f ca="1">IF(ISNUMBER(kinematics!L44),kinematics!L44,0)</f>
        <v>0.66162719260000813</v>
      </c>
      <c r="R20" s="11">
        <f t="shared" ca="1" si="0"/>
        <v>82.319833408655569</v>
      </c>
      <c r="S20" s="11">
        <f t="shared" ca="1" si="1"/>
        <v>0.66162719260000813</v>
      </c>
    </row>
    <row r="21" spans="3:19" x14ac:dyDescent="0.2">
      <c r="C21" s="11">
        <f ca="1">IF(ISNUMBER(kinematics!D45),kinematics!D45,MAX(kinematics!$D$30:$D$210))</f>
        <v>15.420999999999999</v>
      </c>
      <c r="D21" s="18">
        <f ca="1">IF(ISNUMBER(kinematics!D45),kinematics!B45,0)</f>
        <v>15</v>
      </c>
      <c r="E21" s="11">
        <f ca="1">IF(ISNUMBER(kinematics!J45),kinematics!J45,0)</f>
        <v>81.838566370684234</v>
      </c>
      <c r="I21" s="11">
        <f t="shared" ca="1" si="2"/>
        <v>15.420999999999999</v>
      </c>
      <c r="J21" s="18">
        <f ca="1">IF(ISNUMBER(kinematics!D45),kinematics!F45,0)</f>
        <v>417.61658395360729</v>
      </c>
      <c r="K21" s="11">
        <f ca="1">IF(ISNUMBER(kinematics!L45),kinematics!L45,0)</f>
        <v>0.75886104639272389</v>
      </c>
      <c r="M21" s="18">
        <f ca="1">IF(ISNUMBER(kinematics!D45),kinematics!B45,MAX($D$6:$D$186))</f>
        <v>15</v>
      </c>
      <c r="N21" s="18">
        <f ca="1">IF(ISNUMBER(kinematics!D45),kinematics!F45,0)</f>
        <v>417.61658395360729</v>
      </c>
      <c r="O21" s="18">
        <f ca="1">IF(ISNUMBER(kinematics!J45),kinematics!J45,0)</f>
        <v>81.838566370684234</v>
      </c>
      <c r="P21" s="11">
        <f ca="1">IF(ISNUMBER(kinematics!L45),kinematics!L45,0)</f>
        <v>0.75886104639272389</v>
      </c>
      <c r="R21" s="11">
        <f t="shared" ca="1" si="0"/>
        <v>81.838566370684234</v>
      </c>
      <c r="S21" s="11">
        <f t="shared" ca="1" si="1"/>
        <v>0.75886104639272389</v>
      </c>
    </row>
    <row r="22" spans="3:19" x14ac:dyDescent="0.2">
      <c r="C22" s="11">
        <f ca="1">IF(ISNUMBER(kinematics!D46),kinematics!D46,MAX(kinematics!$D$30:$D$210))</f>
        <v>16.448</v>
      </c>
      <c r="D22" s="18">
        <f ca="1">IF(ISNUMBER(kinematics!D46),kinematics!B46,0)</f>
        <v>16</v>
      </c>
      <c r="E22" s="11">
        <f ca="1">IF(ISNUMBER(kinematics!J46),kinematics!J46,0)</f>
        <v>81.353321553531345</v>
      </c>
      <c r="I22" s="11">
        <f t="shared" ca="1" si="2"/>
        <v>16.448</v>
      </c>
      <c r="J22" s="18">
        <f ca="1">IF(ISNUMBER(kinematics!D46),kinematics!F46,0)</f>
        <v>417.51282965292506</v>
      </c>
      <c r="K22" s="11">
        <f ca="1">IF(ISNUMBER(kinematics!L46),kinematics!L46,0)</f>
        <v>0.86261534707495002</v>
      </c>
      <c r="M22" s="18">
        <f ca="1">IF(ISNUMBER(kinematics!D46),kinematics!B46,MAX($D$6:$D$186))</f>
        <v>16</v>
      </c>
      <c r="N22" s="18">
        <f ca="1">IF(ISNUMBER(kinematics!D46),kinematics!F46,0)</f>
        <v>417.51282965292506</v>
      </c>
      <c r="O22" s="18">
        <f ca="1">IF(ISNUMBER(kinematics!J46),kinematics!J46,0)</f>
        <v>81.353321553531345</v>
      </c>
      <c r="P22" s="11">
        <f ca="1">IF(ISNUMBER(kinematics!L46),kinematics!L46,0)</f>
        <v>0.86261534707495002</v>
      </c>
      <c r="R22" s="11">
        <f t="shared" ca="1" si="0"/>
        <v>81.353321553531345</v>
      </c>
      <c r="S22" s="11">
        <f t="shared" ca="1" si="1"/>
        <v>0.86261534707495002</v>
      </c>
    </row>
    <row r="23" spans="3:19" x14ac:dyDescent="0.2">
      <c r="C23" s="11">
        <f ca="1">IF(ISNUMBER(kinematics!D47),kinematics!D47,MAX(kinematics!$D$30:$D$210))</f>
        <v>17.475999999999999</v>
      </c>
      <c r="D23" s="18">
        <f ca="1">IF(ISNUMBER(kinematics!D47),kinematics!B47,0)</f>
        <v>17</v>
      </c>
      <c r="E23" s="11">
        <f ca="1">IF(ISNUMBER(kinematics!J47),kinematics!J47,0)</f>
        <v>80.864816562702757</v>
      </c>
      <c r="I23" s="11">
        <f t="shared" ca="1" si="2"/>
        <v>17.475999999999999</v>
      </c>
      <c r="J23" s="18">
        <f ca="1">IF(ISNUMBER(kinematics!D47),kinematics!F47,0)</f>
        <v>417.40259165249864</v>
      </c>
      <c r="K23" s="11">
        <f ca="1">IF(ISNUMBER(kinematics!L47),kinematics!L47,0)</f>
        <v>0.97285334750137054</v>
      </c>
      <c r="M23" s="18">
        <f ca="1">IF(ISNUMBER(kinematics!D47),kinematics!B47,MAX($D$6:$D$186))</f>
        <v>17</v>
      </c>
      <c r="N23" s="18">
        <f ca="1">IF(ISNUMBER(kinematics!D47),kinematics!F47,0)</f>
        <v>417.40259165249864</v>
      </c>
      <c r="O23" s="18">
        <f ca="1">IF(ISNUMBER(kinematics!J47),kinematics!J47,0)</f>
        <v>80.864816562702757</v>
      </c>
      <c r="P23" s="11">
        <f ca="1">IF(ISNUMBER(kinematics!L47),kinematics!L47,0)</f>
        <v>0.97285334750137054</v>
      </c>
      <c r="R23" s="11">
        <f t="shared" ca="1" si="0"/>
        <v>80.864816562702757</v>
      </c>
      <c r="S23" s="11">
        <f t="shared" ca="1" si="1"/>
        <v>0.97285334750137054</v>
      </c>
    </row>
    <row r="24" spans="3:19" x14ac:dyDescent="0.2">
      <c r="C24" s="11">
        <f ca="1">IF(ISNUMBER(kinematics!D48),kinematics!D48,MAX(kinematics!$D$30:$D$210))</f>
        <v>18.503</v>
      </c>
      <c r="D24" s="18">
        <f ca="1">IF(ISNUMBER(kinematics!D48),kinematics!B48,0)</f>
        <v>18</v>
      </c>
      <c r="E24" s="11">
        <f ca="1">IF(ISNUMBER(kinematics!J48),kinematics!J48,0)</f>
        <v>80.373610464744459</v>
      </c>
      <c r="I24" s="11">
        <f t="shared" ca="1" si="2"/>
        <v>18.503</v>
      </c>
      <c r="J24" s="18">
        <f ca="1">IF(ISNUMBER(kinematics!D48),kinematics!F48,0)</f>
        <v>417.28590896773284</v>
      </c>
      <c r="K24" s="11">
        <f ca="1">IF(ISNUMBER(kinematics!L48),kinematics!L48,0)</f>
        <v>1.0895360322671763</v>
      </c>
      <c r="M24" s="18">
        <f ca="1">IF(ISNUMBER(kinematics!D48),kinematics!B48,MAX($D$6:$D$186))</f>
        <v>18</v>
      </c>
      <c r="N24" s="18">
        <f ca="1">IF(ISNUMBER(kinematics!D48),kinematics!F48,0)</f>
        <v>417.28590896773284</v>
      </c>
      <c r="O24" s="18">
        <f ca="1">IF(ISNUMBER(kinematics!J48),kinematics!J48,0)</f>
        <v>80.373610464744459</v>
      </c>
      <c r="P24" s="11">
        <f ca="1">IF(ISNUMBER(kinematics!L48),kinematics!L48,0)</f>
        <v>1.0895360322671763</v>
      </c>
      <c r="R24" s="11">
        <f t="shared" ca="1" si="0"/>
        <v>80.373610464744459</v>
      </c>
      <c r="S24" s="11">
        <f t="shared" ca="1" si="1"/>
        <v>1.0895360322671763</v>
      </c>
    </row>
    <row r="25" spans="3:19" x14ac:dyDescent="0.2">
      <c r="C25" s="11">
        <f ca="1">IF(ISNUMBER(kinematics!D49),kinematics!D49,MAX(kinematics!$D$30:$D$210))</f>
        <v>19.529</v>
      </c>
      <c r="D25" s="18">
        <f ca="1">IF(ISNUMBER(kinematics!D49),kinematics!B49,0)</f>
        <v>19</v>
      </c>
      <c r="E25" s="11">
        <f ca="1">IF(ISNUMBER(kinematics!J49),kinematics!J49,0)</f>
        <v>79.880145497503122</v>
      </c>
      <c r="I25" s="11">
        <f t="shared" ca="1" si="2"/>
        <v>19.529</v>
      </c>
      <c r="J25" s="18">
        <f ca="1">IF(ISNUMBER(kinematics!D49),kinematics!F49,0)</f>
        <v>417.16282286338742</v>
      </c>
      <c r="K25" s="11">
        <f ca="1">IF(ISNUMBER(kinematics!L49),kinematics!L49,0)</f>
        <v>1.2126221366125947</v>
      </c>
      <c r="M25" s="18">
        <f ca="1">IF(ISNUMBER(kinematics!D49),kinematics!B49,MAX($D$6:$D$186))</f>
        <v>19</v>
      </c>
      <c r="N25" s="18">
        <f ca="1">IF(ISNUMBER(kinematics!D49),kinematics!F49,0)</f>
        <v>417.16282286338742</v>
      </c>
      <c r="O25" s="18">
        <f ca="1">IF(ISNUMBER(kinematics!J49),kinematics!J49,0)</f>
        <v>79.880145497503122</v>
      </c>
      <c r="P25" s="11">
        <f ca="1">IF(ISNUMBER(kinematics!L49),kinematics!L49,0)</f>
        <v>1.2126221366125947</v>
      </c>
      <c r="R25" s="11">
        <f t="shared" ca="1" si="0"/>
        <v>79.880145497503122</v>
      </c>
      <c r="S25" s="11">
        <f t="shared" ca="1" si="1"/>
        <v>1.2126221366125947</v>
      </c>
    </row>
    <row r="26" spans="3:19" x14ac:dyDescent="0.2">
      <c r="C26" s="11">
        <f ca="1">IF(ISNUMBER(kinematics!D50),kinematics!D50,MAX(kinematics!$D$30:$D$210))</f>
        <v>20.556000000000001</v>
      </c>
      <c r="D26" s="18">
        <f ca="1">IF(ISNUMBER(kinematics!D50),kinematics!B50,0)</f>
        <v>20</v>
      </c>
      <c r="E26" s="11">
        <f ca="1">IF(ISNUMBER(kinematics!J50),kinematics!J50,0)</f>
        <v>79.384776267708006</v>
      </c>
      <c r="I26" s="11">
        <f t="shared" ca="1" si="2"/>
        <v>20.556000000000001</v>
      </c>
      <c r="J26" s="18">
        <f ca="1">IF(ISNUMBER(kinematics!D50),kinematics!F50,0)</f>
        <v>417.03337683361917</v>
      </c>
      <c r="K26" s="11">
        <f ca="1">IF(ISNUMBER(kinematics!L50),kinematics!L50,0)</f>
        <v>1.3420681663808409</v>
      </c>
      <c r="M26" s="18">
        <f ca="1">IF(ISNUMBER(kinematics!D50),kinematics!B50,MAX($D$6:$D$186))</f>
        <v>20</v>
      </c>
      <c r="N26" s="18">
        <f ca="1">IF(ISNUMBER(kinematics!D50),kinematics!F50,0)</f>
        <v>417.03337683361917</v>
      </c>
      <c r="O26" s="18">
        <f ca="1">IF(ISNUMBER(kinematics!J50),kinematics!J50,0)</f>
        <v>79.384776267708006</v>
      </c>
      <c r="P26" s="11">
        <f ca="1">IF(ISNUMBER(kinematics!L50),kinematics!L50,0)</f>
        <v>1.3420681663808409</v>
      </c>
      <c r="R26" s="11">
        <f t="shared" ca="1" si="0"/>
        <v>79.384776267708006</v>
      </c>
      <c r="S26" s="11">
        <f t="shared" ca="1" si="1"/>
        <v>1.3420681663808409</v>
      </c>
    </row>
    <row r="27" spans="3:19" x14ac:dyDescent="0.2">
      <c r="C27" s="11">
        <f ca="1">IF(ISNUMBER(kinematics!D51),kinematics!D51,MAX(kinematics!$D$30:$D$210))</f>
        <v>21.582999999999998</v>
      </c>
      <c r="D27" s="18">
        <f ca="1">IF(ISNUMBER(kinematics!D51),kinematics!B51,0)</f>
        <v>21</v>
      </c>
      <c r="E27" s="11">
        <f ca="1">IF(ISNUMBER(kinematics!J51),kinematics!J51,0)</f>
        <v>78.887790606979024</v>
      </c>
      <c r="I27" s="11">
        <f t="shared" ca="1" si="2"/>
        <v>21.582999999999998</v>
      </c>
      <c r="J27" s="18">
        <f ca="1">IF(ISNUMBER(kinematics!D51),kinematics!F51,0)</f>
        <v>416.89761658099087</v>
      </c>
      <c r="K27" s="11">
        <f ca="1">IF(ISNUMBER(kinematics!L51),kinematics!L51,0)</f>
        <v>1.4778284190091426</v>
      </c>
      <c r="M27" s="18">
        <f ca="1">IF(ISNUMBER(kinematics!D51),kinematics!B51,MAX($D$6:$D$186))</f>
        <v>21</v>
      </c>
      <c r="N27" s="18">
        <f ca="1">IF(ISNUMBER(kinematics!D51),kinematics!F51,0)</f>
        <v>416.89761658099087</v>
      </c>
      <c r="O27" s="18">
        <f ca="1">IF(ISNUMBER(kinematics!J51),kinematics!J51,0)</f>
        <v>78.887790606979024</v>
      </c>
      <c r="P27" s="11">
        <f ca="1">IF(ISNUMBER(kinematics!L51),kinematics!L51,0)</f>
        <v>1.4778284190091426</v>
      </c>
      <c r="R27" s="11">
        <f t="shared" ca="1" si="0"/>
        <v>78.887790606979024</v>
      </c>
      <c r="S27" s="11">
        <f t="shared" ca="1" si="1"/>
        <v>1.4778284190091426</v>
      </c>
    </row>
    <row r="28" spans="3:19" x14ac:dyDescent="0.2">
      <c r="C28" s="11">
        <f ca="1">IF(ISNUMBER(kinematics!D52),kinematics!D52,MAX(kinematics!$D$30:$D$210))</f>
        <v>22.609000000000002</v>
      </c>
      <c r="D28" s="18">
        <f ca="1">IF(ISNUMBER(kinematics!D52),kinematics!B52,0)</f>
        <v>22</v>
      </c>
      <c r="E28" s="11">
        <f ca="1">IF(ISNUMBER(kinematics!J52),kinematics!J52,0)</f>
        <v>78.389424739894793</v>
      </c>
      <c r="I28" s="11">
        <f t="shared" ca="1" si="2"/>
        <v>22.609000000000002</v>
      </c>
      <c r="J28" s="18">
        <f ca="1">IF(ISNUMBER(kinematics!D52),kinematics!F52,0)</f>
        <v>416.75558999446264</v>
      </c>
      <c r="K28" s="11">
        <f ca="1">IF(ISNUMBER(kinematics!L52),kinematics!L52,0)</f>
        <v>1.6198550055373744</v>
      </c>
      <c r="M28" s="18">
        <f ca="1">IF(ISNUMBER(kinematics!D52),kinematics!B52,MAX($D$6:$D$186))</f>
        <v>22</v>
      </c>
      <c r="N28" s="18">
        <f ca="1">IF(ISNUMBER(kinematics!D52),kinematics!F52,0)</f>
        <v>416.75558999446264</v>
      </c>
      <c r="O28" s="18">
        <f ca="1">IF(ISNUMBER(kinematics!J52),kinematics!J52,0)</f>
        <v>78.389424739894793</v>
      </c>
      <c r="P28" s="11">
        <f ca="1">IF(ISNUMBER(kinematics!L52),kinematics!L52,0)</f>
        <v>1.6198550055373744</v>
      </c>
      <c r="R28" s="11">
        <f t="shared" ca="1" si="0"/>
        <v>78.389424739894793</v>
      </c>
      <c r="S28" s="11">
        <f t="shared" ca="1" si="1"/>
        <v>1.6198550055373744</v>
      </c>
    </row>
    <row r="29" spans="3:19" x14ac:dyDescent="0.2">
      <c r="C29" s="11">
        <f ca="1">IF(ISNUMBER(kinematics!D53),kinematics!D53,MAX(kinematics!$D$30:$D$210))</f>
        <v>23.635000000000002</v>
      </c>
      <c r="D29" s="18">
        <f ca="1">IF(ISNUMBER(kinematics!D53),kinematics!B53,0)</f>
        <v>23</v>
      </c>
      <c r="E29" s="11">
        <f ca="1">IF(ISNUMBER(kinematics!J53),kinematics!J53,0)</f>
        <v>77.889874494802584</v>
      </c>
      <c r="I29" s="11">
        <f t="shared" ca="1" si="2"/>
        <v>23.635000000000002</v>
      </c>
      <c r="J29" s="18">
        <f ca="1">IF(ISNUMBER(kinematics!D53),kinematics!F53,0)</f>
        <v>416.60734712637952</v>
      </c>
      <c r="K29" s="11">
        <f ca="1">IF(ISNUMBER(kinematics!L53),kinematics!L53,0)</f>
        <v>1.7680978736204906</v>
      </c>
      <c r="M29" s="18">
        <f ca="1">IF(ISNUMBER(kinematics!D53),kinematics!B53,MAX($D$6:$D$186))</f>
        <v>23</v>
      </c>
      <c r="N29" s="18">
        <f ca="1">IF(ISNUMBER(kinematics!D53),kinematics!F53,0)</f>
        <v>416.60734712637952</v>
      </c>
      <c r="O29" s="18">
        <f ca="1">IF(ISNUMBER(kinematics!J53),kinematics!J53,0)</f>
        <v>77.889874494802584</v>
      </c>
      <c r="P29" s="11">
        <f ca="1">IF(ISNUMBER(kinematics!L53),kinematics!L53,0)</f>
        <v>1.7680978736204906</v>
      </c>
      <c r="R29" s="11">
        <f t="shared" ca="1" si="0"/>
        <v>77.889874494802584</v>
      </c>
      <c r="S29" s="11">
        <f t="shared" ca="1" si="1"/>
        <v>1.7680978736204906</v>
      </c>
    </row>
    <row r="30" spans="3:19" x14ac:dyDescent="0.2">
      <c r="C30" s="11">
        <f ca="1">IF(ISNUMBER(kinematics!D54),kinematics!D54,MAX(kinematics!$D$30:$D$210))</f>
        <v>24.661000000000001</v>
      </c>
      <c r="D30" s="18">
        <f ca="1">IF(ISNUMBER(kinematics!D54),kinematics!B54,0)</f>
        <v>24</v>
      </c>
      <c r="E30" s="11">
        <f ca="1">IF(ISNUMBER(kinematics!J54),kinematics!J54,0)</f>
        <v>77.389303712333415</v>
      </c>
      <c r="I30" s="11">
        <f t="shared" ca="1" si="2"/>
        <v>24.661000000000001</v>
      </c>
      <c r="J30" s="18">
        <f ca="1">IF(ISNUMBER(kinematics!D54),kinematics!F54,0)</f>
        <v>416.45294016848396</v>
      </c>
      <c r="K30" s="11">
        <f ca="1">IF(ISNUMBER(kinematics!L54),kinematics!L54,0)</f>
        <v>1.9225048315160507</v>
      </c>
      <c r="M30" s="18">
        <f ca="1">IF(ISNUMBER(kinematics!D54),kinematics!B54,MAX($D$6:$D$186))</f>
        <v>24</v>
      </c>
      <c r="N30" s="18">
        <f ca="1">IF(ISNUMBER(kinematics!D54),kinematics!F54,0)</f>
        <v>416.45294016848396</v>
      </c>
      <c r="O30" s="18">
        <f ca="1">IF(ISNUMBER(kinematics!J54),kinematics!J54,0)</f>
        <v>77.389303712333415</v>
      </c>
      <c r="P30" s="11">
        <f ca="1">IF(ISNUMBER(kinematics!L54),kinematics!L54,0)</f>
        <v>1.9225048315160507</v>
      </c>
      <c r="R30" s="11">
        <f t="shared" ca="1" si="0"/>
        <v>77.389303712333415</v>
      </c>
      <c r="S30" s="11">
        <f t="shared" ca="1" si="1"/>
        <v>1.9225048315160507</v>
      </c>
    </row>
    <row r="31" spans="3:19" x14ac:dyDescent="0.2">
      <c r="C31" s="11">
        <f ca="1">IF(ISNUMBER(kinematics!D55),kinematics!D55,MAX(kinematics!$D$30:$D$210))</f>
        <v>25.687000000000001</v>
      </c>
      <c r="D31" s="18">
        <f ca="1">IF(ISNUMBER(kinematics!D55),kinematics!B55,0)</f>
        <v>25</v>
      </c>
      <c r="E31" s="11">
        <f ca="1">IF(ISNUMBER(kinematics!J55),kinematics!J55,0)</f>
        <v>76.887850635467629</v>
      </c>
      <c r="I31" s="11">
        <f t="shared" ca="1" si="2"/>
        <v>25.687000000000001</v>
      </c>
      <c r="J31" s="18">
        <f ca="1">IF(ISNUMBER(kinematics!D55),kinematics!F55,0)</f>
        <v>416.29242342696426</v>
      </c>
      <c r="K31" s="11">
        <f ca="1">IF(ISNUMBER(kinematics!L55),kinematics!L55,0)</f>
        <v>2.0830215730357509</v>
      </c>
      <c r="M31" s="18">
        <f ca="1">IF(ISNUMBER(kinematics!D55),kinematics!B55,MAX($D$6:$D$186))</f>
        <v>25</v>
      </c>
      <c r="N31" s="18">
        <f ca="1">IF(ISNUMBER(kinematics!D55),kinematics!F55,0)</f>
        <v>416.29242342696426</v>
      </c>
      <c r="O31" s="18">
        <f ca="1">IF(ISNUMBER(kinematics!J55),kinematics!J55,0)</f>
        <v>76.887850635467629</v>
      </c>
      <c r="P31" s="11">
        <f ca="1">IF(ISNUMBER(kinematics!L55),kinematics!L55,0)</f>
        <v>2.0830215730357509</v>
      </c>
      <c r="R31" s="11">
        <f t="shared" ca="1" si="0"/>
        <v>76.887850635467629</v>
      </c>
      <c r="S31" s="11">
        <f t="shared" ca="1" si="1"/>
        <v>2.0830215730357509</v>
      </c>
    </row>
    <row r="32" spans="3:19" x14ac:dyDescent="0.2">
      <c r="C32" s="11">
        <f ca="1">IF(ISNUMBER(kinematics!D56),kinematics!D56,MAX(kinematics!$D$30:$D$210))</f>
        <v>26.713000000000001</v>
      </c>
      <c r="D32" s="18">
        <f ca="1">IF(ISNUMBER(kinematics!D56),kinematics!B56,0)</f>
        <v>26</v>
      </c>
      <c r="E32" s="11">
        <f ca="1">IF(ISNUMBER(kinematics!J56),kinematics!J56,0)</f>
        <v>76.385632824359803</v>
      </c>
      <c r="I32" s="11">
        <f t="shared" ca="1" si="2"/>
        <v>26.713000000000001</v>
      </c>
      <c r="J32" s="18">
        <f ca="1">IF(ISNUMBER(kinematics!D56),kinematics!F56,0)</f>
        <v>416.1258532965536</v>
      </c>
      <c r="K32" s="11">
        <f ca="1">IF(ISNUMBER(kinematics!L56),kinematics!L56,0)</f>
        <v>2.2495917034464128</v>
      </c>
      <c r="M32" s="18">
        <f ca="1">IF(ISNUMBER(kinematics!D56),kinematics!B56,MAX($D$6:$D$186))</f>
        <v>26</v>
      </c>
      <c r="N32" s="18">
        <f ca="1">IF(ISNUMBER(kinematics!D56),kinematics!F56,0)</f>
        <v>416.1258532965536</v>
      </c>
      <c r="O32" s="18">
        <f ca="1">IF(ISNUMBER(kinematics!J56),kinematics!J56,0)</f>
        <v>76.385632824359803</v>
      </c>
      <c r="P32" s="11">
        <f ca="1">IF(ISNUMBER(kinematics!L56),kinematics!L56,0)</f>
        <v>2.2495917034464128</v>
      </c>
      <c r="R32" s="11">
        <f t="shared" ca="1" si="0"/>
        <v>76.385632824359803</v>
      </c>
      <c r="S32" s="11">
        <f t="shared" ca="1" si="1"/>
        <v>2.2495917034464128</v>
      </c>
    </row>
    <row r="33" spans="3:19" x14ac:dyDescent="0.2">
      <c r="C33" s="11">
        <f ca="1">IF(ISNUMBER(kinematics!D57),kinematics!D57,MAX(kinematics!$D$30:$D$210))</f>
        <v>27.738</v>
      </c>
      <c r="D33" s="18">
        <f ca="1">IF(ISNUMBER(kinematics!D57),kinematics!B57,0)</f>
        <v>27</v>
      </c>
      <c r="E33" s="11">
        <f ca="1">IF(ISNUMBER(kinematics!J57),kinematics!J57,0)</f>
        <v>75.882750979538713</v>
      </c>
      <c r="I33" s="11">
        <f t="shared" ca="1" si="2"/>
        <v>27.738</v>
      </c>
      <c r="J33" s="18">
        <f ca="1">IF(ISNUMBER(kinematics!D57),kinematics!F57,0)</f>
        <v>415.9532882337208</v>
      </c>
      <c r="K33" s="11">
        <f ca="1">IF(ISNUMBER(kinematics!L57),kinematics!L57,0)</f>
        <v>2.4221567662792154</v>
      </c>
      <c r="M33" s="18">
        <f ca="1">IF(ISNUMBER(kinematics!D57),kinematics!B57,MAX($D$6:$D$186))</f>
        <v>27</v>
      </c>
      <c r="N33" s="18">
        <f ca="1">IF(ISNUMBER(kinematics!D57),kinematics!F57,0)</f>
        <v>415.9532882337208</v>
      </c>
      <c r="O33" s="18">
        <f ca="1">IF(ISNUMBER(kinematics!J57),kinematics!J57,0)</f>
        <v>75.882750979538713</v>
      </c>
      <c r="P33" s="11">
        <f ca="1">IF(ISNUMBER(kinematics!L57),kinematics!L57,0)</f>
        <v>2.4221567662792154</v>
      </c>
      <c r="R33" s="11">
        <f t="shared" ca="1" si="0"/>
        <v>75.882750979538713</v>
      </c>
      <c r="S33" s="11">
        <f t="shared" ca="1" si="1"/>
        <v>2.4221567662792154</v>
      </c>
    </row>
    <row r="34" spans="3:19" x14ac:dyDescent="0.2">
      <c r="C34" s="11">
        <f ca="1">IF(ISNUMBER(kinematics!D58),kinematics!D58,MAX(kinematics!$D$30:$D$210))</f>
        <v>28.763000000000002</v>
      </c>
      <c r="D34" s="18">
        <f ca="1">IF(ISNUMBER(kinematics!D58),kinematics!B58,0)</f>
        <v>28</v>
      </c>
      <c r="E34" s="11">
        <f ca="1">IF(ISNUMBER(kinematics!J58),kinematics!J58,0)</f>
        <v>75.379291945100505</v>
      </c>
      <c r="I34" s="11">
        <f t="shared" ca="1" si="2"/>
        <v>28.763000000000002</v>
      </c>
      <c r="J34" s="18">
        <f ca="1">IF(ISNUMBER(kinematics!D58),kinematics!F58,0)</f>
        <v>415.77478872895205</v>
      </c>
      <c r="K34" s="11">
        <f ca="1">IF(ISNUMBER(kinematics!L58),kinematics!L58,0)</f>
        <v>2.600656271047967</v>
      </c>
      <c r="M34" s="18">
        <f ca="1">IF(ISNUMBER(kinematics!D58),kinematics!B58,MAX($D$6:$D$186))</f>
        <v>28</v>
      </c>
      <c r="N34" s="18">
        <f ca="1">IF(ISNUMBER(kinematics!D58),kinematics!F58,0)</f>
        <v>415.77478872895205</v>
      </c>
      <c r="O34" s="18">
        <f ca="1">IF(ISNUMBER(kinematics!J58),kinematics!J58,0)</f>
        <v>75.379291945100505</v>
      </c>
      <c r="P34" s="11">
        <f ca="1">IF(ISNUMBER(kinematics!L58),kinematics!L58,0)</f>
        <v>2.600656271047967</v>
      </c>
      <c r="R34" s="11">
        <f t="shared" ca="1" si="0"/>
        <v>75.379291945100505</v>
      </c>
      <c r="S34" s="11">
        <f t="shared" ca="1" si="1"/>
        <v>2.600656271047967</v>
      </c>
    </row>
    <row r="35" spans="3:19" x14ac:dyDescent="0.2">
      <c r="C35" s="11">
        <f ca="1">IF(ISNUMBER(kinematics!D59),kinematics!D59,MAX(kinematics!$D$30:$D$210))</f>
        <v>29.788</v>
      </c>
      <c r="D35" s="18">
        <f ca="1">IF(ISNUMBER(kinematics!D59),kinematics!B59,0)</f>
        <v>29</v>
      </c>
      <c r="E35" s="11">
        <f ca="1">IF(ISNUMBER(kinematics!J59),kinematics!J59,0)</f>
        <v>74.875331090501788</v>
      </c>
      <c r="I35" s="11">
        <f t="shared" ca="1" si="2"/>
        <v>29.788</v>
      </c>
      <c r="J35" s="18">
        <f ca="1">IF(ISNUMBER(kinematics!D59),kinematics!F59,0)</f>
        <v>415.59041727815759</v>
      </c>
      <c r="K35" s="11">
        <f ca="1">IF(ISNUMBER(kinematics!L59),kinematics!L59,0)</f>
        <v>2.7850277218424253</v>
      </c>
      <c r="M35" s="18">
        <f ca="1">IF(ISNUMBER(kinematics!D59),kinematics!B59,MAX($D$6:$D$186))</f>
        <v>29</v>
      </c>
      <c r="N35" s="18">
        <f ca="1">IF(ISNUMBER(kinematics!D59),kinematics!F59,0)</f>
        <v>415.59041727815759</v>
      </c>
      <c r="O35" s="18">
        <f ca="1">IF(ISNUMBER(kinematics!J59),kinematics!J59,0)</f>
        <v>74.875331090501788</v>
      </c>
      <c r="P35" s="11">
        <f ca="1">IF(ISNUMBER(kinematics!L59),kinematics!L59,0)</f>
        <v>2.7850277218424253</v>
      </c>
      <c r="R35" s="11">
        <f t="shared" ca="1" si="0"/>
        <v>74.875331090501788</v>
      </c>
      <c r="S35" s="11">
        <f t="shared" ca="1" si="1"/>
        <v>2.7850277218424253</v>
      </c>
    </row>
    <row r="36" spans="3:19" x14ac:dyDescent="0.2">
      <c r="C36" s="11">
        <f ca="1">IF(ISNUMBER(kinematics!D60),kinematics!D60,MAX(kinematics!$D$30:$D$210))</f>
        <v>30.812999999999999</v>
      </c>
      <c r="D36" s="18">
        <f ca="1">IF(ISNUMBER(kinematics!D60),kinematics!B60,0)</f>
        <v>30</v>
      </c>
      <c r="E36" s="11">
        <f ca="1">IF(ISNUMBER(kinematics!J60),kinematics!J60,0)</f>
        <v>74.370934215594787</v>
      </c>
      <c r="I36" s="11">
        <f t="shared" ca="1" si="2"/>
        <v>30.812999999999999</v>
      </c>
      <c r="J36" s="18">
        <f ca="1">IF(ISNUMBER(kinematics!D60),kinematics!F60,0)</f>
        <v>415.40023835321773</v>
      </c>
      <c r="K36" s="11">
        <f ca="1">IF(ISNUMBER(kinematics!L60),kinematics!L60,0)</f>
        <v>2.9752066467822829</v>
      </c>
      <c r="M36" s="18">
        <f ca="1">IF(ISNUMBER(kinematics!D60),kinematics!B60,MAX($D$6:$D$186))</f>
        <v>30</v>
      </c>
      <c r="N36" s="18">
        <f ca="1">IF(ISNUMBER(kinematics!D60),kinematics!F60,0)</f>
        <v>415.40023835321773</v>
      </c>
      <c r="O36" s="18">
        <f ca="1">IF(ISNUMBER(kinematics!J60),kinematics!J60,0)</f>
        <v>74.370934215594787</v>
      </c>
      <c r="P36" s="11">
        <f ca="1">IF(ISNUMBER(kinematics!L60),kinematics!L60,0)</f>
        <v>2.9752066467822829</v>
      </c>
      <c r="R36" s="11">
        <f t="shared" ca="1" si="0"/>
        <v>74.370934215594787</v>
      </c>
      <c r="S36" s="11">
        <f t="shared" ca="1" si="1"/>
        <v>2.9752066467822829</v>
      </c>
    </row>
    <row r="37" spans="3:19" x14ac:dyDescent="0.2">
      <c r="C37" s="11">
        <f ca="1">IF(ISNUMBER(kinematics!D61),kinematics!D61,MAX(kinematics!$D$30:$D$210))</f>
        <v>31.837</v>
      </c>
      <c r="D37" s="18">
        <f ca="1">IF(ISNUMBER(kinematics!D61),kinematics!B61,0)</f>
        <v>31</v>
      </c>
      <c r="E37" s="11">
        <f ca="1">IF(ISNUMBER(kinematics!J61),kinematics!J61,0)</f>
        <v>73.866159087131322</v>
      </c>
      <c r="I37" s="11">
        <f t="shared" ca="1" si="2"/>
        <v>31.837</v>
      </c>
      <c r="J37" s="18">
        <f ca="1">IF(ISNUMBER(kinematics!D61),kinematics!F61,0)</f>
        <v>415.20431837170707</v>
      </c>
      <c r="K37" s="11">
        <f ca="1">IF(ISNUMBER(kinematics!L61),kinematics!L61,0)</f>
        <v>3.1711266282929387</v>
      </c>
      <c r="M37" s="18">
        <f ca="1">IF(ISNUMBER(kinematics!D61),kinematics!B61,MAX($D$6:$D$186))</f>
        <v>31</v>
      </c>
      <c r="N37" s="18">
        <f ca="1">IF(ISNUMBER(kinematics!D61),kinematics!F61,0)</f>
        <v>415.20431837170707</v>
      </c>
      <c r="O37" s="18">
        <f ca="1">IF(ISNUMBER(kinematics!J61),kinematics!J61,0)</f>
        <v>73.866159087131322</v>
      </c>
      <c r="P37" s="11">
        <f ca="1">IF(ISNUMBER(kinematics!L61),kinematics!L61,0)</f>
        <v>3.1711266282929387</v>
      </c>
      <c r="R37" s="11">
        <f t="shared" ca="1" si="0"/>
        <v>73.866159087131322</v>
      </c>
      <c r="S37" s="11">
        <f t="shared" ca="1" si="1"/>
        <v>3.1711266282929387</v>
      </c>
    </row>
    <row r="38" spans="3:19" x14ac:dyDescent="0.2">
      <c r="C38" s="11">
        <f ca="1">IF(ISNUMBER(kinematics!D62),kinematics!D62,MAX(kinematics!$D$30:$D$210))</f>
        <v>32.862000000000002</v>
      </c>
      <c r="D38" s="18">
        <f ca="1">IF(ISNUMBER(kinematics!D62),kinematics!B62,0)</f>
        <v>32</v>
      </c>
      <c r="E38" s="11">
        <f ca="1">IF(ISNUMBER(kinematics!J62),kinematics!J62,0)</f>
        <v>73.361056686595234</v>
      </c>
      <c r="I38" s="11">
        <f t="shared" ca="1" si="2"/>
        <v>32.862000000000002</v>
      </c>
      <c r="J38" s="18">
        <f ca="1">IF(ISNUMBER(kinematics!D62),kinematics!F62,0)</f>
        <v>415.00272566579957</v>
      </c>
      <c r="K38" s="11">
        <f ca="1">IF(ISNUMBER(kinematics!L62),kinematics!L62,0)</f>
        <v>3.3727193342004398</v>
      </c>
      <c r="M38" s="18">
        <f ca="1">IF(ISNUMBER(kinematics!D62),kinematics!B62,MAX($D$6:$D$186))</f>
        <v>32</v>
      </c>
      <c r="N38" s="18">
        <f ca="1">IF(ISNUMBER(kinematics!D62),kinematics!F62,0)</f>
        <v>415.00272566579957</v>
      </c>
      <c r="O38" s="18">
        <f ca="1">IF(ISNUMBER(kinematics!J62),kinematics!J62,0)</f>
        <v>73.361056686595234</v>
      </c>
      <c r="P38" s="11">
        <f ca="1">IF(ISNUMBER(kinematics!L62),kinematics!L62,0)</f>
        <v>3.3727193342004398</v>
      </c>
      <c r="R38" s="11">
        <f t="shared" ref="R38:R56" ca="1" si="3">O38</f>
        <v>73.361056686595234</v>
      </c>
      <c r="S38" s="11">
        <f t="shared" ref="S38:S56" ca="1" si="4">P38</f>
        <v>3.3727193342004398</v>
      </c>
    </row>
    <row r="39" spans="3:19" x14ac:dyDescent="0.2">
      <c r="C39" s="11">
        <f ca="1">IF(ISNUMBER(kinematics!D63),kinematics!D63,MAX(kinematics!$D$30:$D$210))</f>
        <v>33.884999999999998</v>
      </c>
      <c r="D39" s="18">
        <f ca="1">IF(ISNUMBER(kinematics!D63),kinematics!B63,0)</f>
        <v>33</v>
      </c>
      <c r="E39" s="11">
        <f ca="1">IF(ISNUMBER(kinematics!J63),kinematics!J63,0)</f>
        <v>72.85567223116216</v>
      </c>
      <c r="I39" s="11">
        <f t="shared" ca="1" si="2"/>
        <v>33.884999999999998</v>
      </c>
      <c r="J39" s="18">
        <f ca="1">IF(ISNUMBER(kinematics!D63),kinematics!F63,0)</f>
        <v>414.79553045039478</v>
      </c>
      <c r="K39" s="11">
        <f ca="1">IF(ISNUMBER(kinematics!L63),kinematics!L63,0)</f>
        <v>3.5799145496052347</v>
      </c>
      <c r="M39" s="18">
        <f ca="1">IF(ISNUMBER(kinematics!D63),kinematics!B63,MAX($D$6:$D$186))</f>
        <v>33</v>
      </c>
      <c r="N39" s="18">
        <f ca="1">IF(ISNUMBER(kinematics!D63),kinematics!F63,0)</f>
        <v>414.79553045039478</v>
      </c>
      <c r="O39" s="18">
        <f ca="1">IF(ISNUMBER(kinematics!J63),kinematics!J63,0)</f>
        <v>72.85567223116216</v>
      </c>
      <c r="P39" s="11">
        <f ca="1">IF(ISNUMBER(kinematics!L63),kinematics!L63,0)</f>
        <v>3.5799145496052347</v>
      </c>
      <c r="R39" s="11">
        <f t="shared" ca="1" si="3"/>
        <v>72.85567223116216</v>
      </c>
      <c r="S39" s="11">
        <f t="shared" ca="1" si="4"/>
        <v>3.5799145496052347</v>
      </c>
    </row>
    <row r="40" spans="3:19" x14ac:dyDescent="0.2">
      <c r="C40" s="11">
        <f ca="1">IF(ISNUMBER(kinematics!D64),kinematics!D64,MAX(kinematics!$D$30:$D$210))</f>
        <v>34.908999999999999</v>
      </c>
      <c r="D40" s="18">
        <f ca="1">IF(ISNUMBER(kinematics!D64),kinematics!B64,0)</f>
        <v>34</v>
      </c>
      <c r="E40" s="11">
        <f ca="1">IF(ISNUMBER(kinematics!J64),kinematics!J64,0)</f>
        <v>72.350046014198583</v>
      </c>
      <c r="I40" s="11">
        <f t="shared" ca="1" si="2"/>
        <v>34.908999999999999</v>
      </c>
      <c r="J40" s="18">
        <f ca="1">IF(ISNUMBER(kinematics!D64),kinematics!F64,0)</f>
        <v>414.58280479048045</v>
      </c>
      <c r="K40" s="11">
        <f ca="1">IF(ISNUMBER(kinematics!L64),kinematics!L64,0)</f>
        <v>3.7926402095195613</v>
      </c>
      <c r="M40" s="18">
        <f ca="1">IF(ISNUMBER(kinematics!D64),kinematics!B64,MAX($D$6:$D$186))</f>
        <v>34</v>
      </c>
      <c r="N40" s="18">
        <f ca="1">IF(ISNUMBER(kinematics!D64),kinematics!F64,0)</f>
        <v>414.58280479048045</v>
      </c>
      <c r="O40" s="18">
        <f ca="1">IF(ISNUMBER(kinematics!J64),kinematics!J64,0)</f>
        <v>72.350046014198583</v>
      </c>
      <c r="P40" s="11">
        <f ca="1">IF(ISNUMBER(kinematics!L64),kinematics!L64,0)</f>
        <v>3.7926402095195613</v>
      </c>
      <c r="R40" s="11">
        <f t="shared" ca="1" si="3"/>
        <v>72.350046014198583</v>
      </c>
      <c r="S40" s="11">
        <f t="shared" ca="1" si="4"/>
        <v>3.7926402095195613</v>
      </c>
    </row>
    <row r="41" spans="3:19" x14ac:dyDescent="0.2">
      <c r="C41" s="11">
        <f ca="1">IF(ISNUMBER(kinematics!D65),kinematics!D65,MAX(kinematics!$D$30:$D$210))</f>
        <v>35.932000000000002</v>
      </c>
      <c r="D41" s="18">
        <f ca="1">IF(ISNUMBER(kinematics!D65),kinematics!B65,0)</f>
        <v>35</v>
      </c>
      <c r="E41" s="11">
        <f ca="1">IF(ISNUMBER(kinematics!J65),kinematics!J65,0)</f>
        <v>71.844214101624885</v>
      </c>
      <c r="I41" s="11">
        <f t="shared" ca="1" si="2"/>
        <v>35.932000000000002</v>
      </c>
      <c r="J41" s="18">
        <f ca="1">IF(ISNUMBER(kinematics!D65),kinematics!F65,0)</f>
        <v>414.36462256776542</v>
      </c>
      <c r="K41" s="11">
        <f ca="1">IF(ISNUMBER(kinematics!L65),kinematics!L65,0)</f>
        <v>4.0108224322345905</v>
      </c>
      <c r="M41" s="18">
        <f ca="1">IF(ISNUMBER(kinematics!D65),kinematics!B65,MAX($D$6:$D$186))</f>
        <v>35</v>
      </c>
      <c r="N41" s="18">
        <f ca="1">IF(ISNUMBER(kinematics!D65),kinematics!F65,0)</f>
        <v>414.36462256776542</v>
      </c>
      <c r="O41" s="18">
        <f ca="1">IF(ISNUMBER(kinematics!J65),kinematics!J65,0)</f>
        <v>71.844214101624885</v>
      </c>
      <c r="P41" s="11">
        <f ca="1">IF(ISNUMBER(kinematics!L65),kinematics!L65,0)</f>
        <v>4.0108224322345905</v>
      </c>
      <c r="R41" s="11">
        <f t="shared" ca="1" si="3"/>
        <v>71.844214101624885</v>
      </c>
      <c r="S41" s="11">
        <f t="shared" ca="1" si="4"/>
        <v>4.0108224322345905</v>
      </c>
    </row>
    <row r="42" spans="3:19" x14ac:dyDescent="0.2">
      <c r="C42" s="11">
        <f ca="1">IF(ISNUMBER(kinematics!D66),kinematics!D66,MAX(kinematics!$D$30:$D$210))</f>
        <v>36.956000000000003</v>
      </c>
      <c r="D42" s="18">
        <f ca="1">IF(ISNUMBER(kinematics!D66),kinematics!B66,0)</f>
        <v>36</v>
      </c>
      <c r="E42" s="11">
        <f ca="1">IF(ISNUMBER(kinematics!J66),kinematics!J66,0)</f>
        <v>71.338208911872798</v>
      </c>
      <c r="I42" s="11">
        <f t="shared" ca="1" si="2"/>
        <v>36.956000000000003</v>
      </c>
      <c r="J42" s="18">
        <f ca="1">IF(ISNUMBER(kinematics!D66),kinematics!F66,0)</f>
        <v>414.1410594465957</v>
      </c>
      <c r="K42" s="11">
        <f ca="1">IF(ISNUMBER(kinematics!L66),kinematics!L66,0)</f>
        <v>4.2343855534043087</v>
      </c>
      <c r="M42" s="18">
        <f ca="1">IF(ISNUMBER(kinematics!D66),kinematics!B66,MAX($D$6:$D$186))</f>
        <v>36</v>
      </c>
      <c r="N42" s="18">
        <f ca="1">IF(ISNUMBER(kinematics!D66),kinematics!F66,0)</f>
        <v>414.1410594465957</v>
      </c>
      <c r="O42" s="18">
        <f ca="1">IF(ISNUMBER(kinematics!J66),kinematics!J66,0)</f>
        <v>71.338208911872798</v>
      </c>
      <c r="P42" s="11">
        <f ca="1">IF(ISNUMBER(kinematics!L66),kinematics!L66,0)</f>
        <v>4.2343855534043087</v>
      </c>
      <c r="R42" s="11">
        <f t="shared" ca="1" si="3"/>
        <v>71.338208911872798</v>
      </c>
      <c r="S42" s="11">
        <f t="shared" ca="1" si="4"/>
        <v>4.2343855534043087</v>
      </c>
    </row>
    <row r="43" spans="3:19" x14ac:dyDescent="0.2">
      <c r="C43" s="11">
        <f ca="1">IF(ISNUMBER(kinematics!D67),kinematics!D67,MAX(kinematics!$D$30:$D$210))</f>
        <v>37.978000000000002</v>
      </c>
      <c r="D43" s="18">
        <f ca="1">IF(ISNUMBER(kinematics!D67),kinematics!B67,0)</f>
        <v>37</v>
      </c>
      <c r="E43" s="11">
        <f ca="1">IF(ISNUMBER(kinematics!J67),kinematics!J67,0)</f>
        <v>70.832059701784686</v>
      </c>
      <c r="I43" s="11">
        <f t="shared" ca="1" si="2"/>
        <v>37.978000000000002</v>
      </c>
      <c r="J43" s="18">
        <f ca="1">IF(ISNUMBER(kinematics!D67),kinematics!F67,0)</f>
        <v>413.91219283919389</v>
      </c>
      <c r="K43" s="11">
        <f ca="1">IF(ISNUMBER(kinematics!L67),kinematics!L67,0)</f>
        <v>4.4632521608061211</v>
      </c>
      <c r="M43" s="18">
        <f ca="1">IF(ISNUMBER(kinematics!D67),kinematics!B67,MAX($D$6:$D$186))</f>
        <v>37</v>
      </c>
      <c r="N43" s="18">
        <f ca="1">IF(ISNUMBER(kinematics!D67),kinematics!F67,0)</f>
        <v>413.91219283919389</v>
      </c>
      <c r="O43" s="18">
        <f ca="1">IF(ISNUMBER(kinematics!J67),kinematics!J67,0)</f>
        <v>70.832059701784686</v>
      </c>
      <c r="P43" s="11">
        <f ca="1">IF(ISNUMBER(kinematics!L67),kinematics!L67,0)</f>
        <v>4.4632521608061211</v>
      </c>
      <c r="R43" s="11">
        <f t="shared" ca="1" si="3"/>
        <v>70.832059701784686</v>
      </c>
      <c r="S43" s="11">
        <f t="shared" ca="1" si="4"/>
        <v>4.4632521608061211</v>
      </c>
    </row>
    <row r="44" spans="3:19" x14ac:dyDescent="0.2">
      <c r="C44" s="11">
        <f ca="1">IF(ISNUMBER(kinematics!D68),kinematics!D68,MAX(kinematics!$D$30:$D$210))</f>
        <v>39.000999999999998</v>
      </c>
      <c r="D44" s="18">
        <f ca="1">IF(ISNUMBER(kinematics!D68),kinematics!B68,0)</f>
        <v>38</v>
      </c>
      <c r="E44" s="11">
        <f ca="1">IF(ISNUMBER(kinematics!J68),kinematics!J68,0)</f>
        <v>70.325792975546307</v>
      </c>
      <c r="I44" s="11">
        <f t="shared" ca="1" si="2"/>
        <v>39.000999999999998</v>
      </c>
      <c r="J44" s="18">
        <f ca="1">IF(ISNUMBER(kinematics!D68),kinematics!F68,0)</f>
        <v>413.67810187023724</v>
      </c>
      <c r="K44" s="11">
        <f ca="1">IF(ISNUMBER(kinematics!L68),kinematics!L68,0)</f>
        <v>4.6973431297627712</v>
      </c>
      <c r="M44" s="18">
        <f ca="1">IF(ISNUMBER(kinematics!D68),kinematics!B68,MAX($D$6:$D$186))</f>
        <v>38</v>
      </c>
      <c r="N44" s="18">
        <f ca="1">IF(ISNUMBER(kinematics!D68),kinematics!F68,0)</f>
        <v>413.67810187023724</v>
      </c>
      <c r="O44" s="18">
        <f ca="1">IF(ISNUMBER(kinematics!J68),kinematics!J68,0)</f>
        <v>70.325792975546307</v>
      </c>
      <c r="P44" s="11">
        <f ca="1">IF(ISNUMBER(kinematics!L68),kinematics!L68,0)</f>
        <v>4.6973431297627712</v>
      </c>
      <c r="R44" s="11">
        <f t="shared" ca="1" si="3"/>
        <v>70.325792975546307</v>
      </c>
      <c r="S44" s="11">
        <f t="shared" ca="1" si="4"/>
        <v>4.6973431297627712</v>
      </c>
    </row>
    <row r="45" spans="3:19" x14ac:dyDescent="0.2">
      <c r="C45" s="11">
        <f ca="1">IF(ISNUMBER(kinematics!D69),kinematics!D69,MAX(kinematics!$D$30:$D$210))</f>
        <v>40.023000000000003</v>
      </c>
      <c r="D45" s="18">
        <f ca="1">IF(ISNUMBER(kinematics!D69),kinematics!B69,0)</f>
        <v>39</v>
      </c>
      <c r="E45" s="11">
        <f ca="1">IF(ISNUMBER(kinematics!J69),kinematics!J69,0)</f>
        <v>69.819432830592078</v>
      </c>
      <c r="I45" s="11">
        <f t="shared" ca="1" si="2"/>
        <v>40.023000000000003</v>
      </c>
      <c r="J45" s="18">
        <f ca="1">IF(ISNUMBER(kinematics!D69),kinematics!F69,0)</f>
        <v>413.43886734080695</v>
      </c>
      <c r="K45" s="11">
        <f ca="1">IF(ISNUMBER(kinematics!L69),kinematics!L69,0)</f>
        <v>4.9365776591930626</v>
      </c>
      <c r="M45" s="18">
        <f ca="1">IF(ISNUMBER(kinematics!D69),kinematics!B69,MAX($D$6:$D$186))</f>
        <v>39</v>
      </c>
      <c r="N45" s="18">
        <f ca="1">IF(ISNUMBER(kinematics!D69),kinematics!F69,0)</f>
        <v>413.43886734080695</v>
      </c>
      <c r="O45" s="18">
        <f ca="1">IF(ISNUMBER(kinematics!J69),kinematics!J69,0)</f>
        <v>69.819432830592078</v>
      </c>
      <c r="P45" s="11">
        <f ca="1">IF(ISNUMBER(kinematics!L69),kinematics!L69,0)</f>
        <v>4.9365776591930626</v>
      </c>
      <c r="R45" s="11">
        <f t="shared" ca="1" si="3"/>
        <v>69.819432830592078</v>
      </c>
      <c r="S45" s="11">
        <f t="shared" ca="1" si="4"/>
        <v>4.9365776591930626</v>
      </c>
    </row>
    <row r="46" spans="3:19" x14ac:dyDescent="0.2">
      <c r="C46" s="11">
        <f ca="1">IF(ISNUMBER(kinematics!D70),kinematics!D70,MAX(kinematics!$D$30:$D$210))</f>
        <v>41.045000000000002</v>
      </c>
      <c r="D46" s="18">
        <f ca="1">IF(ISNUMBER(kinematics!D70),kinematics!B70,0)</f>
        <v>40</v>
      </c>
      <c r="E46" s="11">
        <f ca="1">IF(ISNUMBER(kinematics!J70),kinematics!J70,0)</f>
        <v>69.313001251466247</v>
      </c>
      <c r="I46" s="11">
        <f t="shared" ca="1" si="2"/>
        <v>41.045000000000002</v>
      </c>
      <c r="J46" s="18">
        <f ca="1">IF(ISNUMBER(kinematics!D70),kinematics!F70,0)</f>
        <v>413.1945716917329</v>
      </c>
      <c r="K46" s="11">
        <f ca="1">IF(ISNUMBER(kinematics!L70),kinematics!L70,0)</f>
        <v>5.1808733082671097</v>
      </c>
      <c r="M46" s="18">
        <f ca="1">IF(ISNUMBER(kinematics!D70),kinematics!B70,MAX($D$6:$D$186))</f>
        <v>40</v>
      </c>
      <c r="N46" s="18">
        <f ca="1">IF(ISNUMBER(kinematics!D70),kinematics!F70,0)</f>
        <v>413.1945716917329</v>
      </c>
      <c r="O46" s="18">
        <f ca="1">IF(ISNUMBER(kinematics!J70),kinematics!J70,0)</f>
        <v>69.313001251466247</v>
      </c>
      <c r="P46" s="11">
        <f ca="1">IF(ISNUMBER(kinematics!L70),kinematics!L70,0)</f>
        <v>5.1808733082671097</v>
      </c>
      <c r="R46" s="11">
        <f t="shared" ca="1" si="3"/>
        <v>69.313001251466247</v>
      </c>
      <c r="S46" s="11">
        <f t="shared" ca="1" si="4"/>
        <v>5.1808733082671097</v>
      </c>
    </row>
    <row r="47" spans="3:19" x14ac:dyDescent="0.2">
      <c r="C47" s="11">
        <f ca="1">IF(ISNUMBER(kinematics!D71),kinematics!D71,MAX(kinematics!$D$30:$D$210))</f>
        <v>42.066000000000003</v>
      </c>
      <c r="D47" s="18">
        <f ca="1">IF(ISNUMBER(kinematics!D71),kinematics!B71,0)</f>
        <v>41</v>
      </c>
      <c r="E47" s="11">
        <f ca="1">IF(ISNUMBER(kinematics!J71),kinematics!J71,0)</f>
        <v>68.806518360549063</v>
      </c>
      <c r="I47" s="11">
        <f t="shared" ca="1" si="2"/>
        <v>42.066000000000003</v>
      </c>
      <c r="J47" s="18">
        <f ca="1">IF(ISNUMBER(kinematics!D71),kinematics!F71,0)</f>
        <v>412.94529896636232</v>
      </c>
      <c r="K47" s="11">
        <f ca="1">IF(ISNUMBER(kinematics!L71),kinematics!L71,0)</f>
        <v>5.4301460336376977</v>
      </c>
      <c r="M47" s="18">
        <f ca="1">IF(ISNUMBER(kinematics!D71),kinematics!B71,MAX($D$6:$D$186))</f>
        <v>41</v>
      </c>
      <c r="N47" s="18">
        <f ca="1">IF(ISNUMBER(kinematics!D71),kinematics!F71,0)</f>
        <v>412.94529896636232</v>
      </c>
      <c r="O47" s="18">
        <f ca="1">IF(ISNUMBER(kinematics!J71),kinematics!J71,0)</f>
        <v>68.806518360549063</v>
      </c>
      <c r="P47" s="11">
        <f ca="1">IF(ISNUMBER(kinematics!L71),kinematics!L71,0)</f>
        <v>5.4301460336376977</v>
      </c>
      <c r="R47" s="11">
        <f t="shared" ca="1" si="3"/>
        <v>68.806518360549063</v>
      </c>
      <c r="S47" s="11">
        <f t="shared" ca="1" si="4"/>
        <v>5.4301460336376977</v>
      </c>
    </row>
    <row r="48" spans="3:19" x14ac:dyDescent="0.2">
      <c r="C48" s="11">
        <f ca="1">IF(ISNUMBER(kinematics!D72),kinematics!D72,MAX(kinematics!$D$30:$D$210))</f>
        <v>43.088000000000001</v>
      </c>
      <c r="D48" s="18">
        <f ca="1">IF(ISNUMBER(kinematics!D72),kinematics!B72,0)</f>
        <v>42</v>
      </c>
      <c r="E48" s="11">
        <f ca="1">IF(ISNUMBER(kinematics!J72),kinematics!J72,0)</f>
        <v>68.300002632817169</v>
      </c>
      <c r="I48" s="11">
        <f t="shared" ca="1" si="2"/>
        <v>43.088000000000001</v>
      </c>
      <c r="J48" s="18">
        <f ca="1">IF(ISNUMBER(kinematics!D72),kinematics!F72,0)</f>
        <v>412.69113477277801</v>
      </c>
      <c r="K48" s="11">
        <f ca="1">IF(ISNUMBER(kinematics!L72),kinematics!L72,0)</f>
        <v>5.6843102272219994</v>
      </c>
      <c r="M48" s="18">
        <f ca="1">IF(ISNUMBER(kinematics!D72),kinematics!B72,MAX($D$6:$D$186))</f>
        <v>42</v>
      </c>
      <c r="N48" s="18">
        <f ca="1">IF(ISNUMBER(kinematics!D72),kinematics!F72,0)</f>
        <v>412.69113477277801</v>
      </c>
      <c r="O48" s="18">
        <f ca="1">IF(ISNUMBER(kinematics!J72),kinematics!J72,0)</f>
        <v>68.300002632817169</v>
      </c>
      <c r="P48" s="11">
        <f ca="1">IF(ISNUMBER(kinematics!L72),kinematics!L72,0)</f>
        <v>5.6843102272219994</v>
      </c>
      <c r="R48" s="11">
        <f t="shared" ca="1" si="3"/>
        <v>68.300002632817169</v>
      </c>
      <c r="S48" s="11">
        <f t="shared" ca="1" si="4"/>
        <v>5.6843102272219994</v>
      </c>
    </row>
    <row r="49" spans="3:19" x14ac:dyDescent="0.2">
      <c r="C49" s="11">
        <f ca="1">IF(ISNUMBER(kinematics!D73),kinematics!D73,MAX(kinematics!$D$30:$D$210))</f>
        <v>44.107999999999997</v>
      </c>
      <c r="D49" s="18">
        <f ca="1">IF(ISNUMBER(kinematics!D73),kinematics!B73,0)</f>
        <v>43</v>
      </c>
      <c r="E49" s="11">
        <f ca="1">IF(ISNUMBER(kinematics!J73),kinematics!J73,0)</f>
        <v>67.793471080513157</v>
      </c>
      <c r="I49" s="11">
        <f t="shared" ca="1" si="2"/>
        <v>44.107999999999997</v>
      </c>
      <c r="J49" s="18">
        <f ca="1">IF(ISNUMBER(kinematics!D73),kinematics!F73,0)</f>
        <v>412.43216624549495</v>
      </c>
      <c r="K49" s="11">
        <f ca="1">IF(ISNUMBER(kinematics!L73),kinematics!L73,0)</f>
        <v>5.9432787545050587</v>
      </c>
      <c r="M49" s="18">
        <f ca="1">IF(ISNUMBER(kinematics!D73),kinematics!B73,MAX($D$6:$D$186))</f>
        <v>43</v>
      </c>
      <c r="N49" s="18">
        <f ca="1">IF(ISNUMBER(kinematics!D73),kinematics!F73,0)</f>
        <v>412.43216624549495</v>
      </c>
      <c r="O49" s="18">
        <f ca="1">IF(ISNUMBER(kinematics!J73),kinematics!J73,0)</f>
        <v>67.793471080513157</v>
      </c>
      <c r="P49" s="11">
        <f ca="1">IF(ISNUMBER(kinematics!L73),kinematics!L73,0)</f>
        <v>5.9432787545050587</v>
      </c>
      <c r="R49" s="11">
        <f t="shared" ca="1" si="3"/>
        <v>67.793471080513157</v>
      </c>
      <c r="S49" s="11">
        <f t="shared" ca="1" si="4"/>
        <v>5.9432787545050587</v>
      </c>
    </row>
    <row r="50" spans="3:19" x14ac:dyDescent="0.2">
      <c r="C50" s="11">
        <f ca="1">IF(ISNUMBER(kinematics!D74),kinematics!D74,MAX(kinematics!$D$30:$D$210))</f>
        <v>45.128999999999998</v>
      </c>
      <c r="D50" s="18">
        <f ca="1">IF(ISNUMBER(kinematics!D74),kinematics!B74,0)</f>
        <v>44</v>
      </c>
      <c r="E50" s="11">
        <f ca="1">IF(ISNUMBER(kinematics!J74),kinematics!J74,0)</f>
        <v>67.286939412569453</v>
      </c>
      <c r="I50" s="11">
        <f t="shared" ca="1" si="2"/>
        <v>45.128999999999998</v>
      </c>
      <c r="J50" s="18">
        <f ca="1">IF(ISNUMBER(kinematics!D74),kinematics!F74,0)</f>
        <v>412.16848200666777</v>
      </c>
      <c r="K50" s="11">
        <f ca="1">IF(ISNUMBER(kinematics!L74),kinematics!L74,0)</f>
        <v>6.2069629933322403</v>
      </c>
      <c r="M50" s="18">
        <f ca="1">IF(ISNUMBER(kinematics!D74),kinematics!B74,MAX($D$6:$D$186))</f>
        <v>44</v>
      </c>
      <c r="N50" s="18">
        <f ca="1">IF(ISNUMBER(kinematics!D74),kinematics!F74,0)</f>
        <v>412.16848200666777</v>
      </c>
      <c r="O50" s="18">
        <f ca="1">IF(ISNUMBER(kinematics!J74),kinematics!J74,0)</f>
        <v>67.286939412569453</v>
      </c>
      <c r="P50" s="11">
        <f ca="1">IF(ISNUMBER(kinematics!L74),kinematics!L74,0)</f>
        <v>6.2069629933322403</v>
      </c>
      <c r="R50" s="11">
        <f t="shared" ca="1" si="3"/>
        <v>67.286939412569453</v>
      </c>
      <c r="S50" s="11">
        <f t="shared" ca="1" si="4"/>
        <v>6.2069629933322403</v>
      </c>
    </row>
    <row r="51" spans="3:19" x14ac:dyDescent="0.2">
      <c r="C51" s="11">
        <f ca="1">IF(ISNUMBER(kinematics!D75),kinematics!D75,MAX(kinematics!$D$30:$D$210))</f>
        <v>46.149000000000001</v>
      </c>
      <c r="D51" s="18">
        <f ca="1">IF(ISNUMBER(kinematics!D75),kinematics!B75,0)</f>
        <v>45</v>
      </c>
      <c r="E51" s="11">
        <f ca="1">IF(ISNUMBER(kinematics!J75),kinematics!J75,0)</f>
        <v>66.780422172562012</v>
      </c>
      <c r="I51" s="11">
        <f t="shared" ca="1" si="2"/>
        <v>46.149000000000001</v>
      </c>
      <c r="J51" s="18">
        <f ca="1">IF(ISNUMBER(kinematics!D75),kinematics!F75,0)</f>
        <v>411.90017212682403</v>
      </c>
      <c r="K51" s="11">
        <f ca="1">IF(ISNUMBER(kinematics!L75),kinematics!L75,0)</f>
        <v>6.4752728731759817</v>
      </c>
      <c r="M51" s="18">
        <f ca="1">IF(ISNUMBER(kinematics!D75),kinematics!B75,MAX($D$6:$D$186))</f>
        <v>45</v>
      </c>
      <c r="N51" s="18">
        <f ca="1">IF(ISNUMBER(kinematics!D75),kinematics!F75,0)</f>
        <v>411.90017212682403</v>
      </c>
      <c r="O51" s="18">
        <f ca="1">IF(ISNUMBER(kinematics!J75),kinematics!J75,0)</f>
        <v>66.780422172562012</v>
      </c>
      <c r="P51" s="11">
        <f ca="1">IF(ISNUMBER(kinematics!L75),kinematics!L75,0)</f>
        <v>6.4752728731759817</v>
      </c>
      <c r="R51" s="11">
        <f t="shared" ca="1" si="3"/>
        <v>66.780422172562012</v>
      </c>
      <c r="S51" s="11">
        <f t="shared" ca="1" si="4"/>
        <v>6.4752728731759817</v>
      </c>
    </row>
    <row r="52" spans="3:19" x14ac:dyDescent="0.2">
      <c r="C52" s="11">
        <f ca="1">IF(ISNUMBER(kinematics!D76),kinematics!D76,MAX(kinematics!$D$30:$D$210))</f>
        <v>47.168999999999997</v>
      </c>
      <c r="D52" s="18">
        <f ca="1">IF(ISNUMBER(kinematics!D76),kinematics!B76,0)</f>
        <v>46</v>
      </c>
      <c r="E52" s="11">
        <f ca="1">IF(ISNUMBER(kinematics!J76),kinematics!J76,0)</f>
        <v>66.273932858638432</v>
      </c>
      <c r="I52" s="11">
        <f t="shared" ca="1" si="2"/>
        <v>47.168999999999997</v>
      </c>
      <c r="J52" s="18">
        <f ca="1">IF(ISNUMBER(kinematics!D76),kinematics!F76,0)</f>
        <v>411.62732808516614</v>
      </c>
      <c r="K52" s="11">
        <f ca="1">IF(ISNUMBER(kinematics!L76),kinematics!L76,0)</f>
        <v>6.7481169148338722</v>
      </c>
      <c r="M52" s="18">
        <f ca="1">IF(ISNUMBER(kinematics!D76),kinematics!B76,MAX($D$6:$D$186))</f>
        <v>46</v>
      </c>
      <c r="N52" s="18">
        <f ca="1">IF(ISNUMBER(kinematics!D76),kinematics!F76,0)</f>
        <v>411.62732808516614</v>
      </c>
      <c r="O52" s="18">
        <f ca="1">IF(ISNUMBER(kinematics!J76),kinematics!J76,0)</f>
        <v>66.273932858638432</v>
      </c>
      <c r="P52" s="11">
        <f ca="1">IF(ISNUMBER(kinematics!L76),kinematics!L76,0)</f>
        <v>6.7481169148338722</v>
      </c>
      <c r="R52" s="11">
        <f t="shared" ca="1" si="3"/>
        <v>66.273932858638432</v>
      </c>
      <c r="S52" s="11">
        <f t="shared" ca="1" si="4"/>
        <v>6.7481169148338722</v>
      </c>
    </row>
    <row r="53" spans="3:19" x14ac:dyDescent="0.2">
      <c r="C53" s="11">
        <f ca="1">IF(ISNUMBER(kinematics!D77),kinematics!D77,MAX(kinematics!$D$30:$D$210))</f>
        <v>48.188000000000002</v>
      </c>
      <c r="D53" s="18">
        <f ca="1">IF(ISNUMBER(kinematics!D77),kinematics!B77,0)</f>
        <v>47</v>
      </c>
      <c r="E53" s="11">
        <f ca="1">IF(ISNUMBER(kinematics!J77),kinematics!J77,0)</f>
        <v>65.767484027991799</v>
      </c>
      <c r="I53" s="11">
        <f t="shared" ca="1" si="2"/>
        <v>48.188000000000002</v>
      </c>
      <c r="J53" s="18">
        <f ca="1">IF(ISNUMBER(kinematics!D77),kinematics!F77,0)</f>
        <v>411.35004272945974</v>
      </c>
      <c r="K53" s="11">
        <f ca="1">IF(ISNUMBER(kinematics!L77),kinematics!L77,0)</f>
        <v>7.025402270540269</v>
      </c>
      <c r="M53" s="18">
        <f ca="1">IF(ISNUMBER(kinematics!D77),kinematics!B77,MAX($D$6:$D$186))</f>
        <v>47</v>
      </c>
      <c r="N53" s="18">
        <f ca="1">IF(ISNUMBER(kinematics!D77),kinematics!F77,0)</f>
        <v>411.35004272945974</v>
      </c>
      <c r="O53" s="18">
        <f ca="1">IF(ISNUMBER(kinematics!J77),kinematics!J77,0)</f>
        <v>65.767484027991799</v>
      </c>
      <c r="P53" s="11">
        <f ca="1">IF(ISNUMBER(kinematics!L77),kinematics!L77,0)</f>
        <v>7.025402270540269</v>
      </c>
      <c r="R53" s="11">
        <f t="shared" ca="1" si="3"/>
        <v>65.767484027991799</v>
      </c>
      <c r="S53" s="11">
        <f t="shared" ca="1" si="4"/>
        <v>7.025402270540269</v>
      </c>
    </row>
    <row r="54" spans="3:19" x14ac:dyDescent="0.2">
      <c r="C54" s="11">
        <f ca="1">IF(ISNUMBER(kinematics!D78),kinematics!D78,MAX(kinematics!$D$30:$D$210))</f>
        <v>49.207999999999998</v>
      </c>
      <c r="D54" s="18">
        <f ca="1">IF(ISNUMBER(kinematics!D78),kinematics!B78,0)</f>
        <v>48</v>
      </c>
      <c r="E54" s="11">
        <f ca="1">IF(ISNUMBER(kinematics!J78),kinematics!J78,0)</f>
        <v>65.261087388207599</v>
      </c>
      <c r="I54" s="11">
        <f t="shared" ca="1" si="2"/>
        <v>49.207999999999998</v>
      </c>
      <c r="J54" s="18">
        <f ca="1">IF(ISNUMBER(kinematics!D78),kinematics!F78,0)</f>
        <v>411.06841023554358</v>
      </c>
      <c r="K54" s="11">
        <f ca="1">IF(ISNUMBER(kinematics!L78),kinematics!L78,0)</f>
        <v>7.3070347644564322</v>
      </c>
      <c r="M54" s="18">
        <f ca="1">IF(ISNUMBER(kinematics!D78),kinematics!B78,MAX($D$6:$D$186))</f>
        <v>48</v>
      </c>
      <c r="N54" s="18">
        <f ca="1">IF(ISNUMBER(kinematics!D78),kinematics!F78,0)</f>
        <v>411.06841023554358</v>
      </c>
      <c r="O54" s="18">
        <f ca="1">IF(ISNUMBER(kinematics!J78),kinematics!J78,0)</f>
        <v>65.261087388207599</v>
      </c>
      <c r="P54" s="11">
        <f ca="1">IF(ISNUMBER(kinematics!L78),kinematics!L78,0)</f>
        <v>7.3070347644564322</v>
      </c>
      <c r="R54" s="11">
        <f t="shared" ca="1" si="3"/>
        <v>65.261087388207599</v>
      </c>
      <c r="S54" s="11">
        <f t="shared" ca="1" si="4"/>
        <v>7.3070347644564322</v>
      </c>
    </row>
    <row r="55" spans="3:19" x14ac:dyDescent="0.2">
      <c r="C55" s="11">
        <f ca="1">IF(ISNUMBER(kinematics!D79),kinematics!D79,MAX(kinematics!$D$30:$D$210))</f>
        <v>50.225999999999999</v>
      </c>
      <c r="D55" s="18">
        <f ca="1">IF(ISNUMBER(kinematics!D79),kinematics!B79,0)</f>
        <v>49</v>
      </c>
      <c r="E55" s="11">
        <f ca="1">IF(ISNUMBER(kinematics!J79),kinematics!J79,0)</f>
        <v>64.754753877299919</v>
      </c>
      <c r="I55" s="11">
        <f t="shared" ca="1" si="2"/>
        <v>50.225999999999999</v>
      </c>
      <c r="J55" s="18">
        <f ca="1">IF(ISNUMBER(kinematics!D79),kinematics!F79,0)</f>
        <v>410.78252606648243</v>
      </c>
      <c r="K55" s="11">
        <f ca="1">IF(ISNUMBER(kinematics!L79),kinematics!L79,0)</f>
        <v>7.5929189335175806</v>
      </c>
      <c r="M55" s="18">
        <f ca="1">IF(ISNUMBER(kinematics!D79),kinematics!B79,MAX($D$6:$D$186))</f>
        <v>49</v>
      </c>
      <c r="N55" s="18">
        <f ca="1">IF(ISNUMBER(kinematics!D79),kinematics!F79,0)</f>
        <v>410.78252606648243</v>
      </c>
      <c r="O55" s="18">
        <f ca="1">IF(ISNUMBER(kinematics!J79),kinematics!J79,0)</f>
        <v>64.754753877299919</v>
      </c>
      <c r="P55" s="11">
        <f ca="1">IF(ISNUMBER(kinematics!L79),kinematics!L79,0)</f>
        <v>7.5929189335175806</v>
      </c>
      <c r="R55" s="11">
        <f t="shared" ca="1" si="3"/>
        <v>64.754753877299919</v>
      </c>
      <c r="S55" s="11">
        <f t="shared" ca="1" si="4"/>
        <v>7.5929189335175806</v>
      </c>
    </row>
    <row r="56" spans="3:19" x14ac:dyDescent="0.2">
      <c r="C56" s="11">
        <f ca="1">IF(ISNUMBER(kinematics!D80),kinematics!D80,MAX(kinematics!$D$30:$D$210))</f>
        <v>51.244999999999997</v>
      </c>
      <c r="D56" s="18">
        <f ca="1">IF(ISNUMBER(kinematics!D80),kinematics!B80,0)</f>
        <v>50</v>
      </c>
      <c r="E56" s="11">
        <f ca="1">IF(ISNUMBER(kinematics!J80),kinematics!J80,0)</f>
        <v>64.248493734083468</v>
      </c>
      <c r="I56" s="11">
        <f t="shared" ca="1" si="2"/>
        <v>51.244999999999997</v>
      </c>
      <c r="J56" s="18">
        <f ca="1">IF(ISNUMBER(kinematics!D80),kinematics!F80,0)</f>
        <v>410.49248693139805</v>
      </c>
      <c r="K56" s="11">
        <f ca="1">IF(ISNUMBER(kinematics!L80),kinematics!L80,0)</f>
        <v>7.8829580686019654</v>
      </c>
      <c r="M56" s="18">
        <f ca="1">IF(ISNUMBER(kinematics!D80),kinematics!B80,MAX($D$6:$D$186))</f>
        <v>50</v>
      </c>
      <c r="N56" s="18">
        <f ca="1">IF(ISNUMBER(kinematics!D80),kinematics!F80,0)</f>
        <v>410.49248693139805</v>
      </c>
      <c r="O56" s="18">
        <f ca="1">IF(ISNUMBER(kinematics!J80),kinematics!J80,0)</f>
        <v>64.248493734083468</v>
      </c>
      <c r="P56" s="11">
        <f ca="1">IF(ISNUMBER(kinematics!L80),kinematics!L80,0)</f>
        <v>7.8829580686019654</v>
      </c>
      <c r="R56" s="11">
        <f t="shared" ca="1" si="3"/>
        <v>64.248493734083468</v>
      </c>
      <c r="S56" s="11">
        <f t="shared" ca="1" si="4"/>
        <v>7.8829580686019654</v>
      </c>
    </row>
    <row r="57" spans="3:19" x14ac:dyDescent="0.2">
      <c r="C57" s="11">
        <f ca="1">IF(ISNUMBER(kinematics!D81),kinematics!D81,MAX(kinematics!$D$30:$D$210))</f>
        <v>52.262999999999998</v>
      </c>
      <c r="D57" s="18">
        <f ca="1">IF(ISNUMBER(kinematics!D81),kinematics!B81,0)</f>
        <v>51</v>
      </c>
      <c r="E57" s="11">
        <f ca="1">IF(ISNUMBER(kinematics!J81),kinematics!J81,0)</f>
        <v>63.742316560138541</v>
      </c>
      <c r="I57" s="11">
        <f t="shared" ca="1" si="2"/>
        <v>52.262999999999998</v>
      </c>
      <c r="J57" s="18">
        <f ca="1">IF(ISNUMBER(kinematics!D81),kinematics!F81,0)</f>
        <v>410.19839074399721</v>
      </c>
      <c r="K57" s="11">
        <f ca="1">IF(ISNUMBER(kinematics!L81),kinematics!L81,0)</f>
        <v>8.1770542560028048</v>
      </c>
      <c r="M57" s="18">
        <f ca="1">IF(ISNUMBER(kinematics!D81),kinematics!B81,MAX($D$6:$D$186))</f>
        <v>51</v>
      </c>
      <c r="N57" s="18">
        <f ca="1">IF(ISNUMBER(kinematics!D81),kinematics!F81,0)</f>
        <v>410.19839074399721</v>
      </c>
      <c r="O57" s="18">
        <f ca="1">IF(ISNUMBER(kinematics!J81),kinematics!J81,0)</f>
        <v>63.742316560138541</v>
      </c>
      <c r="P57" s="11">
        <f ca="1">IF(ISNUMBER(kinematics!L81),kinematics!L81,0)</f>
        <v>8.1770542560028048</v>
      </c>
      <c r="R57" s="11">
        <f t="shared" ref="R57:R134" ca="1" si="5">O57</f>
        <v>63.742316560138541</v>
      </c>
      <c r="S57" s="11">
        <f t="shared" ref="S57:S69" ca="1" si="6">P57</f>
        <v>8.1770542560028048</v>
      </c>
    </row>
    <row r="58" spans="3:19" x14ac:dyDescent="0.2">
      <c r="C58" s="11">
        <f ca="1">IF(ISNUMBER(kinematics!D82),kinematics!D82,MAX(kinematics!$D$30:$D$210))</f>
        <v>53.28</v>
      </c>
      <c r="D58" s="18">
        <f ca="1">IF(ISNUMBER(kinematics!D82),kinematics!B82,0)</f>
        <v>52</v>
      </c>
      <c r="E58" s="11">
        <f ca="1">IF(ISNUMBER(kinematics!J82),kinematics!J82,0)</f>
        <v>63.236231374612672</v>
      </c>
      <c r="I58" s="11">
        <f t="shared" ca="1" si="2"/>
        <v>53.28</v>
      </c>
      <c r="J58" s="18">
        <f ca="1">IF(ISNUMBER(kinematics!D82),kinematics!F82,0)</f>
        <v>409.90033658083934</v>
      </c>
      <c r="K58" s="11">
        <f ca="1">IF(ISNUMBER(kinematics!L82),kinematics!L82,0)</f>
        <v>8.4751084191606765</v>
      </c>
      <c r="M58" s="18">
        <f ca="1">IF(ISNUMBER(kinematics!D82),kinematics!B82,MAX($D$6:$D$186))</f>
        <v>52</v>
      </c>
      <c r="N58" s="18">
        <f ca="1">IF(ISNUMBER(kinematics!D82),kinematics!F82,0)</f>
        <v>409.90033658083934</v>
      </c>
      <c r="O58" s="18">
        <f ca="1">IF(ISNUMBER(kinematics!J82),kinematics!J82,0)</f>
        <v>63.236231374612672</v>
      </c>
      <c r="P58" s="11">
        <f ca="1">IF(ISNUMBER(kinematics!L82),kinematics!L82,0)</f>
        <v>8.4751084191606765</v>
      </c>
      <c r="R58" s="11">
        <f t="shared" ref="R58:R70" ca="1" si="7">O58</f>
        <v>63.236231374612672</v>
      </c>
      <c r="S58" s="11">
        <f t="shared" ca="1" si="6"/>
        <v>8.4751084191606765</v>
      </c>
    </row>
    <row r="59" spans="3:19" x14ac:dyDescent="0.2">
      <c r="C59" s="11">
        <f ca="1">IF(ISNUMBER(kinematics!D83),kinematics!D83,MAX(kinematics!$D$30:$D$210))</f>
        <v>54.296999999999997</v>
      </c>
      <c r="D59" s="18">
        <f ca="1">IF(ISNUMBER(kinematics!D83),kinematics!B83,0)</f>
        <v>53</v>
      </c>
      <c r="E59" s="11">
        <f ca="1">IF(ISNUMBER(kinematics!J83),kinematics!J83,0)</f>
        <v>62.730246662677928</v>
      </c>
      <c r="I59" s="11">
        <f t="shared" ca="1" si="2"/>
        <v>54.296999999999997</v>
      </c>
      <c r="J59" s="18">
        <f ca="1">IF(ISNUMBER(kinematics!D83),kinematics!F83,0)</f>
        <v>409.59842463935399</v>
      </c>
      <c r="K59" s="11">
        <f ca="1">IF(ISNUMBER(kinematics!L83),kinematics!L83,0)</f>
        <v>8.77702036064602</v>
      </c>
      <c r="M59" s="18">
        <f ca="1">IF(ISNUMBER(kinematics!D83),kinematics!B83,MAX($D$6:$D$186))</f>
        <v>53</v>
      </c>
      <c r="N59" s="18">
        <f ca="1">IF(ISNUMBER(kinematics!D83),kinematics!F83,0)</f>
        <v>409.59842463935399</v>
      </c>
      <c r="O59" s="18">
        <f ca="1">IF(ISNUMBER(kinematics!J83),kinematics!J83,0)</f>
        <v>62.730246662677928</v>
      </c>
      <c r="P59" s="11">
        <f ca="1">IF(ISNUMBER(kinematics!L83),kinematics!L83,0)</f>
        <v>8.77702036064602</v>
      </c>
      <c r="R59" s="11">
        <f t="shared" ca="1" si="7"/>
        <v>62.730246662677928</v>
      </c>
      <c r="S59" s="11">
        <f t="shared" ca="1" si="6"/>
        <v>8.77702036064602</v>
      </c>
    </row>
    <row r="60" spans="3:19" x14ac:dyDescent="0.2">
      <c r="C60" s="11">
        <f ca="1">IF(ISNUMBER(kinematics!D84),kinematics!D84,MAX(kinematics!$D$30:$D$210))</f>
        <v>55.314</v>
      </c>
      <c r="D60" s="18">
        <f ca="1">IF(ISNUMBER(kinematics!D84),kinematics!B84,0)</f>
        <v>54</v>
      </c>
      <c r="E60" s="11">
        <f ca="1">IF(ISNUMBER(kinematics!J84),kinematics!J84,0)</f>
        <v>62.224370418561463</v>
      </c>
      <c r="I60" s="11">
        <f t="shared" ca="1" si="2"/>
        <v>55.314</v>
      </c>
      <c r="J60" s="18">
        <f ca="1">IF(ISNUMBER(kinematics!D84),kinematics!F84,0)</f>
        <v>409.29275619564856</v>
      </c>
      <c r="K60" s="11">
        <f ca="1">IF(ISNUMBER(kinematics!L84),kinematics!L84,0)</f>
        <v>9.0826888043514487</v>
      </c>
      <c r="M60" s="18">
        <f ca="1">IF(ISNUMBER(kinematics!D84),kinematics!B84,MAX($D$6:$D$186))</f>
        <v>54</v>
      </c>
      <c r="N60" s="18">
        <f ca="1">IF(ISNUMBER(kinematics!D84),kinematics!F84,0)</f>
        <v>409.29275619564856</v>
      </c>
      <c r="O60" s="18">
        <f ca="1">IF(ISNUMBER(kinematics!J84),kinematics!J84,0)</f>
        <v>62.224370418561463</v>
      </c>
      <c r="P60" s="11">
        <f ca="1">IF(ISNUMBER(kinematics!L84),kinematics!L84,0)</f>
        <v>9.0826888043514487</v>
      </c>
      <c r="R60" s="11">
        <f t="shared" ca="1" si="7"/>
        <v>62.224370418561463</v>
      </c>
      <c r="S60" s="11">
        <f t="shared" ca="1" si="6"/>
        <v>9.0826888043514487</v>
      </c>
    </row>
    <row r="61" spans="3:19" x14ac:dyDescent="0.2">
      <c r="C61" s="11">
        <f ca="1">IF(ISNUMBER(kinematics!D85),kinematics!D85,MAX(kinematics!$D$30:$D$210))</f>
        <v>56.331000000000003</v>
      </c>
      <c r="D61" s="18">
        <f ca="1">IF(ISNUMBER(kinematics!D85),kinematics!B85,0)</f>
        <v>55</v>
      </c>
      <c r="E61" s="11">
        <f ca="1">IF(ISNUMBER(kinematics!J85),kinematics!J85,0)</f>
        <v>61.718610183834762</v>
      </c>
      <c r="I61" s="11">
        <f t="shared" ca="1" si="2"/>
        <v>56.331000000000003</v>
      </c>
      <c r="J61" s="18">
        <f ca="1">IF(ISNUMBER(kinematics!D85),kinematics!F85,0)</f>
        <v>408.98343356213365</v>
      </c>
      <c r="K61" s="11">
        <f ca="1">IF(ISNUMBER(kinematics!L85),kinematics!L85,0)</f>
        <v>9.3920114378663584</v>
      </c>
      <c r="M61" s="18">
        <f ca="1">IF(ISNUMBER(kinematics!D85),kinematics!B85,MAX($D$6:$D$186))</f>
        <v>55</v>
      </c>
      <c r="N61" s="18">
        <f ca="1">IF(ISNUMBER(kinematics!D85),kinematics!F85,0)</f>
        <v>408.98343356213365</v>
      </c>
      <c r="O61" s="18">
        <f ca="1">IF(ISNUMBER(kinematics!J85),kinematics!J85,0)</f>
        <v>61.718610183834762</v>
      </c>
      <c r="P61" s="11">
        <f ca="1">IF(ISNUMBER(kinematics!L85),kinematics!L85,0)</f>
        <v>9.3920114378663584</v>
      </c>
      <c r="R61" s="11">
        <f t="shared" ca="1" si="7"/>
        <v>61.718610183834762</v>
      </c>
      <c r="S61" s="11">
        <f t="shared" ca="1" si="6"/>
        <v>9.3920114378663584</v>
      </c>
    </row>
    <row r="62" spans="3:19" x14ac:dyDescent="0.2">
      <c r="C62" s="11">
        <f ca="1">IF(ISNUMBER(kinematics!D86),kinematics!D86,MAX(kinematics!$D$30:$D$210))</f>
        <v>57.347000000000001</v>
      </c>
      <c r="D62" s="18">
        <f ca="1">IF(ISNUMBER(kinematics!D86),kinematics!B86,0)</f>
        <v>56</v>
      </c>
      <c r="E62" s="11">
        <f ca="1">IF(ISNUMBER(kinematics!J86),kinematics!J86,0)</f>
        <v>61.212973081486751</v>
      </c>
      <c r="I62" s="11">
        <f t="shared" ca="1" si="2"/>
        <v>57.347000000000001</v>
      </c>
      <c r="J62" s="18">
        <f ca="1">IF(ISNUMBER(kinematics!D86),kinematics!F86,0)</f>
        <v>408.67056004498158</v>
      </c>
      <c r="K62" s="11">
        <f ca="1">IF(ISNUMBER(kinematics!L86),kinematics!L86,0)</f>
        <v>9.7048849550184286</v>
      </c>
      <c r="M62" s="18">
        <f ca="1">IF(ISNUMBER(kinematics!D86),kinematics!B86,MAX($D$6:$D$186))</f>
        <v>56</v>
      </c>
      <c r="N62" s="18">
        <f ca="1">IF(ISNUMBER(kinematics!D86),kinematics!F86,0)</f>
        <v>408.67056004498158</v>
      </c>
      <c r="O62" s="18">
        <f ca="1">IF(ISNUMBER(kinematics!J86),kinematics!J86,0)</f>
        <v>61.212973081486751</v>
      </c>
      <c r="P62" s="11">
        <f ca="1">IF(ISNUMBER(kinematics!L86),kinematics!L86,0)</f>
        <v>9.7048849550184286</v>
      </c>
      <c r="R62" s="11">
        <f t="shared" ca="1" si="7"/>
        <v>61.212973081486751</v>
      </c>
      <c r="S62" s="11">
        <f t="shared" ca="1" si="6"/>
        <v>9.7048849550184286</v>
      </c>
    </row>
    <row r="63" spans="3:19" x14ac:dyDescent="0.2">
      <c r="C63" s="11">
        <f ca="1">IF(ISNUMBER(kinematics!D87),kinematics!D87,MAX(kinematics!$D$30:$D$210))</f>
        <v>58.362000000000002</v>
      </c>
      <c r="D63" s="18">
        <f ca="1">IF(ISNUMBER(kinematics!D87),kinematics!B87,0)</f>
        <v>57</v>
      </c>
      <c r="E63" s="11">
        <f ca="1">IF(ISNUMBER(kinematics!J87),kinematics!J87,0)</f>
        <v>60.707465846385745</v>
      </c>
      <c r="I63" s="11">
        <f t="shared" ca="1" si="2"/>
        <v>58.362000000000002</v>
      </c>
      <c r="J63" s="18">
        <f ca="1">IF(ISNUMBER(kinematics!D87),kinematics!F87,0)</f>
        <v>408.35423990145932</v>
      </c>
      <c r="K63" s="11">
        <f ca="1">IF(ISNUMBER(kinematics!L87),kinematics!L87,0)</f>
        <v>10.02120509854069</v>
      </c>
      <c r="M63" s="18">
        <f ca="1">IF(ISNUMBER(kinematics!D87),kinematics!B87,MAX($D$6:$D$186))</f>
        <v>57</v>
      </c>
      <c r="N63" s="18">
        <f ca="1">IF(ISNUMBER(kinematics!D87),kinematics!F87,0)</f>
        <v>408.35423990145932</v>
      </c>
      <c r="O63" s="18">
        <f ca="1">IF(ISNUMBER(kinematics!J87),kinematics!J87,0)</f>
        <v>60.707465846385745</v>
      </c>
      <c r="P63" s="11">
        <f ca="1">IF(ISNUMBER(kinematics!L87),kinematics!L87,0)</f>
        <v>10.02120509854069</v>
      </c>
      <c r="R63" s="11">
        <f t="shared" ca="1" si="7"/>
        <v>60.707465846385745</v>
      </c>
      <c r="S63" s="11">
        <f t="shared" ca="1" si="6"/>
        <v>10.02120509854069</v>
      </c>
    </row>
    <row r="64" spans="3:19" x14ac:dyDescent="0.2">
      <c r="C64" s="11">
        <f ca="1">IF(ISNUMBER(kinematics!D88),kinematics!D88,MAX(kinematics!$D$30:$D$210))</f>
        <v>59.377000000000002</v>
      </c>
      <c r="D64" s="18">
        <f ca="1">IF(ISNUMBER(kinematics!D88),kinematics!B88,0)</f>
        <v>58</v>
      </c>
      <c r="E64" s="11">
        <f ca="1">IF(ISNUMBER(kinematics!J88),kinematics!J88,0)</f>
        <v>60.202094852544455</v>
      </c>
      <c r="I64" s="11">
        <f t="shared" ca="1" si="2"/>
        <v>59.377000000000002</v>
      </c>
      <c r="J64" s="18">
        <f ca="1">IF(ISNUMBER(kinematics!D88),kinematics!F88,0)</f>
        <v>408.03457829715938</v>
      </c>
      <c r="K64" s="11">
        <f ca="1">IF(ISNUMBER(kinematics!L88),kinematics!L88,0)</f>
        <v>10.340866702840628</v>
      </c>
      <c r="M64" s="18">
        <f ca="1">IF(ISNUMBER(kinematics!D88),kinematics!B88,MAX($D$6:$D$186))</f>
        <v>58</v>
      </c>
      <c r="N64" s="18">
        <f ca="1">IF(ISNUMBER(kinematics!D88),kinematics!F88,0)</f>
        <v>408.03457829715938</v>
      </c>
      <c r="O64" s="18">
        <f ca="1">IF(ISNUMBER(kinematics!J88),kinematics!J88,0)</f>
        <v>60.202094852544455</v>
      </c>
      <c r="P64" s="11">
        <f ca="1">IF(ISNUMBER(kinematics!L88),kinematics!L88,0)</f>
        <v>10.340866702840628</v>
      </c>
      <c r="R64" s="11">
        <f t="shared" ca="1" si="7"/>
        <v>60.202094852544455</v>
      </c>
      <c r="S64" s="11">
        <f t="shared" ca="1" si="6"/>
        <v>10.340866702840628</v>
      </c>
    </row>
    <row r="65" spans="3:19" x14ac:dyDescent="0.2">
      <c r="C65" s="11">
        <f ca="1">IF(ISNUMBER(kinematics!D89),kinematics!D89,MAX(kinematics!$D$30:$D$210))</f>
        <v>60.392000000000003</v>
      </c>
      <c r="D65" s="18">
        <f ca="1">IF(ISNUMBER(kinematics!D89),kinematics!B89,0)</f>
        <v>59</v>
      </c>
      <c r="E65" s="11">
        <f ca="1">IF(ISNUMBER(kinematics!J89),kinematics!J89,0)</f>
        <v>59.696866137521845</v>
      </c>
      <c r="I65" s="11">
        <f t="shared" ca="1" si="2"/>
        <v>60.392000000000003</v>
      </c>
      <c r="J65" s="18">
        <f ca="1">IF(ISNUMBER(kinematics!D89),kinematics!F89,0)</f>
        <v>407.71168126314575</v>
      </c>
      <c r="K65" s="11">
        <f ca="1">IF(ISNUMBER(kinematics!L89),kinematics!L89,0)</f>
        <v>10.663763736854264</v>
      </c>
      <c r="M65" s="18">
        <f ca="1">IF(ISNUMBER(kinematics!D89),kinematics!B89,MAX($D$6:$D$186))</f>
        <v>59</v>
      </c>
      <c r="N65" s="18">
        <f ca="1">IF(ISNUMBER(kinematics!D89),kinematics!F89,0)</f>
        <v>407.71168126314575</v>
      </c>
      <c r="O65" s="18">
        <f ca="1">IF(ISNUMBER(kinematics!J89),kinematics!J89,0)</f>
        <v>59.696866137521845</v>
      </c>
      <c r="P65" s="11">
        <f ca="1">IF(ISNUMBER(kinematics!L89),kinematics!L89,0)</f>
        <v>10.663763736854264</v>
      </c>
      <c r="R65" s="11">
        <f t="shared" ca="1" si="7"/>
        <v>59.696866137521845</v>
      </c>
      <c r="S65" s="11">
        <f t="shared" ca="1" si="6"/>
        <v>10.663763736854264</v>
      </c>
    </row>
    <row r="66" spans="3:19" x14ac:dyDescent="0.2">
      <c r="C66" s="11">
        <f ca="1">IF(ISNUMBER(kinematics!D90),kinematics!D90,MAX(kinematics!$D$30:$D$210))</f>
        <v>61.405999999999999</v>
      </c>
      <c r="D66" s="18">
        <f ca="1">IF(ISNUMBER(kinematics!D90),kinematics!B90,0)</f>
        <v>60</v>
      </c>
      <c r="E66" s="11">
        <f ca="1">IF(ISNUMBER(kinematics!J90),kinematics!J90,0)</f>
        <v>59.191785424369293</v>
      </c>
      <c r="I66" s="11">
        <f t="shared" ca="1" si="2"/>
        <v>61.405999999999999</v>
      </c>
      <c r="J66" s="18">
        <f ca="1">IF(ISNUMBER(kinematics!D90),kinematics!F90,0)</f>
        <v>407.38565565305515</v>
      </c>
      <c r="K66" s="11">
        <f ca="1">IF(ISNUMBER(kinematics!L90),kinematics!L90,0)</f>
        <v>10.98978934694486</v>
      </c>
      <c r="M66" s="18">
        <f ca="1">IF(ISNUMBER(kinematics!D90),kinematics!B90,MAX($D$6:$D$186))</f>
        <v>60</v>
      </c>
      <c r="N66" s="18">
        <f ca="1">IF(ISNUMBER(kinematics!D90),kinematics!F90,0)</f>
        <v>407.38565565305515</v>
      </c>
      <c r="O66" s="18">
        <f ca="1">IF(ISNUMBER(kinematics!J90),kinematics!J90,0)</f>
        <v>59.191785424369293</v>
      </c>
      <c r="P66" s="11">
        <f ca="1">IF(ISNUMBER(kinematics!L90),kinematics!L90,0)</f>
        <v>10.98978934694486</v>
      </c>
      <c r="R66" s="11">
        <f t="shared" ca="1" si="7"/>
        <v>59.191785424369293</v>
      </c>
      <c r="S66" s="11">
        <f t="shared" ca="1" si="6"/>
        <v>10.98978934694486</v>
      </c>
    </row>
    <row r="67" spans="3:19" x14ac:dyDescent="0.2">
      <c r="C67" s="11">
        <f ca="1">IF(ISNUMBER(kinematics!D91),kinematics!D91,MAX(kinematics!$D$30:$D$210))</f>
        <v>62.42</v>
      </c>
      <c r="D67" s="18">
        <f ca="1">IF(ISNUMBER(kinematics!D91),kinematics!B91,0)</f>
        <v>61</v>
      </c>
      <c r="E67" s="11">
        <f ca="1">IF(ISNUMBER(kinematics!J91),kinematics!J91,0)</f>
        <v>58.686858141359799</v>
      </c>
      <c r="I67" s="11">
        <f t="shared" ca="1" si="2"/>
        <v>62.42</v>
      </c>
      <c r="J67" s="18">
        <f ca="1">IF(ISNUMBER(kinematics!D91),kinematics!F91,0)</f>
        <v>407.05660910017065</v>
      </c>
      <c r="K67" s="11">
        <f ca="1">IF(ISNUMBER(kinematics!L91),kinematics!L91,0)</f>
        <v>11.318835899829367</v>
      </c>
      <c r="M67" s="18">
        <f ca="1">IF(ISNUMBER(kinematics!D91),kinematics!B91,MAX($D$6:$D$186))</f>
        <v>61</v>
      </c>
      <c r="N67" s="18">
        <f ca="1">IF(ISNUMBER(kinematics!D91),kinematics!F91,0)</f>
        <v>407.05660910017065</v>
      </c>
      <c r="O67" s="18">
        <f ca="1">IF(ISNUMBER(kinematics!J91),kinematics!J91,0)</f>
        <v>58.686858141359799</v>
      </c>
      <c r="P67" s="11">
        <f ca="1">IF(ISNUMBER(kinematics!L91),kinematics!L91,0)</f>
        <v>11.318835899829367</v>
      </c>
      <c r="R67" s="11">
        <f t="shared" ca="1" si="7"/>
        <v>58.686858141359799</v>
      </c>
      <c r="S67" s="11">
        <f t="shared" ca="1" si="6"/>
        <v>11.318835899829367</v>
      </c>
    </row>
    <row r="68" spans="3:19" x14ac:dyDescent="0.2">
      <c r="C68" s="11">
        <f ca="1">IF(ISNUMBER(kinematics!D92),kinematics!D92,MAX(kinematics!$D$30:$D$210))</f>
        <v>63.433999999999997</v>
      </c>
      <c r="D68" s="18">
        <f ca="1">IF(ISNUMBER(kinematics!D92),kinematics!B92,0)</f>
        <v>62</v>
      </c>
      <c r="E68" s="11">
        <f ca="1">IF(ISNUMBER(kinematics!J92),kinematics!J92,0)</f>
        <v>58.182089439760091</v>
      </c>
      <c r="I68" s="11">
        <f t="shared" ca="1" si="2"/>
        <v>63.433999999999997</v>
      </c>
      <c r="J68" s="18">
        <f ca="1">IF(ISNUMBER(kinematics!D92),kinematics!F92,0)</f>
        <v>406.72464997449447</v>
      </c>
      <c r="K68" s="11">
        <f ca="1">IF(ISNUMBER(kinematics!L92),kinematics!L92,0)</f>
        <v>11.650795025505545</v>
      </c>
      <c r="M68" s="18">
        <f ca="1">IF(ISNUMBER(kinematics!D92),kinematics!B92,MAX($D$6:$D$186))</f>
        <v>62</v>
      </c>
      <c r="N68" s="18">
        <f ca="1">IF(ISNUMBER(kinematics!D92),kinematics!F92,0)</f>
        <v>406.72464997449447</v>
      </c>
      <c r="O68" s="18">
        <f ca="1">IF(ISNUMBER(kinematics!J92),kinematics!J92,0)</f>
        <v>58.182089439760091</v>
      </c>
      <c r="P68" s="11">
        <f ca="1">IF(ISNUMBER(kinematics!L92),kinematics!L92,0)</f>
        <v>11.650795025505545</v>
      </c>
      <c r="R68" s="11">
        <f t="shared" ca="1" si="7"/>
        <v>58.182089439760091</v>
      </c>
      <c r="S68" s="11">
        <f t="shared" ca="1" si="6"/>
        <v>11.650795025505545</v>
      </c>
    </row>
    <row r="69" spans="3:19" x14ac:dyDescent="0.2">
      <c r="C69" s="11">
        <f ca="1">IF(ISNUMBER(kinematics!D93),kinematics!D93,MAX(kinematics!$D$30:$D$210))</f>
        <v>64.447000000000003</v>
      </c>
      <c r="D69" s="18">
        <f ca="1">IF(ISNUMBER(kinematics!D93),kinematics!B93,0)</f>
        <v>63</v>
      </c>
      <c r="E69" s="11">
        <f ca="1">IF(ISNUMBER(kinematics!J93),kinematics!J93,0)</f>
        <v>57.677484209892015</v>
      </c>
      <c r="I69" s="11">
        <f t="shared" ca="1" si="2"/>
        <v>64.447000000000003</v>
      </c>
      <c r="J69" s="18">
        <f ca="1">IF(ISNUMBER(kinematics!D93),kinematics!F93,0)</f>
        <v>406.38988733985178</v>
      </c>
      <c r="K69" s="11">
        <f ca="1">IF(ISNUMBER(kinematics!L93),kinematics!L93,0)</f>
        <v>11.985557660148231</v>
      </c>
      <c r="M69" s="18">
        <f ca="1">IF(ISNUMBER(kinematics!D93),kinematics!B93,MAX($D$6:$D$186))</f>
        <v>63</v>
      </c>
      <c r="N69" s="18">
        <f ca="1">IF(ISNUMBER(kinematics!D93),kinematics!F93,0)</f>
        <v>406.38988733985178</v>
      </c>
      <c r="O69" s="18">
        <f ca="1">IF(ISNUMBER(kinematics!J93),kinematics!J93,0)</f>
        <v>57.677484209892015</v>
      </c>
      <c r="P69" s="11">
        <f ca="1">IF(ISNUMBER(kinematics!L93),kinematics!L93,0)</f>
        <v>11.985557660148231</v>
      </c>
      <c r="R69" s="11">
        <f t="shared" ca="1" si="7"/>
        <v>57.677484209892015</v>
      </c>
      <c r="S69" s="11">
        <f t="shared" ca="1" si="6"/>
        <v>11.985557660148231</v>
      </c>
    </row>
    <row r="70" spans="3:19" x14ac:dyDescent="0.2">
      <c r="C70" s="11">
        <f ca="1">IF(ISNUMBER(kinematics!D94),kinematics!D94,MAX(kinematics!$D$30:$D$210))</f>
        <v>65.459000000000003</v>
      </c>
      <c r="D70" s="18">
        <f ca="1">IF(ISNUMBER(kinematics!D94),kinematics!B94,0)</f>
        <v>64</v>
      </c>
      <c r="E70" s="11">
        <f ca="1">IF(ISNUMBER(kinematics!J94),kinematics!J94,0)</f>
        <v>57.17304709562746</v>
      </c>
      <c r="I70" s="11">
        <f t="shared" ca="1" si="2"/>
        <v>65.459000000000003</v>
      </c>
      <c r="J70" s="18">
        <f ca="1">IF(ISNUMBER(kinematics!D94),kinematics!F94,0)</f>
        <v>406.05243091103944</v>
      </c>
      <c r="K70" s="11">
        <f ca="1">IF(ISNUMBER(kinematics!L94),kinematics!L94,0)</f>
        <v>12.323014088960576</v>
      </c>
      <c r="M70" s="18">
        <f ca="1">IF(ISNUMBER(kinematics!D94),kinematics!B94,MAX($D$6:$D$186))</f>
        <v>64</v>
      </c>
      <c r="N70" s="18">
        <f ca="1">IF(ISNUMBER(kinematics!D94),kinematics!F94,0)</f>
        <v>406.05243091103944</v>
      </c>
      <c r="O70" s="18">
        <f ca="1">IF(ISNUMBER(kinematics!J94),kinematics!J94,0)</f>
        <v>57.17304709562746</v>
      </c>
      <c r="P70" s="11">
        <f ca="1">IF(ISNUMBER(kinematics!L94),kinematics!L94,0)</f>
        <v>12.323014088960576</v>
      </c>
      <c r="R70" s="11">
        <f t="shared" ca="1" si="7"/>
        <v>57.17304709562746</v>
      </c>
      <c r="S70" s="11">
        <f t="shared" ref="S70:S133" ca="1" si="8">P70</f>
        <v>12.323014088960576</v>
      </c>
    </row>
    <row r="71" spans="3:19" x14ac:dyDescent="0.2">
      <c r="C71" s="11">
        <f ca="1">IF(ISNUMBER(kinematics!D95),kinematics!D95,MAX(kinematics!$D$30:$D$210))</f>
        <v>66.471000000000004</v>
      </c>
      <c r="D71" s="18">
        <f ca="1">IF(ISNUMBER(kinematics!D95),kinematics!B95,0)</f>
        <v>65</v>
      </c>
      <c r="E71" s="11">
        <f ca="1">IF(ISNUMBER(kinematics!J95),kinematics!J95,0)</f>
        <v>56.66878250753556</v>
      </c>
      <c r="I71" s="11">
        <f t="shared" ref="I71:I134" ca="1" si="9">C71</f>
        <v>66.471000000000004</v>
      </c>
      <c r="J71" s="18">
        <f ca="1">IF(ISNUMBER(kinematics!D95),kinematics!F95,0)</f>
        <v>405.71239101105607</v>
      </c>
      <c r="K71" s="11">
        <f ca="1">IF(ISNUMBER(kinematics!L95),kinematics!L95,0)</f>
        <v>12.663053988943943</v>
      </c>
      <c r="M71" s="18">
        <f ca="1">IF(ISNUMBER(kinematics!D95),kinematics!B95,MAX($D$6:$D$186))</f>
        <v>65</v>
      </c>
      <c r="N71" s="18">
        <f ca="1">IF(ISNUMBER(kinematics!D95),kinematics!F95,0)</f>
        <v>405.71239101105607</v>
      </c>
      <c r="O71" s="18">
        <f ca="1">IF(ISNUMBER(kinematics!J95),kinematics!J95,0)</f>
        <v>56.66878250753556</v>
      </c>
      <c r="P71" s="11">
        <f ca="1">IF(ISNUMBER(kinematics!L95),kinematics!L95,0)</f>
        <v>12.663053988943943</v>
      </c>
      <c r="R71" s="11">
        <f t="shared" ca="1" si="5"/>
        <v>56.66878250753556</v>
      </c>
      <c r="S71" s="11">
        <f t="shared" ca="1" si="8"/>
        <v>12.663053988943943</v>
      </c>
    </row>
    <row r="72" spans="3:19" x14ac:dyDescent="0.2">
      <c r="C72" s="11">
        <f ca="1">IF(ISNUMBER(kinematics!D96),kinematics!D96,MAX(kinematics!$D$30:$D$210))</f>
        <v>67.483000000000004</v>
      </c>
      <c r="D72" s="18">
        <f ca="1">IF(ISNUMBER(kinematics!D96),kinematics!B96,0)</f>
        <v>66</v>
      </c>
      <c r="E72" s="11">
        <f ca="1">IF(ISNUMBER(kinematics!J96),kinematics!J96,0)</f>
        <v>56.164694634785619</v>
      </c>
      <c r="I72" s="11">
        <f t="shared" ca="1" si="9"/>
        <v>67.483000000000004</v>
      </c>
      <c r="J72" s="18">
        <f ca="1">IF(ISNUMBER(kinematics!D96),kinematics!F96,0)</f>
        <v>405.3698785284268</v>
      </c>
      <c r="K72" s="11">
        <f ca="1">IF(ISNUMBER(kinematics!L96),kinematics!L96,0)</f>
        <v>13.005566471573218</v>
      </c>
      <c r="M72" s="18">
        <f ca="1">IF(ISNUMBER(kinematics!D96),kinematics!B96,MAX($D$6:$D$186))</f>
        <v>66</v>
      </c>
      <c r="N72" s="18">
        <f ca="1">IF(ISNUMBER(kinematics!D96),kinematics!F96,0)</f>
        <v>405.3698785284268</v>
      </c>
      <c r="O72" s="18">
        <f ca="1">IF(ISNUMBER(kinematics!J96),kinematics!J96,0)</f>
        <v>56.164694634785619</v>
      </c>
      <c r="P72" s="11">
        <f ca="1">IF(ISNUMBER(kinematics!L96),kinematics!L96,0)</f>
        <v>13.005566471573218</v>
      </c>
      <c r="R72" s="11">
        <f t="shared" ca="1" si="5"/>
        <v>56.164694634785619</v>
      </c>
      <c r="S72" s="11">
        <f t="shared" ca="1" si="8"/>
        <v>13.005566471573218</v>
      </c>
    </row>
    <row r="73" spans="3:19" x14ac:dyDescent="0.2">
      <c r="C73" s="11">
        <f ca="1">IF(ISNUMBER(kinematics!D97),kinematics!D97,MAX(kinematics!$D$30:$D$210))</f>
        <v>68.494</v>
      </c>
      <c r="D73" s="18">
        <f ca="1">IF(ISNUMBER(kinematics!D97),kinematics!B97,0)</f>
        <v>67</v>
      </c>
      <c r="E73" s="11">
        <f ca="1">IF(ISNUMBER(kinematics!J97),kinematics!J97,0)</f>
        <v>55.660787455987006</v>
      </c>
      <c r="I73" s="11">
        <f t="shared" ca="1" si="9"/>
        <v>68.494</v>
      </c>
      <c r="J73" s="18">
        <f ca="1">IF(ISNUMBER(kinematics!D97),kinematics!F97,0)</f>
        <v>405.02500487466</v>
      </c>
      <c r="K73" s="11">
        <f ca="1">IF(ISNUMBER(kinematics!L97),kinematics!L97,0)</f>
        <v>13.350440125340015</v>
      </c>
      <c r="M73" s="18">
        <f ca="1">IF(ISNUMBER(kinematics!D97),kinematics!B97,MAX($D$6:$D$186))</f>
        <v>67</v>
      </c>
      <c r="N73" s="18">
        <f ca="1">IF(ISNUMBER(kinematics!D97),kinematics!F97,0)</f>
        <v>405.02500487466</v>
      </c>
      <c r="O73" s="18">
        <f ca="1">IF(ISNUMBER(kinematics!J97),kinematics!J97,0)</f>
        <v>55.660787455987006</v>
      </c>
      <c r="P73" s="11">
        <f ca="1">IF(ISNUMBER(kinematics!L97),kinematics!L97,0)</f>
        <v>13.350440125340015</v>
      </c>
      <c r="R73" s="11">
        <f t="shared" ca="1" si="5"/>
        <v>55.660787455987006</v>
      </c>
      <c r="S73" s="11">
        <f t="shared" ca="1" si="8"/>
        <v>13.350440125340015</v>
      </c>
    </row>
    <row r="74" spans="3:19" x14ac:dyDescent="0.2">
      <c r="C74" s="11">
        <f ca="1">IF(ISNUMBER(kinematics!D98),kinematics!D98,MAX(kinematics!$D$30:$D$210))</f>
        <v>69.504999999999995</v>
      </c>
      <c r="D74" s="18">
        <f ca="1">IF(ISNUMBER(kinematics!D98),kinematics!B98,0)</f>
        <v>68</v>
      </c>
      <c r="E74" s="11">
        <f ca="1">IF(ISNUMBER(kinematics!J98),kinematics!J98,0)</f>
        <v>55.157064749000057</v>
      </c>
      <c r="I74" s="11">
        <f t="shared" ca="1" si="9"/>
        <v>69.504999999999995</v>
      </c>
      <c r="J74" s="18">
        <f ca="1">IF(ISNUMBER(kinematics!D98),kinematics!F98,0)</f>
        <v>404.67788194183618</v>
      </c>
      <c r="K74" s="11">
        <f ca="1">IF(ISNUMBER(kinematics!L98),kinematics!L98,0)</f>
        <v>13.697563058163837</v>
      </c>
      <c r="M74" s="18">
        <f ca="1">IF(ISNUMBER(kinematics!D98),kinematics!B98,MAX($D$6:$D$186))</f>
        <v>68</v>
      </c>
      <c r="N74" s="18">
        <f ca="1">IF(ISNUMBER(kinematics!D98),kinematics!F98,0)</f>
        <v>404.67788194183618</v>
      </c>
      <c r="O74" s="18">
        <f ca="1">IF(ISNUMBER(kinematics!J98),kinematics!J98,0)</f>
        <v>55.157064749000057</v>
      </c>
      <c r="P74" s="11">
        <f ca="1">IF(ISNUMBER(kinematics!L98),kinematics!L98,0)</f>
        <v>13.697563058163837</v>
      </c>
      <c r="R74" s="11">
        <f t="shared" ca="1" si="5"/>
        <v>55.157064749000057</v>
      </c>
      <c r="S74" s="11">
        <f t="shared" ca="1" si="8"/>
        <v>13.697563058163837</v>
      </c>
    </row>
    <row r="75" spans="3:19" x14ac:dyDescent="0.2">
      <c r="C75" s="11">
        <f ca="1">IF(ISNUMBER(kinematics!D99),kinematics!D99,MAX(kinematics!$D$30:$D$210))</f>
        <v>70.515000000000001</v>
      </c>
      <c r="D75" s="18">
        <f ca="1">IF(ISNUMBER(kinematics!D99),kinematics!B99,0)</f>
        <v>69</v>
      </c>
      <c r="E75" s="11">
        <f ca="1">IF(ISNUMBER(kinematics!J99),kinematics!J99,0)</f>
        <v>54.653530099931295</v>
      </c>
      <c r="I75" s="11">
        <f t="shared" ca="1" si="9"/>
        <v>70.515000000000001</v>
      </c>
      <c r="J75" s="18">
        <f ca="1">IF(ISNUMBER(kinematics!D99),kinematics!F99,0)</f>
        <v>404.32862206038425</v>
      </c>
      <c r="K75" s="11">
        <f ca="1">IF(ISNUMBER(kinematics!L99),kinematics!L99,0)</f>
        <v>14.046822939615765</v>
      </c>
      <c r="M75" s="18">
        <f ca="1">IF(ISNUMBER(kinematics!D99),kinematics!B99,MAX($D$6:$D$186))</f>
        <v>69</v>
      </c>
      <c r="N75" s="18">
        <f ca="1">IF(ISNUMBER(kinematics!D99),kinematics!F99,0)</f>
        <v>404.32862206038425</v>
      </c>
      <c r="O75" s="18">
        <f ca="1">IF(ISNUMBER(kinematics!J99),kinematics!J99,0)</f>
        <v>54.653530099931295</v>
      </c>
      <c r="P75" s="11">
        <f ca="1">IF(ISNUMBER(kinematics!L99),kinematics!L99,0)</f>
        <v>14.046822939615765</v>
      </c>
      <c r="R75" s="11">
        <f t="shared" ca="1" si="5"/>
        <v>54.653530099931295</v>
      </c>
      <c r="S75" s="11">
        <f t="shared" ca="1" si="8"/>
        <v>14.046822939615765</v>
      </c>
    </row>
    <row r="76" spans="3:19" x14ac:dyDescent="0.2">
      <c r="C76" s="11">
        <f ca="1">IF(ISNUMBER(kinematics!D100),kinematics!D100,MAX(kinematics!$D$30:$D$210))</f>
        <v>71.525000000000006</v>
      </c>
      <c r="D76" s="18">
        <f ca="1">IF(ISNUMBER(kinematics!D100),kinematics!B100,0)</f>
        <v>70</v>
      </c>
      <c r="E76" s="11">
        <f ca="1">IF(ISNUMBER(kinematics!J100),kinematics!J100,0)</f>
        <v>54.150186911294703</v>
      </c>
      <c r="I76" s="11">
        <f t="shared" ca="1" si="9"/>
        <v>71.525000000000006</v>
      </c>
      <c r="J76" s="18">
        <f ca="1">IF(ISNUMBER(kinematics!D100),kinematics!F100,0)</f>
        <v>403.97733795703567</v>
      </c>
      <c r="K76" s="11">
        <f ca="1">IF(ISNUMBER(kinematics!L100),kinematics!L100,0)</f>
        <v>14.398107042964341</v>
      </c>
      <c r="M76" s="18">
        <f ca="1">IF(ISNUMBER(kinematics!D100),kinematics!B100,MAX($D$6:$D$186))</f>
        <v>70</v>
      </c>
      <c r="N76" s="18">
        <f ca="1">IF(ISNUMBER(kinematics!D100),kinematics!F100,0)</f>
        <v>403.97733795703567</v>
      </c>
      <c r="O76" s="18">
        <f ca="1">IF(ISNUMBER(kinematics!J100),kinematics!J100,0)</f>
        <v>54.150186911294703</v>
      </c>
      <c r="P76" s="11">
        <f ca="1">IF(ISNUMBER(kinematics!L100),kinematics!L100,0)</f>
        <v>14.398107042964341</v>
      </c>
      <c r="R76" s="11">
        <f t="shared" ca="1" si="5"/>
        <v>54.150186911294703</v>
      </c>
      <c r="S76" s="11">
        <f t="shared" ca="1" si="8"/>
        <v>14.398107042964341</v>
      </c>
    </row>
    <row r="77" spans="3:19" x14ac:dyDescent="0.2">
      <c r="C77" s="11">
        <f ca="1">IF(ISNUMBER(kinematics!D101),kinematics!D101,MAX(kinematics!$D$30:$D$210))</f>
        <v>72.534999999999997</v>
      </c>
      <c r="D77" s="18">
        <f ca="1">IF(ISNUMBER(kinematics!D101),kinematics!B101,0)</f>
        <v>71</v>
      </c>
      <c r="E77" s="11">
        <f ca="1">IF(ISNUMBER(kinematics!J101),kinematics!J101,0)</f>
        <v>53.647038409490975</v>
      </c>
      <c r="I77" s="11">
        <f t="shared" ca="1" si="9"/>
        <v>72.534999999999997</v>
      </c>
      <c r="J77" s="18">
        <f ca="1">IF(ISNUMBER(kinematics!D101),kinematics!F101,0)</f>
        <v>403.62414271299946</v>
      </c>
      <c r="K77" s="11">
        <f ca="1">IF(ISNUMBER(kinematics!L101),kinematics!L101,0)</f>
        <v>14.751302287000556</v>
      </c>
      <c r="M77" s="18">
        <f ca="1">IF(ISNUMBER(kinematics!D101),kinematics!B101,MAX($D$6:$D$186))</f>
        <v>71</v>
      </c>
      <c r="N77" s="18">
        <f ca="1">IF(ISNUMBER(kinematics!D101),kinematics!F101,0)</f>
        <v>403.62414271299946</v>
      </c>
      <c r="O77" s="18">
        <f ca="1">IF(ISNUMBER(kinematics!J101),kinematics!J101,0)</f>
        <v>53.647038409490975</v>
      </c>
      <c r="P77" s="11">
        <f ca="1">IF(ISNUMBER(kinematics!L101),kinematics!L101,0)</f>
        <v>14.751302287000556</v>
      </c>
      <c r="R77" s="11">
        <f t="shared" ca="1" si="5"/>
        <v>53.647038409490975</v>
      </c>
      <c r="S77" s="11">
        <f t="shared" ca="1" si="8"/>
        <v>14.751302287000556</v>
      </c>
    </row>
    <row r="78" spans="3:19" x14ac:dyDescent="0.2">
      <c r="C78" s="11">
        <f ca="1">IF(ISNUMBER(kinematics!D102),kinematics!D102,MAX(kinematics!$D$30:$D$210))</f>
        <v>73.543999999999997</v>
      </c>
      <c r="D78" s="18">
        <f ca="1">IF(ISNUMBER(kinematics!D102),kinematics!B102,0)</f>
        <v>72</v>
      </c>
      <c r="E78" s="11">
        <f ca="1">IF(ISNUMBER(kinematics!J102),kinematics!J102,0)</f>
        <v>53.144087651642756</v>
      </c>
      <c r="I78" s="11">
        <f t="shared" ca="1" si="9"/>
        <v>73.543999999999997</v>
      </c>
      <c r="J78" s="18">
        <f ca="1">IF(ISNUMBER(kinematics!D102),kinematics!F102,0)</f>
        <v>403.26914972236943</v>
      </c>
      <c r="K78" s="11">
        <f ca="1">IF(ISNUMBER(kinematics!L102),kinematics!L102,0)</f>
        <v>15.106295277630579</v>
      </c>
      <c r="M78" s="18">
        <f ca="1">IF(ISNUMBER(kinematics!D102),kinematics!B102,MAX($D$6:$D$186))</f>
        <v>72</v>
      </c>
      <c r="N78" s="18">
        <f ca="1">IF(ISNUMBER(kinematics!D102),kinematics!F102,0)</f>
        <v>403.26914972236943</v>
      </c>
      <c r="O78" s="18">
        <f ca="1">IF(ISNUMBER(kinematics!J102),kinematics!J102,0)</f>
        <v>53.144087651642756</v>
      </c>
      <c r="P78" s="11">
        <f ca="1">IF(ISNUMBER(kinematics!L102),kinematics!L102,0)</f>
        <v>15.106295277630579</v>
      </c>
      <c r="R78" s="11">
        <f t="shared" ca="1" si="5"/>
        <v>53.144087651642756</v>
      </c>
      <c r="S78" s="11">
        <f t="shared" ca="1" si="8"/>
        <v>15.106295277630579</v>
      </c>
    </row>
    <row r="79" spans="3:19" x14ac:dyDescent="0.2">
      <c r="C79" s="11">
        <f ca="1">IF(ISNUMBER(kinematics!D103),kinematics!D103,MAX(kinematics!$D$30:$D$210))</f>
        <v>74.552000000000007</v>
      </c>
      <c r="D79" s="18">
        <f ca="1">IF(ISNUMBER(kinematics!D103),kinematics!B103,0)</f>
        <v>73</v>
      </c>
      <c r="E79" s="11">
        <f ca="1">IF(ISNUMBER(kinematics!J103),kinematics!J103,0)</f>
        <v>52.641337531863506</v>
      </c>
      <c r="I79" s="11">
        <f t="shared" ca="1" si="9"/>
        <v>74.552000000000007</v>
      </c>
      <c r="J79" s="18">
        <f ca="1">IF(ISNUMBER(kinematics!D103),kinematics!F103,0)</f>
        <v>402.91247265078903</v>
      </c>
      <c r="K79" s="11">
        <f ca="1">IF(ISNUMBER(kinematics!L103),kinematics!L103,0)</f>
        <v>15.462972349210986</v>
      </c>
      <c r="M79" s="18">
        <f ca="1">IF(ISNUMBER(kinematics!D103),kinematics!B103,MAX($D$6:$D$186))</f>
        <v>73</v>
      </c>
      <c r="N79" s="18">
        <f ca="1">IF(ISNUMBER(kinematics!D103),kinematics!F103,0)</f>
        <v>402.91247265078903</v>
      </c>
      <c r="O79" s="18">
        <f ca="1">IF(ISNUMBER(kinematics!J103),kinematics!J103,0)</f>
        <v>52.641337531863506</v>
      </c>
      <c r="P79" s="11">
        <f ca="1">IF(ISNUMBER(kinematics!L103),kinematics!L103,0)</f>
        <v>15.462972349210986</v>
      </c>
      <c r="R79" s="11">
        <f t="shared" ca="1" si="5"/>
        <v>52.641337531863506</v>
      </c>
      <c r="S79" s="11">
        <f t="shared" ca="1" si="8"/>
        <v>15.462972349210986</v>
      </c>
    </row>
    <row r="80" spans="3:19" x14ac:dyDescent="0.2">
      <c r="C80" s="11">
        <f ca="1">IF(ISNUMBER(kinematics!D104),kinematics!D104,MAX(kinematics!$D$30:$D$210))</f>
        <v>75.56</v>
      </c>
      <c r="D80" s="18">
        <f ca="1">IF(ISNUMBER(kinematics!D104),kinematics!B104,0)</f>
        <v>74</v>
      </c>
      <c r="E80" s="11">
        <f ca="1">IF(ISNUMBER(kinematics!J104),kinematics!J104,0)</f>
        <v>52.138790786996424</v>
      </c>
      <c r="I80" s="11">
        <f t="shared" ca="1" si="9"/>
        <v>75.56</v>
      </c>
      <c r="J80" s="18">
        <f ca="1">IF(ISNUMBER(kinematics!D104),kinematics!F104,0)</f>
        <v>402.55422539438615</v>
      </c>
      <c r="K80" s="11">
        <f ca="1">IF(ISNUMBER(kinematics!L104),kinematics!L104,0)</f>
        <v>15.821219605613862</v>
      </c>
      <c r="M80" s="18">
        <f ca="1">IF(ISNUMBER(kinematics!D104),kinematics!B104,MAX($D$6:$D$186))</f>
        <v>74</v>
      </c>
      <c r="N80" s="18">
        <f ca="1">IF(ISNUMBER(kinematics!D104),kinematics!F104,0)</f>
        <v>402.55422539438615</v>
      </c>
      <c r="O80" s="18">
        <f ca="1">IF(ISNUMBER(kinematics!J104),kinematics!J104,0)</f>
        <v>52.138790786996424</v>
      </c>
      <c r="P80" s="11">
        <f ca="1">IF(ISNUMBER(kinematics!L104),kinematics!L104,0)</f>
        <v>15.821219605613862</v>
      </c>
      <c r="R80" s="11">
        <f t="shared" ca="1" si="5"/>
        <v>52.138790786996424</v>
      </c>
      <c r="S80" s="11">
        <f t="shared" ca="1" si="8"/>
        <v>15.821219605613862</v>
      </c>
    </row>
    <row r="81" spans="3:19" x14ac:dyDescent="0.2">
      <c r="C81" s="11">
        <f ca="1">IF(ISNUMBER(kinematics!D105),kinematics!D105,MAX(kinematics!$D$30:$D$210))</f>
        <v>76.566999999999993</v>
      </c>
      <c r="D81" s="18">
        <f ca="1">IF(ISNUMBER(kinematics!D105),kinematics!B105,0)</f>
        <v>75</v>
      </c>
      <c r="E81" s="11">
        <f ca="1">IF(ISNUMBER(kinematics!J105),kinematics!J105,0)</f>
        <v>51.636450001909765</v>
      </c>
      <c r="I81" s="11">
        <f t="shared" ca="1" si="9"/>
        <v>76.566999999999993</v>
      </c>
      <c r="J81" s="18">
        <f ca="1">IF(ISNUMBER(kinematics!D105),kinematics!F105,0)</f>
        <v>402.19452203901147</v>
      </c>
      <c r="K81" s="11">
        <f ca="1">IF(ISNUMBER(kinematics!L105),kinematics!L105,0)</f>
        <v>16.180922960988539</v>
      </c>
      <c r="M81" s="18">
        <f ca="1">IF(ISNUMBER(kinematics!D105),kinematics!B105,MAX($D$6:$D$186))</f>
        <v>75</v>
      </c>
      <c r="N81" s="18">
        <f ca="1">IF(ISNUMBER(kinematics!D105),kinematics!F105,0)</f>
        <v>402.19452203901147</v>
      </c>
      <c r="O81" s="18">
        <f ca="1">IF(ISNUMBER(kinematics!J105),kinematics!J105,0)</f>
        <v>51.636450001909765</v>
      </c>
      <c r="P81" s="11">
        <f ca="1">IF(ISNUMBER(kinematics!L105),kinematics!L105,0)</f>
        <v>16.180922960988539</v>
      </c>
      <c r="R81" s="11">
        <f t="shared" ca="1" si="5"/>
        <v>51.636450001909765</v>
      </c>
      <c r="S81" s="11">
        <f t="shared" ca="1" si="8"/>
        <v>16.180922960988539</v>
      </c>
    </row>
    <row r="82" spans="3:19" x14ac:dyDescent="0.2">
      <c r="C82" s="11">
        <f ca="1">IF(ISNUMBER(kinematics!D106),kinematics!D106,MAX(kinematics!$D$30:$D$210))</f>
        <v>77.573999999999998</v>
      </c>
      <c r="D82" s="18">
        <f ca="1">IF(ISNUMBER(kinematics!D106),kinematics!B106,0)</f>
        <v>76</v>
      </c>
      <c r="E82" s="11">
        <f ca="1">IF(ISNUMBER(kinematics!J106),kinematics!J106,0)</f>
        <v>51.134317614353421</v>
      </c>
      <c r="I82" s="11">
        <f t="shared" ca="1" si="9"/>
        <v>77.573999999999998</v>
      </c>
      <c r="J82" s="18">
        <f ca="1">IF(ISNUMBER(kinematics!D106),kinematics!F106,0)</f>
        <v>401.83347681978358</v>
      </c>
      <c r="K82" s="11">
        <f ca="1">IF(ISNUMBER(kinematics!L106),kinematics!L106,0)</f>
        <v>16.541968180216429</v>
      </c>
      <c r="M82" s="18">
        <f ca="1">IF(ISNUMBER(kinematics!D106),kinematics!B106,MAX($D$6:$D$186))</f>
        <v>76</v>
      </c>
      <c r="N82" s="18">
        <f ca="1">IF(ISNUMBER(kinematics!D106),kinematics!F106,0)</f>
        <v>401.83347681978358</v>
      </c>
      <c r="O82" s="18">
        <f ca="1">IF(ISNUMBER(kinematics!J106),kinematics!J106,0)</f>
        <v>51.134317614353421</v>
      </c>
      <c r="P82" s="11">
        <f ca="1">IF(ISNUMBER(kinematics!L106),kinematics!L106,0)</f>
        <v>16.541968180216429</v>
      </c>
      <c r="R82" s="11">
        <f t="shared" ca="1" si="5"/>
        <v>51.134317614353421</v>
      </c>
      <c r="S82" s="11">
        <f t="shared" ca="1" si="8"/>
        <v>16.541968180216429</v>
      </c>
    </row>
    <row r="83" spans="3:19" x14ac:dyDescent="0.2">
      <c r="C83" s="11">
        <f ca="1">IF(ISNUMBER(kinematics!D107),kinematics!D107,MAX(kinematics!$D$30:$D$210))</f>
        <v>78.581000000000003</v>
      </c>
      <c r="D83" s="18">
        <f ca="1">IF(ISNUMBER(kinematics!D107),kinematics!B107,0)</f>
        <v>77</v>
      </c>
      <c r="E83" s="11">
        <f ca="1">IF(ISNUMBER(kinematics!J107),kinematics!J107,0)</f>
        <v>50.632395919444356</v>
      </c>
      <c r="I83" s="11">
        <f t="shared" ca="1" si="9"/>
        <v>78.581000000000003</v>
      </c>
      <c r="J83" s="18">
        <f ca="1">IF(ISNUMBER(kinematics!D107),kinematics!F107,0)</f>
        <v>401.4712040809697</v>
      </c>
      <c r="K83" s="11">
        <f ca="1">IF(ISNUMBER(kinematics!L107),kinematics!L107,0)</f>
        <v>16.904240919030315</v>
      </c>
      <c r="M83" s="18">
        <f ca="1">IF(ISNUMBER(kinematics!D107),kinematics!B107,MAX($D$6:$D$186))</f>
        <v>77</v>
      </c>
      <c r="N83" s="18">
        <f ca="1">IF(ISNUMBER(kinematics!D107),kinematics!F107,0)</f>
        <v>401.4712040809697</v>
      </c>
      <c r="O83" s="18">
        <f ca="1">IF(ISNUMBER(kinematics!J107),kinematics!J107,0)</f>
        <v>50.632395919444356</v>
      </c>
      <c r="P83" s="11">
        <f ca="1">IF(ISNUMBER(kinematics!L107),kinematics!L107,0)</f>
        <v>16.904240919030315</v>
      </c>
      <c r="R83" s="11">
        <f t="shared" ca="1" si="5"/>
        <v>50.632395919444356</v>
      </c>
      <c r="S83" s="11">
        <f t="shared" ca="1" si="8"/>
        <v>16.904240919030315</v>
      </c>
    </row>
    <row r="84" spans="3:19" x14ac:dyDescent="0.2">
      <c r="C84" s="11">
        <f ca="1">IF(ISNUMBER(kinematics!D108),kinematics!D108,MAX(kinematics!$D$30:$D$210))</f>
        <v>79.587000000000003</v>
      </c>
      <c r="D84" s="18">
        <f ca="1">IF(ISNUMBER(kinematics!D108),kinematics!B108,0)</f>
        <v>78</v>
      </c>
      <c r="E84" s="11">
        <f ca="1">IF(ISNUMBER(kinematics!J108),kinematics!J108,0)</f>
        <v>50.130687073801049</v>
      </c>
      <c r="I84" s="11">
        <f t="shared" ca="1" si="9"/>
        <v>79.587000000000003</v>
      </c>
      <c r="J84" s="18">
        <f ca="1">IF(ISNUMBER(kinematics!D108),kinematics!F108,0)</f>
        <v>401.10781823621306</v>
      </c>
      <c r="K84" s="11">
        <f ca="1">IF(ISNUMBER(kinematics!L108),kinematics!L108,0)</f>
        <v>17.26762676378695</v>
      </c>
      <c r="M84" s="18">
        <f ca="1">IF(ISNUMBER(kinematics!D108),kinematics!B108,MAX($D$6:$D$186))</f>
        <v>78</v>
      </c>
      <c r="N84" s="18">
        <f ca="1">IF(ISNUMBER(kinematics!D108),kinematics!F108,0)</f>
        <v>401.10781823621306</v>
      </c>
      <c r="O84" s="18">
        <f ca="1">IF(ISNUMBER(kinematics!J108),kinematics!J108,0)</f>
        <v>50.130687073801049</v>
      </c>
      <c r="P84" s="11">
        <f ca="1">IF(ISNUMBER(kinematics!L108),kinematics!L108,0)</f>
        <v>17.26762676378695</v>
      </c>
      <c r="R84" s="11">
        <f t="shared" ca="1" si="5"/>
        <v>50.130687073801049</v>
      </c>
      <c r="S84" s="11">
        <f t="shared" ca="1" si="8"/>
        <v>17.26762676378695</v>
      </c>
    </row>
    <row r="85" spans="3:19" x14ac:dyDescent="0.2">
      <c r="C85" s="11">
        <f ca="1">IF(ISNUMBER(kinematics!D109),kinematics!D109,MAX(kinematics!$D$30:$D$210))</f>
        <v>80.593000000000004</v>
      </c>
      <c r="D85" s="18">
        <f ca="1">IF(ISNUMBER(kinematics!D109),kinematics!B109,0)</f>
        <v>79</v>
      </c>
      <c r="E85" s="11">
        <f ca="1">IF(ISNUMBER(kinematics!J109),kinematics!J109,0)</f>
        <v>49.629193099378874</v>
      </c>
      <c r="I85" s="11">
        <f t="shared" ca="1" si="9"/>
        <v>80.593000000000004</v>
      </c>
      <c r="J85" s="18">
        <f ca="1">IF(ISNUMBER(kinematics!D109),kinematics!F109,0)</f>
        <v>400.74343372913273</v>
      </c>
      <c r="K85" s="11">
        <f ca="1">IF(ISNUMBER(kinematics!L109),kinematics!L109,0)</f>
        <v>17.632011270867281</v>
      </c>
      <c r="M85" s="18">
        <f ca="1">IF(ISNUMBER(kinematics!D109),kinematics!B109,MAX($D$6:$D$186))</f>
        <v>79</v>
      </c>
      <c r="N85" s="18">
        <f ca="1">IF(ISNUMBER(kinematics!D109),kinematics!F109,0)</f>
        <v>400.74343372913273</v>
      </c>
      <c r="O85" s="18">
        <f ca="1">IF(ISNUMBER(kinematics!J109),kinematics!J109,0)</f>
        <v>49.629193099378874</v>
      </c>
      <c r="P85" s="11">
        <f ca="1">IF(ISNUMBER(kinematics!L109),kinematics!L109,0)</f>
        <v>17.632011270867281</v>
      </c>
      <c r="R85" s="11">
        <f t="shared" ca="1" si="5"/>
        <v>49.629193099378874</v>
      </c>
      <c r="S85" s="11">
        <f t="shared" ca="1" si="8"/>
        <v>17.632011270867281</v>
      </c>
    </row>
    <row r="86" spans="3:19" x14ac:dyDescent="0.2">
      <c r="C86" s="11">
        <f ca="1">IF(ISNUMBER(kinematics!D110),kinematics!D110,MAX(kinematics!$D$30:$D$210))</f>
        <v>81.597999999999999</v>
      </c>
      <c r="D86" s="18">
        <f ca="1">IF(ISNUMBER(kinematics!D110),kinematics!B110,0)</f>
        <v>80</v>
      </c>
      <c r="E86" s="11">
        <f ca="1">IF(ISNUMBER(kinematics!J110),kinematics!J110,0)</f>
        <v>49.127915887016322</v>
      </c>
      <c r="I86" s="11">
        <f t="shared" ca="1" si="9"/>
        <v>81.597999999999999</v>
      </c>
      <c r="J86" s="18">
        <f ca="1">IF(ISNUMBER(kinematics!D110),kinematics!F110,0)</f>
        <v>400.37816499430369</v>
      </c>
      <c r="K86" s="11">
        <f ca="1">IF(ISNUMBER(kinematics!L110),kinematics!L110,0)</f>
        <v>17.997280005696325</v>
      </c>
      <c r="M86" s="18">
        <f ca="1">IF(ISNUMBER(kinematics!D110),kinematics!B110,MAX($D$6:$D$186))</f>
        <v>80</v>
      </c>
      <c r="N86" s="18">
        <f ca="1">IF(ISNUMBER(kinematics!D110),kinematics!F110,0)</f>
        <v>400.37816499430369</v>
      </c>
      <c r="O86" s="18">
        <f ca="1">IF(ISNUMBER(kinematics!J110),kinematics!J110,0)</f>
        <v>49.127915887016322</v>
      </c>
      <c r="P86" s="11">
        <f ca="1">IF(ISNUMBER(kinematics!L110),kinematics!L110,0)</f>
        <v>17.997280005696325</v>
      </c>
      <c r="R86" s="11">
        <f t="shared" ca="1" si="5"/>
        <v>49.127915887016322</v>
      </c>
      <c r="S86" s="11">
        <f t="shared" ca="1" si="8"/>
        <v>17.997280005696325</v>
      </c>
    </row>
    <row r="87" spans="3:19" x14ac:dyDescent="0.2">
      <c r="C87" s="11">
        <f ca="1">IF(ISNUMBER(kinematics!D111),kinematics!D111,MAX(kinematics!$D$30:$D$210))</f>
        <v>82.602000000000004</v>
      </c>
      <c r="D87" s="18">
        <f ca="1">IF(ISNUMBER(kinematics!D111),kinematics!B111,0)</f>
        <v>81</v>
      </c>
      <c r="E87" s="11">
        <f ca="1">IF(ISNUMBER(kinematics!J111),kinematics!J111,0)</f>
        <v>48.626857199715069</v>
      </c>
      <c r="I87" s="11">
        <f t="shared" ca="1" si="9"/>
        <v>82.602000000000004</v>
      </c>
      <c r="J87" s="18">
        <f ca="1">IF(ISNUMBER(kinematics!D111),kinematics!F111,0)</f>
        <v>400.01212641863037</v>
      </c>
      <c r="K87" s="11">
        <f ca="1">IF(ISNUMBER(kinematics!L111),kinematics!L111,0)</f>
        <v>18.36331858136964</v>
      </c>
      <c r="M87" s="18">
        <f ca="1">IF(ISNUMBER(kinematics!D111),kinematics!B111,MAX($D$6:$D$186))</f>
        <v>81</v>
      </c>
      <c r="N87" s="18">
        <f ca="1">IF(ISNUMBER(kinematics!D111),kinematics!F111,0)</f>
        <v>400.01212641863037</v>
      </c>
      <c r="O87" s="18">
        <f ca="1">IF(ISNUMBER(kinematics!J111),kinematics!J111,0)</f>
        <v>48.626857199715069</v>
      </c>
      <c r="P87" s="11">
        <f ca="1">IF(ISNUMBER(kinematics!L111),kinematics!L111,0)</f>
        <v>18.36331858136964</v>
      </c>
      <c r="R87" s="11">
        <f t="shared" ca="1" si="5"/>
        <v>48.626857199715069</v>
      </c>
      <c r="S87" s="11">
        <f t="shared" ca="1" si="8"/>
        <v>18.36331858136964</v>
      </c>
    </row>
    <row r="88" spans="3:19" x14ac:dyDescent="0.2">
      <c r="C88" s="11">
        <f ca="1">IF(ISNUMBER(kinematics!D112),kinematics!D112,MAX(kinematics!$D$30:$D$210))</f>
        <v>83.605999999999995</v>
      </c>
      <c r="D88" s="18">
        <f ca="1">IF(ISNUMBER(kinematics!D112),kinematics!B112,0)</f>
        <v>82</v>
      </c>
      <c r="E88" s="11">
        <f ca="1">IF(ISNUMBER(kinematics!J112),kinematics!J112,0)</f>
        <v>48.126018675714015</v>
      </c>
      <c r="I88" s="11">
        <f t="shared" ca="1" si="9"/>
        <v>83.605999999999995</v>
      </c>
      <c r="J88" s="18">
        <f ca="1">IF(ISNUMBER(kinematics!D112),kinematics!F112,0)</f>
        <v>399.64543230314746</v>
      </c>
      <c r="K88" s="11">
        <f ca="1">IF(ISNUMBER(kinematics!L112),kinematics!L112,0)</f>
        <v>18.730012696852555</v>
      </c>
      <c r="M88" s="18">
        <f ca="1">IF(ISNUMBER(kinematics!D112),kinematics!B112,MAX($D$6:$D$186))</f>
        <v>82</v>
      </c>
      <c r="N88" s="18">
        <f ca="1">IF(ISNUMBER(kinematics!D112),kinematics!F112,0)</f>
        <v>399.64543230314746</v>
      </c>
      <c r="O88" s="18">
        <f ca="1">IF(ISNUMBER(kinematics!J112),kinematics!J112,0)</f>
        <v>48.126018675714015</v>
      </c>
      <c r="P88" s="11">
        <f ca="1">IF(ISNUMBER(kinematics!L112),kinematics!L112,0)</f>
        <v>18.730012696852555</v>
      </c>
      <c r="R88" s="11">
        <f t="shared" ca="1" si="5"/>
        <v>48.126018675714015</v>
      </c>
      <c r="S88" s="11">
        <f t="shared" ca="1" si="8"/>
        <v>18.730012696852555</v>
      </c>
    </row>
    <row r="89" spans="3:19" x14ac:dyDescent="0.2">
      <c r="C89" s="11">
        <f ca="1">IF(ISNUMBER(kinematics!D113),kinematics!D113,MAX(kinematics!$D$30:$D$210))</f>
        <v>84.61</v>
      </c>
      <c r="D89" s="18">
        <f ca="1">IF(ISNUMBER(kinematics!D113),kinematics!B113,0)</f>
        <v>83</v>
      </c>
      <c r="E89" s="11">
        <f ca="1">IF(ISNUMBER(kinematics!J113),kinematics!J113,0)</f>
        <v>47.625401831330201</v>
      </c>
      <c r="I89" s="11">
        <f t="shared" ca="1" si="9"/>
        <v>84.61</v>
      </c>
      <c r="J89" s="18">
        <f ca="1">IF(ISNUMBER(kinematics!D113),kinematics!F113,0)</f>
        <v>399.27819682523784</v>
      </c>
      <c r="K89" s="11">
        <f ca="1">IF(ISNUMBER(kinematics!L113),kinematics!L113,0)</f>
        <v>19.097248174762171</v>
      </c>
      <c r="M89" s="18">
        <f ca="1">IF(ISNUMBER(kinematics!D113),kinematics!B113,MAX($D$6:$D$186))</f>
        <v>83</v>
      </c>
      <c r="N89" s="18">
        <f ca="1">IF(ISNUMBER(kinematics!D113),kinematics!F113,0)</f>
        <v>399.27819682523784</v>
      </c>
      <c r="O89" s="18">
        <f ca="1">IF(ISNUMBER(kinematics!J113),kinematics!J113,0)</f>
        <v>47.625401831330201</v>
      </c>
      <c r="P89" s="11">
        <f ca="1">IF(ISNUMBER(kinematics!L113),kinematics!L113,0)</f>
        <v>19.097248174762171</v>
      </c>
      <c r="R89" s="11">
        <f t="shared" ca="1" si="5"/>
        <v>47.625401831330201</v>
      </c>
      <c r="S89" s="11">
        <f t="shared" ca="1" si="8"/>
        <v>19.097248174762171</v>
      </c>
    </row>
    <row r="90" spans="3:19" x14ac:dyDescent="0.2">
      <c r="C90" s="11">
        <f ca="1">IF(ISNUMBER(kinematics!D114),kinematics!D114,MAX(kinematics!$D$30:$D$210))</f>
        <v>85.613</v>
      </c>
      <c r="D90" s="18">
        <f ca="1">IF(ISNUMBER(kinematics!D114),kinematics!B114,0)</f>
        <v>84</v>
      </c>
      <c r="E90" s="11">
        <f ca="1">IF(ISNUMBER(kinematics!J114),kinematics!J114,0)</f>
        <v>47.125008063619795</v>
      </c>
      <c r="I90" s="11">
        <f t="shared" ca="1" si="9"/>
        <v>85.613</v>
      </c>
      <c r="J90" s="18">
        <f ca="1">IF(ISNUMBER(kinematics!D114),kinematics!F114,0)</f>
        <v>398.91053400129869</v>
      </c>
      <c r="K90" s="11">
        <f ca="1">IF(ISNUMBER(kinematics!L114),kinematics!L114,0)</f>
        <v>19.464910998701328</v>
      </c>
      <c r="M90" s="18">
        <f ca="1">IF(ISNUMBER(kinematics!D114),kinematics!B114,MAX($D$6:$D$186))</f>
        <v>84</v>
      </c>
      <c r="N90" s="18">
        <f ca="1">IF(ISNUMBER(kinematics!D114),kinematics!F114,0)</f>
        <v>398.91053400129869</v>
      </c>
      <c r="O90" s="18">
        <f ca="1">IF(ISNUMBER(kinematics!J114),kinematics!J114,0)</f>
        <v>47.125008063619795</v>
      </c>
      <c r="P90" s="11">
        <f ca="1">IF(ISNUMBER(kinematics!L114),kinematics!L114,0)</f>
        <v>19.464910998701328</v>
      </c>
      <c r="R90" s="11">
        <f t="shared" ca="1" si="5"/>
        <v>47.125008063619795</v>
      </c>
      <c r="S90" s="11">
        <f t="shared" ca="1" si="8"/>
        <v>19.464910998701328</v>
      </c>
    </row>
    <row r="91" spans="3:19" x14ac:dyDescent="0.2">
      <c r="C91" s="11">
        <f ca="1">IF(ISNUMBER(kinematics!D115),kinematics!D115,MAX(kinematics!$D$30:$D$210))</f>
        <v>86.616</v>
      </c>
      <c r="D91" s="18">
        <f ca="1">IF(ISNUMBER(kinematics!D115),kinematics!B115,0)</f>
        <v>85</v>
      </c>
      <c r="E91" s="11">
        <f ca="1">IF(ISNUMBER(kinematics!J115),kinematics!J115,0)</f>
        <v>46.6248386528639</v>
      </c>
      <c r="I91" s="11">
        <f t="shared" ca="1" si="9"/>
        <v>86.616</v>
      </c>
      <c r="J91" s="18">
        <f ca="1">IF(ISNUMBER(kinematics!D115),kinematics!F115,0)</f>
        <v>398.5425576498622</v>
      </c>
      <c r="K91" s="11">
        <f ca="1">IF(ISNUMBER(kinematics!L115),kinematics!L115,0)</f>
        <v>19.83288735013781</v>
      </c>
      <c r="M91" s="18">
        <f ca="1">IF(ISNUMBER(kinematics!D115),kinematics!B115,MAX($D$6:$D$186))</f>
        <v>85</v>
      </c>
      <c r="N91" s="18">
        <f ca="1">IF(ISNUMBER(kinematics!D115),kinematics!F115,0)</f>
        <v>398.5425576498622</v>
      </c>
      <c r="O91" s="18">
        <f ca="1">IF(ISNUMBER(kinematics!J115),kinematics!J115,0)</f>
        <v>46.6248386528639</v>
      </c>
      <c r="P91" s="11">
        <f ca="1">IF(ISNUMBER(kinematics!L115),kinematics!L115,0)</f>
        <v>19.83288735013781</v>
      </c>
      <c r="R91" s="11">
        <f t="shared" ca="1" si="5"/>
        <v>46.6248386528639</v>
      </c>
      <c r="S91" s="11">
        <f t="shared" ca="1" si="8"/>
        <v>19.83288735013781</v>
      </c>
    </row>
    <row r="92" spans="3:19" x14ac:dyDescent="0.2">
      <c r="C92" s="11">
        <f ca="1">IF(ISNUMBER(kinematics!D116),kinematics!D116,MAX(kinematics!$D$30:$D$210))</f>
        <v>87.617999999999995</v>
      </c>
      <c r="D92" s="18">
        <f ca="1">IF(ISNUMBER(kinematics!D116),kinematics!B116,0)</f>
        <v>86</v>
      </c>
      <c r="E92" s="11">
        <f ca="1">IF(ISNUMBER(kinematics!J116),kinematics!J116,0)</f>
        <v>46.124894764896965</v>
      </c>
      <c r="I92" s="11">
        <f t="shared" ca="1" si="9"/>
        <v>87.617999999999995</v>
      </c>
      <c r="J92" s="18">
        <f ca="1">IF(ISNUMBER(kinematics!D116),kinematics!F116,0)</f>
        <v>398.17438135518466</v>
      </c>
      <c r="K92" s="11">
        <f ca="1">IF(ISNUMBER(kinematics!L116),kinematics!L116,0)</f>
        <v>20.201063644815349</v>
      </c>
      <c r="M92" s="18">
        <f ca="1">IF(ISNUMBER(kinematics!D116),kinematics!B116,MAX($D$6:$D$186))</f>
        <v>86</v>
      </c>
      <c r="N92" s="18">
        <f ca="1">IF(ISNUMBER(kinematics!D116),kinematics!F116,0)</f>
        <v>398.17438135518466</v>
      </c>
      <c r="O92" s="18">
        <f ca="1">IF(ISNUMBER(kinematics!J116),kinematics!J116,0)</f>
        <v>46.124894764896965</v>
      </c>
      <c r="P92" s="11">
        <f ca="1">IF(ISNUMBER(kinematics!L116),kinematics!L116,0)</f>
        <v>20.201063644815349</v>
      </c>
      <c r="R92" s="11">
        <f t="shared" ca="1" si="5"/>
        <v>46.124894764896965</v>
      </c>
      <c r="S92" s="11">
        <f t="shared" ca="1" si="8"/>
        <v>20.201063644815349</v>
      </c>
    </row>
    <row r="93" spans="3:19" x14ac:dyDescent="0.2">
      <c r="C93" s="11">
        <f ca="1">IF(ISNUMBER(kinematics!D117),kinematics!D117,MAX(kinematics!$D$30:$D$210))</f>
        <v>88.619</v>
      </c>
      <c r="D93" s="18">
        <f ca="1">IF(ISNUMBER(kinematics!D117),kinematics!B117,0)</f>
        <v>87</v>
      </c>
      <c r="E93" s="11">
        <f ca="1">IF(ISNUMBER(kinematics!J117),kinematics!J117,0)</f>
        <v>45.625177453292345</v>
      </c>
      <c r="I93" s="11">
        <f t="shared" ca="1" si="9"/>
        <v>88.619</v>
      </c>
      <c r="J93" s="18">
        <f ca="1">IF(ISNUMBER(kinematics!D117),kinematics!F117,0)</f>
        <v>397.80611843131516</v>
      </c>
      <c r="K93" s="11">
        <f ca="1">IF(ISNUMBER(kinematics!L117),kinematics!L117,0)</f>
        <v>20.569326568684858</v>
      </c>
      <c r="M93" s="18">
        <f ca="1">IF(ISNUMBER(kinematics!D117),kinematics!B117,MAX($D$6:$D$186))</f>
        <v>87</v>
      </c>
      <c r="N93" s="18">
        <f ca="1">IF(ISNUMBER(kinematics!D117),kinematics!F117,0)</f>
        <v>397.80611843131516</v>
      </c>
      <c r="O93" s="18">
        <f ca="1">IF(ISNUMBER(kinematics!J117),kinematics!J117,0)</f>
        <v>45.625177453292345</v>
      </c>
      <c r="P93" s="11">
        <f ca="1">IF(ISNUMBER(kinematics!L117),kinematics!L117,0)</f>
        <v>20.569326568684858</v>
      </c>
      <c r="R93" s="11">
        <f t="shared" ca="1" si="5"/>
        <v>45.625177453292345</v>
      </c>
      <c r="S93" s="11">
        <f t="shared" ca="1" si="8"/>
        <v>20.569326568684858</v>
      </c>
    </row>
    <row r="94" spans="3:19" x14ac:dyDescent="0.2">
      <c r="C94" s="11">
        <f ca="1">IF(ISNUMBER(kinematics!D118),kinematics!D118,MAX(kinematics!$D$30:$D$210))</f>
        <v>89.620999999999995</v>
      </c>
      <c r="D94" s="18">
        <f ca="1">IF(ISNUMBER(kinematics!D118),kinematics!B118,0)</f>
        <v>88</v>
      </c>
      <c r="E94" s="11">
        <f ca="1">IF(ISNUMBER(kinematics!J118),kinematics!J118,0)</f>
        <v>45.125687661423243</v>
      </c>
      <c r="I94" s="11">
        <f t="shared" ca="1" si="9"/>
        <v>89.620999999999995</v>
      </c>
      <c r="J94" s="18">
        <f ca="1">IF(ISNUMBER(kinematics!D118),kinematics!F118,0)</f>
        <v>397.43788188665928</v>
      </c>
      <c r="K94" s="11">
        <f ca="1">IF(ISNUMBER(kinematics!L118),kinematics!L118,0)</f>
        <v>20.93756311334073</v>
      </c>
      <c r="M94" s="18">
        <f ca="1">IF(ISNUMBER(kinematics!D118),kinematics!B118,MAX($D$6:$D$186))</f>
        <v>88</v>
      </c>
      <c r="N94" s="18">
        <f ca="1">IF(ISNUMBER(kinematics!D118),kinematics!F118,0)</f>
        <v>397.43788188665928</v>
      </c>
      <c r="O94" s="18">
        <f ca="1">IF(ISNUMBER(kinematics!J118),kinematics!J118,0)</f>
        <v>45.125687661423243</v>
      </c>
      <c r="P94" s="11">
        <f ca="1">IF(ISNUMBER(kinematics!L118),kinematics!L118,0)</f>
        <v>20.93756311334073</v>
      </c>
      <c r="R94" s="11">
        <f t="shared" ca="1" si="5"/>
        <v>45.125687661423243</v>
      </c>
      <c r="S94" s="11">
        <f t="shared" ca="1" si="8"/>
        <v>20.93756311334073</v>
      </c>
    </row>
    <row r="95" spans="3:19" x14ac:dyDescent="0.2">
      <c r="C95" s="11">
        <f ca="1">IF(ISNUMBER(kinematics!D119),kinematics!D119,MAX(kinematics!$D$30:$D$210))</f>
        <v>90.620999999999995</v>
      </c>
      <c r="D95" s="18">
        <f ca="1">IF(ISNUMBER(kinematics!D119),kinematics!B119,0)</f>
        <v>89</v>
      </c>
      <c r="E95" s="11">
        <f ca="1">IF(ISNUMBER(kinematics!J119),kinematics!J119,0)</f>
        <v>44.626426224397107</v>
      </c>
      <c r="I95" s="11">
        <f t="shared" ca="1" si="9"/>
        <v>90.620999999999995</v>
      </c>
      <c r="J95" s="18">
        <f ca="1">IF(ISNUMBER(kinematics!D119),kinematics!F119,0)</f>
        <v>397.06978438903866</v>
      </c>
      <c r="K95" s="11">
        <f ca="1">IF(ISNUMBER(kinematics!L119),kinematics!L119,0)</f>
        <v>21.305660610961354</v>
      </c>
      <c r="M95" s="18">
        <f ca="1">IF(ISNUMBER(kinematics!D119),kinematics!B119,MAX($D$6:$D$186))</f>
        <v>89</v>
      </c>
      <c r="N95" s="18">
        <f ca="1">IF(ISNUMBER(kinematics!D119),kinematics!F119,0)</f>
        <v>397.06978438903866</v>
      </c>
      <c r="O95" s="18">
        <f ca="1">IF(ISNUMBER(kinematics!J119),kinematics!J119,0)</f>
        <v>44.626426224397107</v>
      </c>
      <c r="P95" s="11">
        <f ca="1">IF(ISNUMBER(kinematics!L119),kinematics!L119,0)</f>
        <v>21.305660610961354</v>
      </c>
      <c r="R95" s="11">
        <f t="shared" ca="1" si="5"/>
        <v>44.626426224397107</v>
      </c>
      <c r="S95" s="11">
        <f t="shared" ca="1" si="8"/>
        <v>21.305660610961354</v>
      </c>
    </row>
    <row r="96" spans="3:19" x14ac:dyDescent="0.2">
      <c r="C96" s="11">
        <f ca="1">IF(ISNUMBER(kinematics!D120),kinematics!D120,MAX(kinematics!$D$30:$D$210))</f>
        <v>91.620999999999995</v>
      </c>
      <c r="D96" s="18">
        <f ca="1">IF(ISNUMBER(kinematics!D120),kinematics!B120,0)</f>
        <v>90</v>
      </c>
      <c r="E96" s="11">
        <f ca="1">IF(ISNUMBER(kinematics!J120),kinematics!J120,0)</f>
        <v>44.127393870892845</v>
      </c>
      <c r="I96" s="11">
        <f t="shared" ca="1" si="9"/>
        <v>91.620999999999995</v>
      </c>
      <c r="J96" s="18">
        <f ca="1">IF(ISNUMBER(kinematics!D120),kinematics!F120,0)</f>
        <v>396.70193823126846</v>
      </c>
      <c r="K96" s="11">
        <f ca="1">IF(ISNUMBER(kinematics!L120),kinematics!L120,0)</f>
        <v>21.673506768731556</v>
      </c>
      <c r="M96" s="18">
        <f ca="1">IF(ISNUMBER(kinematics!D120),kinematics!B120,MAX($D$6:$D$186))</f>
        <v>90</v>
      </c>
      <c r="N96" s="18">
        <f ca="1">IF(ISNUMBER(kinematics!D120),kinematics!F120,0)</f>
        <v>396.70193823126846</v>
      </c>
      <c r="O96" s="18">
        <f ca="1">IF(ISNUMBER(kinematics!J120),kinematics!J120,0)</f>
        <v>44.127393870892845</v>
      </c>
      <c r="P96" s="11">
        <f ca="1">IF(ISNUMBER(kinematics!L120),kinematics!L120,0)</f>
        <v>21.673506768731556</v>
      </c>
      <c r="R96" s="11">
        <f t="shared" ca="1" si="5"/>
        <v>44.127393870892845</v>
      </c>
      <c r="S96" s="11">
        <f t="shared" ca="1" si="8"/>
        <v>21.673506768731556</v>
      </c>
    </row>
    <row r="97" spans="3:19" x14ac:dyDescent="0.2">
      <c r="C97" s="11">
        <f ca="1">IF(ISNUMBER(kinematics!D121),kinematics!D121,MAX(kinematics!$D$30:$D$210))</f>
        <v>92.620999999999995</v>
      </c>
      <c r="D97" s="18">
        <f ca="1">IF(ISNUMBER(kinematics!D121),kinematics!B121,0)</f>
        <v>91</v>
      </c>
      <c r="E97" s="11">
        <f ca="1">IF(ISNUMBER(kinematics!J121),kinematics!J121,0)</f>
        <v>43.628591224894613</v>
      </c>
      <c r="I97" s="11">
        <f t="shared" ca="1" si="9"/>
        <v>92.620999999999995</v>
      </c>
      <c r="J97" s="18">
        <f ca="1">IF(ISNUMBER(kinematics!D121),kinematics!F121,0)</f>
        <v>396.33445529725157</v>
      </c>
      <c r="K97" s="11">
        <f ca="1">IF(ISNUMBER(kinematics!L121),kinematics!L121,0)</f>
        <v>22.040989702748448</v>
      </c>
      <c r="M97" s="18">
        <f ca="1">IF(ISNUMBER(kinematics!D121),kinematics!B121,MAX($D$6:$D$186))</f>
        <v>91</v>
      </c>
      <c r="N97" s="18">
        <f ca="1">IF(ISNUMBER(kinematics!D121),kinematics!F121,0)</f>
        <v>396.33445529725157</v>
      </c>
      <c r="O97" s="18">
        <f ca="1">IF(ISNUMBER(kinematics!J121),kinematics!J121,0)</f>
        <v>43.628591224894613</v>
      </c>
      <c r="P97" s="11">
        <f ca="1">IF(ISNUMBER(kinematics!L121),kinematics!L121,0)</f>
        <v>22.040989702748448</v>
      </c>
      <c r="R97" s="11">
        <f t="shared" ca="1" si="5"/>
        <v>43.628591224894613</v>
      </c>
      <c r="S97" s="11">
        <f t="shared" ca="1" si="8"/>
        <v>22.040989702748448</v>
      </c>
    </row>
    <row r="98" spans="3:19" x14ac:dyDescent="0.2">
      <c r="C98" s="11">
        <f ca="1">IF(ISNUMBER(kinematics!D122),kinematics!D122,MAX(kinematics!$D$30:$D$210))</f>
        <v>93.62</v>
      </c>
      <c r="D98" s="18">
        <f ca="1">IF(ISNUMBER(kinematics!D122),kinematics!B122,0)</f>
        <v>92</v>
      </c>
      <c r="E98" s="11">
        <f ca="1">IF(ISNUMBER(kinematics!J122),kinematics!J122,0)</f>
        <v>43.130018807345095</v>
      </c>
      <c r="I98" s="11">
        <f t="shared" ca="1" si="9"/>
        <v>93.62</v>
      </c>
      <c r="J98" s="18">
        <f ca="1">IF(ISNUMBER(kinematics!D122),kinematics!F122,0)</f>
        <v>395.96744702860747</v>
      </c>
      <c r="K98" s="11">
        <f ca="1">IF(ISNUMBER(kinematics!L122),kinematics!L122,0)</f>
        <v>22.407997971392547</v>
      </c>
      <c r="M98" s="18">
        <f ca="1">IF(ISNUMBER(kinematics!D122),kinematics!B122,MAX($D$6:$D$186))</f>
        <v>92</v>
      </c>
      <c r="N98" s="18">
        <f ca="1">IF(ISNUMBER(kinematics!D122),kinematics!F122,0)</f>
        <v>395.96744702860747</v>
      </c>
      <c r="O98" s="18">
        <f ca="1">IF(ISNUMBER(kinematics!J122),kinematics!J122,0)</f>
        <v>43.130018807345095</v>
      </c>
      <c r="P98" s="11">
        <f ca="1">IF(ISNUMBER(kinematics!L122),kinematics!L122,0)</f>
        <v>22.407997971392547</v>
      </c>
      <c r="R98" s="11">
        <f t="shared" ca="1" si="5"/>
        <v>43.130018807345095</v>
      </c>
      <c r="S98" s="11">
        <f t="shared" ca="1" si="8"/>
        <v>22.407997971392547</v>
      </c>
    </row>
    <row r="99" spans="3:19" x14ac:dyDescent="0.2">
      <c r="C99" s="11">
        <f ca="1">IF(ISNUMBER(kinematics!D123),kinematics!D123,MAX(kinematics!$D$30:$D$210))</f>
        <v>94.619</v>
      </c>
      <c r="D99" s="18">
        <f ca="1">IF(ISNUMBER(kinematics!D123),kinematics!B123,0)</f>
        <v>93</v>
      </c>
      <c r="E99" s="11">
        <f ca="1">IF(ISNUMBER(kinematics!J123),kinematics!J123,0)</f>
        <v>42.631677037707902</v>
      </c>
      <c r="I99" s="11">
        <f t="shared" ca="1" si="9"/>
        <v>94.619</v>
      </c>
      <c r="J99" s="18">
        <f ca="1">IF(ISNUMBER(kinematics!D123),kinematics!F123,0)</f>
        <v>395.60102439182987</v>
      </c>
      <c r="K99" s="11">
        <f ca="1">IF(ISNUMBER(kinematics!L123),kinematics!L123,0)</f>
        <v>22.774420608170146</v>
      </c>
      <c r="M99" s="18">
        <f ca="1">IF(ISNUMBER(kinematics!D123),kinematics!B123,MAX($D$6:$D$186))</f>
        <v>93</v>
      </c>
      <c r="N99" s="18">
        <f ca="1">IF(ISNUMBER(kinematics!D123),kinematics!F123,0)</f>
        <v>395.60102439182987</v>
      </c>
      <c r="O99" s="18">
        <f ca="1">IF(ISNUMBER(kinematics!J123),kinematics!J123,0)</f>
        <v>42.631677037707902</v>
      </c>
      <c r="P99" s="11">
        <f ca="1">IF(ISNUMBER(kinematics!L123),kinematics!L123,0)</f>
        <v>22.774420608170146</v>
      </c>
      <c r="R99" s="11">
        <f t="shared" ca="1" si="5"/>
        <v>42.631677037707902</v>
      </c>
      <c r="S99" s="11">
        <f t="shared" ca="1" si="8"/>
        <v>22.774420608170146</v>
      </c>
    </row>
    <row r="100" spans="3:19" x14ac:dyDescent="0.2">
      <c r="C100" s="11">
        <f ca="1">IF(ISNUMBER(kinematics!D124),kinematics!D124,MAX(kinematics!$D$30:$D$210))</f>
        <v>95.617000000000004</v>
      </c>
      <c r="D100" s="18">
        <f ca="1">IF(ISNUMBER(kinematics!D124),kinematics!B124,0)</f>
        <v>94</v>
      </c>
      <c r="E100" s="11">
        <f ca="1">IF(ISNUMBER(kinematics!J124),kinematics!J124,0)</f>
        <v>42.133566235476785</v>
      </c>
      <c r="I100" s="11">
        <f t="shared" ca="1" si="9"/>
        <v>95.617000000000004</v>
      </c>
      <c r="J100" s="18">
        <f ca="1">IF(ISNUMBER(kinematics!D124),kinematics!F124,0)</f>
        <v>395.23529784600373</v>
      </c>
      <c r="K100" s="11">
        <f ca="1">IF(ISNUMBER(kinematics!L124),kinematics!L124,0)</f>
        <v>23.140147153996281</v>
      </c>
      <c r="M100" s="18">
        <f ca="1">IF(ISNUMBER(kinematics!D124),kinematics!B124,MAX($D$6:$D$186))</f>
        <v>94</v>
      </c>
      <c r="N100" s="18">
        <f ca="1">IF(ISNUMBER(kinematics!D124),kinematics!F124,0)</f>
        <v>395.23529784600373</v>
      </c>
      <c r="O100" s="18">
        <f ca="1">IF(ISNUMBER(kinematics!J124),kinematics!J124,0)</f>
        <v>42.133566235476785</v>
      </c>
      <c r="P100" s="11">
        <f ca="1">IF(ISNUMBER(kinematics!L124),kinematics!L124,0)</f>
        <v>23.140147153996281</v>
      </c>
      <c r="R100" s="11">
        <f t="shared" ca="1" si="5"/>
        <v>42.133566235476785</v>
      </c>
      <c r="S100" s="11">
        <f t="shared" ca="1" si="8"/>
        <v>23.140147153996281</v>
      </c>
    </row>
    <row r="101" spans="3:19" x14ac:dyDescent="0.2">
      <c r="C101" s="11">
        <f ca="1">IF(ISNUMBER(kinematics!D125),kinematics!D125,MAX(kinematics!$D$30:$D$210))</f>
        <v>96.614999999999995</v>
      </c>
      <c r="D101" s="18">
        <f ca="1">IF(ISNUMBER(kinematics!D125),kinematics!B125,0)</f>
        <v>95</v>
      </c>
      <c r="E101" s="11">
        <f ca="1">IF(ISNUMBER(kinematics!J125),kinematics!J125,0)</f>
        <v>41.635686621597742</v>
      </c>
      <c r="I101" s="11">
        <f t="shared" ca="1" si="9"/>
        <v>96.614999999999995</v>
      </c>
      <c r="J101" s="18">
        <f ca="1">IF(ISNUMBER(kinematics!D125),kinematics!F125,0)</f>
        <v>394.87037731105625</v>
      </c>
      <c r="K101" s="11">
        <f ca="1">IF(ISNUMBER(kinematics!L125),kinematics!L125,0)</f>
        <v>23.505067688943768</v>
      </c>
      <c r="M101" s="18">
        <f ca="1">IF(ISNUMBER(kinematics!D125),kinematics!B125,MAX($D$6:$D$186))</f>
        <v>95</v>
      </c>
      <c r="N101" s="18">
        <f ca="1">IF(ISNUMBER(kinematics!D125),kinematics!F125,0)</f>
        <v>394.87037731105625</v>
      </c>
      <c r="O101" s="18">
        <f ca="1">IF(ISNUMBER(kinematics!J125),kinematics!J125,0)</f>
        <v>41.635686621597742</v>
      </c>
      <c r="P101" s="11">
        <f ca="1">IF(ISNUMBER(kinematics!L125),kinematics!L125,0)</f>
        <v>23.505067688943768</v>
      </c>
      <c r="R101" s="11">
        <f t="shared" ca="1" si="5"/>
        <v>41.635686621597742</v>
      </c>
      <c r="S101" s="11">
        <f t="shared" ca="1" si="8"/>
        <v>23.505067688943768</v>
      </c>
    </row>
    <row r="102" spans="3:19" x14ac:dyDescent="0.2">
      <c r="C102" s="11">
        <f ca="1">IF(ISNUMBER(kinematics!D126),kinematics!D126,MAX(kinematics!$D$30:$D$210))</f>
        <v>97.611999999999995</v>
      </c>
      <c r="D102" s="18">
        <f ca="1">IF(ISNUMBER(kinematics!D126),kinematics!B126,0)</f>
        <v>96</v>
      </c>
      <c r="E102" s="11">
        <f ca="1">IF(ISNUMBER(kinematics!J126),kinematics!J126,0)</f>
        <v>41.138038319852321</v>
      </c>
      <c r="I102" s="11">
        <f t="shared" ca="1" si="9"/>
        <v>97.611999999999995</v>
      </c>
      <c r="J102" s="18">
        <f ca="1">IF(ISNUMBER(kinematics!D126),kinematics!F126,0)</f>
        <v>394.50637213658104</v>
      </c>
      <c r="K102" s="11">
        <f ca="1">IF(ISNUMBER(kinematics!L126),kinematics!L126,0)</f>
        <v>23.869072863418978</v>
      </c>
      <c r="M102" s="18">
        <f ca="1">IF(ISNUMBER(kinematics!D126),kinematics!B126,MAX($D$6:$D$186))</f>
        <v>96</v>
      </c>
      <c r="N102" s="18">
        <f ca="1">IF(ISNUMBER(kinematics!D126),kinematics!F126,0)</f>
        <v>394.50637213658104</v>
      </c>
      <c r="O102" s="18">
        <f ca="1">IF(ISNUMBER(kinematics!J126),kinematics!J126,0)</f>
        <v>41.138038319852321</v>
      </c>
      <c r="P102" s="11">
        <f ca="1">IF(ISNUMBER(kinematics!L126),kinematics!L126,0)</f>
        <v>23.869072863418978</v>
      </c>
      <c r="R102" s="11">
        <f t="shared" ca="1" si="5"/>
        <v>41.138038319852321</v>
      </c>
      <c r="S102" s="11">
        <f t="shared" ca="1" si="8"/>
        <v>23.869072863418978</v>
      </c>
    </row>
    <row r="103" spans="3:19" x14ac:dyDescent="0.2">
      <c r="C103" s="11">
        <f ca="1">IF(ISNUMBER(kinematics!D127),kinematics!D127,MAX(kinematics!$D$30:$D$210))</f>
        <v>98.608999999999995</v>
      </c>
      <c r="D103" s="18">
        <f ca="1">IF(ISNUMBER(kinematics!D127),kinematics!B127,0)</f>
        <v>97</v>
      </c>
      <c r="E103" s="11">
        <f ca="1">IF(ISNUMBER(kinematics!J127),kinematics!J127,0)</f>
        <v>40.640621358175501</v>
      </c>
      <c r="I103" s="11">
        <f t="shared" ca="1" si="9"/>
        <v>98.608999999999995</v>
      </c>
      <c r="J103" s="18">
        <f ca="1">IF(ISNUMBER(kinematics!D127),kinematics!F127,0)</f>
        <v>394.14339107121504</v>
      </c>
      <c r="K103" s="11">
        <f ca="1">IF(ISNUMBER(kinematics!L127),kinematics!L127,0)</f>
        <v>24.232053928784978</v>
      </c>
      <c r="M103" s="18">
        <f ca="1">IF(ISNUMBER(kinematics!D127),kinematics!B127,MAX($D$6:$D$186))</f>
        <v>97</v>
      </c>
      <c r="N103" s="18">
        <f ca="1">IF(ISNUMBER(kinematics!D127),kinematics!F127,0)</f>
        <v>394.14339107121504</v>
      </c>
      <c r="O103" s="18">
        <f ca="1">IF(ISNUMBER(kinematics!J127),kinematics!J127,0)</f>
        <v>40.640621358175501</v>
      </c>
      <c r="P103" s="11">
        <f ca="1">IF(ISNUMBER(kinematics!L127),kinematics!L127,0)</f>
        <v>24.232053928784978</v>
      </c>
      <c r="R103" s="11">
        <f t="shared" ca="1" si="5"/>
        <v>40.640621358175501</v>
      </c>
      <c r="S103" s="11">
        <f t="shared" ca="1" si="8"/>
        <v>24.232053928784978</v>
      </c>
    </row>
    <row r="104" spans="3:19" x14ac:dyDescent="0.2">
      <c r="C104" s="11">
        <f ca="1">IF(ISNUMBER(kinematics!D128),kinematics!D128,MAX(kinematics!$D$30:$D$210))</f>
        <v>99.605000000000004</v>
      </c>
      <c r="D104" s="18">
        <f ca="1">IF(ISNUMBER(kinematics!D128),kinematics!B128,0)</f>
        <v>98</v>
      </c>
      <c r="E104" s="11">
        <f ca="1">IF(ISNUMBER(kinematics!J128),kinematics!J128,0)</f>
        <v>40.143435669932224</v>
      </c>
      <c r="I104" s="11">
        <f t="shared" ca="1" si="9"/>
        <v>99.605000000000004</v>
      </c>
      <c r="J104" s="18">
        <f ca="1">IF(ISNUMBER(kinematics!D128),kinematics!F128,0)</f>
        <v>393.78154223258809</v>
      </c>
      <c r="K104" s="11">
        <f ca="1">IF(ISNUMBER(kinematics!L128),kinematics!L128,0)</f>
        <v>24.593902767411919</v>
      </c>
      <c r="M104" s="18">
        <f ca="1">IF(ISNUMBER(kinematics!D128),kinematics!B128,MAX($D$6:$D$186))</f>
        <v>98</v>
      </c>
      <c r="N104" s="18">
        <f ca="1">IF(ISNUMBER(kinematics!D128),kinematics!F128,0)</f>
        <v>393.78154223258809</v>
      </c>
      <c r="O104" s="18">
        <f ca="1">IF(ISNUMBER(kinematics!J128),kinematics!J128,0)</f>
        <v>40.143435669932224</v>
      </c>
      <c r="P104" s="11">
        <f ca="1">IF(ISNUMBER(kinematics!L128),kinematics!L128,0)</f>
        <v>24.593902767411919</v>
      </c>
      <c r="R104" s="11">
        <f t="shared" ca="1" si="5"/>
        <v>40.143435669932224</v>
      </c>
      <c r="S104" s="11">
        <f t="shared" ca="1" si="8"/>
        <v>24.593902767411919</v>
      </c>
    </row>
    <row r="105" spans="3:19" x14ac:dyDescent="0.2">
      <c r="C105" s="11">
        <f ca="1">IF(ISNUMBER(kinematics!D129),kinematics!D129,MAX(kinematics!$D$30:$D$210))</f>
        <v>100.601</v>
      </c>
      <c r="D105" s="18">
        <f ca="1">IF(ISNUMBER(kinematics!D129),kinematics!B129,0)</f>
        <v>99</v>
      </c>
      <c r="E105" s="11">
        <f ca="1">IF(ISNUMBER(kinematics!J129),kinematics!J129,0)</f>
        <v>39.646481095147081</v>
      </c>
      <c r="I105" s="11">
        <f t="shared" ca="1" si="9"/>
        <v>100.601</v>
      </c>
      <c r="J105" s="18">
        <f ca="1">IF(ISNUMBER(kinematics!D129),kinematics!F129,0)</f>
        <v>393.4209330778404</v>
      </c>
      <c r="K105" s="11">
        <f ca="1">IF(ISNUMBER(kinematics!L129),kinematics!L129,0)</f>
        <v>24.954511922159611</v>
      </c>
      <c r="M105" s="18">
        <f ca="1">IF(ISNUMBER(kinematics!D129),kinematics!B129,MAX($D$6:$D$186))</f>
        <v>99</v>
      </c>
      <c r="N105" s="18">
        <f ca="1">IF(ISNUMBER(kinematics!D129),kinematics!F129,0)</f>
        <v>393.4209330778404</v>
      </c>
      <c r="O105" s="18">
        <f ca="1">IF(ISNUMBER(kinematics!J129),kinematics!J129,0)</f>
        <v>39.646481095147081</v>
      </c>
      <c r="P105" s="11">
        <f ca="1">IF(ISNUMBER(kinematics!L129),kinematics!L129,0)</f>
        <v>24.954511922159611</v>
      </c>
      <c r="R105" s="11">
        <f t="shared" ca="1" si="5"/>
        <v>39.646481095147081</v>
      </c>
      <c r="S105" s="11">
        <f t="shared" ca="1" si="8"/>
        <v>24.954511922159611</v>
      </c>
    </row>
    <row r="106" spans="3:19" x14ac:dyDescent="0.2">
      <c r="C106" s="11">
        <f ca="1">IF(ISNUMBER(kinematics!D130),kinematics!D130,MAX(kinematics!$D$30:$D$210))</f>
        <v>101.596</v>
      </c>
      <c r="D106" s="18">
        <f ca="1">IF(ISNUMBER(kinematics!D130),kinematics!B130,0)</f>
        <v>100</v>
      </c>
      <c r="E106" s="11">
        <f ca="1">IF(ISNUMBER(kinematics!J130),kinematics!J130,0)</f>
        <v>39.149757381704688</v>
      </c>
      <c r="I106" s="11">
        <f t="shared" ca="1" si="9"/>
        <v>101.596</v>
      </c>
      <c r="J106" s="18">
        <f ca="1">IF(ISNUMBER(kinematics!D130),kinematics!F130,0)</f>
        <v>393.0616703747238</v>
      </c>
      <c r="K106" s="11">
        <f ca="1">IF(ISNUMBER(kinematics!L130),kinematics!L130,0)</f>
        <v>25.31377462527621</v>
      </c>
      <c r="M106" s="18">
        <f ca="1">IF(ISNUMBER(kinematics!D130),kinematics!B130,MAX($D$6:$D$186))</f>
        <v>100</v>
      </c>
      <c r="N106" s="18">
        <f ca="1">IF(ISNUMBER(kinematics!D130),kinematics!F130,0)</f>
        <v>393.0616703747238</v>
      </c>
      <c r="O106" s="18">
        <f ca="1">IF(ISNUMBER(kinematics!J130),kinematics!J130,0)</f>
        <v>39.149757381704688</v>
      </c>
      <c r="P106" s="11">
        <f ca="1">IF(ISNUMBER(kinematics!L130),kinematics!L130,0)</f>
        <v>25.31377462527621</v>
      </c>
      <c r="R106" s="11">
        <f t="shared" ca="1" si="5"/>
        <v>39.149757381704688</v>
      </c>
      <c r="S106" s="11">
        <f t="shared" ca="1" si="8"/>
        <v>25.31377462527621</v>
      </c>
    </row>
    <row r="107" spans="3:19" x14ac:dyDescent="0.2">
      <c r="C107" s="11">
        <f ca="1">IF(ISNUMBER(kinematics!D131),kinematics!D131,MAX(kinematics!$D$30:$D$210))</f>
        <v>102.59099999999999</v>
      </c>
      <c r="D107" s="18">
        <f ca="1">IF(ISNUMBER(kinematics!D131),kinematics!B131,0)</f>
        <v>101</v>
      </c>
      <c r="E107" s="11">
        <f ca="1">IF(ISNUMBER(kinematics!J131),kinematics!J131,0)</f>
        <v>38.653264186499335</v>
      </c>
      <c r="I107" s="11">
        <f t="shared" ca="1" si="9"/>
        <v>102.59099999999999</v>
      </c>
      <c r="J107" s="18">
        <f ca="1">IF(ISNUMBER(kinematics!D131),kinematics!F131,0)</f>
        <v>392.70386017326507</v>
      </c>
      <c r="K107" s="11">
        <f ca="1">IF(ISNUMBER(kinematics!L131),kinematics!L131,0)</f>
        <v>25.671584826734943</v>
      </c>
      <c r="M107" s="18">
        <f ca="1">IF(ISNUMBER(kinematics!D131),kinematics!B131,MAX($D$6:$D$186))</f>
        <v>101</v>
      </c>
      <c r="N107" s="18">
        <f ca="1">IF(ISNUMBER(kinematics!D131),kinematics!F131,0)</f>
        <v>392.70386017326507</v>
      </c>
      <c r="O107" s="18">
        <f ca="1">IF(ISNUMBER(kinematics!J131),kinematics!J131,0)</f>
        <v>38.653264186499335</v>
      </c>
      <c r="P107" s="11">
        <f ca="1">IF(ISNUMBER(kinematics!L131),kinematics!L131,0)</f>
        <v>25.671584826734943</v>
      </c>
      <c r="R107" s="11">
        <f t="shared" ca="1" si="5"/>
        <v>38.653264186499335</v>
      </c>
      <c r="S107" s="11">
        <f t="shared" ca="1" si="8"/>
        <v>25.671584826734943</v>
      </c>
    </row>
    <row r="108" spans="3:19" x14ac:dyDescent="0.2">
      <c r="C108" s="11">
        <f ca="1">IF(ISNUMBER(kinematics!D132),kinematics!D132,MAX(kinematics!$D$30:$D$210))</f>
        <v>103.58499999999999</v>
      </c>
      <c r="D108" s="18">
        <f ca="1">IF(ISNUMBER(kinematics!D132),kinematics!B132,0)</f>
        <v>102</v>
      </c>
      <c r="E108" s="11">
        <f ca="1">IF(ISNUMBER(kinematics!J132),kinematics!J132,0)</f>
        <v>38.15700107657316</v>
      </c>
      <c r="I108" s="11">
        <f t="shared" ca="1" si="9"/>
        <v>103.58499999999999</v>
      </c>
      <c r="J108" s="18">
        <f ca="1">IF(ISNUMBER(kinematics!D132),kinematics!F132,0)</f>
        <v>392.34760777802813</v>
      </c>
      <c r="K108" s="11">
        <f ca="1">IF(ISNUMBER(kinematics!L132),kinematics!L132,0)</f>
        <v>26.027837221971879</v>
      </c>
      <c r="M108" s="18">
        <f ca="1">IF(ISNUMBER(kinematics!D132),kinematics!B132,MAX($D$6:$D$186))</f>
        <v>102</v>
      </c>
      <c r="N108" s="18">
        <f ca="1">IF(ISNUMBER(kinematics!D132),kinematics!F132,0)</f>
        <v>392.34760777802813</v>
      </c>
      <c r="O108" s="18">
        <f ca="1">IF(ISNUMBER(kinematics!J132),kinematics!J132,0)</f>
        <v>38.15700107657316</v>
      </c>
      <c r="P108" s="11">
        <f ca="1">IF(ISNUMBER(kinematics!L132),kinematics!L132,0)</f>
        <v>26.027837221971879</v>
      </c>
      <c r="R108" s="11">
        <f t="shared" ca="1" si="5"/>
        <v>38.15700107657316</v>
      </c>
      <c r="S108" s="11">
        <f t="shared" ca="1" si="8"/>
        <v>26.027837221971879</v>
      </c>
    </row>
    <row r="109" spans="3:19" x14ac:dyDescent="0.2">
      <c r="C109" s="11">
        <f ca="1">IF(ISNUMBER(kinematics!D133),kinematics!D133,MAX(kinematics!$D$30:$D$210))</f>
        <v>104.57899999999999</v>
      </c>
      <c r="D109" s="18">
        <f ca="1">IF(ISNUMBER(kinematics!D133),kinematics!B133,0)</f>
        <v>103</v>
      </c>
      <c r="E109" s="11">
        <f ca="1">IF(ISNUMBER(kinematics!J133),kinematics!J133,0)</f>
        <v>37.660967530215395</v>
      </c>
      <c r="I109" s="11">
        <f t="shared" ca="1" si="9"/>
        <v>104.57899999999999</v>
      </c>
      <c r="J109" s="18">
        <f ca="1">IF(ISNUMBER(kinematics!D133),kinematics!F133,0)</f>
        <v>391.99301772094697</v>
      </c>
      <c r="K109" s="11">
        <f ca="1">IF(ISNUMBER(kinematics!L133),kinematics!L133,0)</f>
        <v>26.382427279053047</v>
      </c>
      <c r="M109" s="18">
        <f ca="1">IF(ISNUMBER(kinematics!D133),kinematics!B133,MAX($D$6:$D$186))</f>
        <v>103</v>
      </c>
      <c r="N109" s="18">
        <f ca="1">IF(ISNUMBER(kinematics!D133),kinematics!F133,0)</f>
        <v>391.99301772094697</v>
      </c>
      <c r="O109" s="18">
        <f ca="1">IF(ISNUMBER(kinematics!J133),kinematics!J133,0)</f>
        <v>37.660967530215395</v>
      </c>
      <c r="P109" s="11">
        <f ca="1">IF(ISNUMBER(kinematics!L133),kinematics!L133,0)</f>
        <v>26.382427279053047</v>
      </c>
      <c r="R109" s="11">
        <f t="shared" ca="1" si="5"/>
        <v>37.660967530215395</v>
      </c>
      <c r="S109" s="11">
        <f t="shared" ca="1" si="8"/>
        <v>26.382427279053047</v>
      </c>
    </row>
    <row r="110" spans="3:19" x14ac:dyDescent="0.2">
      <c r="C110" s="11">
        <f ca="1">IF(ISNUMBER(kinematics!D134),kinematics!D134,MAX(kinematics!$D$30:$D$210))</f>
        <v>105.572</v>
      </c>
      <c r="D110" s="18">
        <f ca="1">IF(ISNUMBER(kinematics!D134),kinematics!B134,0)</f>
        <v>104</v>
      </c>
      <c r="E110" s="11">
        <f ca="1">IF(ISNUMBER(kinematics!J134),kinematics!J134,0)</f>
        <v>37.16516293803847</v>
      </c>
      <c r="I110" s="11">
        <f t="shared" ca="1" si="9"/>
        <v>105.572</v>
      </c>
      <c r="J110" s="18">
        <f ca="1">IF(ISNUMBER(kinematics!D134),kinematics!F134,0)</f>
        <v>391.6401937347419</v>
      </c>
      <c r="K110" s="11">
        <f ca="1">IF(ISNUMBER(kinematics!L134),kinematics!L134,0)</f>
        <v>26.735251265258114</v>
      </c>
      <c r="M110" s="18">
        <f ca="1">IF(ISNUMBER(kinematics!D134),kinematics!B134,MAX($D$6:$D$186))</f>
        <v>104</v>
      </c>
      <c r="N110" s="18">
        <f ca="1">IF(ISNUMBER(kinematics!D134),kinematics!F134,0)</f>
        <v>391.6401937347419</v>
      </c>
      <c r="O110" s="18">
        <f ca="1">IF(ISNUMBER(kinematics!J134),kinematics!J134,0)</f>
        <v>37.16516293803847</v>
      </c>
      <c r="P110" s="11">
        <f ca="1">IF(ISNUMBER(kinematics!L134),kinematics!L134,0)</f>
        <v>26.735251265258114</v>
      </c>
      <c r="R110" s="11">
        <f t="shared" ca="1" si="5"/>
        <v>37.16516293803847</v>
      </c>
      <c r="S110" s="11">
        <f t="shared" ca="1" si="8"/>
        <v>26.735251265258114</v>
      </c>
    </row>
    <row r="111" spans="3:19" x14ac:dyDescent="0.2">
      <c r="C111" s="11">
        <f ca="1">IF(ISNUMBER(kinematics!D135),kinematics!D135,MAX(kinematics!$D$30:$D$210))</f>
        <v>106.565</v>
      </c>
      <c r="D111" s="18">
        <f ca="1">IF(ISNUMBER(kinematics!D135),kinematics!B135,0)</f>
        <v>105</v>
      </c>
      <c r="E111" s="11">
        <f ca="1">IF(ISNUMBER(kinematics!J135),kinematics!J135,0)</f>
        <v>36.669586604041946</v>
      </c>
      <c r="I111" s="11">
        <f t="shared" ca="1" si="9"/>
        <v>106.565</v>
      </c>
      <c r="J111" s="18">
        <f ca="1">IF(ISNUMBER(kinematics!D135),kinematics!F135,0)</f>
        <v>391.28923872692991</v>
      </c>
      <c r="K111" s="11">
        <f ca="1">IF(ISNUMBER(kinematics!L135),kinematics!L135,0)</f>
        <v>27.086206273070104</v>
      </c>
      <c r="M111" s="18">
        <f ca="1">IF(ISNUMBER(kinematics!D135),kinematics!B135,MAX($D$6:$D$186))</f>
        <v>105</v>
      </c>
      <c r="N111" s="18">
        <f ca="1">IF(ISNUMBER(kinematics!D135),kinematics!F135,0)</f>
        <v>391.28923872692991</v>
      </c>
      <c r="O111" s="18">
        <f ca="1">IF(ISNUMBER(kinematics!J135),kinematics!J135,0)</f>
        <v>36.669586604041946</v>
      </c>
      <c r="P111" s="11">
        <f ca="1">IF(ISNUMBER(kinematics!L135),kinematics!L135,0)</f>
        <v>27.086206273070104</v>
      </c>
      <c r="R111" s="11">
        <f t="shared" ca="1" si="5"/>
        <v>36.669586604041946</v>
      </c>
      <c r="S111" s="11">
        <f t="shared" ca="1" si="8"/>
        <v>27.086206273070104</v>
      </c>
    </row>
    <row r="112" spans="3:19" x14ac:dyDescent="0.2">
      <c r="C112" s="11">
        <f ca="1">IF(ISNUMBER(kinematics!D136),kinematics!D136,MAX(kinematics!$D$30:$D$210))</f>
        <v>107.557</v>
      </c>
      <c r="D112" s="18">
        <f ca="1">IF(ISNUMBER(kinematics!D136),kinematics!B136,0)</f>
        <v>106</v>
      </c>
      <c r="E112" s="11">
        <f ca="1">IF(ISNUMBER(kinematics!J136),kinematics!J136,0)</f>
        <v>36.174237746644351</v>
      </c>
      <c r="I112" s="11">
        <f t="shared" ca="1" si="9"/>
        <v>107.557</v>
      </c>
      <c r="J112" s="18">
        <f ca="1">IF(ISNUMBER(kinematics!D136),kinematics!F136,0)</f>
        <v>390.94025475440338</v>
      </c>
      <c r="K112" s="11">
        <f ca="1">IF(ISNUMBER(kinematics!L136),kinematics!L136,0)</f>
        <v>27.43519024559663</v>
      </c>
      <c r="M112" s="18">
        <f ca="1">IF(ISNUMBER(kinematics!D136),kinematics!B136,MAX($D$6:$D$186))</f>
        <v>106</v>
      </c>
      <c r="N112" s="18">
        <f ca="1">IF(ISNUMBER(kinematics!D136),kinematics!F136,0)</f>
        <v>390.94025475440338</v>
      </c>
      <c r="O112" s="18">
        <f ca="1">IF(ISNUMBER(kinematics!J136),kinematics!J136,0)</f>
        <v>36.174237746644351</v>
      </c>
      <c r="P112" s="11">
        <f ca="1">IF(ISNUMBER(kinematics!L136),kinematics!L136,0)</f>
        <v>27.43519024559663</v>
      </c>
      <c r="R112" s="11">
        <f t="shared" ca="1" si="5"/>
        <v>36.174237746644351</v>
      </c>
      <c r="S112" s="11">
        <f t="shared" ca="1" si="8"/>
        <v>27.43519024559663</v>
      </c>
    </row>
    <row r="113" spans="3:19" x14ac:dyDescent="0.2">
      <c r="C113" s="11">
        <f ca="1">IF(ISNUMBER(kinematics!D137),kinematics!D137,MAX(kinematics!$D$30:$D$210))</f>
        <v>108.54900000000001</v>
      </c>
      <c r="D113" s="18">
        <f ca="1">IF(ISNUMBER(kinematics!D137),kinematics!B137,0)</f>
        <v>107</v>
      </c>
      <c r="E113" s="11">
        <f ca="1">IF(ISNUMBER(kinematics!J137),kinematics!J137,0)</f>
        <v>35.67911549971199</v>
      </c>
      <c r="I113" s="11">
        <f t="shared" ca="1" si="9"/>
        <v>108.54900000000001</v>
      </c>
      <c r="J113" s="18">
        <f ca="1">IF(ISNUMBER(kinematics!D137),kinematics!F137,0)</f>
        <v>390.59334299860694</v>
      </c>
      <c r="K113" s="11">
        <f ca="1">IF(ISNUMBER(kinematics!L137),kinematics!L137,0)</f>
        <v>27.782102001393071</v>
      </c>
      <c r="M113" s="18">
        <f ca="1">IF(ISNUMBER(kinematics!D137),kinematics!B137,MAX($D$6:$D$186))</f>
        <v>107</v>
      </c>
      <c r="N113" s="18">
        <f ca="1">IF(ISNUMBER(kinematics!D137),kinematics!F137,0)</f>
        <v>390.59334299860694</v>
      </c>
      <c r="O113" s="18">
        <f ca="1">IF(ISNUMBER(kinematics!J137),kinematics!J137,0)</f>
        <v>35.67911549971199</v>
      </c>
      <c r="P113" s="11">
        <f ca="1">IF(ISNUMBER(kinematics!L137),kinematics!L137,0)</f>
        <v>27.782102001393071</v>
      </c>
      <c r="R113" s="11">
        <f t="shared" ca="1" si="5"/>
        <v>35.67911549971199</v>
      </c>
      <c r="S113" s="11">
        <f t="shared" ca="1" si="8"/>
        <v>27.782102001393071</v>
      </c>
    </row>
    <row r="114" spans="3:19" x14ac:dyDescent="0.2">
      <c r="C114" s="11">
        <f ca="1">IF(ISNUMBER(kinematics!D138),kinematics!D138,MAX(kinematics!$D$30:$D$210))</f>
        <v>109.54</v>
      </c>
      <c r="D114" s="18">
        <f ca="1">IF(ISNUMBER(kinematics!D138),kinematics!B138,0)</f>
        <v>108</v>
      </c>
      <c r="E114" s="11">
        <f ca="1">IF(ISNUMBER(kinematics!J138),kinematics!J138,0)</f>
        <v>35.184218913566369</v>
      </c>
      <c r="I114" s="11">
        <f t="shared" ca="1" si="9"/>
        <v>109.54</v>
      </c>
      <c r="J114" s="18">
        <f ca="1">IF(ISNUMBER(kinematics!D138),kinematics!F138,0)</f>
        <v>390.24860374128809</v>
      </c>
      <c r="K114" s="11">
        <f ca="1">IF(ISNUMBER(kinematics!L138),kinematics!L138,0)</f>
        <v>28.12684125871192</v>
      </c>
      <c r="M114" s="18">
        <f ca="1">IF(ISNUMBER(kinematics!D138),kinematics!B138,MAX($D$6:$D$186))</f>
        <v>108</v>
      </c>
      <c r="N114" s="18">
        <f ca="1">IF(ISNUMBER(kinematics!D138),kinematics!F138,0)</f>
        <v>390.24860374128809</v>
      </c>
      <c r="O114" s="18">
        <f ca="1">IF(ISNUMBER(kinematics!J138),kinematics!J138,0)</f>
        <v>35.184218913566369</v>
      </c>
      <c r="P114" s="11">
        <f ca="1">IF(ISNUMBER(kinematics!L138),kinematics!L138,0)</f>
        <v>28.12684125871192</v>
      </c>
      <c r="R114" s="11">
        <f t="shared" ca="1" si="5"/>
        <v>35.184218913566369</v>
      </c>
      <c r="S114" s="11">
        <f t="shared" ca="1" si="8"/>
        <v>28.12684125871192</v>
      </c>
    </row>
    <row r="115" spans="3:19" x14ac:dyDescent="0.2">
      <c r="C115" s="11">
        <f ca="1">IF(ISNUMBER(kinematics!D139),kinematics!D139,MAX(kinematics!$D$30:$D$210))</f>
        <v>110.53100000000001</v>
      </c>
      <c r="D115" s="18">
        <f ca="1">IF(ISNUMBER(kinematics!D139),kinematics!B139,0)</f>
        <v>109</v>
      </c>
      <c r="E115" s="11">
        <f ca="1">IF(ISNUMBER(kinematics!J139),kinematics!J139,0)</f>
        <v>34.689546955982536</v>
      </c>
      <c r="I115" s="11">
        <f t="shared" ca="1" si="9"/>
        <v>110.53100000000001</v>
      </c>
      <c r="J115" s="18">
        <f ca="1">IF(ISNUMBER(kinematics!D139),kinematics!F139,0)</f>
        <v>389.90613634083167</v>
      </c>
      <c r="K115" s="11">
        <f ca="1">IF(ISNUMBER(kinematics!L139),kinematics!L139,0)</f>
        <v>28.469308659168348</v>
      </c>
      <c r="M115" s="18">
        <f ca="1">IF(ISNUMBER(kinematics!D139),kinematics!B139,MAX($D$6:$D$186))</f>
        <v>109</v>
      </c>
      <c r="N115" s="18">
        <f ca="1">IF(ISNUMBER(kinematics!D139),kinematics!F139,0)</f>
        <v>389.90613634083167</v>
      </c>
      <c r="O115" s="18">
        <f ca="1">IF(ISNUMBER(kinematics!J139),kinematics!J139,0)</f>
        <v>34.689546955982536</v>
      </c>
      <c r="P115" s="11">
        <f ca="1">IF(ISNUMBER(kinematics!L139),kinematics!L139,0)</f>
        <v>28.469308659168348</v>
      </c>
      <c r="R115" s="11">
        <f t="shared" ca="1" si="5"/>
        <v>34.689546955982536</v>
      </c>
      <c r="S115" s="11">
        <f t="shared" ca="1" si="8"/>
        <v>28.469308659168348</v>
      </c>
    </row>
    <row r="116" spans="3:19" x14ac:dyDescent="0.2">
      <c r="C116" s="11">
        <f ca="1">IF(ISNUMBER(kinematics!D140),kinematics!D140,MAX(kinematics!$D$30:$D$210))</f>
        <v>111.52200000000001</v>
      </c>
      <c r="D116" s="18">
        <f ca="1">IF(ISNUMBER(kinematics!D140),kinematics!B140,0)</f>
        <v>110</v>
      </c>
      <c r="E116" s="11">
        <f ca="1">IF(ISNUMBER(kinematics!J140),kinematics!J140,0)</f>
        <v>34.195098513178863</v>
      </c>
      <c r="I116" s="11">
        <f t="shared" ca="1" si="9"/>
        <v>111.52200000000001</v>
      </c>
      <c r="J116" s="18">
        <f ca="1">IF(ISNUMBER(kinematics!D140),kinematics!F140,0)</f>
        <v>389.5660392091749</v>
      </c>
      <c r="K116" s="11">
        <f ca="1">IF(ISNUMBER(kinematics!L140),kinematics!L140,0)</f>
        <v>28.80940579082511</v>
      </c>
      <c r="M116" s="18">
        <f ca="1">IF(ISNUMBER(kinematics!D140),kinematics!B140,MAX($D$6:$D$186))</f>
        <v>110</v>
      </c>
      <c r="N116" s="18">
        <f ca="1">IF(ISNUMBER(kinematics!D140),kinematics!F140,0)</f>
        <v>389.5660392091749</v>
      </c>
      <c r="O116" s="18">
        <f ca="1">IF(ISNUMBER(kinematics!J140),kinematics!J140,0)</f>
        <v>34.195098513178863</v>
      </c>
      <c r="P116" s="11">
        <f ca="1">IF(ISNUMBER(kinematics!L140),kinematics!L140,0)</f>
        <v>28.80940579082511</v>
      </c>
      <c r="R116" s="11">
        <f t="shared" ca="1" si="5"/>
        <v>34.195098513178863</v>
      </c>
      <c r="S116" s="11">
        <f t="shared" ca="1" si="8"/>
        <v>28.80940579082511</v>
      </c>
    </row>
    <row r="117" spans="3:19" x14ac:dyDescent="0.2">
      <c r="C117" s="11">
        <f ca="1">IF(ISNUMBER(kinematics!D141),kinematics!D141,MAX(kinematics!$D$30:$D$210))</f>
        <v>112.512</v>
      </c>
      <c r="D117" s="18">
        <f ca="1">IF(ISNUMBER(kinematics!D141),kinematics!B141,0)</f>
        <v>111</v>
      </c>
      <c r="E117" s="11">
        <f ca="1">IF(ISNUMBER(kinematics!J141),kinematics!J141,0)</f>
        <v>33.700872390795695</v>
      </c>
      <c r="I117" s="11">
        <f t="shared" ca="1" si="9"/>
        <v>112.512</v>
      </c>
      <c r="J117" s="18">
        <f ca="1">IF(ISNUMBER(kinematics!D141),kinematics!F141,0)</f>
        <v>389.22840978929503</v>
      </c>
      <c r="K117" s="11">
        <f ca="1">IF(ISNUMBER(kinematics!L141),kinematics!L141,0)</f>
        <v>29.147035210704985</v>
      </c>
      <c r="M117" s="18">
        <f ca="1">IF(ISNUMBER(kinematics!D141),kinematics!B141,MAX($D$6:$D$186))</f>
        <v>111</v>
      </c>
      <c r="N117" s="18">
        <f ca="1">IF(ISNUMBER(kinematics!D141),kinematics!F141,0)</f>
        <v>389.22840978929503</v>
      </c>
      <c r="O117" s="18">
        <f ca="1">IF(ISNUMBER(kinematics!J141),kinematics!J141,0)</f>
        <v>33.700872390795695</v>
      </c>
      <c r="P117" s="11">
        <f ca="1">IF(ISNUMBER(kinematics!L141),kinematics!L141,0)</f>
        <v>29.147035210704985</v>
      </c>
      <c r="R117" s="11">
        <f t="shared" ca="1" si="5"/>
        <v>33.700872390795695</v>
      </c>
      <c r="S117" s="11">
        <f t="shared" ca="1" si="8"/>
        <v>29.147035210704985</v>
      </c>
    </row>
    <row r="118" spans="3:19" x14ac:dyDescent="0.2">
      <c r="C118" s="11">
        <f ca="1">IF(ISNUMBER(kinematics!D142),kinematics!D142,MAX(kinematics!$D$30:$D$210))</f>
        <v>113.501</v>
      </c>
      <c r="D118" s="18">
        <f ca="1">IF(ISNUMBER(kinematics!D142),kinematics!B142,0)</f>
        <v>112</v>
      </c>
      <c r="E118" s="11">
        <f ca="1">IF(ISNUMBER(kinematics!J142),kinematics!J142,0)</f>
        <v>33.206867314870408</v>
      </c>
      <c r="I118" s="11">
        <f t="shared" ca="1" si="9"/>
        <v>113.501</v>
      </c>
      <c r="J118" s="18">
        <f ca="1">IF(ISNUMBER(kinematics!D142),kinematics!F142,0)</f>
        <v>388.89334453327416</v>
      </c>
      <c r="K118" s="11">
        <f ca="1">IF(ISNUMBER(kinematics!L142),kinematics!L142,0)</f>
        <v>29.482100466725853</v>
      </c>
      <c r="M118" s="18">
        <f ca="1">IF(ISNUMBER(kinematics!D142),kinematics!B142,MAX($D$6:$D$186))</f>
        <v>112</v>
      </c>
      <c r="N118" s="18">
        <f ca="1">IF(ISNUMBER(kinematics!D142),kinematics!F142,0)</f>
        <v>388.89334453327416</v>
      </c>
      <c r="O118" s="18">
        <f ca="1">IF(ISNUMBER(kinematics!J142),kinematics!J142,0)</f>
        <v>33.206867314870408</v>
      </c>
      <c r="P118" s="11">
        <f ca="1">IF(ISNUMBER(kinematics!L142),kinematics!L142,0)</f>
        <v>29.482100466725853</v>
      </c>
      <c r="R118" s="11">
        <f t="shared" ca="1" si="5"/>
        <v>33.206867314870408</v>
      </c>
      <c r="S118" s="11">
        <f t="shared" ca="1" si="8"/>
        <v>29.482100466725853</v>
      </c>
    </row>
    <row r="119" spans="3:19" x14ac:dyDescent="0.2">
      <c r="C119" s="11">
        <f ca="1">IF(ISNUMBER(kinematics!D143),kinematics!D143,MAX(kinematics!$D$30:$D$210))</f>
        <v>114.491</v>
      </c>
      <c r="D119" s="18">
        <f ca="1">IF(ISNUMBER(kinematics!D143),kinematics!B143,0)</f>
        <v>113</v>
      </c>
      <c r="E119" s="11">
        <f ca="1">IF(ISNUMBER(kinematics!J143),kinematics!J143,0)</f>
        <v>32.71308193280683</v>
      </c>
      <c r="I119" s="11">
        <f t="shared" ca="1" si="9"/>
        <v>114.491</v>
      </c>
      <c r="J119" s="18">
        <f ca="1">IF(ISNUMBER(kinematics!D143),kinematics!F143,0)</f>
        <v>388.56093888093341</v>
      </c>
      <c r="K119" s="11">
        <f ca="1">IF(ISNUMBER(kinematics!L143),kinematics!L143,0)</f>
        <v>29.814506119066607</v>
      </c>
      <c r="M119" s="18">
        <f ca="1">IF(ISNUMBER(kinematics!D143),kinematics!B143,MAX($D$6:$D$186))</f>
        <v>113</v>
      </c>
      <c r="N119" s="18">
        <f ca="1">IF(ISNUMBER(kinematics!D143),kinematics!F143,0)</f>
        <v>388.56093888093341</v>
      </c>
      <c r="O119" s="18">
        <f ca="1">IF(ISNUMBER(kinematics!J143),kinematics!J143,0)</f>
        <v>32.71308193280683</v>
      </c>
      <c r="P119" s="11">
        <f ca="1">IF(ISNUMBER(kinematics!L143),kinematics!L143,0)</f>
        <v>29.814506119066607</v>
      </c>
      <c r="R119" s="11">
        <f t="shared" ca="1" si="5"/>
        <v>32.71308193280683</v>
      </c>
      <c r="S119" s="11">
        <f t="shared" ca="1" si="8"/>
        <v>29.814506119066607</v>
      </c>
    </row>
    <row r="120" spans="3:19" x14ac:dyDescent="0.2">
      <c r="C120" s="11">
        <f ca="1">IF(ISNUMBER(kinematics!D144),kinematics!D144,MAX(kinematics!$D$30:$D$210))</f>
        <v>115.479</v>
      </c>
      <c r="D120" s="18">
        <f ca="1">IF(ISNUMBER(kinematics!D144),kinematics!B144,0)</f>
        <v>114</v>
      </c>
      <c r="E120" s="11">
        <f ca="1">IF(ISNUMBER(kinematics!J144),kinematics!J144,0)</f>
        <v>32.21951481433959</v>
      </c>
      <c r="I120" s="11">
        <f t="shared" ca="1" si="9"/>
        <v>115.479</v>
      </c>
      <c r="J120" s="18">
        <f ca="1">IF(ISNUMBER(kinematics!D144),kinematics!F144,0)</f>
        <v>388.23128723903142</v>
      </c>
      <c r="K120" s="11">
        <f ca="1">IF(ISNUMBER(kinematics!L144),kinematics!L144,0)</f>
        <v>30.144157760968596</v>
      </c>
      <c r="M120" s="18">
        <f ca="1">IF(ISNUMBER(kinematics!D144),kinematics!B144,MAX($D$6:$D$186))</f>
        <v>114</v>
      </c>
      <c r="N120" s="18">
        <f ca="1">IF(ISNUMBER(kinematics!D144),kinematics!F144,0)</f>
        <v>388.23128723903142</v>
      </c>
      <c r="O120" s="18">
        <f ca="1">IF(ISNUMBER(kinematics!J144),kinematics!J144,0)</f>
        <v>32.21951481433959</v>
      </c>
      <c r="P120" s="11">
        <f ca="1">IF(ISNUMBER(kinematics!L144),kinematics!L144,0)</f>
        <v>30.144157760968596</v>
      </c>
      <c r="R120" s="11">
        <f t="shared" ca="1" si="5"/>
        <v>32.21951481433959</v>
      </c>
      <c r="S120" s="11">
        <f t="shared" ca="1" si="8"/>
        <v>30.144157760968596</v>
      </c>
    </row>
    <row r="121" spans="3:19" x14ac:dyDescent="0.2">
      <c r="C121" s="11">
        <f ca="1">IF(ISNUMBER(kinematics!D145),kinematics!D145,MAX(kinematics!$D$30:$D$210))</f>
        <v>116.467</v>
      </c>
      <c r="D121" s="18">
        <f ca="1">IF(ISNUMBER(kinematics!D145),kinematics!B145,0)</f>
        <v>115</v>
      </c>
      <c r="E121" s="11">
        <f ca="1">IF(ISNUMBER(kinematics!J145),kinematics!J145,0)</f>
        <v>31.726164452497269</v>
      </c>
      <c r="I121" s="11">
        <f t="shared" ca="1" si="9"/>
        <v>116.467</v>
      </c>
      <c r="J121" s="18">
        <f ca="1">IF(ISNUMBER(kinematics!D145),kinematics!F145,0)</f>
        <v>387.90448296102664</v>
      </c>
      <c r="K121" s="11">
        <f ca="1">IF(ISNUMBER(kinematics!L145),kinematics!L145,0)</f>
        <v>30.470962038973369</v>
      </c>
      <c r="M121" s="18">
        <f ca="1">IF(ISNUMBER(kinematics!D145),kinematics!B145,MAX($D$6:$D$186))</f>
        <v>115</v>
      </c>
      <c r="N121" s="18">
        <f ca="1">IF(ISNUMBER(kinematics!D145),kinematics!F145,0)</f>
        <v>387.90448296102664</v>
      </c>
      <c r="O121" s="18">
        <f ca="1">IF(ISNUMBER(kinematics!J145),kinematics!J145,0)</f>
        <v>31.726164452497269</v>
      </c>
      <c r="P121" s="11">
        <f ca="1">IF(ISNUMBER(kinematics!L145),kinematics!L145,0)</f>
        <v>30.470962038973369</v>
      </c>
      <c r="R121" s="11">
        <f t="shared" ca="1" si="5"/>
        <v>31.726164452497269</v>
      </c>
      <c r="S121" s="11">
        <f t="shared" ca="1" si="8"/>
        <v>30.470962038973369</v>
      </c>
    </row>
    <row r="122" spans="3:19" x14ac:dyDescent="0.2">
      <c r="C122" s="11">
        <f ca="1">IF(ISNUMBER(kinematics!D146),kinematics!D146,MAX(kinematics!$D$30:$D$210))</f>
        <v>117.455</v>
      </c>
      <c r="D122" s="18">
        <f ca="1">IF(ISNUMBER(kinematics!D146),kinematics!B146,0)</f>
        <v>116</v>
      </c>
      <c r="E122" s="11">
        <f ca="1">IF(ISNUMBER(kinematics!J146),kinematics!J146,0)</f>
        <v>31.233029264566767</v>
      </c>
      <c r="I122" s="11">
        <f t="shared" ca="1" si="9"/>
        <v>117.455</v>
      </c>
      <c r="J122" s="18">
        <f ca="1">IF(ISNUMBER(kinematics!D146),kinematics!F146,0)</f>
        <v>387.580618327401</v>
      </c>
      <c r="K122" s="11">
        <f ca="1">IF(ISNUMBER(kinematics!L146),kinematics!L146,0)</f>
        <v>30.794826672599015</v>
      </c>
      <c r="M122" s="18">
        <f ca="1">IF(ISNUMBER(kinematics!D146),kinematics!B146,MAX($D$6:$D$186))</f>
        <v>116</v>
      </c>
      <c r="N122" s="18">
        <f ca="1">IF(ISNUMBER(kinematics!D146),kinematics!F146,0)</f>
        <v>387.580618327401</v>
      </c>
      <c r="O122" s="18">
        <f ca="1">IF(ISNUMBER(kinematics!J146),kinematics!J146,0)</f>
        <v>31.233029264566767</v>
      </c>
      <c r="P122" s="11">
        <f ca="1">IF(ISNUMBER(kinematics!L146),kinematics!L146,0)</f>
        <v>30.794826672599015</v>
      </c>
      <c r="R122" s="11">
        <f t="shared" ca="1" si="5"/>
        <v>31.233029264566767</v>
      </c>
      <c r="S122" s="11">
        <f t="shared" ca="1" si="8"/>
        <v>30.794826672599015</v>
      </c>
    </row>
    <row r="123" spans="3:19" x14ac:dyDescent="0.2">
      <c r="C123" s="11">
        <f ca="1">IF(ISNUMBER(kinematics!D147),kinematics!D147,MAX(kinematics!$D$30:$D$210))</f>
        <v>118.44199999999999</v>
      </c>
      <c r="D123" s="18">
        <f ca="1">IF(ISNUMBER(kinematics!D147),kinematics!B147,0)</f>
        <v>117</v>
      </c>
      <c r="E123" s="11">
        <f ca="1">IF(ISNUMBER(kinematics!J147),kinematics!J147,0)</f>
        <v>30.740107593050819</v>
      </c>
      <c r="I123" s="11">
        <f t="shared" ca="1" si="9"/>
        <v>118.44199999999999</v>
      </c>
      <c r="J123" s="18">
        <f ca="1">IF(ISNUMBER(kinematics!D147),kinematics!F147,0)</f>
        <v>387.25978452652555</v>
      </c>
      <c r="K123" s="11">
        <f ca="1">IF(ISNUMBER(kinematics!L147),kinematics!L147,0)</f>
        <v>31.115660473474463</v>
      </c>
      <c r="M123" s="18">
        <f ca="1">IF(ISNUMBER(kinematics!D147),kinematics!B147,MAX($D$6:$D$186))</f>
        <v>117</v>
      </c>
      <c r="N123" s="18">
        <f ca="1">IF(ISNUMBER(kinematics!D147),kinematics!F147,0)</f>
        <v>387.25978452652555</v>
      </c>
      <c r="O123" s="18">
        <f ca="1">IF(ISNUMBER(kinematics!J147),kinematics!J147,0)</f>
        <v>30.740107593050819</v>
      </c>
      <c r="P123" s="11">
        <f ca="1">IF(ISNUMBER(kinematics!L147),kinematics!L147,0)</f>
        <v>31.115660473474463</v>
      </c>
      <c r="R123" s="11">
        <f ca="1">O123</f>
        <v>30.740107593050819</v>
      </c>
      <c r="S123" s="11">
        <f t="shared" ca="1" si="8"/>
        <v>31.115660473474463</v>
      </c>
    </row>
    <row r="124" spans="3:19" x14ac:dyDescent="0.2">
      <c r="C124" s="11">
        <f ca="1">IF(ISNUMBER(kinematics!D148),kinematics!D148,MAX(kinematics!$D$30:$D$210))</f>
        <v>119.429</v>
      </c>
      <c r="D124" s="18">
        <f ca="1">IF(ISNUMBER(kinematics!D148),kinematics!B148,0)</f>
        <v>118</v>
      </c>
      <c r="E124" s="11">
        <f ca="1">IF(ISNUMBER(kinematics!J148),kinematics!J148,0)</f>
        <v>30.247397706632771</v>
      </c>
      <c r="I124" s="11">
        <f t="shared" ca="1" si="9"/>
        <v>119.429</v>
      </c>
      <c r="J124" s="18">
        <f ca="1">IF(ISNUMBER(kinematics!D148),kinematics!F148,0)</f>
        <v>386.94207163608371</v>
      </c>
      <c r="K124" s="11">
        <f ca="1">IF(ISNUMBER(kinematics!L148),kinematics!L148,0)</f>
        <v>31.433373363916303</v>
      </c>
      <c r="M124" s="18">
        <f ca="1">IF(ISNUMBER(kinematics!D148),kinematics!B148,MAX($D$6:$D$186))</f>
        <v>118</v>
      </c>
      <c r="N124" s="18">
        <f ca="1">IF(ISNUMBER(kinematics!D148),kinematics!F148,0)</f>
        <v>386.94207163608371</v>
      </c>
      <c r="O124" s="18">
        <f ca="1">IF(ISNUMBER(kinematics!J148),kinematics!J148,0)</f>
        <v>30.247397706632771</v>
      </c>
      <c r="P124" s="11">
        <f ca="1">IF(ISNUMBER(kinematics!L148),kinematics!L148,0)</f>
        <v>31.433373363916303</v>
      </c>
      <c r="R124" s="11">
        <f t="shared" ca="1" si="5"/>
        <v>30.247397706632771</v>
      </c>
      <c r="S124" s="11">
        <f t="shared" ca="1" si="8"/>
        <v>31.433373363916303</v>
      </c>
    </row>
    <row r="125" spans="3:19" x14ac:dyDescent="0.2">
      <c r="C125" s="11">
        <f ca="1">IF(ISNUMBER(kinematics!D149),kinematics!D149,MAX(kinematics!$D$30:$D$210))</f>
        <v>120.416</v>
      </c>
      <c r="D125" s="18">
        <f ca="1">IF(ISNUMBER(kinematics!D149),kinematics!B149,0)</f>
        <v>119</v>
      </c>
      <c r="E125" s="11">
        <f ca="1">IF(ISNUMBER(kinematics!J149),kinematics!J149,0)</f>
        <v>29.754897801140753</v>
      </c>
      <c r="I125" s="11">
        <f t="shared" ca="1" si="9"/>
        <v>120.416</v>
      </c>
      <c r="J125" s="18">
        <f ca="1">IF(ISNUMBER(kinematics!D149),kinematics!F149,0)</f>
        <v>386.62756860503208</v>
      </c>
      <c r="K125" s="11">
        <f ca="1">IF(ISNUMBER(kinematics!L149),kinematics!L149,0)</f>
        <v>31.747876394967932</v>
      </c>
      <c r="M125" s="18">
        <f ca="1">IF(ISNUMBER(kinematics!D149),kinematics!B149,MAX($D$6:$D$186))</f>
        <v>119</v>
      </c>
      <c r="N125" s="18">
        <f ca="1">IF(ISNUMBER(kinematics!D149),kinematics!F149,0)</f>
        <v>386.62756860503208</v>
      </c>
      <c r="O125" s="18">
        <f ca="1">IF(ISNUMBER(kinematics!J149),kinematics!J149,0)</f>
        <v>29.754897801140753</v>
      </c>
      <c r="P125" s="11">
        <f ca="1">IF(ISNUMBER(kinematics!L149),kinematics!L149,0)</f>
        <v>31.747876394967932</v>
      </c>
      <c r="R125" s="11">
        <f t="shared" ca="1" si="5"/>
        <v>29.754897801140753</v>
      </c>
      <c r="S125" s="11">
        <f t="shared" ca="1" si="8"/>
        <v>31.747876394967932</v>
      </c>
    </row>
    <row r="126" spans="3:19" x14ac:dyDescent="0.2">
      <c r="C126" s="11">
        <f ca="1">IF(ISNUMBER(kinematics!D150),kinematics!D150,MAX(kinematics!$D$30:$D$210))</f>
        <v>121.402</v>
      </c>
      <c r="D126" s="18">
        <f ca="1">IF(ISNUMBER(kinematics!D150),kinematics!B150,0)</f>
        <v>120</v>
      </c>
      <c r="E126" s="11">
        <f ca="1">IF(ISNUMBER(kinematics!J150),kinematics!J150,0)</f>
        <v>29.262606000511102</v>
      </c>
      <c r="I126" s="11">
        <f t="shared" ca="1" si="9"/>
        <v>121.402</v>
      </c>
      <c r="J126" s="18">
        <f ca="1">IF(ISNUMBER(kinematics!D150),kinematics!F150,0)</f>
        <v>386.31636323609143</v>
      </c>
      <c r="K126" s="11">
        <f ca="1">IF(ISNUMBER(kinematics!L150),kinematics!L150,0)</f>
        <v>32.05908176390858</v>
      </c>
      <c r="M126" s="18">
        <f ca="1">IF(ISNUMBER(kinematics!D150),kinematics!B150,MAX($D$6:$D$186))</f>
        <v>120</v>
      </c>
      <c r="N126" s="18">
        <f ca="1">IF(ISNUMBER(kinematics!D150),kinematics!F150,0)</f>
        <v>386.31636323609143</v>
      </c>
      <c r="O126" s="18">
        <f ca="1">IF(ISNUMBER(kinematics!J150),kinematics!J150,0)</f>
        <v>29.262606000511102</v>
      </c>
      <c r="P126" s="11">
        <f ca="1">IF(ISNUMBER(kinematics!L150),kinematics!L150,0)</f>
        <v>32.05908176390858</v>
      </c>
      <c r="R126" s="11">
        <f t="shared" ca="1" si="5"/>
        <v>29.262606000511102</v>
      </c>
      <c r="S126" s="11">
        <f t="shared" ca="1" si="8"/>
        <v>32.05908176390858</v>
      </c>
    </row>
    <row r="127" spans="3:19" x14ac:dyDescent="0.2">
      <c r="C127" s="11">
        <f ca="1">IF(ISNUMBER(kinematics!D151),kinematics!D151,MAX(kinematics!$D$30:$D$210))</f>
        <v>122.387</v>
      </c>
      <c r="D127" s="18">
        <f ca="1">IF(ISNUMBER(kinematics!D151),kinematics!B151,0)</f>
        <v>121</v>
      </c>
      <c r="E127" s="11">
        <f ca="1">IF(ISNUMBER(kinematics!J151),kinematics!J151,0)</f>
        <v>28.770520357759668</v>
      </c>
      <c r="I127" s="11">
        <f t="shared" ca="1" si="9"/>
        <v>122.387</v>
      </c>
      <c r="J127" s="18">
        <f ca="1">IF(ISNUMBER(kinematics!D151),kinematics!F151,0)</f>
        <v>386.00854216877423</v>
      </c>
      <c r="K127" s="11">
        <f ca="1">IF(ISNUMBER(kinematics!L151),kinematics!L151,0)</f>
        <v>32.366902831225786</v>
      </c>
      <c r="M127" s="18">
        <f ca="1">IF(ISNUMBER(kinematics!D151),kinematics!B151,MAX($D$6:$D$186))</f>
        <v>121</v>
      </c>
      <c r="N127" s="18">
        <f ca="1">IF(ISNUMBER(kinematics!D151),kinematics!F151,0)</f>
        <v>386.00854216877423</v>
      </c>
      <c r="O127" s="18">
        <f ca="1">IF(ISNUMBER(kinematics!J151),kinematics!J151,0)</f>
        <v>28.770520357759668</v>
      </c>
      <c r="P127" s="11">
        <f ca="1">IF(ISNUMBER(kinematics!L151),kinematics!L151,0)</f>
        <v>32.366902831225786</v>
      </c>
      <c r="R127" s="11">
        <f t="shared" ca="1" si="5"/>
        <v>28.770520357759668</v>
      </c>
      <c r="S127" s="11">
        <f t="shared" ca="1" si="8"/>
        <v>32.366902831225786</v>
      </c>
    </row>
    <row r="128" spans="3:19" x14ac:dyDescent="0.2">
      <c r="C128" s="11">
        <f ca="1">IF(ISNUMBER(kinematics!D152),kinematics!D152,MAX(kinematics!$D$30:$D$210))</f>
        <v>123.373</v>
      </c>
      <c r="D128" s="18">
        <f ca="1">IF(ISNUMBER(kinematics!D152),kinematics!B152,0)</f>
        <v>122</v>
      </c>
      <c r="E128" s="11">
        <f ca="1">IF(ISNUMBER(kinematics!J152),kinematics!J152,0)</f>
        <v>28.278638855953989</v>
      </c>
      <c r="I128" s="11">
        <f t="shared" ca="1" si="9"/>
        <v>123.373</v>
      </c>
      <c r="J128" s="18">
        <f ca="1">IF(ISNUMBER(kinematics!D152),kinematics!F152,0)</f>
        <v>385.70419086292958</v>
      </c>
      <c r="K128" s="11">
        <f ca="1">IF(ISNUMBER(kinematics!L152),kinematics!L152,0)</f>
        <v>32.671254137070434</v>
      </c>
      <c r="M128" s="18">
        <f ca="1">IF(ISNUMBER(kinematics!D152),kinematics!B152,MAX($D$6:$D$186))</f>
        <v>122</v>
      </c>
      <c r="N128" s="18">
        <f ca="1">IF(ISNUMBER(kinematics!D152),kinematics!F152,0)</f>
        <v>385.70419086292958</v>
      </c>
      <c r="O128" s="18">
        <f ca="1">IF(ISNUMBER(kinematics!J152),kinematics!J152,0)</f>
        <v>28.278638855953989</v>
      </c>
      <c r="P128" s="11">
        <f ca="1">IF(ISNUMBER(kinematics!L152),kinematics!L152,0)</f>
        <v>32.671254137070434</v>
      </c>
      <c r="R128" s="11">
        <f t="shared" ca="1" si="5"/>
        <v>28.278638855953989</v>
      </c>
      <c r="S128" s="11">
        <f t="shared" ca="1" si="8"/>
        <v>32.671254137070434</v>
      </c>
    </row>
    <row r="129" spans="3:19" x14ac:dyDescent="0.2">
      <c r="C129" s="11">
        <f ca="1">IF(ISNUMBER(kinematics!D153),kinematics!D153,MAX(kinematics!$D$30:$D$210))</f>
        <v>124.357</v>
      </c>
      <c r="D129" s="18">
        <f ca="1">IF(ISNUMBER(kinematics!D153),kinematics!B153,0)</f>
        <v>123</v>
      </c>
      <c r="E129" s="11">
        <f ca="1">IF(ISNUMBER(kinematics!J153),kinematics!J153,0)</f>
        <v>27.786959409189471</v>
      </c>
      <c r="I129" s="11">
        <f t="shared" ca="1" si="9"/>
        <v>124.357</v>
      </c>
      <c r="J129" s="18">
        <f ca="1">IF(ISNUMBER(kinematics!D153),kinematics!F153,0)</f>
        <v>385.40339358280227</v>
      </c>
      <c r="K129" s="11">
        <f ca="1">IF(ISNUMBER(kinematics!L153),kinematics!L153,0)</f>
        <v>32.972051417197747</v>
      </c>
      <c r="M129" s="18">
        <f ca="1">IF(ISNUMBER(kinematics!D153),kinematics!B153,MAX($D$6:$D$186))</f>
        <v>123</v>
      </c>
      <c r="N129" s="18">
        <f ca="1">IF(ISNUMBER(kinematics!D153),kinematics!F153,0)</f>
        <v>385.40339358280227</v>
      </c>
      <c r="O129" s="18">
        <f ca="1">IF(ISNUMBER(kinematics!J153),kinematics!J153,0)</f>
        <v>27.786959409189471</v>
      </c>
      <c r="P129" s="11">
        <f ca="1">IF(ISNUMBER(kinematics!L153),kinematics!L153,0)</f>
        <v>32.972051417197747</v>
      </c>
      <c r="R129" s="11">
        <f t="shared" ca="1" si="5"/>
        <v>27.786959409189471</v>
      </c>
      <c r="S129" s="11">
        <f t="shared" ca="1" si="8"/>
        <v>32.972051417197747</v>
      </c>
    </row>
    <row r="130" spans="3:19" x14ac:dyDescent="0.2">
      <c r="C130" s="11">
        <f ca="1">IF(ISNUMBER(kinematics!D154),kinematics!D154,MAX(kinematics!$D$30:$D$210))</f>
        <v>125.342</v>
      </c>
      <c r="D130" s="18">
        <f ca="1">IF(ISNUMBER(kinematics!D154),kinematics!B154,0)</f>
        <v>124</v>
      </c>
      <c r="E130" s="11">
        <f ca="1">IF(ISNUMBER(kinematics!J154),kinematics!J154,0)</f>
        <v>27.295479863570716</v>
      </c>
      <c r="I130" s="11">
        <f t="shared" ca="1" si="9"/>
        <v>125.342</v>
      </c>
      <c r="J130" s="18">
        <f ca="1">IF(ISNUMBER(kinematics!D154),kinematics!F154,0)</f>
        <v>385.10623338159979</v>
      </c>
      <c r="K130" s="11">
        <f ca="1">IF(ISNUMBER(kinematics!L154),kinematics!L154,0)</f>
        <v>33.26921161840022</v>
      </c>
      <c r="M130" s="18">
        <f ca="1">IF(ISNUMBER(kinematics!D154),kinematics!B154,MAX($D$6:$D$186))</f>
        <v>124</v>
      </c>
      <c r="N130" s="18">
        <f ca="1">IF(ISNUMBER(kinematics!D154),kinematics!F154,0)</f>
        <v>385.10623338159979</v>
      </c>
      <c r="O130" s="18">
        <f ca="1">IF(ISNUMBER(kinematics!J154),kinematics!J154,0)</f>
        <v>27.295479863570716</v>
      </c>
      <c r="P130" s="11">
        <f ca="1">IF(ISNUMBER(kinematics!L154),kinematics!L154,0)</f>
        <v>33.26921161840022</v>
      </c>
      <c r="R130" s="11">
        <f t="shared" ca="1" si="5"/>
        <v>27.295479863570716</v>
      </c>
      <c r="S130" s="11">
        <f t="shared" ca="1" si="8"/>
        <v>33.26921161840022</v>
      </c>
    </row>
    <row r="131" spans="3:19" x14ac:dyDescent="0.2">
      <c r="C131" s="11">
        <f ca="1">IF(ISNUMBER(kinematics!D155),kinematics!D155,MAX(kinematics!$D$30:$D$210))</f>
        <v>126.32599999999999</v>
      </c>
      <c r="D131" s="18">
        <f ca="1">IF(ISNUMBER(kinematics!D155),kinematics!B155,0)</f>
        <v>125</v>
      </c>
      <c r="E131" s="11">
        <f ca="1">IF(ISNUMBER(kinematics!J155),kinematics!J155,0)</f>
        <v>26.804197998200028</v>
      </c>
      <c r="I131" s="11">
        <f t="shared" ca="1" si="9"/>
        <v>126.32599999999999</v>
      </c>
      <c r="J131" s="18">
        <f ca="1">IF(ISNUMBER(kinematics!D155),kinematics!F155,0)</f>
        <v>384.81279208656349</v>
      </c>
      <c r="K131" s="11">
        <f ca="1">IF(ISNUMBER(kinematics!L155),kinematics!L155,0)</f>
        <v>33.562652913436523</v>
      </c>
      <c r="M131" s="18">
        <f ca="1">IF(ISNUMBER(kinematics!D155),kinematics!B155,MAX($D$6:$D$186))</f>
        <v>125</v>
      </c>
      <c r="N131" s="18">
        <f ca="1">IF(ISNUMBER(kinematics!D155),kinematics!F155,0)</f>
        <v>384.81279208656349</v>
      </c>
      <c r="O131" s="18">
        <f ca="1">IF(ISNUMBER(kinematics!J155),kinematics!J155,0)</f>
        <v>26.804197998200028</v>
      </c>
      <c r="P131" s="11">
        <f ca="1">IF(ISNUMBER(kinematics!L155),kinematics!L155,0)</f>
        <v>33.562652913436523</v>
      </c>
      <c r="R131" s="11">
        <f t="shared" ca="1" si="5"/>
        <v>26.804197998200028</v>
      </c>
      <c r="S131" s="11">
        <f t="shared" ca="1" si="8"/>
        <v>33.562652913436523</v>
      </c>
    </row>
    <row r="132" spans="3:19" x14ac:dyDescent="0.2">
      <c r="C132" s="11">
        <f ca="1">IF(ISNUMBER(kinematics!D156),kinematics!D156,MAX(kinematics!$D$30:$D$210))</f>
        <v>127.309</v>
      </c>
      <c r="D132" s="18">
        <f ca="1">IF(ISNUMBER(kinematics!D156),kinematics!B156,0)</f>
        <v>126</v>
      </c>
      <c r="E132" s="11">
        <f ca="1">IF(ISNUMBER(kinematics!J156),kinematics!J156,0)</f>
        <v>26.31311152616836</v>
      </c>
      <c r="I132" s="11">
        <f t="shared" ca="1" si="9"/>
        <v>127.309</v>
      </c>
      <c r="J132" s="18">
        <f ca="1">IF(ISNUMBER(kinematics!D156),kinematics!F156,0)</f>
        <v>384.52315028452506</v>
      </c>
      <c r="K132" s="11">
        <f ca="1">IF(ISNUMBER(kinematics!L156),kinematics!L156,0)</f>
        <v>33.852294715474955</v>
      </c>
      <c r="M132" s="18">
        <f ca="1">IF(ISNUMBER(kinematics!D156),kinematics!B156,MAX($D$6:$D$186))</f>
        <v>126</v>
      </c>
      <c r="N132" s="18">
        <f ca="1">IF(ISNUMBER(kinematics!D156),kinematics!F156,0)</f>
        <v>384.52315028452506</v>
      </c>
      <c r="O132" s="18">
        <f ca="1">IF(ISNUMBER(kinematics!J156),kinematics!J156,0)</f>
        <v>26.31311152616836</v>
      </c>
      <c r="P132" s="11">
        <f ca="1">IF(ISNUMBER(kinematics!L156),kinematics!L156,0)</f>
        <v>33.852294715474955</v>
      </c>
      <c r="R132" s="11">
        <f t="shared" ca="1" si="5"/>
        <v>26.31311152616836</v>
      </c>
      <c r="S132" s="11">
        <f t="shared" ca="1" si="8"/>
        <v>33.852294715474955</v>
      </c>
    </row>
    <row r="133" spans="3:19" x14ac:dyDescent="0.2">
      <c r="C133" s="11">
        <f ca="1">IF(ISNUMBER(kinematics!D157),kinematics!D157,MAX(kinematics!$D$30:$D$210))</f>
        <v>128.292</v>
      </c>
      <c r="D133" s="18">
        <f ca="1">IF(ISNUMBER(kinematics!D157),kinematics!B157,0)</f>
        <v>127</v>
      </c>
      <c r="E133" s="11">
        <f ca="1">IF(ISNUMBER(kinematics!J157),kinematics!J157,0)</f>
        <v>25.822218095553076</v>
      </c>
      <c r="I133" s="11">
        <f t="shared" ca="1" si="9"/>
        <v>128.292</v>
      </c>
      <c r="J133" s="18">
        <f ca="1">IF(ISNUMBER(kinematics!D157),kinematics!F157,0)</f>
        <v>384.2373873079485</v>
      </c>
      <c r="K133" s="11">
        <f ca="1">IF(ISNUMBER(kinematics!L157),kinematics!L157,0)</f>
        <v>34.138057692051518</v>
      </c>
      <c r="M133" s="18">
        <f ca="1">IF(ISNUMBER(kinematics!D157),kinematics!B157,MAX($D$6:$D$186))</f>
        <v>127</v>
      </c>
      <c r="N133" s="18">
        <f ca="1">IF(ISNUMBER(kinematics!D157),kinematics!F157,0)</f>
        <v>384.2373873079485</v>
      </c>
      <c r="O133" s="18">
        <f ca="1">IF(ISNUMBER(kinematics!J157),kinematics!J157,0)</f>
        <v>25.822218095553076</v>
      </c>
      <c r="P133" s="11">
        <f ca="1">IF(ISNUMBER(kinematics!L157),kinematics!L157,0)</f>
        <v>34.138057692051518</v>
      </c>
      <c r="R133" s="11">
        <f t="shared" ca="1" si="5"/>
        <v>25.822218095553076</v>
      </c>
      <c r="S133" s="11">
        <f t="shared" ca="1" si="8"/>
        <v>34.138057692051518</v>
      </c>
    </row>
    <row r="134" spans="3:19" x14ac:dyDescent="0.2">
      <c r="C134" s="11">
        <f ca="1">IF(ISNUMBER(kinematics!D158),kinematics!D158,MAX(kinematics!$D$30:$D$210))</f>
        <v>129.27500000000001</v>
      </c>
      <c r="D134" s="18">
        <f ca="1">IF(ISNUMBER(kinematics!D158),kinematics!B158,0)</f>
        <v>128</v>
      </c>
      <c r="E134" s="11">
        <f ca="1">IF(ISNUMBER(kinematics!J158),kinematics!J158,0)</f>
        <v>25.331515290424655</v>
      </c>
      <c r="I134" s="11">
        <f t="shared" ca="1" si="9"/>
        <v>129.27500000000001</v>
      </c>
      <c r="J134" s="18">
        <f ca="1">IF(ISNUMBER(kinematics!D158),kinematics!F158,0)</f>
        <v>383.95558122145337</v>
      </c>
      <c r="K134" s="11">
        <f ca="1">IF(ISNUMBER(kinematics!L158),kinematics!L158,0)</f>
        <v>34.419863778546642</v>
      </c>
      <c r="M134" s="18">
        <f ca="1">IF(ISNUMBER(kinematics!D158),kinematics!B158,MAX($D$6:$D$186))</f>
        <v>128</v>
      </c>
      <c r="N134" s="18">
        <f ca="1">IF(ISNUMBER(kinematics!D158),kinematics!F158,0)</f>
        <v>383.95558122145337</v>
      </c>
      <c r="O134" s="18">
        <f ca="1">IF(ISNUMBER(kinematics!J158),kinematics!J158,0)</f>
        <v>25.331515290424655</v>
      </c>
      <c r="P134" s="11">
        <f ca="1">IF(ISNUMBER(kinematics!L158),kinematics!L158,0)</f>
        <v>34.419863778546642</v>
      </c>
      <c r="R134" s="11">
        <f t="shared" ca="1" si="5"/>
        <v>25.331515290424655</v>
      </c>
      <c r="S134" s="11">
        <f t="shared" ref="S134:S165" ca="1" si="10">P134</f>
        <v>34.419863778546642</v>
      </c>
    </row>
    <row r="135" spans="3:19" x14ac:dyDescent="0.2">
      <c r="C135" s="11">
        <f ca="1">IF(ISNUMBER(kinematics!D159),kinematics!D159,MAX(kinematics!$D$30:$D$210))</f>
        <v>130.25700000000001</v>
      </c>
      <c r="D135" s="18">
        <f ca="1">IF(ISNUMBER(kinematics!D159),kinematics!B159,0)</f>
        <v>129</v>
      </c>
      <c r="E135" s="11">
        <f ca="1">IF(ISNUMBER(kinematics!J159),kinematics!J159,0)</f>
        <v>24.841000631856094</v>
      </c>
      <c r="I135" s="11">
        <f t="shared" ref="I135:I199" ca="1" si="11">C135</f>
        <v>130.25700000000001</v>
      </c>
      <c r="J135" s="18">
        <f ca="1">IF(ISNUMBER(kinematics!D159),kinematics!F159,0)</f>
        <v>383.67780880879684</v>
      </c>
      <c r="K135" s="11">
        <f ca="1">IF(ISNUMBER(kinematics!L159),kinematics!L159,0)</f>
        <v>34.697636191203173</v>
      </c>
      <c r="M135" s="18">
        <f ca="1">IF(ISNUMBER(kinematics!D159),kinematics!B159,MAX($D$6:$D$186))</f>
        <v>129</v>
      </c>
      <c r="N135" s="18">
        <f ca="1">IF(ISNUMBER(kinematics!D159),kinematics!F159,0)</f>
        <v>383.67780880879684</v>
      </c>
      <c r="O135" s="18">
        <f ca="1">IF(ISNUMBER(kinematics!J159),kinematics!J159,0)</f>
        <v>24.841000631856094</v>
      </c>
      <c r="P135" s="11">
        <f ca="1">IF(ISNUMBER(kinematics!L159),kinematics!L159,0)</f>
        <v>34.697636191203173</v>
      </c>
      <c r="R135" s="11">
        <f t="shared" ref="R135:R166" ca="1" si="12">O135</f>
        <v>24.841000631856094</v>
      </c>
      <c r="S135" s="11">
        <f t="shared" ca="1" si="10"/>
        <v>34.697636191203173</v>
      </c>
    </row>
    <row r="136" spans="3:19" x14ac:dyDescent="0.2">
      <c r="C136" s="11">
        <f ca="1">IF(ISNUMBER(kinematics!D160),kinematics!D160,MAX(kinematics!$D$30:$D$210))</f>
        <v>131.239</v>
      </c>
      <c r="D136" s="18">
        <f ca="1">IF(ISNUMBER(kinematics!D160),kinematics!B160,0)</f>
        <v>130</v>
      </c>
      <c r="E136" s="11">
        <f ca="1">IF(ISNUMBER(kinematics!J160),kinematics!J160,0)</f>
        <v>24.350671578942396</v>
      </c>
      <c r="I136" s="11">
        <f t="shared" ca="1" si="11"/>
        <v>131.239</v>
      </c>
      <c r="J136" s="18">
        <f ca="1">IF(ISNUMBER(kinematics!D160),kinematics!F160,0)</f>
        <v>383.40414556032101</v>
      </c>
      <c r="K136" s="11">
        <f ca="1">IF(ISNUMBER(kinematics!L160),kinematics!L160,0)</f>
        <v>34.971299439679001</v>
      </c>
      <c r="M136" s="18">
        <f ca="1">IF(ISNUMBER(kinematics!D160),kinematics!B160,MAX($D$6:$D$186))</f>
        <v>130</v>
      </c>
      <c r="N136" s="18">
        <f ca="1">IF(ISNUMBER(kinematics!D160),kinematics!F160,0)</f>
        <v>383.40414556032101</v>
      </c>
      <c r="O136" s="18">
        <f ca="1">IF(ISNUMBER(kinematics!J160),kinematics!J160,0)</f>
        <v>24.350671578942396</v>
      </c>
      <c r="P136" s="11">
        <f ca="1">IF(ISNUMBER(kinematics!L160),kinematics!L160,0)</f>
        <v>34.971299439679001</v>
      </c>
      <c r="R136" s="11">
        <f t="shared" ca="1" si="12"/>
        <v>24.350671578942396</v>
      </c>
      <c r="S136" s="11">
        <f t="shared" ca="1" si="10"/>
        <v>34.971299439679001</v>
      </c>
    </row>
    <row r="137" spans="3:19" x14ac:dyDescent="0.2">
      <c r="C137" s="11">
        <f ca="1">IF(ISNUMBER(kinematics!D161),kinematics!D161,MAX(kinematics!$D$30:$D$210))</f>
        <v>132.221</v>
      </c>
      <c r="D137" s="18">
        <f ca="1">IF(ISNUMBER(kinematics!D161),kinematics!B161,0)</f>
        <v>131</v>
      </c>
      <c r="E137" s="11">
        <f ca="1">IF(ISNUMBER(kinematics!J161),kinematics!J161,0)</f>
        <v>23.860525529825292</v>
      </c>
      <c r="I137" s="11">
        <f t="shared" ca="1" si="11"/>
        <v>132.221</v>
      </c>
      <c r="J137" s="18">
        <f ca="1">IF(ISNUMBER(kinematics!D161),kinematics!F161,0)</f>
        <v>383.13466566084617</v>
      </c>
      <c r="K137" s="11">
        <f ca="1">IF(ISNUMBER(kinematics!L161),kinematics!L161,0)</f>
        <v>35.240779339153846</v>
      </c>
      <c r="M137" s="18">
        <f ca="1">IF(ISNUMBER(kinematics!D161),kinematics!B161,MAX($D$6:$D$186))</f>
        <v>131</v>
      </c>
      <c r="N137" s="18">
        <f ca="1">IF(ISNUMBER(kinematics!D161),kinematics!F161,0)</f>
        <v>383.13466566084617</v>
      </c>
      <c r="O137" s="18">
        <f ca="1">IF(ISNUMBER(kinematics!J161),kinematics!J161,0)</f>
        <v>23.860525529825292</v>
      </c>
      <c r="P137" s="11">
        <f ca="1">IF(ISNUMBER(kinematics!L161),kinematics!L161,0)</f>
        <v>35.240779339153846</v>
      </c>
      <c r="R137" s="11">
        <f t="shared" ca="1" si="12"/>
        <v>23.860525529825292</v>
      </c>
      <c r="S137" s="11">
        <f t="shared" ca="1" si="10"/>
        <v>35.240779339153846</v>
      </c>
    </row>
    <row r="138" spans="3:19" x14ac:dyDescent="0.2">
      <c r="C138" s="11">
        <f ca="1">IF(ISNUMBER(kinematics!D162),kinematics!D162,MAX(kinematics!$D$30:$D$210))</f>
        <v>133.202</v>
      </c>
      <c r="D138" s="18">
        <f ca="1">IF(ISNUMBER(kinematics!D162),kinematics!B162,0)</f>
        <v>132</v>
      </c>
      <c r="E138" s="11">
        <f ca="1">IF(ISNUMBER(kinematics!J162),kinematics!J162,0)</f>
        <v>23.370559822725745</v>
      </c>
      <c r="I138" s="11">
        <f t="shared" ca="1" si="11"/>
        <v>133.202</v>
      </c>
      <c r="J138" s="18">
        <f ca="1">IF(ISNUMBER(kinematics!D162),kinematics!F162,0)</f>
        <v>382.86944197800574</v>
      </c>
      <c r="K138" s="11">
        <f ca="1">IF(ISNUMBER(kinematics!L162),kinematics!L162,0)</f>
        <v>35.506003021994275</v>
      </c>
      <c r="M138" s="18">
        <f ca="1">IF(ISNUMBER(kinematics!D162),kinematics!B162,MAX($D$6:$D$186))</f>
        <v>132</v>
      </c>
      <c r="N138" s="18">
        <f ca="1">IF(ISNUMBER(kinematics!D162),kinematics!F162,0)</f>
        <v>382.86944197800574</v>
      </c>
      <c r="O138" s="18">
        <f ca="1">IF(ISNUMBER(kinematics!J162),kinematics!J162,0)</f>
        <v>23.370559822725745</v>
      </c>
      <c r="P138" s="11">
        <f ca="1">IF(ISNUMBER(kinematics!L162),kinematics!L162,0)</f>
        <v>35.506003021994275</v>
      </c>
      <c r="R138" s="11">
        <f t="shared" ca="1" si="12"/>
        <v>23.370559822725745</v>
      </c>
      <c r="S138" s="11">
        <f t="shared" ca="1" si="10"/>
        <v>35.506003021994275</v>
      </c>
    </row>
    <row r="139" spans="3:19" x14ac:dyDescent="0.2">
      <c r="C139" s="11">
        <f ca="1">IF(ISNUMBER(kinematics!D163),kinematics!D163,MAX(kinematics!$D$30:$D$210))</f>
        <v>134.18299999999999</v>
      </c>
      <c r="D139" s="18">
        <f ca="1">IF(ISNUMBER(kinematics!D163),kinematics!B163,0)</f>
        <v>133</v>
      </c>
      <c r="E139" s="11">
        <f ca="1">IF(ISNUMBER(kinematics!J163),kinematics!J163,0)</f>
        <v>22.880771736983561</v>
      </c>
      <c r="I139" s="11">
        <f t="shared" ca="1" si="11"/>
        <v>134.18299999999999</v>
      </c>
      <c r="J139" s="18">
        <f ca="1">IF(ISNUMBER(kinematics!D163),kinematics!F163,0)</f>
        <v>382.60854605101184</v>
      </c>
      <c r="K139" s="11">
        <f ca="1">IF(ISNUMBER(kinematics!L163),kinematics!L163,0)</f>
        <v>35.766898948988171</v>
      </c>
      <c r="M139" s="18">
        <f ca="1">IF(ISNUMBER(kinematics!D163),kinematics!B163,MAX($D$6:$D$186))</f>
        <v>133</v>
      </c>
      <c r="N139" s="18">
        <f ca="1">IF(ISNUMBER(kinematics!D163),kinematics!F163,0)</f>
        <v>382.60854605101184</v>
      </c>
      <c r="O139" s="18">
        <f ca="1">IF(ISNUMBER(kinematics!J163),kinematics!J163,0)</f>
        <v>22.880771736983561</v>
      </c>
      <c r="P139" s="11">
        <f ca="1">IF(ISNUMBER(kinematics!L163),kinematics!L163,0)</f>
        <v>35.766898948988171</v>
      </c>
      <c r="R139" s="11">
        <f t="shared" ca="1" si="12"/>
        <v>22.880771736983561</v>
      </c>
      <c r="S139" s="11">
        <f t="shared" ca="1" si="10"/>
        <v>35.766898948988171</v>
      </c>
    </row>
    <row r="140" spans="3:19" x14ac:dyDescent="0.2">
      <c r="C140" s="11">
        <f ca="1">IF(ISNUMBER(kinematics!D164),kinematics!D164,MAX(kinematics!$D$30:$D$210))</f>
        <v>135.16399999999999</v>
      </c>
      <c r="D140" s="18">
        <f ca="1">IF(ISNUMBER(kinematics!D164),kinematics!B164,0)</f>
        <v>134</v>
      </c>
      <c r="E140" s="11">
        <f ca="1">IF(ISNUMBER(kinematics!J164),kinematics!J164,0)</f>
        <v>22.391158494105547</v>
      </c>
      <c r="I140" s="11">
        <f t="shared" ca="1" si="11"/>
        <v>135.16399999999999</v>
      </c>
      <c r="J140" s="18">
        <f ca="1">IF(ISNUMBER(kinematics!D164),kinematics!F164,0)</f>
        <v>382.35204807984616</v>
      </c>
      <c r="K140" s="11">
        <f ca="1">IF(ISNUMBER(kinematics!L164),kinematics!L164,0)</f>
        <v>36.023396920153857</v>
      </c>
      <c r="M140" s="18">
        <f ca="1">IF(ISNUMBER(kinematics!D164),kinematics!B164,MAX($D$6:$D$186))</f>
        <v>134</v>
      </c>
      <c r="N140" s="18">
        <f ca="1">IF(ISNUMBER(kinematics!D164),kinematics!F164,0)</f>
        <v>382.35204807984616</v>
      </c>
      <c r="O140" s="18">
        <f ca="1">IF(ISNUMBER(kinematics!J164),kinematics!J164,0)</f>
        <v>22.391158494105547</v>
      </c>
      <c r="P140" s="11">
        <f ca="1">IF(ISNUMBER(kinematics!L164),kinematics!L164,0)</f>
        <v>36.023396920153857</v>
      </c>
      <c r="R140" s="11">
        <f t="shared" ca="1" si="12"/>
        <v>22.391158494105547</v>
      </c>
      <c r="S140" s="11">
        <f t="shared" ca="1" si="10"/>
        <v>36.023396920153857</v>
      </c>
    </row>
    <row r="141" spans="3:19" x14ac:dyDescent="0.2">
      <c r="C141" s="11">
        <f ca="1">IF(ISNUMBER(kinematics!D165),kinematics!D165,MAX(kinematics!$D$30:$D$210))</f>
        <v>136.14400000000001</v>
      </c>
      <c r="D141" s="18">
        <f ca="1">IF(ISNUMBER(kinematics!D165),kinematics!B165,0)</f>
        <v>135</v>
      </c>
      <c r="E141" s="11">
        <f ca="1">IF(ISNUMBER(kinematics!J165),kinematics!J165,0)</f>
        <v>21.901717258820305</v>
      </c>
      <c r="I141" s="11">
        <f t="shared" ca="1" si="11"/>
        <v>136.14400000000001</v>
      </c>
      <c r="J141" s="18">
        <f ca="1">IF(ISNUMBER(kinematics!D165),kinematics!F165,0)</f>
        <v>382.1000169148611</v>
      </c>
      <c r="K141" s="11">
        <f ca="1">IF(ISNUMBER(kinematics!L165),kinematics!L165,0)</f>
        <v>36.275428085138913</v>
      </c>
      <c r="M141" s="18">
        <f ca="1">IF(ISNUMBER(kinematics!D165),kinematics!B165,MAX($D$6:$D$186))</f>
        <v>135</v>
      </c>
      <c r="N141" s="18">
        <f ca="1">IF(ISNUMBER(kinematics!D165),kinematics!F165,0)</f>
        <v>382.1000169148611</v>
      </c>
      <c r="O141" s="18">
        <f ca="1">IF(ISNUMBER(kinematics!J165),kinematics!J165,0)</f>
        <v>21.901717258820305</v>
      </c>
      <c r="P141" s="11">
        <f ca="1">IF(ISNUMBER(kinematics!L165),kinematics!L165,0)</f>
        <v>36.275428085138913</v>
      </c>
      <c r="R141" s="11">
        <f t="shared" ca="1" si="12"/>
        <v>21.901717258820305</v>
      </c>
      <c r="S141" s="11">
        <f t="shared" ca="1" si="10"/>
        <v>36.275428085138913</v>
      </c>
    </row>
    <row r="142" spans="3:19" x14ac:dyDescent="0.2">
      <c r="C142" s="11">
        <f ca="1">IF(ISNUMBER(kinematics!D166),kinematics!D166,MAX(kinematics!$D$30:$D$210))</f>
        <v>137.124</v>
      </c>
      <c r="D142" s="18">
        <f ca="1">IF(ISNUMBER(kinematics!D166),kinematics!B166,0)</f>
        <v>136</v>
      </c>
      <c r="E142" s="11">
        <f ca="1">IF(ISNUMBER(kinematics!J166),kinematics!J166,0)</f>
        <v>21.412445140141767</v>
      </c>
      <c r="I142" s="11">
        <f t="shared" ca="1" si="11"/>
        <v>137.124</v>
      </c>
      <c r="J142" s="18">
        <f ca="1">IF(ISNUMBER(kinematics!D166),kinematics!F166,0)</f>
        <v>381.85252004678767</v>
      </c>
      <c r="K142" s="11">
        <f ca="1">IF(ISNUMBER(kinematics!L166),kinematics!L166,0)</f>
        <v>36.522924953212339</v>
      </c>
      <c r="M142" s="18">
        <f ca="1">IF(ISNUMBER(kinematics!D166),kinematics!B166,MAX($D$6:$D$186))</f>
        <v>136</v>
      </c>
      <c r="N142" s="18">
        <f ca="1">IF(ISNUMBER(kinematics!D166),kinematics!F166,0)</f>
        <v>381.85252004678767</v>
      </c>
      <c r="O142" s="18">
        <f ca="1">IF(ISNUMBER(kinematics!J166),kinematics!J166,0)</f>
        <v>21.412445140141767</v>
      </c>
      <c r="P142" s="11">
        <f ca="1">IF(ISNUMBER(kinematics!L166),kinematics!L166,0)</f>
        <v>36.522924953212339</v>
      </c>
      <c r="R142" s="11">
        <f t="shared" ca="1" si="12"/>
        <v>21.412445140141767</v>
      </c>
      <c r="S142" s="11">
        <f t="shared" ca="1" si="10"/>
        <v>36.522924953212339</v>
      </c>
    </row>
    <row r="143" spans="3:19" x14ac:dyDescent="0.2">
      <c r="C143" s="11">
        <f ca="1">IF(ISNUMBER(kinematics!D167),kinematics!D167,MAX(kinematics!$D$30:$D$210))</f>
        <v>138.10300000000001</v>
      </c>
      <c r="D143" s="18">
        <f ca="1">IF(ISNUMBER(kinematics!D167),kinematics!B167,0)</f>
        <v>137</v>
      </c>
      <c r="E143" s="11">
        <f ca="1">IF(ISNUMBER(kinematics!J167),kinematics!J167,0)</f>
        <v>20.923339192438853</v>
      </c>
      <c r="I143" s="11">
        <f t="shared" ca="1" si="11"/>
        <v>138.10300000000001</v>
      </c>
      <c r="J143" s="18">
        <f ca="1">IF(ISNUMBER(kinematics!D167),kinematics!F167,0)</f>
        <v>381.60962359713284</v>
      </c>
      <c r="K143" s="11">
        <f ca="1">IF(ISNUMBER(kinematics!L167),kinematics!L167,0)</f>
        <v>36.765821402867175</v>
      </c>
      <c r="M143" s="18">
        <f ca="1">IF(ISNUMBER(kinematics!D167),kinematics!B167,MAX($D$6:$D$186))</f>
        <v>137</v>
      </c>
      <c r="N143" s="18">
        <f ca="1">IF(ISNUMBER(kinematics!D167),kinematics!F167,0)</f>
        <v>381.60962359713284</v>
      </c>
      <c r="O143" s="18">
        <f ca="1">IF(ISNUMBER(kinematics!J167),kinematics!J167,0)</f>
        <v>20.923339192438853</v>
      </c>
      <c r="P143" s="11">
        <f ca="1">IF(ISNUMBER(kinematics!L167),kinematics!L167,0)</f>
        <v>36.765821402867175</v>
      </c>
      <c r="R143" s="11">
        <f t="shared" ca="1" si="12"/>
        <v>20.923339192438853</v>
      </c>
      <c r="S143" s="11">
        <f t="shared" ca="1" si="10"/>
        <v>36.765821402867175</v>
      </c>
    </row>
    <row r="144" spans="3:19" x14ac:dyDescent="0.2">
      <c r="C144" s="11">
        <f ca="1">IF(ISNUMBER(kinematics!D168),kinematics!D168,MAX(kinematics!$D$30:$D$210))</f>
        <v>139.08199999999999</v>
      </c>
      <c r="D144" s="18">
        <f ca="1">IF(ISNUMBER(kinematics!D168),kinematics!B168,0)</f>
        <v>138</v>
      </c>
      <c r="E144" s="11">
        <f ca="1">IF(ISNUMBER(kinematics!J168),kinematics!J168,0)</f>
        <v>20.434396416515231</v>
      </c>
      <c r="I144" s="11">
        <f t="shared" ca="1" si="11"/>
        <v>139.08199999999999</v>
      </c>
      <c r="J144" s="18">
        <f ca="1">IF(ISNUMBER(kinematics!D168),kinematics!F168,0)</f>
        <v>381.3713923089685</v>
      </c>
      <c r="K144" s="11">
        <f ca="1">IF(ISNUMBER(kinematics!L168),kinematics!L168,0)</f>
        <v>37.004052691031518</v>
      </c>
      <c r="M144" s="18">
        <f ca="1">IF(ISNUMBER(kinematics!D168),kinematics!B168,MAX($D$6:$D$186))</f>
        <v>138</v>
      </c>
      <c r="N144" s="18">
        <f ca="1">IF(ISNUMBER(kinematics!D168),kinematics!F168,0)</f>
        <v>381.3713923089685</v>
      </c>
      <c r="O144" s="18">
        <f ca="1">IF(ISNUMBER(kinematics!J168),kinematics!J168,0)</f>
        <v>20.434396416515231</v>
      </c>
      <c r="P144" s="11">
        <f ca="1">IF(ISNUMBER(kinematics!L168),kinematics!L168,0)</f>
        <v>37.004052691031518</v>
      </c>
      <c r="R144" s="11">
        <f t="shared" ca="1" si="12"/>
        <v>20.434396416515231</v>
      </c>
      <c r="S144" s="11">
        <f t="shared" ca="1" si="10"/>
        <v>37.004052691031518</v>
      </c>
    </row>
    <row r="145" spans="3:19" x14ac:dyDescent="0.2">
      <c r="C145" s="11">
        <f ca="1">IF(ISNUMBER(kinematics!D169),kinematics!D169,MAX(kinematics!$D$30:$D$210))</f>
        <v>140.06100000000001</v>
      </c>
      <c r="D145" s="18">
        <f ca="1">IF(ISNUMBER(kinematics!D169),kinematics!B169,0)</f>
        <v>139</v>
      </c>
      <c r="E145" s="11">
        <f ca="1">IF(ISNUMBER(kinematics!J169),kinematics!J169,0)</f>
        <v>19.945613760694737</v>
      </c>
      <c r="I145" s="11">
        <f t="shared" ca="1" si="11"/>
        <v>140.06100000000001</v>
      </c>
      <c r="J145" s="18">
        <f ca="1">IF(ISNUMBER(kinematics!D169),kinematics!F169,0)</f>
        <v>381.13788953808915</v>
      </c>
      <c r="K145" s="11">
        <f ca="1">IF(ISNUMBER(kinematics!L169),kinematics!L169,0)</f>
        <v>37.237555461910858</v>
      </c>
      <c r="M145" s="18">
        <f ca="1">IF(ISNUMBER(kinematics!D169),kinematics!B169,MAX($D$6:$D$186))</f>
        <v>139</v>
      </c>
      <c r="N145" s="18">
        <f ca="1">IF(ISNUMBER(kinematics!D169),kinematics!F169,0)</f>
        <v>381.13788953808915</v>
      </c>
      <c r="O145" s="18">
        <f ca="1">IF(ISNUMBER(kinematics!J169),kinematics!J169,0)</f>
        <v>19.945613760694737</v>
      </c>
      <c r="P145" s="11">
        <f ca="1">IF(ISNUMBER(kinematics!L169),kinematics!L169,0)</f>
        <v>37.237555461910858</v>
      </c>
      <c r="R145" s="11">
        <f t="shared" ca="1" si="12"/>
        <v>19.945613760694737</v>
      </c>
      <c r="S145" s="11">
        <f t="shared" ca="1" si="10"/>
        <v>37.237555461910858</v>
      </c>
    </row>
    <row r="146" spans="3:19" x14ac:dyDescent="0.2">
      <c r="C146" s="11">
        <f ca="1">IF(ISNUMBER(kinematics!D170),kinematics!D170,MAX(kinematics!$D$30:$D$210))</f>
        <v>141.04</v>
      </c>
      <c r="D146" s="18">
        <f ca="1">IF(ISNUMBER(kinematics!D170),kinematics!B170,0)</f>
        <v>140</v>
      </c>
      <c r="E146" s="11">
        <f ca="1">IF(ISNUMBER(kinematics!J170),kinematics!J170,0)</f>
        <v>19.456988121916538</v>
      </c>
      <c r="I146" s="11">
        <f t="shared" ca="1" si="11"/>
        <v>141.04</v>
      </c>
      <c r="J146" s="18">
        <f ca="1">IF(ISNUMBER(kinematics!D170),kinematics!F170,0)</f>
        <v>380.9091772445413</v>
      </c>
      <c r="K146" s="11">
        <f ca="1">IF(ISNUMBER(kinematics!L170),kinematics!L170,0)</f>
        <v>37.466267755458716</v>
      </c>
      <c r="M146" s="18">
        <f ca="1">IF(ISNUMBER(kinematics!D170),kinematics!B170,MAX($D$6:$D$186))</f>
        <v>140</v>
      </c>
      <c r="N146" s="18">
        <f ca="1">IF(ISNUMBER(kinematics!D170),kinematics!F170,0)</f>
        <v>380.9091772445413</v>
      </c>
      <c r="O146" s="18">
        <f ca="1">IF(ISNUMBER(kinematics!J170),kinematics!J170,0)</f>
        <v>19.456988121916538</v>
      </c>
      <c r="P146" s="11">
        <f ca="1">IF(ISNUMBER(kinematics!L170),kinematics!L170,0)</f>
        <v>37.466267755458716</v>
      </c>
      <c r="R146" s="11">
        <f t="shared" ca="1" si="12"/>
        <v>19.456988121916538</v>
      </c>
      <c r="S146" s="11">
        <f t="shared" ca="1" si="10"/>
        <v>37.466267755458716</v>
      </c>
    </row>
    <row r="147" spans="3:19" x14ac:dyDescent="0.2">
      <c r="C147" s="11">
        <f ca="1">IF(ISNUMBER(kinematics!D171),kinematics!D171,MAX(kinematics!$D$30:$D$210))</f>
        <v>142.018</v>
      </c>
      <c r="D147" s="18">
        <f ca="1">IF(ISNUMBER(kinematics!D171),kinematics!B171,0)</f>
        <v>141</v>
      </c>
      <c r="E147" s="11">
        <f ca="1">IF(ISNUMBER(kinematics!J171),kinematics!J171,0)</f>
        <v>18.968516346836147</v>
      </c>
      <c r="I147" s="11">
        <f t="shared" ca="1" si="11"/>
        <v>142.018</v>
      </c>
      <c r="J147" s="18">
        <f ca="1">IF(ISNUMBER(kinematics!D171),kinematics!F171,0)</f>
        <v>380.68531598450312</v>
      </c>
      <c r="K147" s="11">
        <f ca="1">IF(ISNUMBER(kinematics!L171),kinematics!L171,0)</f>
        <v>37.690129015496893</v>
      </c>
      <c r="M147" s="18">
        <f ca="1">IF(ISNUMBER(kinematics!D171),kinematics!B171,MAX($D$6:$D$186))</f>
        <v>141</v>
      </c>
      <c r="N147" s="18">
        <f ca="1">IF(ISNUMBER(kinematics!D171),kinematics!F171,0)</f>
        <v>380.68531598450312</v>
      </c>
      <c r="O147" s="18">
        <f ca="1">IF(ISNUMBER(kinematics!J171),kinematics!J171,0)</f>
        <v>18.968516346836147</v>
      </c>
      <c r="P147" s="11">
        <f ca="1">IF(ISNUMBER(kinematics!L171),kinematics!L171,0)</f>
        <v>37.690129015496893</v>
      </c>
      <c r="R147" s="11">
        <f t="shared" ca="1" si="12"/>
        <v>18.968516346836147</v>
      </c>
      <c r="S147" s="11">
        <f t="shared" ca="1" si="10"/>
        <v>37.690129015496893</v>
      </c>
    </row>
    <row r="148" spans="3:19" x14ac:dyDescent="0.2">
      <c r="C148" s="11">
        <f ca="1">IF(ISNUMBER(kinematics!D172),kinematics!D172,MAX(kinematics!$D$30:$D$210))</f>
        <v>142.99600000000001</v>
      </c>
      <c r="D148" s="18">
        <f ca="1">IF(ISNUMBER(kinematics!D172),kinematics!B172,0)</f>
        <v>142</v>
      </c>
      <c r="E148" s="11">
        <f ca="1">IF(ISNUMBER(kinematics!J172),kinematics!J172,0)</f>
        <v>18.480195232937195</v>
      </c>
      <c r="I148" s="11">
        <f t="shared" ca="1" si="11"/>
        <v>142.99600000000001</v>
      </c>
      <c r="J148" s="18">
        <f ca="1">IF(ISNUMBER(kinematics!D172),kinematics!F172,0)</f>
        <v>380.4663649025203</v>
      </c>
      <c r="K148" s="11">
        <f ca="1">IF(ISNUMBER(kinematics!L172),kinematics!L172,0)</f>
        <v>37.909080097479716</v>
      </c>
      <c r="M148" s="18">
        <f ca="1">IF(ISNUMBER(kinematics!D172),kinematics!B172,MAX($D$6:$D$186))</f>
        <v>142</v>
      </c>
      <c r="N148" s="18">
        <f ca="1">IF(ISNUMBER(kinematics!D172),kinematics!F172,0)</f>
        <v>380.4663649025203</v>
      </c>
      <c r="O148" s="18">
        <f ca="1">IF(ISNUMBER(kinematics!J172),kinematics!J172,0)</f>
        <v>18.480195232937195</v>
      </c>
      <c r="P148" s="11">
        <f ca="1">IF(ISNUMBER(kinematics!L172),kinematics!L172,0)</f>
        <v>37.909080097479716</v>
      </c>
      <c r="R148" s="11">
        <f t="shared" ca="1" si="12"/>
        <v>18.480195232937195</v>
      </c>
      <c r="S148" s="11">
        <f t="shared" ca="1" si="10"/>
        <v>37.909080097479716</v>
      </c>
    </row>
    <row r="149" spans="3:19" x14ac:dyDescent="0.2">
      <c r="C149" s="11">
        <f ca="1">IF(ISNUMBER(kinematics!D173),kinematics!D173,MAX(kinematics!$D$30:$D$210))</f>
        <v>143.97300000000001</v>
      </c>
      <c r="D149" s="18">
        <f ca="1">IF(ISNUMBER(kinematics!D173),kinematics!B173,0)</f>
        <v>143</v>
      </c>
      <c r="E149" s="11">
        <f ca="1">IF(ISNUMBER(kinematics!J173),kinematics!J173,0)</f>
        <v>17.992021529646802</v>
      </c>
      <c r="I149" s="11">
        <f t="shared" ca="1" si="11"/>
        <v>143.97300000000001</v>
      </c>
      <c r="J149" s="18">
        <f ca="1">IF(ISNUMBER(kinematics!D173),kinematics!F173,0)</f>
        <v>380.25238172406591</v>
      </c>
      <c r="K149" s="11">
        <f ca="1">IF(ISNUMBER(kinematics!L173),kinematics!L173,0)</f>
        <v>38.123063275934101</v>
      </c>
      <c r="M149" s="18">
        <f ca="1">IF(ISNUMBER(kinematics!D173),kinematics!B173,MAX($D$6:$D$186))</f>
        <v>143</v>
      </c>
      <c r="N149" s="18">
        <f ca="1">IF(ISNUMBER(kinematics!D173),kinematics!F173,0)</f>
        <v>380.25238172406591</v>
      </c>
      <c r="O149" s="18">
        <f ca="1">IF(ISNUMBER(kinematics!J173),kinematics!J173,0)</f>
        <v>17.992021529646802</v>
      </c>
      <c r="P149" s="11">
        <f ca="1">IF(ISNUMBER(kinematics!L173),kinematics!L173,0)</f>
        <v>38.123063275934101</v>
      </c>
      <c r="R149" s="11">
        <f t="shared" ca="1" si="12"/>
        <v>17.992021529646802</v>
      </c>
      <c r="S149" s="11">
        <f t="shared" ca="1" si="10"/>
        <v>38.123063275934101</v>
      </c>
    </row>
    <row r="150" spans="3:19" x14ac:dyDescent="0.2">
      <c r="C150" s="11">
        <f ca="1">IF(ISNUMBER(kinematics!D174),kinematics!D174,MAX(kinematics!$D$30:$D$210))</f>
        <v>144.94999999999999</v>
      </c>
      <c r="D150" s="18">
        <f ca="1">IF(ISNUMBER(kinematics!D174),kinematics!B174,0)</f>
        <v>144</v>
      </c>
      <c r="E150" s="11">
        <f ca="1">IF(ISNUMBER(kinematics!J174),kinematics!J174,0)</f>
        <v>17.503991939462693</v>
      </c>
      <c r="I150" s="11">
        <f t="shared" ca="1" si="11"/>
        <v>144.94999999999999</v>
      </c>
      <c r="J150" s="18">
        <f ca="1">IF(ISNUMBER(kinematics!D174),kinematics!F174,0)</f>
        <v>380.04342274844129</v>
      </c>
      <c r="K150" s="11">
        <f ca="1">IF(ISNUMBER(kinematics!L174),kinematics!L174,0)</f>
        <v>38.332022251558726</v>
      </c>
      <c r="M150" s="18">
        <f ca="1">IF(ISNUMBER(kinematics!D174),kinematics!B174,MAX($D$6:$D$186))</f>
        <v>144</v>
      </c>
      <c r="N150" s="18">
        <f ca="1">IF(ISNUMBER(kinematics!D174),kinematics!F174,0)</f>
        <v>380.04342274844129</v>
      </c>
      <c r="O150" s="18">
        <f ca="1">IF(ISNUMBER(kinematics!J174),kinematics!J174,0)</f>
        <v>17.503991939462693</v>
      </c>
      <c r="P150" s="11">
        <f ca="1">IF(ISNUMBER(kinematics!L174),kinematics!L174,0)</f>
        <v>38.332022251558726</v>
      </c>
      <c r="R150" s="11">
        <f t="shared" ca="1" si="12"/>
        <v>17.503991939462693</v>
      </c>
      <c r="S150" s="11">
        <f t="shared" ca="1" si="10"/>
        <v>38.332022251558726</v>
      </c>
    </row>
    <row r="151" spans="3:19" x14ac:dyDescent="0.2">
      <c r="C151" s="11">
        <f ca="1">IF(ISNUMBER(kinematics!D175),kinematics!D175,MAX(kinematics!$D$30:$D$210))</f>
        <v>145.92699999999999</v>
      </c>
      <c r="D151" s="18">
        <f ca="1">IF(ISNUMBER(kinematics!D175),kinematics!B175,0)</f>
        <v>145</v>
      </c>
      <c r="E151" s="11">
        <f ca="1">IF(ISNUMBER(kinematics!J175),kinematics!J175,0)</f>
        <v>17.016103119085244</v>
      </c>
      <c r="I151" s="11">
        <f t="shared" ca="1" si="11"/>
        <v>145.92699999999999</v>
      </c>
      <c r="J151" s="18">
        <f ca="1">IF(ISNUMBER(kinematics!D175),kinematics!F175,0)</f>
        <v>379.83954284198694</v>
      </c>
      <c r="K151" s="11">
        <f ca="1">IF(ISNUMBER(kinematics!L175),kinematics!L175,0)</f>
        <v>38.535902158013073</v>
      </c>
      <c r="M151" s="18">
        <f ca="1">IF(ISNUMBER(kinematics!D175),kinematics!B175,MAX($D$6:$D$186))</f>
        <v>145</v>
      </c>
      <c r="N151" s="18">
        <f ca="1">IF(ISNUMBER(kinematics!D175),kinematics!F175,0)</f>
        <v>379.83954284198694</v>
      </c>
      <c r="O151" s="18">
        <f ca="1">IF(ISNUMBER(kinematics!J175),kinematics!J175,0)</f>
        <v>17.016103119085244</v>
      </c>
      <c r="P151" s="11">
        <f ca="1">IF(ISNUMBER(kinematics!L175),kinematics!L175,0)</f>
        <v>38.535902158013073</v>
      </c>
      <c r="R151" s="11">
        <f t="shared" ca="1" si="12"/>
        <v>17.016103119085244</v>
      </c>
      <c r="S151" s="11">
        <f t="shared" ca="1" si="10"/>
        <v>38.535902158013073</v>
      </c>
    </row>
    <row r="152" spans="3:19" x14ac:dyDescent="0.2">
      <c r="C152" s="11">
        <f ca="1">IF(ISNUMBER(kinematics!D176),kinematics!D176,MAX(kinematics!$D$30:$D$210))</f>
        <v>146.904</v>
      </c>
      <c r="D152" s="18">
        <f ca="1">IF(ISNUMBER(kinematics!D176),kinematics!B176,0)</f>
        <v>146</v>
      </c>
      <c r="E152" s="11">
        <f ca="1">IF(ISNUMBER(kinematics!J176),kinematics!J176,0)</f>
        <v>16.528351680558835</v>
      </c>
      <c r="I152" s="11">
        <f t="shared" ca="1" si="11"/>
        <v>146.904</v>
      </c>
      <c r="J152" s="18">
        <f ca="1">IF(ISNUMBER(kinematics!D176),kinematics!F176,0)</f>
        <v>379.64079543160858</v>
      </c>
      <c r="K152" s="11">
        <f ca="1">IF(ISNUMBER(kinematics!L176),kinematics!L176,0)</f>
        <v>38.734649568391433</v>
      </c>
      <c r="M152" s="18">
        <f ca="1">IF(ISNUMBER(kinematics!D176),kinematics!B176,MAX($D$6:$D$186))</f>
        <v>146</v>
      </c>
      <c r="N152" s="18">
        <f ca="1">IF(ISNUMBER(kinematics!D176),kinematics!F176,0)</f>
        <v>379.64079543160858</v>
      </c>
      <c r="O152" s="18">
        <f ca="1">IF(ISNUMBER(kinematics!J176),kinematics!J176,0)</f>
        <v>16.528351680558835</v>
      </c>
      <c r="P152" s="11">
        <f ca="1">IF(ISNUMBER(kinematics!L176),kinematics!L176,0)</f>
        <v>38.734649568391433</v>
      </c>
      <c r="R152" s="11">
        <f t="shared" ca="1" si="12"/>
        <v>16.528351680558835</v>
      </c>
      <c r="S152" s="11">
        <f t="shared" ca="1" si="10"/>
        <v>38.734649568391433</v>
      </c>
    </row>
    <row r="153" spans="3:19" x14ac:dyDescent="0.2">
      <c r="C153" s="11">
        <f ca="1">IF(ISNUMBER(kinematics!D177),kinematics!D177,MAX(kinematics!$D$30:$D$210))</f>
        <v>147.881</v>
      </c>
      <c r="D153" s="18">
        <f ca="1">IF(ISNUMBER(kinematics!D177),kinematics!B177,0)</f>
        <v>147</v>
      </c>
      <c r="E153" s="11">
        <f ca="1">IF(ISNUMBER(kinematics!J177),kinematics!J177,0)</f>
        <v>16.040734192418675</v>
      </c>
      <c r="I153" s="11">
        <f t="shared" ca="1" si="11"/>
        <v>147.881</v>
      </c>
      <c r="J153" s="18">
        <f ca="1">IF(ISNUMBER(kinematics!D177),kinematics!F177,0)</f>
        <v>379.44723249859646</v>
      </c>
      <c r="K153" s="11">
        <f ca="1">IF(ISNUMBER(kinematics!L177),kinematics!L177,0)</f>
        <v>38.92821250140355</v>
      </c>
      <c r="M153" s="18">
        <f ca="1">IF(ISNUMBER(kinematics!D177),kinematics!B177,MAX($D$6:$D$186))</f>
        <v>147</v>
      </c>
      <c r="N153" s="18">
        <f ca="1">IF(ISNUMBER(kinematics!D177),kinematics!F177,0)</f>
        <v>379.44723249859646</v>
      </c>
      <c r="O153" s="18">
        <f ca="1">IF(ISNUMBER(kinematics!J177),kinematics!J177,0)</f>
        <v>16.040734192418675</v>
      </c>
      <c r="P153" s="11">
        <f ca="1">IF(ISNUMBER(kinematics!L177),kinematics!L177,0)</f>
        <v>38.92821250140355</v>
      </c>
      <c r="R153" s="11">
        <f t="shared" ca="1" si="12"/>
        <v>16.040734192418675</v>
      </c>
      <c r="S153" s="11">
        <f t="shared" ca="1" si="10"/>
        <v>38.92821250140355</v>
      </c>
    </row>
    <row r="154" spans="3:19" x14ac:dyDescent="0.2">
      <c r="C154" s="11">
        <f ca="1">IF(ISNUMBER(kinematics!D178),kinematics!D178,MAX(kinematics!$D$30:$D$210))</f>
        <v>148.857</v>
      </c>
      <c r="D154" s="18">
        <f ca="1">IF(ISNUMBER(kinematics!D178),kinematics!B178,0)</f>
        <v>148</v>
      </c>
      <c r="E154" s="11">
        <f ca="1">IF(ISNUMBER(kinematics!J178),kinematics!J178,0)</f>
        <v>15.553247180846201</v>
      </c>
      <c r="I154" s="11">
        <f t="shared" ca="1" si="11"/>
        <v>148.857</v>
      </c>
      <c r="J154" s="18">
        <f ca="1">IF(ISNUMBER(kinematics!D178),kinematics!F178,0)</f>
        <v>379.25890457273943</v>
      </c>
      <c r="K154" s="11">
        <f ca="1">IF(ISNUMBER(kinematics!L178),kinematics!L178,0)</f>
        <v>39.116540427260588</v>
      </c>
      <c r="M154" s="18">
        <f ca="1">IF(ISNUMBER(kinematics!D178),kinematics!B178,MAX($D$6:$D$186))</f>
        <v>148</v>
      </c>
      <c r="N154" s="18">
        <f ca="1">IF(ISNUMBER(kinematics!D178),kinematics!F178,0)</f>
        <v>379.25890457273943</v>
      </c>
      <c r="O154" s="18">
        <f ca="1">IF(ISNUMBER(kinematics!J178),kinematics!J178,0)</f>
        <v>15.553247180846201</v>
      </c>
      <c r="P154" s="11">
        <f ca="1">IF(ISNUMBER(kinematics!L178),kinematics!L178,0)</f>
        <v>39.116540427260588</v>
      </c>
      <c r="R154" s="11">
        <f t="shared" ca="1" si="12"/>
        <v>15.553247180846201</v>
      </c>
      <c r="S154" s="11">
        <f t="shared" ca="1" si="10"/>
        <v>39.116540427260588</v>
      </c>
    </row>
    <row r="155" spans="3:19" x14ac:dyDescent="0.2">
      <c r="C155" s="11">
        <f ca="1">IF(ISNUMBER(kinematics!D179),kinematics!D179,MAX(kinematics!$D$30:$D$210))</f>
        <v>149.833</v>
      </c>
      <c r="D155" s="18">
        <f ca="1">IF(ISNUMBER(kinematics!D179),kinematics!B179,0)</f>
        <v>149</v>
      </c>
      <c r="E155" s="11">
        <f ca="1">IF(ISNUMBER(kinematics!J179),kinematics!J179,0)</f>
        <v>15.065887130832435</v>
      </c>
      <c r="I155" s="11">
        <f t="shared" ca="1" si="11"/>
        <v>149.833</v>
      </c>
      <c r="J155" s="18">
        <f ca="1">IF(ISNUMBER(kinematics!D179),kinematics!F179,0)</f>
        <v>379.07586072672501</v>
      </c>
      <c r="K155" s="11">
        <f ca="1">IF(ISNUMBER(kinematics!L179),kinematics!L179,0)</f>
        <v>39.299584273275002</v>
      </c>
      <c r="M155" s="18">
        <f ca="1">IF(ISNUMBER(kinematics!D179),kinematics!B179,MAX($D$6:$D$186))</f>
        <v>149</v>
      </c>
      <c r="N155" s="18">
        <f ca="1">IF(ISNUMBER(kinematics!D179),kinematics!F179,0)</f>
        <v>379.07586072672501</v>
      </c>
      <c r="O155" s="18">
        <f ca="1">IF(ISNUMBER(kinematics!J179),kinematics!J179,0)</f>
        <v>15.065887130832435</v>
      </c>
      <c r="P155" s="11">
        <f ca="1">IF(ISNUMBER(kinematics!L179),kinematics!L179,0)</f>
        <v>39.299584273275002</v>
      </c>
      <c r="R155" s="11">
        <f t="shared" ca="1" si="12"/>
        <v>15.065887130832435</v>
      </c>
      <c r="S155" s="11">
        <f t="shared" ca="1" si="10"/>
        <v>39.299584273275002</v>
      </c>
    </row>
    <row r="156" spans="3:19" x14ac:dyDescent="0.2">
      <c r="C156" s="11">
        <f ca="1">IF(ISNUMBER(kinematics!D180),kinematics!D180,MAX(kinematics!$D$30:$D$210))</f>
        <v>150.80799999999999</v>
      </c>
      <c r="D156" s="18">
        <f ca="1">IF(ISNUMBER(kinematics!D180),kinematics!B180,0)</f>
        <v>150</v>
      </c>
      <c r="E156" s="11">
        <f ca="1">IF(ISNUMBER(kinematics!J180),kinematics!J180,0)</f>
        <v>14.578650487346094</v>
      </c>
      <c r="I156" s="11">
        <f t="shared" ca="1" si="11"/>
        <v>150.80799999999999</v>
      </c>
      <c r="J156" s="18">
        <f ca="1">IF(ISNUMBER(kinematics!D180),kinematics!F180,0)</f>
        <v>378.89814857080268</v>
      </c>
      <c r="K156" s="11">
        <f ca="1">IF(ISNUMBER(kinematics!L180),kinematics!L180,0)</f>
        <v>39.477296429197338</v>
      </c>
      <c r="M156" s="18">
        <f ca="1">IF(ISNUMBER(kinematics!D180),kinematics!B180,MAX($D$6:$D$186))</f>
        <v>150</v>
      </c>
      <c r="N156" s="18">
        <f ca="1">IF(ISNUMBER(kinematics!D180),kinematics!F180,0)</f>
        <v>378.89814857080268</v>
      </c>
      <c r="O156" s="18">
        <f ca="1">IF(ISNUMBER(kinematics!J180),kinematics!J180,0)</f>
        <v>14.578650487346094</v>
      </c>
      <c r="P156" s="11">
        <f ca="1">IF(ISNUMBER(kinematics!L180),kinematics!L180,0)</f>
        <v>39.477296429197338</v>
      </c>
      <c r="R156" s="11">
        <f t="shared" ca="1" si="12"/>
        <v>14.578650487346094</v>
      </c>
      <c r="S156" s="11">
        <f t="shared" ca="1" si="10"/>
        <v>39.477296429197338</v>
      </c>
    </row>
    <row r="157" spans="3:19" x14ac:dyDescent="0.2">
      <c r="C157" s="11">
        <f ca="1">IF(ISNUMBER(kinematics!D181),kinematics!D181,MAX(kinematics!$D$30:$D$210))</f>
        <v>151.78399999999999</v>
      </c>
      <c r="D157" s="18">
        <f ca="1">IF(ISNUMBER(kinematics!D181),kinematics!B181,0)</f>
        <v>151</v>
      </c>
      <c r="E157" s="11">
        <f ca="1">IF(ISNUMBER(kinematics!J181),kinematics!J181,0)</f>
        <v>14.091533656510318</v>
      </c>
      <c r="I157" s="11">
        <f t="shared" ca="1" si="11"/>
        <v>151.78399999999999</v>
      </c>
      <c r="J157" s="18">
        <f ca="1">IF(ISNUMBER(kinematics!D181),kinematics!F181,0)</f>
        <v>378.72581424771772</v>
      </c>
      <c r="K157" s="11">
        <f ca="1">IF(ISNUMBER(kinematics!L181),kinematics!L181,0)</f>
        <v>39.649630752282292</v>
      </c>
      <c r="M157" s="18">
        <f ca="1">IF(ISNUMBER(kinematics!D181),kinematics!B181,MAX($D$6:$D$186))</f>
        <v>151</v>
      </c>
      <c r="N157" s="18">
        <f ca="1">IF(ISNUMBER(kinematics!D181),kinematics!F181,0)</f>
        <v>378.72581424771772</v>
      </c>
      <c r="O157" s="18">
        <f ca="1">IF(ISNUMBER(kinematics!J181),kinematics!J181,0)</f>
        <v>14.091533656510318</v>
      </c>
      <c r="P157" s="11">
        <f ca="1">IF(ISNUMBER(kinematics!L181),kinematics!L181,0)</f>
        <v>39.649630752282292</v>
      </c>
      <c r="R157" s="11">
        <f t="shared" ca="1" si="12"/>
        <v>14.091533656510318</v>
      </c>
      <c r="S157" s="11">
        <f t="shared" ca="1" si="10"/>
        <v>39.649630752282292</v>
      </c>
    </row>
    <row r="158" spans="3:19" x14ac:dyDescent="0.2">
      <c r="C158" s="11">
        <f ca="1">IF(ISNUMBER(kinematics!D182),kinematics!D182,MAX(kinematics!$D$30:$D$210))</f>
        <v>152.75899999999999</v>
      </c>
      <c r="D158" s="18">
        <f ca="1">IF(ISNUMBER(kinematics!D182),kinematics!B182,0)</f>
        <v>152</v>
      </c>
      <c r="E158" s="11">
        <f ca="1">IF(ISNUMBER(kinematics!J182),kinematics!J182,0)</f>
        <v>13.604533006786317</v>
      </c>
      <c r="I158" s="11">
        <f t="shared" ca="1" si="11"/>
        <v>152.75899999999999</v>
      </c>
      <c r="J158" s="18">
        <f ca="1">IF(ISNUMBER(kinematics!D182),kinematics!F182,0)</f>
        <v>378.55890242790292</v>
      </c>
      <c r="K158" s="11">
        <f ca="1">IF(ISNUMBER(kinematics!L182),kinematics!L182,0)</f>
        <v>39.816542572097092</v>
      </c>
      <c r="M158" s="18">
        <f ca="1">IF(ISNUMBER(kinematics!D182),kinematics!B182,MAX($D$6:$D$186))</f>
        <v>152</v>
      </c>
      <c r="N158" s="18">
        <f ca="1">IF(ISNUMBER(kinematics!D182),kinematics!F182,0)</f>
        <v>378.55890242790292</v>
      </c>
      <c r="O158" s="18">
        <f ca="1">IF(ISNUMBER(kinematics!J182),kinematics!J182,0)</f>
        <v>13.604533006786317</v>
      </c>
      <c r="P158" s="11">
        <f ca="1">IF(ISNUMBER(kinematics!L182),kinematics!L182,0)</f>
        <v>39.816542572097092</v>
      </c>
      <c r="R158" s="11">
        <f t="shared" ca="1" si="12"/>
        <v>13.604533006786317</v>
      </c>
      <c r="S158" s="11">
        <f t="shared" ca="1" si="10"/>
        <v>39.816542572097092</v>
      </c>
    </row>
    <row r="159" spans="3:19" x14ac:dyDescent="0.2">
      <c r="C159" s="11">
        <f ca="1">IF(ISNUMBER(kinematics!D183),kinematics!D183,MAX(kinematics!$D$30:$D$210))</f>
        <v>153.73400000000001</v>
      </c>
      <c r="D159" s="18">
        <f ca="1">IF(ISNUMBER(kinematics!D183),kinematics!B183,0)</f>
        <v>153</v>
      </c>
      <c r="E159" s="11">
        <f ca="1">IF(ISNUMBER(kinematics!J183),kinematics!J183,0)</f>
        <v>13.117644870162163</v>
      </c>
      <c r="I159" s="11">
        <f t="shared" ca="1" si="11"/>
        <v>153.73400000000001</v>
      </c>
      <c r="J159" s="18">
        <f ca="1">IF(ISNUMBER(kinematics!D183),kinematics!F183,0)</f>
        <v>378.39745630490904</v>
      </c>
      <c r="K159" s="11">
        <f ca="1">IF(ISNUMBER(kinematics!L183),kinematics!L183,0)</f>
        <v>39.977988695090971</v>
      </c>
      <c r="M159" s="18">
        <f ca="1">IF(ISNUMBER(kinematics!D183),kinematics!B183,MAX($D$6:$D$186))</f>
        <v>153</v>
      </c>
      <c r="N159" s="18">
        <f ca="1">IF(ISNUMBER(kinematics!D183),kinematics!F183,0)</f>
        <v>378.39745630490904</v>
      </c>
      <c r="O159" s="18">
        <f ca="1">IF(ISNUMBER(kinematics!J183),kinematics!J183,0)</f>
        <v>13.117644870162163</v>
      </c>
      <c r="P159" s="11">
        <f ca="1">IF(ISNUMBER(kinematics!L183),kinematics!L183,0)</f>
        <v>39.977988695090971</v>
      </c>
      <c r="R159" s="11">
        <f t="shared" ca="1" si="12"/>
        <v>13.117644870162163</v>
      </c>
      <c r="S159" s="11">
        <f t="shared" ca="1" si="10"/>
        <v>39.977988695090971</v>
      </c>
    </row>
    <row r="160" spans="3:19" x14ac:dyDescent="0.2">
      <c r="C160" s="11">
        <f ca="1">IF(ISNUMBER(kinematics!D184),kinematics!D184,MAX(kinematics!$D$30:$D$210))</f>
        <v>154.709</v>
      </c>
      <c r="D160" s="18">
        <f ca="1">IF(ISNUMBER(kinematics!D184),kinematics!B184,0)</f>
        <v>154</v>
      </c>
      <c r="E160" s="11">
        <f ca="1">IF(ISNUMBER(kinematics!J184),kinematics!J184,0)</f>
        <v>12.630865543349135</v>
      </c>
      <c r="I160" s="11">
        <f t="shared" ca="1" si="11"/>
        <v>154.709</v>
      </c>
      <c r="J160" s="18">
        <f ca="1">IF(ISNUMBER(kinematics!D184),kinematics!F184,0)</f>
        <v>378.24151759108042</v>
      </c>
      <c r="K160" s="11">
        <f ca="1">IF(ISNUMBER(kinematics!L184),kinematics!L184,0)</f>
        <v>40.13392740891959</v>
      </c>
      <c r="M160" s="18">
        <f ca="1">IF(ISNUMBER(kinematics!D184),kinematics!B184,MAX($D$6:$D$186))</f>
        <v>154</v>
      </c>
      <c r="N160" s="18">
        <f ca="1">IF(ISNUMBER(kinematics!D184),kinematics!F184,0)</f>
        <v>378.24151759108042</v>
      </c>
      <c r="O160" s="18">
        <f ca="1">IF(ISNUMBER(kinematics!J184),kinematics!J184,0)</f>
        <v>12.630865543349135</v>
      </c>
      <c r="P160" s="11">
        <f ca="1">IF(ISNUMBER(kinematics!L184),kinematics!L184,0)</f>
        <v>40.13392740891959</v>
      </c>
      <c r="R160" s="11">
        <f t="shared" ca="1" si="12"/>
        <v>12.630865543349135</v>
      </c>
      <c r="S160" s="11">
        <f t="shared" ca="1" si="10"/>
        <v>40.13392740891959</v>
      </c>
    </row>
    <row r="161" spans="3:19" x14ac:dyDescent="0.2">
      <c r="C161" s="11">
        <f ca="1">IF(ISNUMBER(kinematics!D185),kinematics!D185,MAX(kinematics!$D$30:$D$210))</f>
        <v>155.68299999999999</v>
      </c>
      <c r="D161" s="18">
        <f ca="1">IF(ISNUMBER(kinematics!D185),kinematics!B185,0)</f>
        <v>155</v>
      </c>
      <c r="E161" s="11">
        <f ca="1">IF(ISNUMBER(kinematics!J185),kinematics!J185,0)</f>
        <v>12.144191288984207</v>
      </c>
      <c r="I161" s="11">
        <f t="shared" ca="1" si="11"/>
        <v>155.68299999999999</v>
      </c>
      <c r="J161" s="18">
        <f ca="1">IF(ISNUMBER(kinematics!D185),kinematics!F185,0)</f>
        <v>378.09112651345987</v>
      </c>
      <c r="K161" s="11">
        <f ca="1">IF(ISNUMBER(kinematics!L185),kinematics!L185,0)</f>
        <v>40.284318486540144</v>
      </c>
      <c r="M161" s="18">
        <f ca="1">IF(ISNUMBER(kinematics!D185),kinematics!B185,MAX($D$6:$D$186))</f>
        <v>155</v>
      </c>
      <c r="N161" s="18">
        <f ca="1">IF(ISNUMBER(kinematics!D185),kinematics!F185,0)</f>
        <v>378.09112651345987</v>
      </c>
      <c r="O161" s="18">
        <f ca="1">IF(ISNUMBER(kinematics!J185),kinematics!J185,0)</f>
        <v>12.144191288984207</v>
      </c>
      <c r="P161" s="11">
        <f ca="1">IF(ISNUMBER(kinematics!L185),kinematics!L185,0)</f>
        <v>40.284318486540144</v>
      </c>
      <c r="R161" s="11">
        <f t="shared" ca="1" si="12"/>
        <v>12.144191288984207</v>
      </c>
      <c r="S161" s="11">
        <f t="shared" ca="1" si="10"/>
        <v>40.284318486540144</v>
      </c>
    </row>
    <row r="162" spans="3:19" x14ac:dyDescent="0.2">
      <c r="C162" s="11">
        <f ca="1">IF(ISNUMBER(kinematics!D186),kinematics!D186,MAX(kinematics!$D$30:$D$210))</f>
        <v>156.65700000000001</v>
      </c>
      <c r="D162" s="18">
        <f ca="1">IF(ISNUMBER(kinematics!D186),kinematics!B186,0)</f>
        <v>156</v>
      </c>
      <c r="E162" s="11">
        <f ca="1">IF(ISNUMBER(kinematics!J186),kinematics!J186,0)</f>
        <v>11.657618336838144</v>
      </c>
      <c r="I162" s="11">
        <f t="shared" ca="1" si="11"/>
        <v>156.65700000000001</v>
      </c>
      <c r="J162" s="18">
        <f ca="1">IF(ISNUMBER(kinematics!D186),kinematics!F186,0)</f>
        <v>377.94632180991437</v>
      </c>
      <c r="K162" s="11">
        <f ca="1">IF(ISNUMBER(kinematics!L186),kinematics!L186,0)</f>
        <v>40.429123190085647</v>
      </c>
      <c r="M162" s="18">
        <f ca="1">IF(ISNUMBER(kinematics!D186),kinematics!B186,MAX($D$6:$D$186))</f>
        <v>156</v>
      </c>
      <c r="N162" s="18">
        <f ca="1">IF(ISNUMBER(kinematics!D186),kinematics!F186,0)</f>
        <v>377.94632180991437</v>
      </c>
      <c r="O162" s="18">
        <f ca="1">IF(ISNUMBER(kinematics!J186),kinematics!J186,0)</f>
        <v>11.657618336838144</v>
      </c>
      <c r="P162" s="11">
        <f ca="1">IF(ISNUMBER(kinematics!L186),kinematics!L186,0)</f>
        <v>40.429123190085647</v>
      </c>
      <c r="R162" s="11">
        <f t="shared" ca="1" si="12"/>
        <v>11.657618336838144</v>
      </c>
      <c r="S162" s="11">
        <f t="shared" ca="1" si="10"/>
        <v>40.429123190085647</v>
      </c>
    </row>
    <row r="163" spans="3:19" x14ac:dyDescent="0.2">
      <c r="C163" s="11">
        <f ca="1">IF(ISNUMBER(kinematics!D187),kinematics!D187,MAX(kinematics!$D$30:$D$210))</f>
        <v>157.63200000000001</v>
      </c>
      <c r="D163" s="18">
        <f ca="1">IF(ISNUMBER(kinematics!D187),kinematics!B187,0)</f>
        <v>157</v>
      </c>
      <c r="E163" s="11">
        <f ca="1">IF(ISNUMBER(kinematics!J187),kinematics!J187,0)</f>
        <v>11.171142885030028</v>
      </c>
      <c r="I163" s="11">
        <f t="shared" ca="1" si="11"/>
        <v>157.63200000000001</v>
      </c>
      <c r="J163" s="18">
        <f ca="1">IF(ISNUMBER(kinematics!D187),kinematics!F187,0)</f>
        <v>377.80714072547806</v>
      </c>
      <c r="K163" s="11">
        <f ca="1">IF(ISNUMBER(kinematics!L187),kinematics!L187,0)</f>
        <v>40.56830427452195</v>
      </c>
      <c r="M163" s="18">
        <f ca="1">IF(ISNUMBER(kinematics!D187),kinematics!B187,MAX($D$6:$D$186))</f>
        <v>157</v>
      </c>
      <c r="N163" s="18">
        <f ca="1">IF(ISNUMBER(kinematics!D187),kinematics!F187,0)</f>
        <v>377.80714072547806</v>
      </c>
      <c r="O163" s="18">
        <f ca="1">IF(ISNUMBER(kinematics!J187),kinematics!J187,0)</f>
        <v>11.171142885030028</v>
      </c>
      <c r="P163" s="11">
        <f ca="1">IF(ISNUMBER(kinematics!L187),kinematics!L187,0)</f>
        <v>40.56830427452195</v>
      </c>
      <c r="R163" s="11">
        <f t="shared" ca="1" si="12"/>
        <v>11.171142885030028</v>
      </c>
      <c r="S163" s="11">
        <f t="shared" ca="1" si="10"/>
        <v>40.56830427452195</v>
      </c>
    </row>
    <row r="164" spans="3:19" x14ac:dyDescent="0.2">
      <c r="C164" s="11">
        <f ca="1">IF(ISNUMBER(kinematics!D188),kinematics!D188,MAX(kinematics!$D$30:$D$210))</f>
        <v>158.60599999999999</v>
      </c>
      <c r="D164" s="18">
        <f ca="1">IF(ISNUMBER(kinematics!D188),kinematics!B188,0)</f>
        <v>158</v>
      </c>
      <c r="E164" s="11">
        <f ca="1">IF(ISNUMBER(kinematics!J188),kinematics!J188,0)</f>
        <v>10.684761101247236</v>
      </c>
      <c r="I164" s="11">
        <f t="shared" ca="1" si="11"/>
        <v>158.60599999999999</v>
      </c>
      <c r="J164" s="18">
        <f ca="1">IF(ISNUMBER(kinematics!D188),kinematics!F188,0)</f>
        <v>377.67361900890143</v>
      </c>
      <c r="K164" s="11">
        <f ca="1">IF(ISNUMBER(kinematics!L188),kinematics!L188,0)</f>
        <v>40.701825991098588</v>
      </c>
      <c r="M164" s="18">
        <f ca="1">IF(ISNUMBER(kinematics!D188),kinematics!B188,MAX($D$6:$D$186))</f>
        <v>158</v>
      </c>
      <c r="N164" s="18">
        <f ca="1">IF(ISNUMBER(kinematics!D188),kinematics!F188,0)</f>
        <v>377.67361900890143</v>
      </c>
      <c r="O164" s="18">
        <f ca="1">IF(ISNUMBER(kinematics!J188),kinematics!J188,0)</f>
        <v>10.684761101247236</v>
      </c>
      <c r="P164" s="11">
        <f ca="1">IF(ISNUMBER(kinematics!L188),kinematics!L188,0)</f>
        <v>40.701825991098588</v>
      </c>
      <c r="R164" s="11">
        <f t="shared" ca="1" si="12"/>
        <v>10.684761101247236</v>
      </c>
      <c r="S164" s="11">
        <f t="shared" ca="1" si="10"/>
        <v>40.701825991098588</v>
      </c>
    </row>
    <row r="165" spans="3:19" x14ac:dyDescent="0.2">
      <c r="C165" s="11">
        <f ca="1">IF(ISNUMBER(kinematics!D189),kinematics!D189,MAX(kinematics!$D$30:$D$210))</f>
        <v>159.57900000000001</v>
      </c>
      <c r="D165" s="18">
        <f ca="1">IF(ISNUMBER(kinematics!D189),kinematics!B189,0)</f>
        <v>159</v>
      </c>
      <c r="E165" s="11">
        <f ca="1">IF(ISNUMBER(kinematics!J189),kinematics!J189,0)</f>
        <v>10.198469123970495</v>
      </c>
      <c r="I165" s="11">
        <f t="shared" ca="1" si="11"/>
        <v>159.57900000000001</v>
      </c>
      <c r="J165" s="18">
        <f ca="1">IF(ISNUMBER(kinematics!D189),kinematics!F189,0)</f>
        <v>377.54579090939797</v>
      </c>
      <c r="K165" s="11">
        <f ca="1">IF(ISNUMBER(kinematics!L189),kinematics!L189,0)</f>
        <v>40.829654090602048</v>
      </c>
      <c r="M165" s="18">
        <f ca="1">IF(ISNUMBER(kinematics!D189),kinematics!B189,MAX($D$6:$D$186))</f>
        <v>159</v>
      </c>
      <c r="N165" s="18">
        <f ca="1">IF(ISNUMBER(kinematics!D189),kinematics!F189,0)</f>
        <v>377.54579090939797</v>
      </c>
      <c r="O165" s="18">
        <f ca="1">IF(ISNUMBER(kinematics!J189),kinematics!J189,0)</f>
        <v>10.198469123970495</v>
      </c>
      <c r="P165" s="11">
        <f ca="1">IF(ISNUMBER(kinematics!L189),kinematics!L189,0)</f>
        <v>40.829654090602048</v>
      </c>
      <c r="R165" s="11">
        <f t="shared" ca="1" si="12"/>
        <v>10.198469123970495</v>
      </c>
      <c r="S165" s="11">
        <f t="shared" ca="1" si="10"/>
        <v>40.829654090602048</v>
      </c>
    </row>
    <row r="166" spans="3:19" x14ac:dyDescent="0.2">
      <c r="C166" s="11">
        <f ca="1">IF(ISNUMBER(kinematics!D190),kinematics!D190,MAX(kinematics!$D$30:$D$210))</f>
        <v>160.553</v>
      </c>
      <c r="D166" s="18">
        <f ca="1">IF(ISNUMBER(kinematics!D190),kinematics!B190,0)</f>
        <v>160</v>
      </c>
      <c r="E166" s="11">
        <f ca="1">IF(ISNUMBER(kinematics!J190),kinematics!J190,0)</f>
        <v>9.7122630637053362</v>
      </c>
      <c r="I166" s="11">
        <f t="shared" ca="1" si="11"/>
        <v>160.553</v>
      </c>
      <c r="J166" s="18">
        <f ca="1">IF(ISNUMBER(kinematics!D190),kinematics!F190,0)</f>
        <v>377.42368917359005</v>
      </c>
      <c r="K166" s="11">
        <f ca="1">IF(ISNUMBER(kinematics!L190),kinematics!L190,0)</f>
        <v>40.951755826409965</v>
      </c>
      <c r="M166" s="18">
        <f ca="1">IF(ISNUMBER(kinematics!D190),kinematics!B190,MAX($D$6:$D$186))</f>
        <v>160</v>
      </c>
      <c r="N166" s="18">
        <f ca="1">IF(ISNUMBER(kinematics!D190),kinematics!F190,0)</f>
        <v>377.42368917359005</v>
      </c>
      <c r="O166" s="18">
        <f ca="1">IF(ISNUMBER(kinematics!J190),kinematics!J190,0)</f>
        <v>9.7122630637053362</v>
      </c>
      <c r="P166" s="11">
        <f ca="1">IF(ISNUMBER(kinematics!L190),kinematics!L190,0)</f>
        <v>40.951755826409965</v>
      </c>
      <c r="R166" s="11">
        <f t="shared" ca="1" si="12"/>
        <v>9.7122630637053362</v>
      </c>
      <c r="S166" s="11">
        <f t="shared" ref="S166:S197" ca="1" si="13">P166</f>
        <v>40.951755826409965</v>
      </c>
    </row>
    <row r="167" spans="3:19" x14ac:dyDescent="0.2">
      <c r="C167" s="11">
        <f ca="1">IF(ISNUMBER(kinematics!D191),kinematics!D191,MAX(kinematics!$D$30:$D$210))</f>
        <v>161.52600000000001</v>
      </c>
      <c r="D167" s="18">
        <f ca="1">IF(ISNUMBER(kinematics!D191),kinematics!B191,0)</f>
        <v>161</v>
      </c>
      <c r="E167" s="11">
        <f ca="1">IF(ISNUMBER(kinematics!J191),kinematics!J191,0)</f>
        <v>9.2261390042174671</v>
      </c>
      <c r="I167" s="11">
        <f t="shared" ca="1" si="11"/>
        <v>161.52600000000001</v>
      </c>
      <c r="J167" s="18">
        <f ca="1">IF(ISNUMBER(kinematics!D191),kinematics!F191,0)</f>
        <v>377.30734504263415</v>
      </c>
      <c r="K167" s="11">
        <f ca="1">IF(ISNUMBER(kinematics!L191),kinematics!L191,0)</f>
        <v>41.06809995736586</v>
      </c>
      <c r="M167" s="18">
        <f ca="1">IF(ISNUMBER(kinematics!D191),kinematics!B191,MAX($D$6:$D$186))</f>
        <v>161</v>
      </c>
      <c r="N167" s="18">
        <f ca="1">IF(ISNUMBER(kinematics!D191),kinematics!F191,0)</f>
        <v>377.30734504263415</v>
      </c>
      <c r="O167" s="18">
        <f ca="1">IF(ISNUMBER(kinematics!J191),kinematics!J191,0)</f>
        <v>9.2261390042174671</v>
      </c>
      <c r="P167" s="11">
        <f ca="1">IF(ISNUMBER(kinematics!L191),kinematics!L191,0)</f>
        <v>41.06809995736586</v>
      </c>
      <c r="R167" s="11">
        <f t="shared" ref="R167:R198" ca="1" si="14">O167</f>
        <v>9.2261390042174671</v>
      </c>
      <c r="S167" s="11">
        <f t="shared" ca="1" si="13"/>
        <v>41.06809995736586</v>
      </c>
    </row>
    <row r="168" spans="3:19" x14ac:dyDescent="0.2">
      <c r="C168" s="11">
        <f ca="1">IF(ISNUMBER(kinematics!D192),kinematics!D192,MAX(kinematics!$D$30:$D$210))</f>
        <v>162.499</v>
      </c>
      <c r="D168" s="18">
        <f ca="1">IF(ISNUMBER(kinematics!D192),kinematics!B192,0)</f>
        <v>162</v>
      </c>
      <c r="E168" s="11">
        <f ca="1">IF(ISNUMBER(kinematics!J192),kinematics!J192,0)</f>
        <v>8.7400930037737439</v>
      </c>
      <c r="I168" s="11">
        <f t="shared" ca="1" si="11"/>
        <v>162.499</v>
      </c>
      <c r="J168" s="18">
        <f ca="1">IF(ISNUMBER(kinematics!D192),kinematics!F192,0)</f>
        <v>377.19678824952899</v>
      </c>
      <c r="K168" s="11">
        <f ca="1">IF(ISNUMBER(kinematics!L192),kinematics!L192,0)</f>
        <v>41.178656750471021</v>
      </c>
      <c r="M168" s="18">
        <f ca="1">IF(ISNUMBER(kinematics!D192),kinematics!B192,MAX($D$6:$D$186))</f>
        <v>162</v>
      </c>
      <c r="N168" s="18">
        <f ca="1">IF(ISNUMBER(kinematics!D192),kinematics!F192,0)</f>
        <v>377.19678824952899</v>
      </c>
      <c r="O168" s="18">
        <f ca="1">IF(ISNUMBER(kinematics!J192),kinematics!J192,0)</f>
        <v>8.7400930037737439</v>
      </c>
      <c r="P168" s="11">
        <f ca="1">IF(ISNUMBER(kinematics!L192),kinematics!L192,0)</f>
        <v>41.178656750471021</v>
      </c>
      <c r="R168" s="11">
        <f t="shared" ca="1" si="14"/>
        <v>8.7400930037737439</v>
      </c>
      <c r="S168" s="11">
        <f t="shared" ca="1" si="13"/>
        <v>41.178656750471021</v>
      </c>
    </row>
    <row r="169" spans="3:19" x14ac:dyDescent="0.2">
      <c r="C169" s="11">
        <f ca="1">IF(ISNUMBER(kinematics!D193),kinematics!D193,MAX(kinematics!$D$30:$D$210))</f>
        <v>163.47300000000001</v>
      </c>
      <c r="D169" s="18">
        <f ca="1">IF(ISNUMBER(kinematics!D193),kinematics!B193,0)</f>
        <v>163</v>
      </c>
      <c r="E169" s="11">
        <f ca="1">IF(ISNUMBER(kinematics!J193),kinematics!J193,0)</f>
        <v>8.2541210963877525</v>
      </c>
      <c r="I169" s="11">
        <f t="shared" ca="1" si="11"/>
        <v>163.47300000000001</v>
      </c>
      <c r="J169" s="18">
        <f ca="1">IF(ISNUMBER(kinematics!D193),kinematics!F193,0)</f>
        <v>377.09204701659758</v>
      </c>
      <c r="K169" s="11">
        <f ca="1">IF(ISNUMBER(kinematics!L193),kinematics!L193,0)</f>
        <v>41.283397983402438</v>
      </c>
      <c r="M169" s="18">
        <f ca="1">IF(ISNUMBER(kinematics!D193),kinematics!B193,MAX($D$6:$D$186))</f>
        <v>163</v>
      </c>
      <c r="N169" s="18">
        <f ca="1">IF(ISNUMBER(kinematics!D193),kinematics!F193,0)</f>
        <v>377.09204701659758</v>
      </c>
      <c r="O169" s="18">
        <f ca="1">IF(ISNUMBER(kinematics!J193),kinematics!J193,0)</f>
        <v>8.2541210963877525</v>
      </c>
      <c r="P169" s="11">
        <f ca="1">IF(ISNUMBER(kinematics!L193),kinematics!L193,0)</f>
        <v>41.283397983402438</v>
      </c>
      <c r="R169" s="11">
        <f t="shared" ca="1" si="14"/>
        <v>8.2541210963877525</v>
      </c>
      <c r="S169" s="11">
        <f t="shared" ca="1" si="13"/>
        <v>41.283397983402438</v>
      </c>
    </row>
    <row r="170" spans="3:19" x14ac:dyDescent="0.2">
      <c r="C170" s="11">
        <f ca="1">IF(ISNUMBER(kinematics!D194),kinematics!D194,MAX(kinematics!$D$30:$D$210))</f>
        <v>164.44499999999999</v>
      </c>
      <c r="D170" s="18">
        <f ca="1">IF(ISNUMBER(kinematics!D194),kinematics!B194,0)</f>
        <v>164</v>
      </c>
      <c r="E170" s="11">
        <f ca="1">IF(ISNUMBER(kinematics!J194),kinematics!J194,0)</f>
        <v>7.768219293069679</v>
      </c>
      <c r="I170" s="11">
        <f t="shared" ca="1" si="11"/>
        <v>164.44499999999999</v>
      </c>
      <c r="J170" s="18">
        <f ca="1">IF(ISNUMBER(kinematics!D194),kinematics!F194,0)</f>
        <v>376.99314805313389</v>
      </c>
      <c r="K170" s="11">
        <f ca="1">IF(ISNUMBER(kinematics!L194),kinematics!L194,0)</f>
        <v>41.38229694686612</v>
      </c>
      <c r="M170" s="18">
        <f ca="1">IF(ISNUMBER(kinematics!D194),kinematics!B194,MAX($D$6:$D$186))</f>
        <v>164</v>
      </c>
      <c r="N170" s="18">
        <f ca="1">IF(ISNUMBER(kinematics!D194),kinematics!F194,0)</f>
        <v>376.99314805313389</v>
      </c>
      <c r="O170" s="18">
        <f ca="1">IF(ISNUMBER(kinematics!J194),kinematics!J194,0)</f>
        <v>7.768219293069679</v>
      </c>
      <c r="P170" s="11">
        <f ca="1">IF(ISNUMBER(kinematics!L194),kinematics!L194,0)</f>
        <v>41.38229694686612</v>
      </c>
      <c r="R170" s="11">
        <f t="shared" ca="1" si="14"/>
        <v>7.768219293069679</v>
      </c>
      <c r="S170" s="11">
        <f t="shared" ca="1" si="13"/>
        <v>41.38229694686612</v>
      </c>
    </row>
    <row r="171" spans="3:19" x14ac:dyDescent="0.2">
      <c r="C171" s="11">
        <f ca="1">IF(ISNUMBER(kinematics!D195),kinematics!D195,MAX(kinematics!$D$30:$D$210))</f>
        <v>165.41800000000001</v>
      </c>
      <c r="D171" s="18">
        <f ca="1">IF(ISNUMBER(kinematics!D195),kinematics!B195,0)</f>
        <v>165</v>
      </c>
      <c r="E171" s="11">
        <f ca="1">IF(ISNUMBER(kinematics!J195),kinematics!J195,0)</f>
        <v>7.2823835830803683</v>
      </c>
      <c r="I171" s="11">
        <f t="shared" ca="1" si="11"/>
        <v>165.41800000000001</v>
      </c>
      <c r="J171" s="18">
        <f ca="1">IF(ISNUMBER(kinematics!D195),kinematics!F195,0)</f>
        <v>376.90011655321098</v>
      </c>
      <c r="K171" s="11">
        <f ca="1">IF(ISNUMBER(kinematics!L195),kinematics!L195,0)</f>
        <v>41.475328446789035</v>
      </c>
      <c r="M171" s="18">
        <f ca="1">IF(ISNUMBER(kinematics!D195),kinematics!B195,MAX($D$6:$D$186))</f>
        <v>165</v>
      </c>
      <c r="N171" s="18">
        <f ca="1">IF(ISNUMBER(kinematics!D195),kinematics!F195,0)</f>
        <v>376.90011655321098</v>
      </c>
      <c r="O171" s="18">
        <f ca="1">IF(ISNUMBER(kinematics!J195),kinematics!J195,0)</f>
        <v>7.2823835830803683</v>
      </c>
      <c r="P171" s="11">
        <f ca="1">IF(ISNUMBER(kinematics!L195),kinematics!L195,0)</f>
        <v>41.475328446789035</v>
      </c>
      <c r="R171" s="11">
        <f t="shared" ca="1" si="14"/>
        <v>7.2823835830803683</v>
      </c>
      <c r="S171" s="11">
        <f t="shared" ca="1" si="13"/>
        <v>41.475328446789035</v>
      </c>
    </row>
    <row r="172" spans="3:19" x14ac:dyDescent="0.2">
      <c r="C172" s="11">
        <f ca="1">IF(ISNUMBER(kinematics!D196),kinematics!D196,MAX(kinematics!$D$30:$D$210))</f>
        <v>166.39099999999999</v>
      </c>
      <c r="D172" s="18">
        <f ca="1">IF(ISNUMBER(kinematics!D196),kinematics!B196,0)</f>
        <v>166</v>
      </c>
      <c r="E172" s="11">
        <f ca="1">IF(ISNUMBER(kinematics!J196),kinematics!J196,0)</f>
        <v>6.7966099351898333</v>
      </c>
      <c r="I172" s="11">
        <f t="shared" ca="1" si="11"/>
        <v>166.39099999999999</v>
      </c>
      <c r="J172" s="18">
        <f ca="1">IF(ISNUMBER(kinematics!D196),kinematics!F196,0)</f>
        <v>376.81297619364773</v>
      </c>
      <c r="K172" s="11">
        <f ca="1">IF(ISNUMBER(kinematics!L196),kinematics!L196,0)</f>
        <v>41.562468806352285</v>
      </c>
      <c r="M172" s="18">
        <f ca="1">IF(ISNUMBER(kinematics!D196),kinematics!B196,MAX($D$6:$D$186))</f>
        <v>166</v>
      </c>
      <c r="N172" s="18">
        <f ca="1">IF(ISNUMBER(kinematics!D196),kinematics!F196,0)</f>
        <v>376.81297619364773</v>
      </c>
      <c r="O172" s="18">
        <f ca="1">IF(ISNUMBER(kinematics!J196),kinematics!J196,0)</f>
        <v>6.7966099351898333</v>
      </c>
      <c r="P172" s="11">
        <f ca="1">IF(ISNUMBER(kinematics!L196),kinematics!L196,0)</f>
        <v>41.562468806352285</v>
      </c>
      <c r="R172" s="11">
        <f t="shared" ca="1" si="14"/>
        <v>6.7966099351898333</v>
      </c>
      <c r="S172" s="11">
        <f t="shared" ca="1" si="13"/>
        <v>41.562468806352285</v>
      </c>
    </row>
    <row r="173" spans="3:19" x14ac:dyDescent="0.2">
      <c r="C173" s="11">
        <f ca="1">IF(ISNUMBER(kinematics!D197),kinematics!D197,MAX(kinematics!$D$30:$D$210))</f>
        <v>167.364</v>
      </c>
      <c r="D173" s="18">
        <f ca="1">IF(ISNUMBER(kinematics!D197),kinematics!B197,0)</f>
        <v>167</v>
      </c>
      <c r="E173" s="11">
        <f ca="1">IF(ISNUMBER(kinematics!J197),kinematics!J197,0)</f>
        <v>6.3108942989390364</v>
      </c>
      <c r="I173" s="11">
        <f t="shared" ca="1" si="11"/>
        <v>167.364</v>
      </c>
      <c r="J173" s="18">
        <f ca="1">IF(ISNUMBER(kinematics!D197),kinematics!F197,0)</f>
        <v>376.73174913212102</v>
      </c>
      <c r="K173" s="11">
        <f ca="1">IF(ISNUMBER(kinematics!L197),kinematics!L197,0)</f>
        <v>41.643695867878989</v>
      </c>
      <c r="M173" s="18">
        <f ca="1">IF(ISNUMBER(kinematics!D197),kinematics!B197,MAX($D$6:$D$186))</f>
        <v>167</v>
      </c>
      <c r="N173" s="18">
        <f ca="1">IF(ISNUMBER(kinematics!D197),kinematics!F197,0)</f>
        <v>376.73174913212102</v>
      </c>
      <c r="O173" s="18">
        <f ca="1">IF(ISNUMBER(kinematics!J197),kinematics!J197,0)</f>
        <v>6.3108942989390364</v>
      </c>
      <c r="P173" s="11">
        <f ca="1">IF(ISNUMBER(kinematics!L197),kinematics!L197,0)</f>
        <v>41.643695867878989</v>
      </c>
      <c r="R173" s="11">
        <f t="shared" ca="1" si="14"/>
        <v>6.3108942989390364</v>
      </c>
      <c r="S173" s="11">
        <f t="shared" ca="1" si="13"/>
        <v>41.643695867878989</v>
      </c>
    </row>
    <row r="174" spans="3:19" x14ac:dyDescent="0.2">
      <c r="C174" s="11">
        <f ca="1">IF(ISNUMBER(kinematics!D198),kinematics!D198,MAX(kinematics!$D$30:$D$210))</f>
        <v>168.33600000000001</v>
      </c>
      <c r="D174" s="18">
        <f ca="1">IF(ISNUMBER(kinematics!D198),kinematics!B198,0)</f>
        <v>168</v>
      </c>
      <c r="E174" s="11">
        <f ca="1">IF(ISNUMBER(kinematics!J198),kinematics!J198,0)</f>
        <v>5.8252326059057529</v>
      </c>
      <c r="I174" s="11">
        <f t="shared" ca="1" si="11"/>
        <v>168.33600000000001</v>
      </c>
      <c r="J174" s="18">
        <f ca="1">IF(ISNUMBER(kinematics!D198),kinematics!F198,0)</f>
        <v>376.65645600542945</v>
      </c>
      <c r="K174" s="11">
        <f ca="1">IF(ISNUMBER(kinematics!L198),kinematics!L198,0)</f>
        <v>41.718988994570566</v>
      </c>
      <c r="M174" s="18">
        <f ca="1">IF(ISNUMBER(kinematics!D198),kinematics!B198,MAX($D$6:$D$186))</f>
        <v>168</v>
      </c>
      <c r="N174" s="18">
        <f ca="1">IF(ISNUMBER(kinematics!D198),kinematics!F198,0)</f>
        <v>376.65645600542945</v>
      </c>
      <c r="O174" s="18">
        <f ca="1">IF(ISNUMBER(kinematics!J198),kinematics!J198,0)</f>
        <v>5.8252326059057529</v>
      </c>
      <c r="P174" s="11">
        <f ca="1">IF(ISNUMBER(kinematics!L198),kinematics!L198,0)</f>
        <v>41.718988994570566</v>
      </c>
      <c r="R174" s="11">
        <f t="shared" ca="1" si="14"/>
        <v>5.8252326059057529</v>
      </c>
      <c r="S174" s="11">
        <f t="shared" ca="1" si="13"/>
        <v>41.718988994570566</v>
      </c>
    </row>
    <row r="175" spans="3:19" x14ac:dyDescent="0.2">
      <c r="C175" s="11">
        <f ca="1">IF(ISNUMBER(kinematics!D199),kinematics!D199,MAX(kinematics!$D$30:$D$210))</f>
        <v>169.30799999999999</v>
      </c>
      <c r="D175" s="18">
        <f ca="1">IF(ISNUMBER(kinematics!D199),kinematics!B199,0)</f>
        <v>169</v>
      </c>
      <c r="E175" s="11">
        <f ca="1">IF(ISNUMBER(kinematics!J199),kinematics!J199,0)</f>
        <v>5.3396207709732408</v>
      </c>
      <c r="I175" s="11">
        <f t="shared" ca="1" si="11"/>
        <v>169.30799999999999</v>
      </c>
      <c r="J175" s="18">
        <f ca="1">IF(ISNUMBER(kinematics!D199),kinematics!F199,0)</f>
        <v>376.58711592788978</v>
      </c>
      <c r="K175" s="11">
        <f ca="1">IF(ISNUMBER(kinematics!L199),kinematics!L199,0)</f>
        <v>41.78832907211023</v>
      </c>
      <c r="M175" s="18">
        <f ca="1">IF(ISNUMBER(kinematics!D199),kinematics!B199,MAX($D$6:$D$186))</f>
        <v>169</v>
      </c>
      <c r="N175" s="18">
        <f ca="1">IF(ISNUMBER(kinematics!D199),kinematics!F199,0)</f>
        <v>376.58711592788978</v>
      </c>
      <c r="O175" s="18">
        <f ca="1">IF(ISNUMBER(kinematics!J199),kinematics!J199,0)</f>
        <v>5.3396207709732408</v>
      </c>
      <c r="P175" s="11">
        <f ca="1">IF(ISNUMBER(kinematics!L199),kinematics!L199,0)</f>
        <v>41.78832907211023</v>
      </c>
      <c r="R175" s="11">
        <f t="shared" ca="1" si="14"/>
        <v>5.3396207709732408</v>
      </c>
      <c r="S175" s="11">
        <f t="shared" ca="1" si="13"/>
        <v>41.78832907211023</v>
      </c>
    </row>
    <row r="176" spans="3:19" x14ac:dyDescent="0.2">
      <c r="C176" s="11">
        <f ca="1">IF(ISNUMBER(kinematics!D200),kinematics!D200,MAX(kinematics!$D$30:$D$210))</f>
        <v>170.28100000000001</v>
      </c>
      <c r="D176" s="18">
        <f ca="1">IF(ISNUMBER(kinematics!D200),kinematics!B200,0)</f>
        <v>170</v>
      </c>
      <c r="E176" s="11">
        <f ca="1">IF(ISNUMBER(kinematics!J200),kinematics!J200,0)</f>
        <v>4.8540546936027589</v>
      </c>
      <c r="I176" s="11">
        <f t="shared" ca="1" si="11"/>
        <v>170.28100000000001</v>
      </c>
      <c r="J176" s="18">
        <f ca="1">IF(ISNUMBER(kinematics!D200),kinematics!F200,0)</f>
        <v>376.52374648988086</v>
      </c>
      <c r="K176" s="11">
        <f ca="1">IF(ISNUMBER(kinematics!L200),kinematics!L200,0)</f>
        <v>41.851698510119149</v>
      </c>
      <c r="M176" s="18">
        <f ca="1">IF(ISNUMBER(kinematics!D200),kinematics!B200,MAX($D$6:$D$186))</f>
        <v>170</v>
      </c>
      <c r="N176" s="18">
        <f ca="1">IF(ISNUMBER(kinematics!D200),kinematics!F200,0)</f>
        <v>376.52374648988086</v>
      </c>
      <c r="O176" s="18">
        <f ca="1">IF(ISNUMBER(kinematics!J200),kinematics!J200,0)</f>
        <v>4.8540546936027589</v>
      </c>
      <c r="P176" s="11">
        <f ca="1">IF(ISNUMBER(kinematics!L200),kinematics!L200,0)</f>
        <v>41.851698510119149</v>
      </c>
      <c r="R176" s="11">
        <f t="shared" ca="1" si="14"/>
        <v>4.8540546936027589</v>
      </c>
      <c r="S176" s="11">
        <f t="shared" ca="1" si="13"/>
        <v>41.851698510119149</v>
      </c>
    </row>
    <row r="177" spans="1:19" x14ac:dyDescent="0.2">
      <c r="C177" s="11">
        <f ca="1">IF(ISNUMBER(kinematics!D201),kinematics!D201,MAX(kinematics!$D$30:$D$210))</f>
        <v>171.25299999999999</v>
      </c>
      <c r="D177" s="18">
        <f ca="1">IF(ISNUMBER(kinematics!D201),kinematics!B201,0)</f>
        <v>171</v>
      </c>
      <c r="E177" s="11">
        <f ca="1">IF(ISNUMBER(kinematics!J201),kinematics!J201,0)</f>
        <v>4.3685302591080495</v>
      </c>
      <c r="I177" s="11">
        <f t="shared" ca="1" si="11"/>
        <v>171.25299999999999</v>
      </c>
      <c r="J177" s="18">
        <f ca="1">IF(ISNUMBER(kinematics!D201),kinematics!F201,0)</f>
        <v>376.46636375650542</v>
      </c>
      <c r="K177" s="11">
        <f ca="1">IF(ISNUMBER(kinematics!L201),kinematics!L201,0)</f>
        <v>41.909081243494597</v>
      </c>
      <c r="M177" s="18">
        <f ca="1">IF(ISNUMBER(kinematics!D201),kinematics!B201,MAX($D$6:$D$186))</f>
        <v>171</v>
      </c>
      <c r="N177" s="18">
        <f ca="1">IF(ISNUMBER(kinematics!D201),kinematics!F201,0)</f>
        <v>376.46636375650542</v>
      </c>
      <c r="O177" s="18">
        <f ca="1">IF(ISNUMBER(kinematics!J201),kinematics!J201,0)</f>
        <v>4.3685302591080495</v>
      </c>
      <c r="P177" s="11">
        <f ca="1">IF(ISNUMBER(kinematics!L201),kinematics!L201,0)</f>
        <v>41.909081243494597</v>
      </c>
      <c r="R177" s="11">
        <f t="shared" ca="1" si="14"/>
        <v>4.3685302591080495</v>
      </c>
      <c r="S177" s="11">
        <f t="shared" ca="1" si="13"/>
        <v>41.909081243494597</v>
      </c>
    </row>
    <row r="178" spans="1:19" x14ac:dyDescent="0.2">
      <c r="C178" s="11">
        <f ca="1">IF(ISNUMBER(kinematics!D202),kinematics!D202,MAX(kinematics!$D$30:$D$210))</f>
        <v>172.22499999999999</v>
      </c>
      <c r="D178" s="18">
        <f ca="1">IF(ISNUMBER(kinematics!D202),kinematics!B202,0)</f>
        <v>172</v>
      </c>
      <c r="E178" s="11">
        <f ca="1">IF(ISNUMBER(kinematics!J202),kinematics!J202,0)</f>
        <v>3.8830433399333319</v>
      </c>
      <c r="I178" s="11">
        <f t="shared" ca="1" si="11"/>
        <v>172.22499999999999</v>
      </c>
      <c r="J178" s="18">
        <f ca="1">IF(ISNUMBER(kinematics!D202),kinematics!F202,0)</f>
        <v>376.4149822663943</v>
      </c>
      <c r="K178" s="11">
        <f ca="1">IF(ISNUMBER(kinematics!L202),kinematics!L202,0)</f>
        <v>41.960462733605709</v>
      </c>
      <c r="M178" s="18">
        <f ca="1">IF(ISNUMBER(kinematics!D202),kinematics!B202,MAX($D$6:$D$186))</f>
        <v>172</v>
      </c>
      <c r="N178" s="18">
        <f ca="1">IF(ISNUMBER(kinematics!D202),kinematics!F202,0)</f>
        <v>376.4149822663943</v>
      </c>
      <c r="O178" s="18">
        <f ca="1">IF(ISNUMBER(kinematics!J202),kinematics!J202,0)</f>
        <v>3.8830433399333319</v>
      </c>
      <c r="P178" s="11">
        <f ca="1">IF(ISNUMBER(kinematics!L202),kinematics!L202,0)</f>
        <v>41.960462733605709</v>
      </c>
      <c r="R178" s="11">
        <f t="shared" ca="1" si="14"/>
        <v>3.8830433399333319</v>
      </c>
      <c r="S178" s="11">
        <f t="shared" ca="1" si="13"/>
        <v>41.960462733605709</v>
      </c>
    </row>
    <row r="179" spans="1:19" x14ac:dyDescent="0.2">
      <c r="C179" s="11">
        <f ca="1">IF(ISNUMBER(kinematics!D203),kinematics!D203,MAX(kinematics!$D$30:$D$210))</f>
        <v>173.197</v>
      </c>
      <c r="D179" s="18">
        <f ca="1">IF(ISNUMBER(kinematics!D203),kinematics!B203,0)</f>
        <v>173</v>
      </c>
      <c r="E179" s="11">
        <f ca="1">IF(ISNUMBER(kinematics!J203),kinematics!J203,0)</f>
        <v>3.3975897969332607</v>
      </c>
      <c r="I179" s="11">
        <f t="shared" ca="1" si="11"/>
        <v>173.197</v>
      </c>
      <c r="J179" s="18">
        <f ca="1">IF(ISNUMBER(kinematics!D203),kinematics!F203,0)</f>
        <v>376.36961503062724</v>
      </c>
      <c r="K179" s="11">
        <f ca="1">IF(ISNUMBER(kinematics!L203),kinematics!L203,0)</f>
        <v>42.005829969372769</v>
      </c>
      <c r="M179" s="18">
        <f ca="1">IF(ISNUMBER(kinematics!D203),kinematics!B203,MAX($D$6:$D$186))</f>
        <v>173</v>
      </c>
      <c r="N179" s="18">
        <f ca="1">IF(ISNUMBER(kinematics!D203),kinematics!F203,0)</f>
        <v>376.36961503062724</v>
      </c>
      <c r="O179" s="18">
        <f ca="1">IF(ISNUMBER(kinematics!J203),kinematics!J203,0)</f>
        <v>3.3975897969332607</v>
      </c>
      <c r="P179" s="11">
        <f ca="1">IF(ISNUMBER(kinematics!L203),kinematics!L203,0)</f>
        <v>42.005829969372769</v>
      </c>
      <c r="R179" s="11">
        <f t="shared" ca="1" si="14"/>
        <v>3.3975897969332607</v>
      </c>
      <c r="S179" s="11">
        <f t="shared" ca="1" si="13"/>
        <v>42.005829969372769</v>
      </c>
    </row>
    <row r="180" spans="1:19" x14ac:dyDescent="0.2">
      <c r="C180" s="11">
        <f ca="1">IF(ISNUMBER(kinematics!D204),kinematics!D204,MAX(kinematics!$D$30:$D$210))</f>
        <v>174.16900000000001</v>
      </c>
      <c r="D180" s="18">
        <f ca="1">IF(ISNUMBER(kinematics!D204),kinematics!B204,0)</f>
        <v>174</v>
      </c>
      <c r="E180" s="11">
        <f ca="1">IF(ISNUMBER(kinematics!J204),kinematics!J204,0)</f>
        <v>2.912165480655009</v>
      </c>
      <c r="I180" s="11">
        <f t="shared" ca="1" si="11"/>
        <v>174.16900000000001</v>
      </c>
      <c r="J180" s="18">
        <f ca="1">IF(ISNUMBER(kinematics!D204),kinematics!F204,0)</f>
        <v>376.33027353177602</v>
      </c>
      <c r="K180" s="11">
        <f ca="1">IF(ISNUMBER(kinematics!L204),kinematics!L204,0)</f>
        <v>42.045171468223998</v>
      </c>
      <c r="M180" s="18">
        <f ca="1">IF(ISNUMBER(kinematics!D204),kinematics!B204,MAX($D$6:$D$186))</f>
        <v>174</v>
      </c>
      <c r="N180" s="18">
        <f ca="1">IF(ISNUMBER(kinematics!D204),kinematics!F204,0)</f>
        <v>376.33027353177602</v>
      </c>
      <c r="O180" s="18">
        <f ca="1">IF(ISNUMBER(kinematics!J204),kinematics!J204,0)</f>
        <v>2.912165480655009</v>
      </c>
      <c r="P180" s="11">
        <f ca="1">IF(ISNUMBER(kinematics!L204),kinematics!L204,0)</f>
        <v>42.045171468223998</v>
      </c>
      <c r="R180" s="11">
        <f t="shared" ca="1" si="14"/>
        <v>2.912165480655009</v>
      </c>
      <c r="S180" s="11">
        <f t="shared" ca="1" si="13"/>
        <v>42.045171468223998</v>
      </c>
    </row>
    <row r="181" spans="1:19" x14ac:dyDescent="0.2">
      <c r="C181" s="11">
        <f ca="1">IF(ISNUMBER(kinematics!D205),kinematics!D205,MAX(kinematics!$D$30:$D$210))</f>
        <v>175.14099999999999</v>
      </c>
      <c r="D181" s="18">
        <f ca="1">IF(ISNUMBER(kinematics!D205),kinematics!B205,0)</f>
        <v>175</v>
      </c>
      <c r="E181" s="11">
        <f ca="1">IF(ISNUMBER(kinematics!J205),kinematics!J205,0)</f>
        <v>2.4267662326226414</v>
      </c>
      <c r="I181" s="11">
        <f t="shared" ca="1" si="11"/>
        <v>175.14099999999999</v>
      </c>
      <c r="J181" s="18">
        <f ca="1">IF(ISNUMBER(kinematics!D205),kinematics!F205,0)</f>
        <v>376.29696772307204</v>
      </c>
      <c r="K181" s="11">
        <f ca="1">IF(ISNUMBER(kinematics!L205),kinematics!L205,0)</f>
        <v>42.07847727692797</v>
      </c>
      <c r="M181" s="18">
        <f ca="1">IF(ISNUMBER(kinematics!D205),kinematics!B205,MAX($D$6:$D$186))</f>
        <v>175</v>
      </c>
      <c r="N181" s="18">
        <f ca="1">IF(ISNUMBER(kinematics!D205),kinematics!F205,0)</f>
        <v>376.29696772307204</v>
      </c>
      <c r="O181" s="18">
        <f ca="1">IF(ISNUMBER(kinematics!J205),kinematics!J205,0)</f>
        <v>2.4267662326226414</v>
      </c>
      <c r="P181" s="11">
        <f ca="1">IF(ISNUMBER(kinematics!L205),kinematics!L205,0)</f>
        <v>42.07847727692797</v>
      </c>
      <c r="R181" s="11">
        <f t="shared" ca="1" si="14"/>
        <v>2.4267662326226414</v>
      </c>
      <c r="S181" s="11">
        <f t="shared" ca="1" si="13"/>
        <v>42.07847727692797</v>
      </c>
    </row>
    <row r="182" spans="1:19" x14ac:dyDescent="0.2">
      <c r="C182" s="11">
        <f ca="1">IF(ISNUMBER(kinematics!D206),kinematics!D206,MAX(kinematics!$D$30:$D$210))</f>
        <v>176.113</v>
      </c>
      <c r="D182" s="18">
        <f ca="1">IF(ISNUMBER(kinematics!D206),kinematics!B206,0)</f>
        <v>176</v>
      </c>
      <c r="E182" s="11">
        <f ca="1">IF(ISNUMBER(kinematics!J206),kinematics!J206,0)</f>
        <v>1.9413878866229051</v>
      </c>
      <c r="I182" s="11">
        <f t="shared" ca="1" si="11"/>
        <v>176.113</v>
      </c>
      <c r="J182" s="18">
        <f ca="1">IF(ISNUMBER(kinematics!D206),kinematics!F206,0)</f>
        <v>376.26970602768483</v>
      </c>
      <c r="K182" s="11">
        <f ca="1">IF(ISNUMBER(kinematics!L206),kinematics!L206,0)</f>
        <v>42.10573897231518</v>
      </c>
      <c r="M182" s="18">
        <f ca="1">IF(ISNUMBER(kinematics!D206),kinematics!B206,MAX($D$6:$D$186))</f>
        <v>176</v>
      </c>
      <c r="N182" s="18">
        <f ca="1">IF(ISNUMBER(kinematics!D206),kinematics!F206,0)</f>
        <v>376.26970602768483</v>
      </c>
      <c r="O182" s="18">
        <f ca="1">IF(ISNUMBER(kinematics!J206),kinematics!J206,0)</f>
        <v>1.9413878866229051</v>
      </c>
      <c r="P182" s="11">
        <f ca="1">IF(ISNUMBER(kinematics!L206),kinematics!L206,0)</f>
        <v>42.10573897231518</v>
      </c>
      <c r="R182" s="11">
        <f t="shared" ca="1" si="14"/>
        <v>1.9413878866229051</v>
      </c>
      <c r="S182" s="11">
        <f t="shared" ca="1" si="13"/>
        <v>42.10573897231518</v>
      </c>
    </row>
    <row r="183" spans="1:19" x14ac:dyDescent="0.2">
      <c r="C183" s="11">
        <f ca="1">IF(ISNUMBER(kinematics!D207),kinematics!D207,MAX(kinematics!$D$30:$D$210))</f>
        <v>177.08500000000001</v>
      </c>
      <c r="D183" s="18">
        <f ca="1">IF(ISNUMBER(kinematics!D207),kinematics!B207,0)</f>
        <v>177</v>
      </c>
      <c r="E183" s="11">
        <f ca="1">IF(ISNUMBER(kinematics!J207),kinematics!J207,0)</f>
        <v>1.4560262699925026</v>
      </c>
      <c r="I183" s="11">
        <f t="shared" ca="1" si="11"/>
        <v>177.08500000000001</v>
      </c>
      <c r="J183" s="18">
        <f ca="1">IF(ISNUMBER(kinematics!D207),kinematics!F207,0)</f>
        <v>376.24849533811812</v>
      </c>
      <c r="K183" s="11">
        <f ca="1">IF(ISNUMBER(kinematics!L207),kinematics!L207,0)</f>
        <v>42.126949661881895</v>
      </c>
      <c r="M183" s="18">
        <f ca="1">IF(ISNUMBER(kinematics!D207),kinematics!B207,MAX($D$6:$D$186))</f>
        <v>177</v>
      </c>
      <c r="N183" s="18">
        <f ca="1">IF(ISNUMBER(kinematics!D207),kinematics!F207,0)</f>
        <v>376.24849533811812</v>
      </c>
      <c r="O183" s="18">
        <f ca="1">IF(ISNUMBER(kinematics!J207),kinematics!J207,0)</f>
        <v>1.4560262699925026</v>
      </c>
      <c r="P183" s="11">
        <f ca="1">IF(ISNUMBER(kinematics!L207),kinematics!L207,0)</f>
        <v>42.126949661881895</v>
      </c>
      <c r="R183" s="11">
        <f t="shared" ca="1" si="14"/>
        <v>1.4560262699925026</v>
      </c>
      <c r="S183" s="11">
        <f t="shared" ca="1" si="13"/>
        <v>42.126949661881895</v>
      </c>
    </row>
    <row r="184" spans="1:19" x14ac:dyDescent="0.2">
      <c r="C184" s="11">
        <f ca="1">IF(ISNUMBER(kinematics!D208),kinematics!D208,MAX(kinematics!$D$30:$D$210))</f>
        <v>178.05600000000001</v>
      </c>
      <c r="D184" s="18">
        <f ca="1">IF(ISNUMBER(kinematics!D208),kinematics!B208,0)</f>
        <v>178</v>
      </c>
      <c r="E184" s="11">
        <f ca="1">IF(ISNUMBER(kinematics!J208),kinematics!J208,0)</f>
        <v>0.97067720490664611</v>
      </c>
      <c r="I184" s="11">
        <f t="shared" ca="1" si="11"/>
        <v>178.05600000000001</v>
      </c>
      <c r="J184" s="18">
        <f ca="1">IF(ISNUMBER(kinematics!D208),kinematics!F208,0)</f>
        <v>376.23334101571311</v>
      </c>
      <c r="K184" s="11">
        <f ca="1">IF(ISNUMBER(kinematics!L208),kinematics!L208,0)</f>
        <v>42.142103984286905</v>
      </c>
      <c r="M184" s="18">
        <f ca="1">IF(ISNUMBER(kinematics!D208),kinematics!B208,MAX($D$6:$D$186))</f>
        <v>178</v>
      </c>
      <c r="N184" s="18">
        <f ca="1">IF(ISNUMBER(kinematics!D208),kinematics!F208,0)</f>
        <v>376.23334101571311</v>
      </c>
      <c r="O184" s="18">
        <f ca="1">IF(ISNUMBER(kinematics!J208),kinematics!J208,0)</f>
        <v>0.97067720490664611</v>
      </c>
      <c r="P184" s="11">
        <f ca="1">IF(ISNUMBER(kinematics!L208),kinematics!L208,0)</f>
        <v>42.142103984286905</v>
      </c>
      <c r="R184" s="11">
        <f t="shared" ca="1" si="14"/>
        <v>0.97067720490664611</v>
      </c>
      <c r="S184" s="11">
        <f t="shared" ca="1" si="13"/>
        <v>42.142103984286905</v>
      </c>
    </row>
    <row r="185" spans="1:19" x14ac:dyDescent="0.2">
      <c r="C185" s="11">
        <f ca="1">IF(ISNUMBER(kinematics!D209),kinematics!D209,MAX(kinematics!$D$30:$D$210))</f>
        <v>179.02799999999999</v>
      </c>
      <c r="D185" s="18">
        <f ca="1">IF(ISNUMBER(kinematics!D209),kinematics!B209,0)</f>
        <v>179</v>
      </c>
      <c r="E185" s="11">
        <f ca="1">IF(ISNUMBER(kinematics!J209),kinematics!J209,0)</f>
        <v>0.48533650966861458</v>
      </c>
      <c r="I185" s="11">
        <f t="shared" ca="1" si="11"/>
        <v>179.02799999999999</v>
      </c>
      <c r="J185" s="18">
        <f ca="1">IF(ISNUMBER(kinematics!D209),kinematics!F209,0)</f>
        <v>376.22424689027315</v>
      </c>
      <c r="K185" s="11">
        <f ca="1">IF(ISNUMBER(kinematics!L209),kinematics!L209,0)</f>
        <v>42.151198109726863</v>
      </c>
      <c r="M185" s="18">
        <f ca="1">IF(ISNUMBER(kinematics!D209),kinematics!B209,MAX($D$6:$D$186))</f>
        <v>179</v>
      </c>
      <c r="N185" s="18">
        <f ca="1">IF(ISNUMBER(kinematics!D209),kinematics!F209,0)</f>
        <v>376.22424689027315</v>
      </c>
      <c r="O185" s="18">
        <f ca="1">IF(ISNUMBER(kinematics!J209),kinematics!J209,0)</f>
        <v>0.48533650966861458</v>
      </c>
      <c r="P185" s="11">
        <f ca="1">IF(ISNUMBER(kinematics!L209),kinematics!L209,0)</f>
        <v>42.151198109726863</v>
      </c>
      <c r="R185" s="11">
        <f t="shared" ca="1" si="14"/>
        <v>0.48533650966861458</v>
      </c>
      <c r="S185" s="11">
        <f t="shared" ca="1" si="13"/>
        <v>42.151198109726863</v>
      </c>
    </row>
    <row r="186" spans="1:19" x14ac:dyDescent="0.2">
      <c r="C186" s="11">
        <f ca="1">IF(ISNUMBER(kinematics!D210),kinematics!D210,MAX(kinematics!$D$30:$D$210))</f>
        <v>180</v>
      </c>
      <c r="D186" s="18">
        <f ca="1">IF(ISNUMBER(kinematics!D210),kinematics!B210,0)</f>
        <v>180</v>
      </c>
      <c r="E186" s="11">
        <f ca="1">IF(ISNUMBER(kinematics!J210),kinematics!J210,0)</f>
        <v>3.4068552941616436E-15</v>
      </c>
      <c r="I186" s="11">
        <f t="shared" ca="1" si="11"/>
        <v>180</v>
      </c>
      <c r="J186" s="18">
        <f ca="1">IF(ISNUMBER(kinematics!D210),kinematics!F210,0)</f>
        <v>376.22121525978793</v>
      </c>
      <c r="K186" s="11">
        <f ca="1">IF(ISNUMBER(kinematics!L210),kinematics!L210,0)</f>
        <v>42.154229740212088</v>
      </c>
      <c r="M186" s="18">
        <f ca="1">IF(ISNUMBER(kinematics!D210),kinematics!B210,MAX($D$6:$D$186))</f>
        <v>180</v>
      </c>
      <c r="N186" s="18">
        <f ca="1">IF(ISNUMBER(kinematics!D210),kinematics!F210,0)</f>
        <v>376.22121525978793</v>
      </c>
      <c r="O186" s="18">
        <f ca="1">IF(ISNUMBER(kinematics!J210),kinematics!J210,0)</f>
        <v>3.4068552941616436E-15</v>
      </c>
      <c r="P186" s="11">
        <f ca="1">IF(ISNUMBER(kinematics!L210),kinematics!L210,0)</f>
        <v>42.154229740212088</v>
      </c>
      <c r="R186" s="11">
        <f t="shared" ca="1" si="14"/>
        <v>3.4068552941616436E-15</v>
      </c>
      <c r="S186" s="11">
        <f t="shared" ca="1" si="13"/>
        <v>42.154229740212088</v>
      </c>
    </row>
    <row r="187" spans="1:19" x14ac:dyDescent="0.2">
      <c r="A187" t="s">
        <v>156</v>
      </c>
      <c r="C187" s="11">
        <f ca="1">C188</f>
        <v>180</v>
      </c>
      <c r="D187" s="18">
        <f ca="1">D186</f>
        <v>180</v>
      </c>
      <c r="E187" s="11">
        <f ca="1">E186</f>
        <v>3.4068552941616436E-15</v>
      </c>
      <c r="I187" s="11">
        <f ca="1">I188</f>
        <v>180</v>
      </c>
      <c r="J187" s="18">
        <f ca="1">J186</f>
        <v>376.22121525978793</v>
      </c>
      <c r="K187" s="11">
        <f ca="1">K186</f>
        <v>42.154229740212088</v>
      </c>
      <c r="M187" s="18">
        <v>0</v>
      </c>
      <c r="N187" s="18">
        <f ca="1">N186</f>
        <v>376.22121525978793</v>
      </c>
      <c r="O187" s="18">
        <f ca="1">O186</f>
        <v>3.4068552941616436E-15</v>
      </c>
      <c r="P187" s="11">
        <f ca="1">P186</f>
        <v>42.154229740212088</v>
      </c>
      <c r="R187" s="11">
        <f t="shared" ca="1" si="14"/>
        <v>3.4068552941616436E-15</v>
      </c>
      <c r="S187" s="11">
        <f t="shared" ca="1" si="13"/>
        <v>42.154229740212088</v>
      </c>
    </row>
    <row r="188" spans="1:19" x14ac:dyDescent="0.2">
      <c r="A188" t="s">
        <v>151</v>
      </c>
      <c r="C188" s="11">
        <f ca="1">IF(ISNUMBER(kinematics!S30),kinematics!S30,IF(ISNUMBER(kinematics!$S$30),MIN(kinematics!$S$30:$S$210),180))</f>
        <v>180</v>
      </c>
      <c r="D188" s="18">
        <f ca="1">IF(ISNUMBER(kinematics!S30),kinematics!R30,0)</f>
        <v>0</v>
      </c>
      <c r="E188" s="18">
        <f ca="1">IF(ISNUMBER(kinematics!S30),kinematics!V30,0)</f>
        <v>0</v>
      </c>
      <c r="I188" s="11">
        <f t="shared" ca="1" si="11"/>
        <v>180</v>
      </c>
      <c r="J188" s="18">
        <f ca="1">IF(ISNUMBER(kinematics!S30),kinematics!T30,0)</f>
        <v>0</v>
      </c>
      <c r="K188" s="18">
        <f ca="1">IF(ISNUMBER(kinematics!S30),kinematics!W30,0)</f>
        <v>0</v>
      </c>
      <c r="M188" s="18">
        <f ca="1">IF(ISNUMBER(kinematics!S30),kinematics!R30,MAX($D$6:$D$186))</f>
        <v>180</v>
      </c>
      <c r="N188" s="18">
        <f ca="1">IF(ISNUMBER(kinematics!S30),kinematics!T30,0)</f>
        <v>0</v>
      </c>
      <c r="O188" s="18">
        <f ca="1">IF(ISNUMBER(kinematics!S30),kinematics!V30,0)</f>
        <v>0</v>
      </c>
      <c r="P188" s="18">
        <f ca="1">IF(ISNUMBER(kinematics!S30),kinematics!W30,0)</f>
        <v>0</v>
      </c>
      <c r="R188" s="11">
        <f t="shared" ca="1" si="14"/>
        <v>0</v>
      </c>
      <c r="S188" s="11">
        <f t="shared" ca="1" si="13"/>
        <v>0</v>
      </c>
    </row>
    <row r="189" spans="1:19" x14ac:dyDescent="0.2">
      <c r="C189" s="11">
        <f ca="1">IF(ISNUMBER(kinematics!S31),kinematics!S31,IF(ISNUMBER(kinematics!$S$30),MIN(kinematics!$S$30:$S$210),180))</f>
        <v>180</v>
      </c>
      <c r="D189" s="18">
        <f ca="1">IF(ISNUMBER(kinematics!S31),kinematics!R31,0)</f>
        <v>0</v>
      </c>
      <c r="E189" s="18">
        <f ca="1">IF(ISNUMBER(kinematics!S31),kinematics!V31,0)</f>
        <v>0</v>
      </c>
      <c r="I189" s="11">
        <f t="shared" ca="1" si="11"/>
        <v>180</v>
      </c>
      <c r="J189" s="18">
        <f ca="1">IF(ISNUMBER(kinematics!S31),kinematics!T31,0)</f>
        <v>0</v>
      </c>
      <c r="K189" s="18">
        <f ca="1">IF(ISNUMBER(kinematics!S31),kinematics!W31,0)</f>
        <v>0</v>
      </c>
      <c r="M189" s="18">
        <f ca="1">IF(ISNUMBER(kinematics!S31),kinematics!R31,MAX($D$6:$D$186))</f>
        <v>180</v>
      </c>
      <c r="N189" s="18">
        <f ca="1">IF(ISNUMBER(kinematics!S31),kinematics!T31,0)</f>
        <v>0</v>
      </c>
      <c r="O189" s="18">
        <f ca="1">IF(ISNUMBER(kinematics!S31),kinematics!V31,0)</f>
        <v>0</v>
      </c>
      <c r="P189" s="18">
        <f ca="1">IF(ISNUMBER(kinematics!S31),kinematics!W31,0)</f>
        <v>0</v>
      </c>
      <c r="R189" s="11">
        <f t="shared" ca="1" si="14"/>
        <v>0</v>
      </c>
      <c r="S189" s="11">
        <f t="shared" ca="1" si="13"/>
        <v>0</v>
      </c>
    </row>
    <row r="190" spans="1:19" x14ac:dyDescent="0.2">
      <c r="C190" s="11">
        <f ca="1">IF(ISNUMBER(kinematics!S32),kinematics!S32,IF(ISNUMBER(kinematics!$S$30),MIN(kinematics!$S$30:$S$210),180))</f>
        <v>180</v>
      </c>
      <c r="D190" s="18">
        <f ca="1">IF(ISNUMBER(kinematics!S32),kinematics!R32,0)</f>
        <v>0</v>
      </c>
      <c r="E190" s="18">
        <f ca="1">IF(ISNUMBER(kinematics!S32),kinematics!V32,0)</f>
        <v>0</v>
      </c>
      <c r="I190" s="11">
        <f t="shared" ca="1" si="11"/>
        <v>180</v>
      </c>
      <c r="J190" s="18">
        <f ca="1">IF(ISNUMBER(kinematics!S32),kinematics!T32,0)</f>
        <v>0</v>
      </c>
      <c r="K190" s="18">
        <f ca="1">IF(ISNUMBER(kinematics!S32),kinematics!W32,0)</f>
        <v>0</v>
      </c>
      <c r="M190" s="18">
        <f ca="1">IF(ISNUMBER(kinematics!S32),kinematics!R32,MAX($D$6:$D$186))</f>
        <v>180</v>
      </c>
      <c r="N190" s="18">
        <f ca="1">IF(ISNUMBER(kinematics!S32),kinematics!T32,0)</f>
        <v>0</v>
      </c>
      <c r="O190" s="18">
        <f ca="1">IF(ISNUMBER(kinematics!S32),kinematics!V32,0)</f>
        <v>0</v>
      </c>
      <c r="P190" s="18">
        <f ca="1">IF(ISNUMBER(kinematics!S32),kinematics!W32,0)</f>
        <v>0</v>
      </c>
      <c r="R190" s="11">
        <f t="shared" ca="1" si="14"/>
        <v>0</v>
      </c>
      <c r="S190" s="11">
        <f t="shared" ca="1" si="13"/>
        <v>0</v>
      </c>
    </row>
    <row r="191" spans="1:19" x14ac:dyDescent="0.2">
      <c r="C191" s="11">
        <f ca="1">IF(ISNUMBER(kinematics!S33),kinematics!S33,IF(ISNUMBER(kinematics!$S$30),MIN(kinematics!$S$30:$S$210),180))</f>
        <v>180</v>
      </c>
      <c r="D191" s="18">
        <f ca="1">IF(ISNUMBER(kinematics!S33),kinematics!R33,0)</f>
        <v>0</v>
      </c>
      <c r="E191" s="18">
        <f ca="1">IF(ISNUMBER(kinematics!S33),kinematics!V33,0)</f>
        <v>0</v>
      </c>
      <c r="I191" s="11">
        <f t="shared" ca="1" si="11"/>
        <v>180</v>
      </c>
      <c r="J191" s="18">
        <f ca="1">IF(ISNUMBER(kinematics!S33),kinematics!T33,0)</f>
        <v>0</v>
      </c>
      <c r="K191" s="18">
        <f ca="1">IF(ISNUMBER(kinematics!S33),kinematics!W33,0)</f>
        <v>0</v>
      </c>
      <c r="M191" s="18">
        <f ca="1">IF(ISNUMBER(kinematics!S33),kinematics!R33,MAX($D$6:$D$186))</f>
        <v>180</v>
      </c>
      <c r="N191" s="18">
        <f ca="1">IF(ISNUMBER(kinematics!S33),kinematics!T33,0)</f>
        <v>0</v>
      </c>
      <c r="O191" s="18">
        <f ca="1">IF(ISNUMBER(kinematics!S33),kinematics!V33,0)</f>
        <v>0</v>
      </c>
      <c r="P191" s="18">
        <f ca="1">IF(ISNUMBER(kinematics!S33),kinematics!W33,0)</f>
        <v>0</v>
      </c>
      <c r="R191" s="11">
        <f t="shared" ca="1" si="14"/>
        <v>0</v>
      </c>
      <c r="S191" s="11">
        <f t="shared" ca="1" si="13"/>
        <v>0</v>
      </c>
    </row>
    <row r="192" spans="1:19" x14ac:dyDescent="0.2">
      <c r="C192" s="11">
        <f ca="1">IF(ISNUMBER(kinematics!S34),kinematics!S34,IF(ISNUMBER(kinematics!$S$30),MIN(kinematics!$S$30:$S$210),180))</f>
        <v>180</v>
      </c>
      <c r="D192" s="18">
        <f ca="1">IF(ISNUMBER(kinematics!S34),kinematics!R34,0)</f>
        <v>0</v>
      </c>
      <c r="E192" s="18">
        <f ca="1">IF(ISNUMBER(kinematics!S34),kinematics!V34,0)</f>
        <v>0</v>
      </c>
      <c r="I192" s="11">
        <f t="shared" ca="1" si="11"/>
        <v>180</v>
      </c>
      <c r="J192" s="18">
        <f ca="1">IF(ISNUMBER(kinematics!S34),kinematics!T34,0)</f>
        <v>0</v>
      </c>
      <c r="K192" s="18">
        <f ca="1">IF(ISNUMBER(kinematics!S34),kinematics!W34,0)</f>
        <v>0</v>
      </c>
      <c r="M192" s="18">
        <f ca="1">IF(ISNUMBER(kinematics!S34),kinematics!R34,MAX($D$6:$D$186))</f>
        <v>180</v>
      </c>
      <c r="N192" s="18">
        <f ca="1">IF(ISNUMBER(kinematics!S34),kinematics!T34,0)</f>
        <v>0</v>
      </c>
      <c r="O192" s="18">
        <f ca="1">IF(ISNUMBER(kinematics!S34),kinematics!V34,0)</f>
        <v>0</v>
      </c>
      <c r="P192" s="18">
        <f ca="1">IF(ISNUMBER(kinematics!S34),kinematics!W34,0)</f>
        <v>0</v>
      </c>
      <c r="R192" s="11">
        <f t="shared" ca="1" si="14"/>
        <v>0</v>
      </c>
      <c r="S192" s="11">
        <f t="shared" ca="1" si="13"/>
        <v>0</v>
      </c>
    </row>
    <row r="193" spans="3:19" x14ac:dyDescent="0.2">
      <c r="C193" s="11">
        <f ca="1">IF(ISNUMBER(kinematics!S35),kinematics!S35,IF(ISNUMBER(kinematics!$S$30),MIN(kinematics!$S$30:$S$210),180))</f>
        <v>180</v>
      </c>
      <c r="D193" s="18">
        <f ca="1">IF(ISNUMBER(kinematics!S35),kinematics!R35,0)</f>
        <v>0</v>
      </c>
      <c r="E193" s="18">
        <f ca="1">IF(ISNUMBER(kinematics!S35),kinematics!V35,0)</f>
        <v>0</v>
      </c>
      <c r="I193" s="11">
        <f t="shared" ca="1" si="11"/>
        <v>180</v>
      </c>
      <c r="J193" s="18">
        <f ca="1">IF(ISNUMBER(kinematics!S35),kinematics!T35,0)</f>
        <v>0</v>
      </c>
      <c r="K193" s="18">
        <f ca="1">IF(ISNUMBER(kinematics!S35),kinematics!W35,0)</f>
        <v>0</v>
      </c>
      <c r="M193" s="18">
        <f ca="1">IF(ISNUMBER(kinematics!S35),kinematics!R35,MAX($D$6:$D$186))</f>
        <v>180</v>
      </c>
      <c r="N193" s="18">
        <f ca="1">IF(ISNUMBER(kinematics!S35),kinematics!T35,0)</f>
        <v>0</v>
      </c>
      <c r="O193" s="18">
        <f ca="1">IF(ISNUMBER(kinematics!S35),kinematics!V35,0)</f>
        <v>0</v>
      </c>
      <c r="P193" s="18">
        <f ca="1">IF(ISNUMBER(kinematics!S35),kinematics!W35,0)</f>
        <v>0</v>
      </c>
      <c r="R193" s="11">
        <f t="shared" ca="1" si="14"/>
        <v>0</v>
      </c>
      <c r="S193" s="11">
        <f t="shared" ca="1" si="13"/>
        <v>0</v>
      </c>
    </row>
    <row r="194" spans="3:19" x14ac:dyDescent="0.2">
      <c r="C194" s="11">
        <f ca="1">IF(ISNUMBER(kinematics!S36),kinematics!S36,IF(ISNUMBER(kinematics!$S$30),MIN(kinematics!$S$30:$S$210),180))</f>
        <v>180</v>
      </c>
      <c r="D194" s="18">
        <f ca="1">IF(ISNUMBER(kinematics!S36),kinematics!R36,0)</f>
        <v>0</v>
      </c>
      <c r="E194" s="18">
        <f ca="1">IF(ISNUMBER(kinematics!S36),kinematics!V36,0)</f>
        <v>0</v>
      </c>
      <c r="I194" s="11">
        <f t="shared" ca="1" si="11"/>
        <v>180</v>
      </c>
      <c r="J194" s="18">
        <f ca="1">IF(ISNUMBER(kinematics!S36),kinematics!T36,0)</f>
        <v>0</v>
      </c>
      <c r="K194" s="18">
        <f ca="1">IF(ISNUMBER(kinematics!S36),kinematics!W36,0)</f>
        <v>0</v>
      </c>
      <c r="M194" s="18">
        <f ca="1">IF(ISNUMBER(kinematics!S36),kinematics!R36,MAX($D$6:$D$186))</f>
        <v>180</v>
      </c>
      <c r="N194" s="18">
        <f ca="1">IF(ISNUMBER(kinematics!S36),kinematics!T36,0)</f>
        <v>0</v>
      </c>
      <c r="O194" s="18">
        <f ca="1">IF(ISNUMBER(kinematics!S36),kinematics!V36,0)</f>
        <v>0</v>
      </c>
      <c r="P194" s="18">
        <f ca="1">IF(ISNUMBER(kinematics!S36),kinematics!W36,0)</f>
        <v>0</v>
      </c>
      <c r="R194" s="11">
        <f t="shared" ca="1" si="14"/>
        <v>0</v>
      </c>
      <c r="S194" s="11">
        <f t="shared" ca="1" si="13"/>
        <v>0</v>
      </c>
    </row>
    <row r="195" spans="3:19" x14ac:dyDescent="0.2">
      <c r="C195" s="11">
        <f ca="1">IF(ISNUMBER(kinematics!S37),kinematics!S37,IF(ISNUMBER(kinematics!$S$30),MIN(kinematics!$S$30:$S$210),180))</f>
        <v>180</v>
      </c>
      <c r="D195" s="18">
        <f ca="1">IF(ISNUMBER(kinematics!S37),kinematics!R37,0)</f>
        <v>0</v>
      </c>
      <c r="E195" s="18">
        <f ca="1">IF(ISNUMBER(kinematics!S37),kinematics!V37,0)</f>
        <v>0</v>
      </c>
      <c r="I195" s="11">
        <f t="shared" ca="1" si="11"/>
        <v>180</v>
      </c>
      <c r="J195" s="18">
        <f ca="1">IF(ISNUMBER(kinematics!S37),kinematics!T37,0)</f>
        <v>0</v>
      </c>
      <c r="K195" s="18">
        <f ca="1">IF(ISNUMBER(kinematics!S37),kinematics!W37,0)</f>
        <v>0</v>
      </c>
      <c r="M195" s="18">
        <f ca="1">IF(ISNUMBER(kinematics!S37),kinematics!R37,MAX($D$6:$D$186))</f>
        <v>180</v>
      </c>
      <c r="N195" s="18">
        <f ca="1">IF(ISNUMBER(kinematics!S37),kinematics!T37,0)</f>
        <v>0</v>
      </c>
      <c r="O195" s="18">
        <f ca="1">IF(ISNUMBER(kinematics!S37),kinematics!V37,0)</f>
        <v>0</v>
      </c>
      <c r="P195" s="18">
        <f ca="1">IF(ISNUMBER(kinematics!S37),kinematics!W37,0)</f>
        <v>0</v>
      </c>
      <c r="R195" s="11">
        <f t="shared" ca="1" si="14"/>
        <v>0</v>
      </c>
      <c r="S195" s="11">
        <f t="shared" ca="1" si="13"/>
        <v>0</v>
      </c>
    </row>
    <row r="196" spans="3:19" x14ac:dyDescent="0.2">
      <c r="C196" s="11">
        <f ca="1">IF(ISNUMBER(kinematics!S38),kinematics!S38,IF(ISNUMBER(kinematics!$S$30),MIN(kinematics!$S$30:$S$210),180))</f>
        <v>180</v>
      </c>
      <c r="D196" s="18">
        <f ca="1">IF(ISNUMBER(kinematics!S38),kinematics!R38,0)</f>
        <v>0</v>
      </c>
      <c r="E196" s="18">
        <f ca="1">IF(ISNUMBER(kinematics!S38),kinematics!V38,0)</f>
        <v>0</v>
      </c>
      <c r="I196" s="11">
        <f t="shared" ca="1" si="11"/>
        <v>180</v>
      </c>
      <c r="J196" s="18">
        <f ca="1">IF(ISNUMBER(kinematics!S38),kinematics!T38,0)</f>
        <v>0</v>
      </c>
      <c r="K196" s="18">
        <f ca="1">IF(ISNUMBER(kinematics!S38),kinematics!W38,0)</f>
        <v>0</v>
      </c>
      <c r="M196" s="18">
        <f ca="1">IF(ISNUMBER(kinematics!S38),kinematics!R38,MAX($D$6:$D$186))</f>
        <v>180</v>
      </c>
      <c r="N196" s="18">
        <f ca="1">IF(ISNUMBER(kinematics!S38),kinematics!T38,0)</f>
        <v>0</v>
      </c>
      <c r="O196" s="18">
        <f ca="1">IF(ISNUMBER(kinematics!S38),kinematics!V38,0)</f>
        <v>0</v>
      </c>
      <c r="P196" s="18">
        <f ca="1">IF(ISNUMBER(kinematics!S38),kinematics!W38,0)</f>
        <v>0</v>
      </c>
      <c r="R196" s="11">
        <f t="shared" ca="1" si="14"/>
        <v>0</v>
      </c>
      <c r="S196" s="11">
        <f t="shared" ca="1" si="13"/>
        <v>0</v>
      </c>
    </row>
    <row r="197" spans="3:19" x14ac:dyDescent="0.2">
      <c r="C197" s="11">
        <f ca="1">IF(ISNUMBER(kinematics!S39),kinematics!S39,IF(ISNUMBER(kinematics!$S$30),MIN(kinematics!$S$30:$S$210),180))</f>
        <v>180</v>
      </c>
      <c r="D197" s="18">
        <f ca="1">IF(ISNUMBER(kinematics!S39),kinematics!R39,0)</f>
        <v>0</v>
      </c>
      <c r="E197" s="18">
        <f ca="1">IF(ISNUMBER(kinematics!S39),kinematics!V39,0)</f>
        <v>0</v>
      </c>
      <c r="I197" s="11">
        <f t="shared" ca="1" si="11"/>
        <v>180</v>
      </c>
      <c r="J197" s="18">
        <f ca="1">IF(ISNUMBER(kinematics!S39),kinematics!T39,0)</f>
        <v>0</v>
      </c>
      <c r="K197" s="18">
        <f ca="1">IF(ISNUMBER(kinematics!S39),kinematics!W39,0)</f>
        <v>0</v>
      </c>
      <c r="M197" s="18">
        <f ca="1">IF(ISNUMBER(kinematics!S39),kinematics!R39,MAX($D$6:$D$186))</f>
        <v>180</v>
      </c>
      <c r="N197" s="18">
        <f ca="1">IF(ISNUMBER(kinematics!S39),kinematics!T39,0)</f>
        <v>0</v>
      </c>
      <c r="O197" s="18">
        <f ca="1">IF(ISNUMBER(kinematics!S39),kinematics!V39,0)</f>
        <v>0</v>
      </c>
      <c r="P197" s="18">
        <f ca="1">IF(ISNUMBER(kinematics!S39),kinematics!W39,0)</f>
        <v>0</v>
      </c>
      <c r="R197" s="11">
        <f t="shared" ca="1" si="14"/>
        <v>0</v>
      </c>
      <c r="S197" s="11">
        <f t="shared" ca="1" si="13"/>
        <v>0</v>
      </c>
    </row>
    <row r="198" spans="3:19" x14ac:dyDescent="0.2">
      <c r="C198" s="11">
        <f ca="1">IF(ISNUMBER(kinematics!S40),kinematics!S40,IF(ISNUMBER(kinematics!$S$30),MIN(kinematics!$S$30:$S$210),180))</f>
        <v>180</v>
      </c>
      <c r="D198" s="18">
        <f ca="1">IF(ISNUMBER(kinematics!S40),kinematics!R40,0)</f>
        <v>0</v>
      </c>
      <c r="E198" s="18">
        <f ca="1">IF(ISNUMBER(kinematics!S40),kinematics!V40,0)</f>
        <v>0</v>
      </c>
      <c r="I198" s="11">
        <f t="shared" ca="1" si="11"/>
        <v>180</v>
      </c>
      <c r="J198" s="18">
        <f ca="1">IF(ISNUMBER(kinematics!S40),kinematics!T40,0)</f>
        <v>0</v>
      </c>
      <c r="K198" s="18">
        <f ca="1">IF(ISNUMBER(kinematics!S40),kinematics!W40,0)</f>
        <v>0</v>
      </c>
      <c r="M198" s="18">
        <f ca="1">IF(ISNUMBER(kinematics!S40),kinematics!R40,MAX($D$6:$D$186))</f>
        <v>180</v>
      </c>
      <c r="N198" s="18">
        <f ca="1">IF(ISNUMBER(kinematics!S40),kinematics!T40,0)</f>
        <v>0</v>
      </c>
      <c r="O198" s="18">
        <f ca="1">IF(ISNUMBER(kinematics!S40),kinematics!V40,0)</f>
        <v>0</v>
      </c>
      <c r="P198" s="18">
        <f ca="1">IF(ISNUMBER(kinematics!S40),kinematics!W40,0)</f>
        <v>0</v>
      </c>
      <c r="R198" s="11">
        <f t="shared" ca="1" si="14"/>
        <v>0</v>
      </c>
      <c r="S198" s="11">
        <f t="shared" ref="S198:S229" ca="1" si="15">P198</f>
        <v>0</v>
      </c>
    </row>
    <row r="199" spans="3:19" x14ac:dyDescent="0.2">
      <c r="C199" s="11">
        <f ca="1">IF(ISNUMBER(kinematics!S41),kinematics!S41,IF(ISNUMBER(kinematics!$S$30),MIN(kinematics!$S$30:$S$210),180))</f>
        <v>180</v>
      </c>
      <c r="D199" s="18">
        <f ca="1">IF(ISNUMBER(kinematics!S41),kinematics!R41,0)</f>
        <v>0</v>
      </c>
      <c r="E199" s="18">
        <f ca="1">IF(ISNUMBER(kinematics!S41),kinematics!V41,0)</f>
        <v>0</v>
      </c>
      <c r="I199" s="11">
        <f t="shared" ca="1" si="11"/>
        <v>180</v>
      </c>
      <c r="J199" s="18">
        <f ca="1">IF(ISNUMBER(kinematics!S41),kinematics!T41,0)</f>
        <v>0</v>
      </c>
      <c r="K199" s="18">
        <f ca="1">IF(ISNUMBER(kinematics!S41),kinematics!W41,0)</f>
        <v>0</v>
      </c>
      <c r="M199" s="18">
        <f ca="1">IF(ISNUMBER(kinematics!S41),kinematics!R41,MAX($D$6:$D$186))</f>
        <v>180</v>
      </c>
      <c r="N199" s="18">
        <f ca="1">IF(ISNUMBER(kinematics!S41),kinematics!T41,0)</f>
        <v>0</v>
      </c>
      <c r="O199" s="18">
        <f ca="1">IF(ISNUMBER(kinematics!S41),kinematics!V41,0)</f>
        <v>0</v>
      </c>
      <c r="P199" s="18">
        <f ca="1">IF(ISNUMBER(kinematics!S41),kinematics!W41,0)</f>
        <v>0</v>
      </c>
      <c r="R199" s="11">
        <f t="shared" ref="R199:R230" ca="1" si="16">O199</f>
        <v>0</v>
      </c>
      <c r="S199" s="11">
        <f t="shared" ca="1" si="15"/>
        <v>0</v>
      </c>
    </row>
    <row r="200" spans="3:19" x14ac:dyDescent="0.2">
      <c r="C200" s="11">
        <f ca="1">IF(ISNUMBER(kinematics!S42),kinematics!S42,IF(ISNUMBER(kinematics!$S$30),MIN(kinematics!$S$30:$S$210),180))</f>
        <v>180</v>
      </c>
      <c r="D200" s="18">
        <f ca="1">IF(ISNUMBER(kinematics!S42),kinematics!R42,0)</f>
        <v>0</v>
      </c>
      <c r="E200" s="18">
        <f ca="1">IF(ISNUMBER(kinematics!S42),kinematics!V42,0)</f>
        <v>0</v>
      </c>
      <c r="I200" s="11">
        <f t="shared" ref="I200:I263" ca="1" si="17">C200</f>
        <v>180</v>
      </c>
      <c r="J200" s="18">
        <f ca="1">IF(ISNUMBER(kinematics!S42),kinematics!T42,0)</f>
        <v>0</v>
      </c>
      <c r="K200" s="18">
        <f ca="1">IF(ISNUMBER(kinematics!S42),kinematics!W42,0)</f>
        <v>0</v>
      </c>
      <c r="M200" s="18">
        <f ca="1">IF(ISNUMBER(kinematics!S42),kinematics!R42,MAX($D$6:$D$186))</f>
        <v>180</v>
      </c>
      <c r="N200" s="18">
        <f ca="1">IF(ISNUMBER(kinematics!S42),kinematics!T42,0)</f>
        <v>0</v>
      </c>
      <c r="O200" s="18">
        <f ca="1">IF(ISNUMBER(kinematics!S42),kinematics!V42,0)</f>
        <v>0</v>
      </c>
      <c r="P200" s="18">
        <f ca="1">IF(ISNUMBER(kinematics!S42),kinematics!W42,0)</f>
        <v>0</v>
      </c>
      <c r="R200" s="11">
        <f t="shared" ca="1" si="16"/>
        <v>0</v>
      </c>
      <c r="S200" s="11">
        <f t="shared" ca="1" si="15"/>
        <v>0</v>
      </c>
    </row>
    <row r="201" spans="3:19" x14ac:dyDescent="0.2">
      <c r="C201" s="11">
        <f ca="1">IF(ISNUMBER(kinematics!S43),kinematics!S43,IF(ISNUMBER(kinematics!$S$30),MIN(kinematics!$S$30:$S$210),180))</f>
        <v>180</v>
      </c>
      <c r="D201" s="18">
        <f ca="1">IF(ISNUMBER(kinematics!S43),kinematics!R43,0)</f>
        <v>0</v>
      </c>
      <c r="E201" s="18">
        <f ca="1">IF(ISNUMBER(kinematics!S43),kinematics!V43,0)</f>
        <v>0</v>
      </c>
      <c r="I201" s="11">
        <f t="shared" ca="1" si="17"/>
        <v>180</v>
      </c>
      <c r="J201" s="18">
        <f ca="1">IF(ISNUMBER(kinematics!S43),kinematics!T43,0)</f>
        <v>0</v>
      </c>
      <c r="K201" s="18">
        <f ca="1">IF(ISNUMBER(kinematics!S43),kinematics!W43,0)</f>
        <v>0</v>
      </c>
      <c r="M201" s="18">
        <f ca="1">IF(ISNUMBER(kinematics!S43),kinematics!R43,MAX($D$6:$D$186))</f>
        <v>180</v>
      </c>
      <c r="N201" s="18">
        <f ca="1">IF(ISNUMBER(kinematics!S43),kinematics!T43,0)</f>
        <v>0</v>
      </c>
      <c r="O201" s="18">
        <f ca="1">IF(ISNUMBER(kinematics!S43),kinematics!V43,0)</f>
        <v>0</v>
      </c>
      <c r="P201" s="18">
        <f ca="1">IF(ISNUMBER(kinematics!S43),kinematics!W43,0)</f>
        <v>0</v>
      </c>
      <c r="R201" s="11">
        <f t="shared" ca="1" si="16"/>
        <v>0</v>
      </c>
      <c r="S201" s="11">
        <f t="shared" ca="1" si="15"/>
        <v>0</v>
      </c>
    </row>
    <row r="202" spans="3:19" x14ac:dyDescent="0.2">
      <c r="C202" s="11">
        <f ca="1">IF(ISNUMBER(kinematics!S44),kinematics!S44,IF(ISNUMBER(kinematics!$S$30),MIN(kinematics!$S$30:$S$210),180))</f>
        <v>180</v>
      </c>
      <c r="D202" s="18">
        <f ca="1">IF(ISNUMBER(kinematics!S44),kinematics!R44,0)</f>
        <v>0</v>
      </c>
      <c r="E202" s="18">
        <f ca="1">IF(ISNUMBER(kinematics!S44),kinematics!V44,0)</f>
        <v>0</v>
      </c>
      <c r="I202" s="11">
        <f t="shared" ca="1" si="17"/>
        <v>180</v>
      </c>
      <c r="J202" s="18">
        <f ca="1">IF(ISNUMBER(kinematics!S44),kinematics!T44,0)</f>
        <v>0</v>
      </c>
      <c r="K202" s="18">
        <f ca="1">IF(ISNUMBER(kinematics!S44),kinematics!W44,0)</f>
        <v>0</v>
      </c>
      <c r="M202" s="18">
        <f ca="1">IF(ISNUMBER(kinematics!S44),kinematics!R44,MAX($D$6:$D$186))</f>
        <v>180</v>
      </c>
      <c r="N202" s="18">
        <f ca="1">IF(ISNUMBER(kinematics!S44),kinematics!T44,0)</f>
        <v>0</v>
      </c>
      <c r="O202" s="18">
        <f ca="1">IF(ISNUMBER(kinematics!S44),kinematics!V44,0)</f>
        <v>0</v>
      </c>
      <c r="P202" s="18">
        <f ca="1">IF(ISNUMBER(kinematics!S44),kinematics!W44,0)</f>
        <v>0</v>
      </c>
      <c r="R202" s="11">
        <f t="shared" ca="1" si="16"/>
        <v>0</v>
      </c>
      <c r="S202" s="11">
        <f t="shared" ca="1" si="15"/>
        <v>0</v>
      </c>
    </row>
    <row r="203" spans="3:19" x14ac:dyDescent="0.2">
      <c r="C203" s="11">
        <f ca="1">IF(ISNUMBER(kinematics!S45),kinematics!S45,IF(ISNUMBER(kinematics!$S$30),MIN(kinematics!$S$30:$S$210),180))</f>
        <v>180</v>
      </c>
      <c r="D203" s="18">
        <f ca="1">IF(ISNUMBER(kinematics!S45),kinematics!R45,0)</f>
        <v>0</v>
      </c>
      <c r="E203" s="18">
        <f ca="1">IF(ISNUMBER(kinematics!S45),kinematics!V45,0)</f>
        <v>0</v>
      </c>
      <c r="I203" s="11">
        <f t="shared" ca="1" si="17"/>
        <v>180</v>
      </c>
      <c r="J203" s="18">
        <f ca="1">IF(ISNUMBER(kinematics!S45),kinematics!T45,0)</f>
        <v>0</v>
      </c>
      <c r="K203" s="18">
        <f ca="1">IF(ISNUMBER(kinematics!S45),kinematics!W45,0)</f>
        <v>0</v>
      </c>
      <c r="M203" s="18">
        <f ca="1">IF(ISNUMBER(kinematics!S45),kinematics!R45,MAX($D$6:$D$186))</f>
        <v>180</v>
      </c>
      <c r="N203" s="18">
        <f ca="1">IF(ISNUMBER(kinematics!S45),kinematics!T45,0)</f>
        <v>0</v>
      </c>
      <c r="O203" s="18">
        <f ca="1">IF(ISNUMBER(kinematics!S45),kinematics!V45,0)</f>
        <v>0</v>
      </c>
      <c r="P203" s="18">
        <f ca="1">IF(ISNUMBER(kinematics!S45),kinematics!W45,0)</f>
        <v>0</v>
      </c>
      <c r="R203" s="11">
        <f t="shared" ca="1" si="16"/>
        <v>0</v>
      </c>
      <c r="S203" s="11">
        <f t="shared" ca="1" si="15"/>
        <v>0</v>
      </c>
    </row>
    <row r="204" spans="3:19" x14ac:dyDescent="0.2">
      <c r="C204" s="11">
        <f ca="1">IF(ISNUMBER(kinematics!S46),kinematics!S46,IF(ISNUMBER(kinematics!$S$30),MIN(kinematics!$S$30:$S$210),180))</f>
        <v>180</v>
      </c>
      <c r="D204" s="18">
        <f ca="1">IF(ISNUMBER(kinematics!S46),kinematics!R46,0)</f>
        <v>0</v>
      </c>
      <c r="E204" s="18">
        <f ca="1">IF(ISNUMBER(kinematics!S46),kinematics!V46,0)</f>
        <v>0</v>
      </c>
      <c r="I204" s="11">
        <f t="shared" ca="1" si="17"/>
        <v>180</v>
      </c>
      <c r="J204" s="18">
        <f ca="1">IF(ISNUMBER(kinematics!S46),kinematics!T46,0)</f>
        <v>0</v>
      </c>
      <c r="K204" s="18">
        <f ca="1">IF(ISNUMBER(kinematics!S46),kinematics!W46,0)</f>
        <v>0</v>
      </c>
      <c r="M204" s="18">
        <f ca="1">IF(ISNUMBER(kinematics!S46),kinematics!R46,MAX($D$6:$D$186))</f>
        <v>180</v>
      </c>
      <c r="N204" s="18">
        <f ca="1">IF(ISNUMBER(kinematics!S46),kinematics!T46,0)</f>
        <v>0</v>
      </c>
      <c r="O204" s="18">
        <f ca="1">IF(ISNUMBER(kinematics!S46),kinematics!V46,0)</f>
        <v>0</v>
      </c>
      <c r="P204" s="18">
        <f ca="1">IF(ISNUMBER(kinematics!S46),kinematics!W46,0)</f>
        <v>0</v>
      </c>
      <c r="R204" s="11">
        <f t="shared" ca="1" si="16"/>
        <v>0</v>
      </c>
      <c r="S204" s="11">
        <f t="shared" ca="1" si="15"/>
        <v>0</v>
      </c>
    </row>
    <row r="205" spans="3:19" x14ac:dyDescent="0.2">
      <c r="C205" s="11">
        <f ca="1">IF(ISNUMBER(kinematics!S47),kinematics!S47,IF(ISNUMBER(kinematics!$S$30),MIN(kinematics!$S$30:$S$210),180))</f>
        <v>180</v>
      </c>
      <c r="D205" s="18">
        <f ca="1">IF(ISNUMBER(kinematics!S47),kinematics!R47,0)</f>
        <v>0</v>
      </c>
      <c r="E205" s="18">
        <f ca="1">IF(ISNUMBER(kinematics!S47),kinematics!V47,0)</f>
        <v>0</v>
      </c>
      <c r="I205" s="11">
        <f t="shared" ca="1" si="17"/>
        <v>180</v>
      </c>
      <c r="J205" s="18">
        <f ca="1">IF(ISNUMBER(kinematics!S47),kinematics!T47,0)</f>
        <v>0</v>
      </c>
      <c r="K205" s="18">
        <f ca="1">IF(ISNUMBER(kinematics!S47),kinematics!W47,0)</f>
        <v>0</v>
      </c>
      <c r="M205" s="18">
        <f ca="1">IF(ISNUMBER(kinematics!S47),kinematics!R47,MAX($D$6:$D$186))</f>
        <v>180</v>
      </c>
      <c r="N205" s="18">
        <f ca="1">IF(ISNUMBER(kinematics!S47),kinematics!T47,0)</f>
        <v>0</v>
      </c>
      <c r="O205" s="18">
        <f ca="1">IF(ISNUMBER(kinematics!S47),kinematics!V47,0)</f>
        <v>0</v>
      </c>
      <c r="P205" s="18">
        <f ca="1">IF(ISNUMBER(kinematics!S47),kinematics!W47,0)</f>
        <v>0</v>
      </c>
      <c r="R205" s="11">
        <f t="shared" ca="1" si="16"/>
        <v>0</v>
      </c>
      <c r="S205" s="11">
        <f t="shared" ca="1" si="15"/>
        <v>0</v>
      </c>
    </row>
    <row r="206" spans="3:19" x14ac:dyDescent="0.2">
      <c r="C206" s="11">
        <f ca="1">IF(ISNUMBER(kinematics!S48),kinematics!S48,IF(ISNUMBER(kinematics!$S$30),MIN(kinematics!$S$30:$S$210),180))</f>
        <v>180</v>
      </c>
      <c r="D206" s="18">
        <f ca="1">IF(ISNUMBER(kinematics!S48),kinematics!R48,0)</f>
        <v>0</v>
      </c>
      <c r="E206" s="18">
        <f ca="1">IF(ISNUMBER(kinematics!S48),kinematics!V48,0)</f>
        <v>0</v>
      </c>
      <c r="I206" s="11">
        <f t="shared" ca="1" si="17"/>
        <v>180</v>
      </c>
      <c r="J206" s="18">
        <f ca="1">IF(ISNUMBER(kinematics!S48),kinematics!T48,0)</f>
        <v>0</v>
      </c>
      <c r="K206" s="18">
        <f ca="1">IF(ISNUMBER(kinematics!S48),kinematics!W48,0)</f>
        <v>0</v>
      </c>
      <c r="M206" s="18">
        <f ca="1">IF(ISNUMBER(kinematics!S48),kinematics!R48,MAX($D$6:$D$186))</f>
        <v>180</v>
      </c>
      <c r="N206" s="18">
        <f ca="1">IF(ISNUMBER(kinematics!S48),kinematics!T48,0)</f>
        <v>0</v>
      </c>
      <c r="O206" s="18">
        <f ca="1">IF(ISNUMBER(kinematics!S48),kinematics!V48,0)</f>
        <v>0</v>
      </c>
      <c r="P206" s="18">
        <f ca="1">IF(ISNUMBER(kinematics!S48),kinematics!W48,0)</f>
        <v>0</v>
      </c>
      <c r="R206" s="11">
        <f t="shared" ca="1" si="16"/>
        <v>0</v>
      </c>
      <c r="S206" s="11">
        <f t="shared" ca="1" si="15"/>
        <v>0</v>
      </c>
    </row>
    <row r="207" spans="3:19" x14ac:dyDescent="0.2">
      <c r="C207" s="11">
        <f ca="1">IF(ISNUMBER(kinematics!S49),kinematics!S49,IF(ISNUMBER(kinematics!$S$30),MIN(kinematics!$S$30:$S$210),180))</f>
        <v>180</v>
      </c>
      <c r="D207" s="18">
        <f ca="1">IF(ISNUMBER(kinematics!S49),kinematics!R49,0)</f>
        <v>0</v>
      </c>
      <c r="E207" s="18">
        <f ca="1">IF(ISNUMBER(kinematics!S49),kinematics!V49,0)</f>
        <v>0</v>
      </c>
      <c r="I207" s="11">
        <f t="shared" ca="1" si="17"/>
        <v>180</v>
      </c>
      <c r="J207" s="18">
        <f ca="1">IF(ISNUMBER(kinematics!S49),kinematics!T49,0)</f>
        <v>0</v>
      </c>
      <c r="K207" s="18">
        <f ca="1">IF(ISNUMBER(kinematics!S49),kinematics!W49,0)</f>
        <v>0</v>
      </c>
      <c r="M207" s="18">
        <f ca="1">IF(ISNUMBER(kinematics!S49),kinematics!R49,MAX($D$6:$D$186))</f>
        <v>180</v>
      </c>
      <c r="N207" s="18">
        <f ca="1">IF(ISNUMBER(kinematics!S49),kinematics!T49,0)</f>
        <v>0</v>
      </c>
      <c r="O207" s="18">
        <f ca="1">IF(ISNUMBER(kinematics!S49),kinematics!V49,0)</f>
        <v>0</v>
      </c>
      <c r="P207" s="18">
        <f ca="1">IF(ISNUMBER(kinematics!S49),kinematics!W49,0)</f>
        <v>0</v>
      </c>
      <c r="R207" s="11">
        <f t="shared" ca="1" si="16"/>
        <v>0</v>
      </c>
      <c r="S207" s="11">
        <f t="shared" ca="1" si="15"/>
        <v>0</v>
      </c>
    </row>
    <row r="208" spans="3:19" x14ac:dyDescent="0.2">
      <c r="C208" s="11">
        <f ca="1">IF(ISNUMBER(kinematics!S50),kinematics!S50,IF(ISNUMBER(kinematics!$S$30),MIN(kinematics!$S$30:$S$210),180))</f>
        <v>180</v>
      </c>
      <c r="D208" s="18">
        <f ca="1">IF(ISNUMBER(kinematics!S50),kinematics!R50,0)</f>
        <v>0</v>
      </c>
      <c r="E208" s="18">
        <f ca="1">IF(ISNUMBER(kinematics!S50),kinematics!V50,0)</f>
        <v>0</v>
      </c>
      <c r="I208" s="11">
        <f t="shared" ca="1" si="17"/>
        <v>180</v>
      </c>
      <c r="J208" s="18">
        <f ca="1">IF(ISNUMBER(kinematics!S50),kinematics!T50,0)</f>
        <v>0</v>
      </c>
      <c r="K208" s="18">
        <f ca="1">IF(ISNUMBER(kinematics!S50),kinematics!W50,0)</f>
        <v>0</v>
      </c>
      <c r="M208" s="18">
        <f ca="1">IF(ISNUMBER(kinematics!S50),kinematics!R50,MAX($D$6:$D$186))</f>
        <v>180</v>
      </c>
      <c r="N208" s="18">
        <f ca="1">IF(ISNUMBER(kinematics!S50),kinematics!T50,0)</f>
        <v>0</v>
      </c>
      <c r="O208" s="18">
        <f ca="1">IF(ISNUMBER(kinematics!S50),kinematics!V50,0)</f>
        <v>0</v>
      </c>
      <c r="P208" s="18">
        <f ca="1">IF(ISNUMBER(kinematics!S50),kinematics!W50,0)</f>
        <v>0</v>
      </c>
      <c r="R208" s="11">
        <f t="shared" ca="1" si="16"/>
        <v>0</v>
      </c>
      <c r="S208" s="11">
        <f t="shared" ca="1" si="15"/>
        <v>0</v>
      </c>
    </row>
    <row r="209" spans="3:19" x14ac:dyDescent="0.2">
      <c r="C209" s="11">
        <f ca="1">IF(ISNUMBER(kinematics!S51),kinematics!S51,IF(ISNUMBER(kinematics!$S$30),MIN(kinematics!$S$30:$S$210),180))</f>
        <v>180</v>
      </c>
      <c r="D209" s="18">
        <f ca="1">IF(ISNUMBER(kinematics!S51),kinematics!R51,0)</f>
        <v>0</v>
      </c>
      <c r="E209" s="18">
        <f ca="1">IF(ISNUMBER(kinematics!S51),kinematics!V51,0)</f>
        <v>0</v>
      </c>
      <c r="I209" s="11">
        <f t="shared" ca="1" si="17"/>
        <v>180</v>
      </c>
      <c r="J209" s="18">
        <f ca="1">IF(ISNUMBER(kinematics!S51),kinematics!T51,0)</f>
        <v>0</v>
      </c>
      <c r="K209" s="18">
        <f ca="1">IF(ISNUMBER(kinematics!S51),kinematics!W51,0)</f>
        <v>0</v>
      </c>
      <c r="M209" s="18">
        <f ca="1">IF(ISNUMBER(kinematics!S51),kinematics!R51,MAX($D$6:$D$186))</f>
        <v>180</v>
      </c>
      <c r="N209" s="18">
        <f ca="1">IF(ISNUMBER(kinematics!S51),kinematics!T51,0)</f>
        <v>0</v>
      </c>
      <c r="O209" s="18">
        <f ca="1">IF(ISNUMBER(kinematics!S51),kinematics!V51,0)</f>
        <v>0</v>
      </c>
      <c r="P209" s="18">
        <f ca="1">IF(ISNUMBER(kinematics!S51),kinematics!W51,0)</f>
        <v>0</v>
      </c>
      <c r="R209" s="11">
        <f t="shared" ca="1" si="16"/>
        <v>0</v>
      </c>
      <c r="S209" s="11">
        <f t="shared" ca="1" si="15"/>
        <v>0</v>
      </c>
    </row>
    <row r="210" spans="3:19" x14ac:dyDescent="0.2">
      <c r="C210" s="11">
        <f ca="1">IF(ISNUMBER(kinematics!S52),kinematics!S52,IF(ISNUMBER(kinematics!$S$30),MIN(kinematics!$S$30:$S$210),180))</f>
        <v>180</v>
      </c>
      <c r="D210" s="18">
        <f ca="1">IF(ISNUMBER(kinematics!S52),kinematics!R52,0)</f>
        <v>0</v>
      </c>
      <c r="E210" s="18">
        <f ca="1">IF(ISNUMBER(kinematics!S52),kinematics!V52,0)</f>
        <v>0</v>
      </c>
      <c r="I210" s="11">
        <f t="shared" ca="1" si="17"/>
        <v>180</v>
      </c>
      <c r="J210" s="18">
        <f ca="1">IF(ISNUMBER(kinematics!S52),kinematics!T52,0)</f>
        <v>0</v>
      </c>
      <c r="K210" s="18">
        <f ca="1">IF(ISNUMBER(kinematics!S52),kinematics!W52,0)</f>
        <v>0</v>
      </c>
      <c r="M210" s="18">
        <f ca="1">IF(ISNUMBER(kinematics!S52),kinematics!R52,MAX($D$6:$D$186))</f>
        <v>180</v>
      </c>
      <c r="N210" s="18">
        <f ca="1">IF(ISNUMBER(kinematics!S52),kinematics!T52,0)</f>
        <v>0</v>
      </c>
      <c r="O210" s="18">
        <f ca="1">IF(ISNUMBER(kinematics!S52),kinematics!V52,0)</f>
        <v>0</v>
      </c>
      <c r="P210" s="18">
        <f ca="1">IF(ISNUMBER(kinematics!S52),kinematics!W52,0)</f>
        <v>0</v>
      </c>
      <c r="R210" s="11">
        <f t="shared" ca="1" si="16"/>
        <v>0</v>
      </c>
      <c r="S210" s="11">
        <f t="shared" ca="1" si="15"/>
        <v>0</v>
      </c>
    </row>
    <row r="211" spans="3:19" x14ac:dyDescent="0.2">
      <c r="C211" s="11">
        <f ca="1">IF(ISNUMBER(kinematics!S53),kinematics!S53,IF(ISNUMBER(kinematics!$S$30),MIN(kinematics!$S$30:$S$210),180))</f>
        <v>180</v>
      </c>
      <c r="D211" s="18">
        <f ca="1">IF(ISNUMBER(kinematics!S53),kinematics!R53,0)</f>
        <v>0</v>
      </c>
      <c r="E211" s="18">
        <f ca="1">IF(ISNUMBER(kinematics!S53),kinematics!V53,0)</f>
        <v>0</v>
      </c>
      <c r="I211" s="11">
        <f t="shared" ca="1" si="17"/>
        <v>180</v>
      </c>
      <c r="J211" s="18">
        <f ca="1">IF(ISNUMBER(kinematics!S53),kinematics!T53,0)</f>
        <v>0</v>
      </c>
      <c r="K211" s="18">
        <f ca="1">IF(ISNUMBER(kinematics!S53),kinematics!W53,0)</f>
        <v>0</v>
      </c>
      <c r="M211" s="18">
        <f ca="1">IF(ISNUMBER(kinematics!S53),kinematics!R53,MAX($D$6:$D$186))</f>
        <v>180</v>
      </c>
      <c r="N211" s="18">
        <f ca="1">IF(ISNUMBER(kinematics!S53),kinematics!T53,0)</f>
        <v>0</v>
      </c>
      <c r="O211" s="18">
        <f ca="1">IF(ISNUMBER(kinematics!S53),kinematics!V53,0)</f>
        <v>0</v>
      </c>
      <c r="P211" s="18">
        <f ca="1">IF(ISNUMBER(kinematics!S53),kinematics!W53,0)</f>
        <v>0</v>
      </c>
      <c r="R211" s="11">
        <f t="shared" ca="1" si="16"/>
        <v>0</v>
      </c>
      <c r="S211" s="11">
        <f t="shared" ca="1" si="15"/>
        <v>0</v>
      </c>
    </row>
    <row r="212" spans="3:19" x14ac:dyDescent="0.2">
      <c r="C212" s="11">
        <f ca="1">IF(ISNUMBER(kinematics!S54),kinematics!S54,IF(ISNUMBER(kinematics!$S$30),MIN(kinematics!$S$30:$S$210),180))</f>
        <v>180</v>
      </c>
      <c r="D212" s="18">
        <f ca="1">IF(ISNUMBER(kinematics!S54),kinematics!R54,0)</f>
        <v>0</v>
      </c>
      <c r="E212" s="18">
        <f ca="1">IF(ISNUMBER(kinematics!S54),kinematics!V54,0)</f>
        <v>0</v>
      </c>
      <c r="I212" s="11">
        <f t="shared" ca="1" si="17"/>
        <v>180</v>
      </c>
      <c r="J212" s="18">
        <f ca="1">IF(ISNUMBER(kinematics!S54),kinematics!T54,0)</f>
        <v>0</v>
      </c>
      <c r="K212" s="18">
        <f ca="1">IF(ISNUMBER(kinematics!S54),kinematics!W54,0)</f>
        <v>0</v>
      </c>
      <c r="M212" s="18">
        <f ca="1">IF(ISNUMBER(kinematics!S54),kinematics!R54,MAX($D$6:$D$186))</f>
        <v>180</v>
      </c>
      <c r="N212" s="18">
        <f ca="1">IF(ISNUMBER(kinematics!S54),kinematics!T54,0)</f>
        <v>0</v>
      </c>
      <c r="O212" s="18">
        <f ca="1">IF(ISNUMBER(kinematics!S54),kinematics!V54,0)</f>
        <v>0</v>
      </c>
      <c r="P212" s="18">
        <f ca="1">IF(ISNUMBER(kinematics!S54),kinematics!W54,0)</f>
        <v>0</v>
      </c>
      <c r="R212" s="11">
        <f t="shared" ca="1" si="16"/>
        <v>0</v>
      </c>
      <c r="S212" s="11">
        <f t="shared" ca="1" si="15"/>
        <v>0</v>
      </c>
    </row>
    <row r="213" spans="3:19" x14ac:dyDescent="0.2">
      <c r="C213" s="11">
        <f ca="1">IF(ISNUMBER(kinematics!S55),kinematics!S55,IF(ISNUMBER(kinematics!$S$30),MIN(kinematics!$S$30:$S$210),180))</f>
        <v>180</v>
      </c>
      <c r="D213" s="18">
        <f ca="1">IF(ISNUMBER(kinematics!S55),kinematics!R55,0)</f>
        <v>0</v>
      </c>
      <c r="E213" s="18">
        <f ca="1">IF(ISNUMBER(kinematics!S55),kinematics!V55,0)</f>
        <v>0</v>
      </c>
      <c r="I213" s="11">
        <f t="shared" ca="1" si="17"/>
        <v>180</v>
      </c>
      <c r="J213" s="18">
        <f ca="1">IF(ISNUMBER(kinematics!S55),kinematics!T55,0)</f>
        <v>0</v>
      </c>
      <c r="K213" s="18">
        <f ca="1">IF(ISNUMBER(kinematics!S55),kinematics!W55,0)</f>
        <v>0</v>
      </c>
      <c r="M213" s="18">
        <f ca="1">IF(ISNUMBER(kinematics!S55),kinematics!R55,MAX($D$6:$D$186))</f>
        <v>180</v>
      </c>
      <c r="N213" s="18">
        <f ca="1">IF(ISNUMBER(kinematics!S55),kinematics!T55,0)</f>
        <v>0</v>
      </c>
      <c r="O213" s="18">
        <f ca="1">IF(ISNUMBER(kinematics!S55),kinematics!V55,0)</f>
        <v>0</v>
      </c>
      <c r="P213" s="18">
        <f ca="1">IF(ISNUMBER(kinematics!S55),kinematics!W55,0)</f>
        <v>0</v>
      </c>
      <c r="R213" s="11">
        <f t="shared" ca="1" si="16"/>
        <v>0</v>
      </c>
      <c r="S213" s="11">
        <f t="shared" ca="1" si="15"/>
        <v>0</v>
      </c>
    </row>
    <row r="214" spans="3:19" x14ac:dyDescent="0.2">
      <c r="C214" s="11">
        <f ca="1">IF(ISNUMBER(kinematics!S56),kinematics!S56,IF(ISNUMBER(kinematics!$S$30),MIN(kinematics!$S$30:$S$210),180))</f>
        <v>180</v>
      </c>
      <c r="D214" s="18">
        <f ca="1">IF(ISNUMBER(kinematics!S56),kinematics!R56,0)</f>
        <v>0</v>
      </c>
      <c r="E214" s="18">
        <f ca="1">IF(ISNUMBER(kinematics!S56),kinematics!V56,0)</f>
        <v>0</v>
      </c>
      <c r="I214" s="11">
        <f t="shared" ca="1" si="17"/>
        <v>180</v>
      </c>
      <c r="J214" s="18">
        <f ca="1">IF(ISNUMBER(kinematics!S56),kinematics!T56,0)</f>
        <v>0</v>
      </c>
      <c r="K214" s="18">
        <f ca="1">IF(ISNUMBER(kinematics!S56),kinematics!W56,0)</f>
        <v>0</v>
      </c>
      <c r="M214" s="18">
        <f ca="1">IF(ISNUMBER(kinematics!S56),kinematics!R56,MAX($D$6:$D$186))</f>
        <v>180</v>
      </c>
      <c r="N214" s="18">
        <f ca="1">IF(ISNUMBER(kinematics!S56),kinematics!T56,0)</f>
        <v>0</v>
      </c>
      <c r="O214" s="18">
        <f ca="1">IF(ISNUMBER(kinematics!S56),kinematics!V56,0)</f>
        <v>0</v>
      </c>
      <c r="P214" s="18">
        <f ca="1">IF(ISNUMBER(kinematics!S56),kinematics!W56,0)</f>
        <v>0</v>
      </c>
      <c r="R214" s="11">
        <f t="shared" ca="1" si="16"/>
        <v>0</v>
      </c>
      <c r="S214" s="11">
        <f t="shared" ca="1" si="15"/>
        <v>0</v>
      </c>
    </row>
    <row r="215" spans="3:19" x14ac:dyDescent="0.2">
      <c r="C215" s="11">
        <f ca="1">IF(ISNUMBER(kinematics!S57),kinematics!S57,IF(ISNUMBER(kinematics!$S$30),MIN(kinematics!$S$30:$S$210),180))</f>
        <v>180</v>
      </c>
      <c r="D215" s="18">
        <f ca="1">IF(ISNUMBER(kinematics!S57),kinematics!R57,0)</f>
        <v>0</v>
      </c>
      <c r="E215" s="18">
        <f ca="1">IF(ISNUMBER(kinematics!S57),kinematics!V57,0)</f>
        <v>0</v>
      </c>
      <c r="I215" s="11">
        <f t="shared" ca="1" si="17"/>
        <v>180</v>
      </c>
      <c r="J215" s="18">
        <f ca="1">IF(ISNUMBER(kinematics!S57),kinematics!T57,0)</f>
        <v>0</v>
      </c>
      <c r="K215" s="18">
        <f ca="1">IF(ISNUMBER(kinematics!S57),kinematics!W57,0)</f>
        <v>0</v>
      </c>
      <c r="M215" s="18">
        <f ca="1">IF(ISNUMBER(kinematics!S57),kinematics!R57,MAX($D$6:$D$186))</f>
        <v>180</v>
      </c>
      <c r="N215" s="18">
        <f ca="1">IF(ISNUMBER(kinematics!S57),kinematics!T57,0)</f>
        <v>0</v>
      </c>
      <c r="O215" s="18">
        <f ca="1">IF(ISNUMBER(kinematics!S57),kinematics!V57,0)</f>
        <v>0</v>
      </c>
      <c r="P215" s="18">
        <f ca="1">IF(ISNUMBER(kinematics!S57),kinematics!W57,0)</f>
        <v>0</v>
      </c>
      <c r="R215" s="11">
        <f t="shared" ca="1" si="16"/>
        <v>0</v>
      </c>
      <c r="S215" s="11">
        <f t="shared" ca="1" si="15"/>
        <v>0</v>
      </c>
    </row>
    <row r="216" spans="3:19" x14ac:dyDescent="0.2">
      <c r="C216" s="11">
        <f ca="1">IF(ISNUMBER(kinematics!S58),kinematics!S58,IF(ISNUMBER(kinematics!$S$30),MIN(kinematics!$S$30:$S$210),180))</f>
        <v>180</v>
      </c>
      <c r="D216" s="18">
        <f ca="1">IF(ISNUMBER(kinematics!S58),kinematics!R58,0)</f>
        <v>0</v>
      </c>
      <c r="E216" s="18">
        <f ca="1">IF(ISNUMBER(kinematics!S58),kinematics!V58,0)</f>
        <v>0</v>
      </c>
      <c r="I216" s="11">
        <f t="shared" ca="1" si="17"/>
        <v>180</v>
      </c>
      <c r="J216" s="18">
        <f ca="1">IF(ISNUMBER(kinematics!S58),kinematics!T58,0)</f>
        <v>0</v>
      </c>
      <c r="K216" s="18">
        <f ca="1">IF(ISNUMBER(kinematics!S58),kinematics!W58,0)</f>
        <v>0</v>
      </c>
      <c r="M216" s="18">
        <f ca="1">IF(ISNUMBER(kinematics!S58),kinematics!R58,MAX($D$6:$D$186))</f>
        <v>180</v>
      </c>
      <c r="N216" s="18">
        <f ca="1">IF(ISNUMBER(kinematics!S58),kinematics!T58,0)</f>
        <v>0</v>
      </c>
      <c r="O216" s="18">
        <f ca="1">IF(ISNUMBER(kinematics!S58),kinematics!V58,0)</f>
        <v>0</v>
      </c>
      <c r="P216" s="18">
        <f ca="1">IF(ISNUMBER(kinematics!S58),kinematics!W58,0)</f>
        <v>0</v>
      </c>
      <c r="R216" s="11">
        <f t="shared" ca="1" si="16"/>
        <v>0</v>
      </c>
      <c r="S216" s="11">
        <f t="shared" ca="1" si="15"/>
        <v>0</v>
      </c>
    </row>
    <row r="217" spans="3:19" x14ac:dyDescent="0.2">
      <c r="C217" s="11">
        <f ca="1">IF(ISNUMBER(kinematics!S59),kinematics!S59,IF(ISNUMBER(kinematics!$S$30),MIN(kinematics!$S$30:$S$210),180))</f>
        <v>180</v>
      </c>
      <c r="D217" s="18">
        <f ca="1">IF(ISNUMBER(kinematics!S59),kinematics!R59,0)</f>
        <v>0</v>
      </c>
      <c r="E217" s="18">
        <f ca="1">IF(ISNUMBER(kinematics!S59),kinematics!V59,0)</f>
        <v>0</v>
      </c>
      <c r="I217" s="11">
        <f t="shared" ca="1" si="17"/>
        <v>180</v>
      </c>
      <c r="J217" s="18">
        <f ca="1">IF(ISNUMBER(kinematics!S59),kinematics!T59,0)</f>
        <v>0</v>
      </c>
      <c r="K217" s="18">
        <f ca="1">IF(ISNUMBER(kinematics!S59),kinematics!W59,0)</f>
        <v>0</v>
      </c>
      <c r="M217" s="18">
        <f ca="1">IF(ISNUMBER(kinematics!S59),kinematics!R59,MAX($D$6:$D$186))</f>
        <v>180</v>
      </c>
      <c r="N217" s="18">
        <f ca="1">IF(ISNUMBER(kinematics!S59),kinematics!T59,0)</f>
        <v>0</v>
      </c>
      <c r="O217" s="18">
        <f ca="1">IF(ISNUMBER(kinematics!S59),kinematics!V59,0)</f>
        <v>0</v>
      </c>
      <c r="P217" s="18">
        <f ca="1">IF(ISNUMBER(kinematics!S59),kinematics!W59,0)</f>
        <v>0</v>
      </c>
      <c r="R217" s="11">
        <f t="shared" ca="1" si="16"/>
        <v>0</v>
      </c>
      <c r="S217" s="11">
        <f t="shared" ca="1" si="15"/>
        <v>0</v>
      </c>
    </row>
    <row r="218" spans="3:19" x14ac:dyDescent="0.2">
      <c r="C218" s="11">
        <f ca="1">IF(ISNUMBER(kinematics!S60),kinematics!S60,IF(ISNUMBER(kinematics!$S$30),MIN(kinematics!$S$30:$S$210),180))</f>
        <v>180</v>
      </c>
      <c r="D218" s="18">
        <f ca="1">IF(ISNUMBER(kinematics!S60),kinematics!R60,0)</f>
        <v>0</v>
      </c>
      <c r="E218" s="18">
        <f ca="1">IF(ISNUMBER(kinematics!S60),kinematics!V60,0)</f>
        <v>0</v>
      </c>
      <c r="I218" s="11">
        <f t="shared" ca="1" si="17"/>
        <v>180</v>
      </c>
      <c r="J218" s="18">
        <f ca="1">IF(ISNUMBER(kinematics!S60),kinematics!T60,0)</f>
        <v>0</v>
      </c>
      <c r="K218" s="18">
        <f ca="1">IF(ISNUMBER(kinematics!S60),kinematics!W60,0)</f>
        <v>0</v>
      </c>
      <c r="M218" s="18">
        <f ca="1">IF(ISNUMBER(kinematics!S60),kinematics!R60,MAX($D$6:$D$186))</f>
        <v>180</v>
      </c>
      <c r="N218" s="18">
        <f ca="1">IF(ISNUMBER(kinematics!S60),kinematics!T60,0)</f>
        <v>0</v>
      </c>
      <c r="O218" s="18">
        <f ca="1">IF(ISNUMBER(kinematics!S60),kinematics!V60,0)</f>
        <v>0</v>
      </c>
      <c r="P218" s="18">
        <f ca="1">IF(ISNUMBER(kinematics!S60),kinematics!W60,0)</f>
        <v>0</v>
      </c>
      <c r="R218" s="11">
        <f t="shared" ca="1" si="16"/>
        <v>0</v>
      </c>
      <c r="S218" s="11">
        <f t="shared" ca="1" si="15"/>
        <v>0</v>
      </c>
    </row>
    <row r="219" spans="3:19" x14ac:dyDescent="0.2">
      <c r="C219" s="11">
        <f ca="1">IF(ISNUMBER(kinematics!S61),kinematics!S61,IF(ISNUMBER(kinematics!$S$30),MIN(kinematics!$S$30:$S$210),180))</f>
        <v>180</v>
      </c>
      <c r="D219" s="18">
        <f ca="1">IF(ISNUMBER(kinematics!S61),kinematics!R61,0)</f>
        <v>0</v>
      </c>
      <c r="E219" s="18">
        <f ca="1">IF(ISNUMBER(kinematics!S61),kinematics!V61,0)</f>
        <v>0</v>
      </c>
      <c r="I219" s="11">
        <f t="shared" ca="1" si="17"/>
        <v>180</v>
      </c>
      <c r="J219" s="18">
        <f ca="1">IF(ISNUMBER(kinematics!S61),kinematics!T61,0)</f>
        <v>0</v>
      </c>
      <c r="K219" s="18">
        <f ca="1">IF(ISNUMBER(kinematics!S61),kinematics!W61,0)</f>
        <v>0</v>
      </c>
      <c r="M219" s="18">
        <f ca="1">IF(ISNUMBER(kinematics!S61),kinematics!R61,MAX($D$6:$D$186))</f>
        <v>180</v>
      </c>
      <c r="N219" s="18">
        <f ca="1">IF(ISNUMBER(kinematics!S61),kinematics!T61,0)</f>
        <v>0</v>
      </c>
      <c r="O219" s="18">
        <f ca="1">IF(ISNUMBER(kinematics!S61),kinematics!V61,0)</f>
        <v>0</v>
      </c>
      <c r="P219" s="18">
        <f ca="1">IF(ISNUMBER(kinematics!S61),kinematics!W61,0)</f>
        <v>0</v>
      </c>
      <c r="R219" s="11">
        <f t="shared" ca="1" si="16"/>
        <v>0</v>
      </c>
      <c r="S219" s="11">
        <f t="shared" ca="1" si="15"/>
        <v>0</v>
      </c>
    </row>
    <row r="220" spans="3:19" x14ac:dyDescent="0.2">
      <c r="C220" s="11">
        <f ca="1">IF(ISNUMBER(kinematics!S62),kinematics!S62,IF(ISNUMBER(kinematics!$S$30),MIN(kinematics!$S$30:$S$210),180))</f>
        <v>180</v>
      </c>
      <c r="D220" s="18">
        <f ca="1">IF(ISNUMBER(kinematics!S62),kinematics!R62,0)</f>
        <v>0</v>
      </c>
      <c r="E220" s="18">
        <f ca="1">IF(ISNUMBER(kinematics!S62),kinematics!V62,0)</f>
        <v>0</v>
      </c>
      <c r="I220" s="11">
        <f t="shared" ca="1" si="17"/>
        <v>180</v>
      </c>
      <c r="J220" s="18">
        <f ca="1">IF(ISNUMBER(kinematics!S62),kinematics!T62,0)</f>
        <v>0</v>
      </c>
      <c r="K220" s="18">
        <f ca="1">IF(ISNUMBER(kinematics!S62),kinematics!W62,0)</f>
        <v>0</v>
      </c>
      <c r="M220" s="18">
        <f ca="1">IF(ISNUMBER(kinematics!S62),kinematics!R62,MAX($D$6:$D$186))</f>
        <v>180</v>
      </c>
      <c r="N220" s="18">
        <f ca="1">IF(ISNUMBER(kinematics!S62),kinematics!T62,0)</f>
        <v>0</v>
      </c>
      <c r="O220" s="18">
        <f ca="1">IF(ISNUMBER(kinematics!S62),kinematics!V62,0)</f>
        <v>0</v>
      </c>
      <c r="P220" s="18">
        <f ca="1">IF(ISNUMBER(kinematics!S62),kinematics!W62,0)</f>
        <v>0</v>
      </c>
      <c r="R220" s="11">
        <f t="shared" ca="1" si="16"/>
        <v>0</v>
      </c>
      <c r="S220" s="11">
        <f t="shared" ca="1" si="15"/>
        <v>0</v>
      </c>
    </row>
    <row r="221" spans="3:19" x14ac:dyDescent="0.2">
      <c r="C221" s="11">
        <f ca="1">IF(ISNUMBER(kinematics!S63),kinematics!S63,IF(ISNUMBER(kinematics!$S$30),MIN(kinematics!$S$30:$S$210),180))</f>
        <v>180</v>
      </c>
      <c r="D221" s="18">
        <f ca="1">IF(ISNUMBER(kinematics!S63),kinematics!R63,0)</f>
        <v>0</v>
      </c>
      <c r="E221" s="18">
        <f ca="1">IF(ISNUMBER(kinematics!S63),kinematics!V63,0)</f>
        <v>0</v>
      </c>
      <c r="I221" s="11">
        <f t="shared" ca="1" si="17"/>
        <v>180</v>
      </c>
      <c r="J221" s="18">
        <f ca="1">IF(ISNUMBER(kinematics!S63),kinematics!T63,0)</f>
        <v>0</v>
      </c>
      <c r="K221" s="18">
        <f ca="1">IF(ISNUMBER(kinematics!S63),kinematics!W63,0)</f>
        <v>0</v>
      </c>
      <c r="M221" s="18">
        <f ca="1">IF(ISNUMBER(kinematics!S63),kinematics!R63,MAX($D$6:$D$186))</f>
        <v>180</v>
      </c>
      <c r="N221" s="18">
        <f ca="1">IF(ISNUMBER(kinematics!S63),kinematics!T63,0)</f>
        <v>0</v>
      </c>
      <c r="O221" s="18">
        <f ca="1">IF(ISNUMBER(kinematics!S63),kinematics!V63,0)</f>
        <v>0</v>
      </c>
      <c r="P221" s="18">
        <f ca="1">IF(ISNUMBER(kinematics!S63),kinematics!W63,0)</f>
        <v>0</v>
      </c>
      <c r="R221" s="11">
        <f t="shared" ca="1" si="16"/>
        <v>0</v>
      </c>
      <c r="S221" s="11">
        <f t="shared" ca="1" si="15"/>
        <v>0</v>
      </c>
    </row>
    <row r="222" spans="3:19" x14ac:dyDescent="0.2">
      <c r="C222" s="11">
        <f ca="1">IF(ISNUMBER(kinematics!S64),kinematics!S64,IF(ISNUMBER(kinematics!$S$30),MIN(kinematics!$S$30:$S$210),180))</f>
        <v>180</v>
      </c>
      <c r="D222" s="18">
        <f ca="1">IF(ISNUMBER(kinematics!S64),kinematics!R64,0)</f>
        <v>0</v>
      </c>
      <c r="E222" s="18">
        <f ca="1">IF(ISNUMBER(kinematics!S64),kinematics!V64,0)</f>
        <v>0</v>
      </c>
      <c r="I222" s="11">
        <f t="shared" ca="1" si="17"/>
        <v>180</v>
      </c>
      <c r="J222" s="18">
        <f ca="1">IF(ISNUMBER(kinematics!S64),kinematics!T64,0)</f>
        <v>0</v>
      </c>
      <c r="K222" s="18">
        <f ca="1">IF(ISNUMBER(kinematics!S64),kinematics!W64,0)</f>
        <v>0</v>
      </c>
      <c r="M222" s="18">
        <f ca="1">IF(ISNUMBER(kinematics!S64),kinematics!R64,MAX($D$6:$D$186))</f>
        <v>180</v>
      </c>
      <c r="N222" s="18">
        <f ca="1">IF(ISNUMBER(kinematics!S64),kinematics!T64,0)</f>
        <v>0</v>
      </c>
      <c r="O222" s="18">
        <f ca="1">IF(ISNUMBER(kinematics!S64),kinematics!V64,0)</f>
        <v>0</v>
      </c>
      <c r="P222" s="18">
        <f ca="1">IF(ISNUMBER(kinematics!S64),kinematics!W64,0)</f>
        <v>0</v>
      </c>
      <c r="R222" s="11">
        <f t="shared" ca="1" si="16"/>
        <v>0</v>
      </c>
      <c r="S222" s="11">
        <f t="shared" ca="1" si="15"/>
        <v>0</v>
      </c>
    </row>
    <row r="223" spans="3:19" x14ac:dyDescent="0.2">
      <c r="C223" s="11">
        <f ca="1">IF(ISNUMBER(kinematics!S65),kinematics!S65,IF(ISNUMBER(kinematics!$S$30),MIN(kinematics!$S$30:$S$210),180))</f>
        <v>180</v>
      </c>
      <c r="D223" s="18">
        <f ca="1">IF(ISNUMBER(kinematics!S65),kinematics!R65,0)</f>
        <v>0</v>
      </c>
      <c r="E223" s="18">
        <f ca="1">IF(ISNUMBER(kinematics!S65),kinematics!V65,0)</f>
        <v>0</v>
      </c>
      <c r="I223" s="11">
        <f t="shared" ca="1" si="17"/>
        <v>180</v>
      </c>
      <c r="J223" s="18">
        <f ca="1">IF(ISNUMBER(kinematics!S65),kinematics!T65,0)</f>
        <v>0</v>
      </c>
      <c r="K223" s="18">
        <f ca="1">IF(ISNUMBER(kinematics!S65),kinematics!W65,0)</f>
        <v>0</v>
      </c>
      <c r="M223" s="18">
        <f ca="1">IF(ISNUMBER(kinematics!S65),kinematics!R65,MAX($D$6:$D$186))</f>
        <v>180</v>
      </c>
      <c r="N223" s="18">
        <f ca="1">IF(ISNUMBER(kinematics!S65),kinematics!T65,0)</f>
        <v>0</v>
      </c>
      <c r="O223" s="18">
        <f ca="1">IF(ISNUMBER(kinematics!S65),kinematics!V65,0)</f>
        <v>0</v>
      </c>
      <c r="P223" s="18">
        <f ca="1">IF(ISNUMBER(kinematics!S65),kinematics!W65,0)</f>
        <v>0</v>
      </c>
      <c r="R223" s="11">
        <f t="shared" ca="1" si="16"/>
        <v>0</v>
      </c>
      <c r="S223" s="11">
        <f t="shared" ca="1" si="15"/>
        <v>0</v>
      </c>
    </row>
    <row r="224" spans="3:19" x14ac:dyDescent="0.2">
      <c r="C224" s="11">
        <f ca="1">IF(ISNUMBER(kinematics!S66),kinematics!S66,IF(ISNUMBER(kinematics!$S$30),MIN(kinematics!$S$30:$S$210),180))</f>
        <v>180</v>
      </c>
      <c r="D224" s="18">
        <f ca="1">IF(ISNUMBER(kinematics!S66),kinematics!R66,0)</f>
        <v>0</v>
      </c>
      <c r="E224" s="18">
        <f ca="1">IF(ISNUMBER(kinematics!S66),kinematics!V66,0)</f>
        <v>0</v>
      </c>
      <c r="I224" s="11">
        <f t="shared" ca="1" si="17"/>
        <v>180</v>
      </c>
      <c r="J224" s="18">
        <f ca="1">IF(ISNUMBER(kinematics!S66),kinematics!T66,0)</f>
        <v>0</v>
      </c>
      <c r="K224" s="18">
        <f ca="1">IF(ISNUMBER(kinematics!S66),kinematics!W66,0)</f>
        <v>0</v>
      </c>
      <c r="M224" s="18">
        <f ca="1">IF(ISNUMBER(kinematics!S66),kinematics!R66,MAX($D$6:$D$186))</f>
        <v>180</v>
      </c>
      <c r="N224" s="18">
        <f ca="1">IF(ISNUMBER(kinematics!S66),kinematics!T66,0)</f>
        <v>0</v>
      </c>
      <c r="O224" s="18">
        <f ca="1">IF(ISNUMBER(kinematics!S66),kinematics!V66,0)</f>
        <v>0</v>
      </c>
      <c r="P224" s="18">
        <f ca="1">IF(ISNUMBER(kinematics!S66),kinematics!W66,0)</f>
        <v>0</v>
      </c>
      <c r="R224" s="11">
        <f t="shared" ca="1" si="16"/>
        <v>0</v>
      </c>
      <c r="S224" s="11">
        <f t="shared" ca="1" si="15"/>
        <v>0</v>
      </c>
    </row>
    <row r="225" spans="3:19" x14ac:dyDescent="0.2">
      <c r="C225" s="11">
        <f ca="1">IF(ISNUMBER(kinematics!S67),kinematics!S67,IF(ISNUMBER(kinematics!$S$30),MIN(kinematics!$S$30:$S$210),180))</f>
        <v>180</v>
      </c>
      <c r="D225" s="18">
        <f ca="1">IF(ISNUMBER(kinematics!S67),kinematics!R67,0)</f>
        <v>0</v>
      </c>
      <c r="E225" s="18">
        <f ca="1">IF(ISNUMBER(kinematics!S67),kinematics!V67,0)</f>
        <v>0</v>
      </c>
      <c r="I225" s="11">
        <f t="shared" ca="1" si="17"/>
        <v>180</v>
      </c>
      <c r="J225" s="18">
        <f ca="1">IF(ISNUMBER(kinematics!S67),kinematics!T67,0)</f>
        <v>0</v>
      </c>
      <c r="K225" s="18">
        <f ca="1">IF(ISNUMBER(kinematics!S67),kinematics!W67,0)</f>
        <v>0</v>
      </c>
      <c r="M225" s="18">
        <f ca="1">IF(ISNUMBER(kinematics!S67),kinematics!R67,MAX($D$6:$D$186))</f>
        <v>180</v>
      </c>
      <c r="N225" s="18">
        <f ca="1">IF(ISNUMBER(kinematics!S67),kinematics!T67,0)</f>
        <v>0</v>
      </c>
      <c r="O225" s="18">
        <f ca="1">IF(ISNUMBER(kinematics!S67),kinematics!V67,0)</f>
        <v>0</v>
      </c>
      <c r="P225" s="18">
        <f ca="1">IF(ISNUMBER(kinematics!S67),kinematics!W67,0)</f>
        <v>0</v>
      </c>
      <c r="R225" s="11">
        <f t="shared" ca="1" si="16"/>
        <v>0</v>
      </c>
      <c r="S225" s="11">
        <f t="shared" ca="1" si="15"/>
        <v>0</v>
      </c>
    </row>
    <row r="226" spans="3:19" x14ac:dyDescent="0.2">
      <c r="C226" s="11">
        <f ca="1">IF(ISNUMBER(kinematics!S68),kinematics!S68,IF(ISNUMBER(kinematics!$S$30),MIN(kinematics!$S$30:$S$210),180))</f>
        <v>180</v>
      </c>
      <c r="D226" s="18">
        <f ca="1">IF(ISNUMBER(kinematics!S68),kinematics!R68,0)</f>
        <v>0</v>
      </c>
      <c r="E226" s="18">
        <f ca="1">IF(ISNUMBER(kinematics!S68),kinematics!V68,0)</f>
        <v>0</v>
      </c>
      <c r="I226" s="11">
        <f t="shared" ca="1" si="17"/>
        <v>180</v>
      </c>
      <c r="J226" s="18">
        <f ca="1">IF(ISNUMBER(kinematics!S68),kinematics!T68,0)</f>
        <v>0</v>
      </c>
      <c r="K226" s="18">
        <f ca="1">IF(ISNUMBER(kinematics!S68),kinematics!W68,0)</f>
        <v>0</v>
      </c>
      <c r="M226" s="18">
        <f ca="1">IF(ISNUMBER(kinematics!S68),kinematics!R68,MAX($D$6:$D$186))</f>
        <v>180</v>
      </c>
      <c r="N226" s="18">
        <f ca="1">IF(ISNUMBER(kinematics!S68),kinematics!T68,0)</f>
        <v>0</v>
      </c>
      <c r="O226" s="18">
        <f ca="1">IF(ISNUMBER(kinematics!S68),kinematics!V68,0)</f>
        <v>0</v>
      </c>
      <c r="P226" s="18">
        <f ca="1">IF(ISNUMBER(kinematics!S68),kinematics!W68,0)</f>
        <v>0</v>
      </c>
      <c r="R226" s="11">
        <f t="shared" ca="1" si="16"/>
        <v>0</v>
      </c>
      <c r="S226" s="11">
        <f t="shared" ca="1" si="15"/>
        <v>0</v>
      </c>
    </row>
    <row r="227" spans="3:19" x14ac:dyDescent="0.2">
      <c r="C227" s="11">
        <f ca="1">IF(ISNUMBER(kinematics!S69),kinematics!S69,IF(ISNUMBER(kinematics!$S$30),MIN(kinematics!$S$30:$S$210),180))</f>
        <v>180</v>
      </c>
      <c r="D227" s="18">
        <f ca="1">IF(ISNUMBER(kinematics!S69),kinematics!R69,0)</f>
        <v>0</v>
      </c>
      <c r="E227" s="18">
        <f ca="1">IF(ISNUMBER(kinematics!S69),kinematics!V69,0)</f>
        <v>0</v>
      </c>
      <c r="I227" s="11">
        <f t="shared" ca="1" si="17"/>
        <v>180</v>
      </c>
      <c r="J227" s="18">
        <f ca="1">IF(ISNUMBER(kinematics!S69),kinematics!T69,0)</f>
        <v>0</v>
      </c>
      <c r="K227" s="18">
        <f ca="1">IF(ISNUMBER(kinematics!S69),kinematics!W69,0)</f>
        <v>0</v>
      </c>
      <c r="M227" s="18">
        <f ca="1">IF(ISNUMBER(kinematics!S69),kinematics!R69,MAX($D$6:$D$186))</f>
        <v>180</v>
      </c>
      <c r="N227" s="18">
        <f ca="1">IF(ISNUMBER(kinematics!S69),kinematics!T69,0)</f>
        <v>0</v>
      </c>
      <c r="O227" s="18">
        <f ca="1">IF(ISNUMBER(kinematics!S69),kinematics!V69,0)</f>
        <v>0</v>
      </c>
      <c r="P227" s="18">
        <f ca="1">IF(ISNUMBER(kinematics!S69),kinematics!W69,0)</f>
        <v>0</v>
      </c>
      <c r="R227" s="11">
        <f t="shared" ca="1" si="16"/>
        <v>0</v>
      </c>
      <c r="S227" s="11">
        <f t="shared" ca="1" si="15"/>
        <v>0</v>
      </c>
    </row>
    <row r="228" spans="3:19" x14ac:dyDescent="0.2">
      <c r="C228" s="11">
        <f ca="1">IF(ISNUMBER(kinematics!S70),kinematics!S70,IF(ISNUMBER(kinematics!$S$30),MIN(kinematics!$S$30:$S$210),180))</f>
        <v>180</v>
      </c>
      <c r="D228" s="18">
        <f ca="1">IF(ISNUMBER(kinematics!S70),kinematics!R70,0)</f>
        <v>0</v>
      </c>
      <c r="E228" s="18">
        <f ca="1">IF(ISNUMBER(kinematics!S70),kinematics!V70,0)</f>
        <v>0</v>
      </c>
      <c r="I228" s="11">
        <f t="shared" ca="1" si="17"/>
        <v>180</v>
      </c>
      <c r="J228" s="18">
        <f ca="1">IF(ISNUMBER(kinematics!S70),kinematics!T70,0)</f>
        <v>0</v>
      </c>
      <c r="K228" s="18">
        <f ca="1">IF(ISNUMBER(kinematics!S70),kinematics!W70,0)</f>
        <v>0</v>
      </c>
      <c r="M228" s="18">
        <f ca="1">IF(ISNUMBER(kinematics!S70),kinematics!R70,MAX($D$6:$D$186))</f>
        <v>180</v>
      </c>
      <c r="N228" s="18">
        <f ca="1">IF(ISNUMBER(kinematics!S70),kinematics!T70,0)</f>
        <v>0</v>
      </c>
      <c r="O228" s="18">
        <f ca="1">IF(ISNUMBER(kinematics!S70),kinematics!V70,0)</f>
        <v>0</v>
      </c>
      <c r="P228" s="18">
        <f ca="1">IF(ISNUMBER(kinematics!S70),kinematics!W70,0)</f>
        <v>0</v>
      </c>
      <c r="R228" s="11">
        <f t="shared" ca="1" si="16"/>
        <v>0</v>
      </c>
      <c r="S228" s="11">
        <f t="shared" ca="1" si="15"/>
        <v>0</v>
      </c>
    </row>
    <row r="229" spans="3:19" x14ac:dyDescent="0.2">
      <c r="C229" s="11">
        <f ca="1">IF(ISNUMBER(kinematics!S71),kinematics!S71,IF(ISNUMBER(kinematics!$S$30),MIN(kinematics!$S$30:$S$210),180))</f>
        <v>180</v>
      </c>
      <c r="D229" s="18">
        <f ca="1">IF(ISNUMBER(kinematics!S71),kinematics!R71,0)</f>
        <v>0</v>
      </c>
      <c r="E229" s="18">
        <f ca="1">IF(ISNUMBER(kinematics!S71),kinematics!V71,0)</f>
        <v>0</v>
      </c>
      <c r="I229" s="11">
        <f t="shared" ca="1" si="17"/>
        <v>180</v>
      </c>
      <c r="J229" s="18">
        <f ca="1">IF(ISNUMBER(kinematics!S71),kinematics!T71,0)</f>
        <v>0</v>
      </c>
      <c r="K229" s="18">
        <f ca="1">IF(ISNUMBER(kinematics!S71),kinematics!W71,0)</f>
        <v>0</v>
      </c>
      <c r="M229" s="18">
        <f ca="1">IF(ISNUMBER(kinematics!S71),kinematics!R71,MAX($D$6:$D$186))</f>
        <v>180</v>
      </c>
      <c r="N229" s="18">
        <f ca="1">IF(ISNUMBER(kinematics!S71),kinematics!T71,0)</f>
        <v>0</v>
      </c>
      <c r="O229" s="18">
        <f ca="1">IF(ISNUMBER(kinematics!S71),kinematics!V71,0)</f>
        <v>0</v>
      </c>
      <c r="P229" s="18">
        <f ca="1">IF(ISNUMBER(kinematics!S71),kinematics!W71,0)</f>
        <v>0</v>
      </c>
      <c r="R229" s="11">
        <f t="shared" ca="1" si="16"/>
        <v>0</v>
      </c>
      <c r="S229" s="11">
        <f t="shared" ca="1" si="15"/>
        <v>0</v>
      </c>
    </row>
    <row r="230" spans="3:19" x14ac:dyDescent="0.2">
      <c r="C230" s="11">
        <f ca="1">IF(ISNUMBER(kinematics!S72),kinematics!S72,IF(ISNUMBER(kinematics!$S$30),MIN(kinematics!$S$30:$S$210),180))</f>
        <v>180</v>
      </c>
      <c r="D230" s="18">
        <f ca="1">IF(ISNUMBER(kinematics!S72),kinematics!R72,0)</f>
        <v>0</v>
      </c>
      <c r="E230" s="18">
        <f ca="1">IF(ISNUMBER(kinematics!S72),kinematics!V72,0)</f>
        <v>0</v>
      </c>
      <c r="I230" s="11">
        <f t="shared" ca="1" si="17"/>
        <v>180</v>
      </c>
      <c r="J230" s="18">
        <f ca="1">IF(ISNUMBER(kinematics!S72),kinematics!T72,0)</f>
        <v>0</v>
      </c>
      <c r="K230" s="18">
        <f ca="1">IF(ISNUMBER(kinematics!S72),kinematics!W72,0)</f>
        <v>0</v>
      </c>
      <c r="M230" s="18">
        <f ca="1">IF(ISNUMBER(kinematics!S72),kinematics!R72,MAX($D$6:$D$186))</f>
        <v>180</v>
      </c>
      <c r="N230" s="18">
        <f ca="1">IF(ISNUMBER(kinematics!S72),kinematics!T72,0)</f>
        <v>0</v>
      </c>
      <c r="O230" s="18">
        <f ca="1">IF(ISNUMBER(kinematics!S72),kinematics!V72,0)</f>
        <v>0</v>
      </c>
      <c r="P230" s="18">
        <f ca="1">IF(ISNUMBER(kinematics!S72),kinematics!W72,0)</f>
        <v>0</v>
      </c>
      <c r="R230" s="11">
        <f t="shared" ca="1" si="16"/>
        <v>0</v>
      </c>
      <c r="S230" s="11">
        <f t="shared" ref="S230:S261" ca="1" si="18">P230</f>
        <v>0</v>
      </c>
    </row>
    <row r="231" spans="3:19" x14ac:dyDescent="0.2">
      <c r="C231" s="11">
        <f ca="1">IF(ISNUMBER(kinematics!S73),kinematics!S73,IF(ISNUMBER(kinematics!$S$30),MIN(kinematics!$S$30:$S$210),180))</f>
        <v>180</v>
      </c>
      <c r="D231" s="18">
        <f ca="1">IF(ISNUMBER(kinematics!S73),kinematics!R73,0)</f>
        <v>0</v>
      </c>
      <c r="E231" s="18">
        <f ca="1">IF(ISNUMBER(kinematics!S73),kinematics!V73,0)</f>
        <v>0</v>
      </c>
      <c r="I231" s="11">
        <f t="shared" ca="1" si="17"/>
        <v>180</v>
      </c>
      <c r="J231" s="18">
        <f ca="1">IF(ISNUMBER(kinematics!S73),kinematics!T73,0)</f>
        <v>0</v>
      </c>
      <c r="K231" s="18">
        <f ca="1">IF(ISNUMBER(kinematics!S73),kinematics!W73,0)</f>
        <v>0</v>
      </c>
      <c r="M231" s="18">
        <f ca="1">IF(ISNUMBER(kinematics!S73),kinematics!R73,MAX($D$6:$D$186))</f>
        <v>180</v>
      </c>
      <c r="N231" s="18">
        <f ca="1">IF(ISNUMBER(kinematics!S73),kinematics!T73,0)</f>
        <v>0</v>
      </c>
      <c r="O231" s="18">
        <f ca="1">IF(ISNUMBER(kinematics!S73),kinematics!V73,0)</f>
        <v>0</v>
      </c>
      <c r="P231" s="18">
        <f ca="1">IF(ISNUMBER(kinematics!S73),kinematics!W73,0)</f>
        <v>0</v>
      </c>
      <c r="R231" s="11">
        <f t="shared" ref="R231:R238" ca="1" si="19">O231</f>
        <v>0</v>
      </c>
      <c r="S231" s="11">
        <f t="shared" ca="1" si="18"/>
        <v>0</v>
      </c>
    </row>
    <row r="232" spans="3:19" x14ac:dyDescent="0.2">
      <c r="C232" s="11">
        <f ca="1">IF(ISNUMBER(kinematics!S74),kinematics!S74,IF(ISNUMBER(kinematics!$S$30),MIN(kinematics!$S$30:$S$210),180))</f>
        <v>180</v>
      </c>
      <c r="D232" s="18">
        <f ca="1">IF(ISNUMBER(kinematics!S74),kinematics!R74,0)</f>
        <v>0</v>
      </c>
      <c r="E232" s="18">
        <f ca="1">IF(ISNUMBER(kinematics!S74),kinematics!V74,0)</f>
        <v>0</v>
      </c>
      <c r="I232" s="11">
        <f t="shared" ca="1" si="17"/>
        <v>180</v>
      </c>
      <c r="J232" s="18">
        <f ca="1">IF(ISNUMBER(kinematics!S74),kinematics!T74,0)</f>
        <v>0</v>
      </c>
      <c r="K232" s="18">
        <f ca="1">IF(ISNUMBER(kinematics!S74),kinematics!W74,0)</f>
        <v>0</v>
      </c>
      <c r="M232" s="18">
        <f ca="1">IF(ISNUMBER(kinematics!S74),kinematics!R74,MAX($D$6:$D$186))</f>
        <v>180</v>
      </c>
      <c r="N232" s="18">
        <f ca="1">IF(ISNUMBER(kinematics!S74),kinematics!T74,0)</f>
        <v>0</v>
      </c>
      <c r="O232" s="18">
        <f ca="1">IF(ISNUMBER(kinematics!S74),kinematics!V74,0)</f>
        <v>0</v>
      </c>
      <c r="P232" s="18">
        <f ca="1">IF(ISNUMBER(kinematics!S74),kinematics!W74,0)</f>
        <v>0</v>
      </c>
      <c r="R232" s="11">
        <f t="shared" ca="1" si="19"/>
        <v>0</v>
      </c>
      <c r="S232" s="11">
        <f t="shared" ca="1" si="18"/>
        <v>0</v>
      </c>
    </row>
    <row r="233" spans="3:19" x14ac:dyDescent="0.2">
      <c r="C233" s="11">
        <f ca="1">IF(ISNUMBER(kinematics!S75),kinematics!S75,IF(ISNUMBER(kinematics!$S$30),MIN(kinematics!$S$30:$S$210),180))</f>
        <v>180</v>
      </c>
      <c r="D233" s="18">
        <f ca="1">IF(ISNUMBER(kinematics!S75),kinematics!R75,0)</f>
        <v>0</v>
      </c>
      <c r="E233" s="18">
        <f ca="1">IF(ISNUMBER(kinematics!S75),kinematics!V75,0)</f>
        <v>0</v>
      </c>
      <c r="I233" s="11">
        <f t="shared" ca="1" si="17"/>
        <v>180</v>
      </c>
      <c r="J233" s="18">
        <f ca="1">IF(ISNUMBER(kinematics!S75),kinematics!T75,0)</f>
        <v>0</v>
      </c>
      <c r="K233" s="18">
        <f ca="1">IF(ISNUMBER(kinematics!S75),kinematics!W75,0)</f>
        <v>0</v>
      </c>
      <c r="M233" s="18">
        <f ca="1">IF(ISNUMBER(kinematics!S75),kinematics!R75,MAX($D$6:$D$186))</f>
        <v>180</v>
      </c>
      <c r="N233" s="18">
        <f ca="1">IF(ISNUMBER(kinematics!S75),kinematics!T75,0)</f>
        <v>0</v>
      </c>
      <c r="O233" s="18">
        <f ca="1">IF(ISNUMBER(kinematics!S75),kinematics!V75,0)</f>
        <v>0</v>
      </c>
      <c r="P233" s="18">
        <f ca="1">IF(ISNUMBER(kinematics!S75),kinematics!W75,0)</f>
        <v>0</v>
      </c>
      <c r="R233" s="11">
        <f t="shared" ca="1" si="19"/>
        <v>0</v>
      </c>
      <c r="S233" s="11">
        <f t="shared" ca="1" si="18"/>
        <v>0</v>
      </c>
    </row>
    <row r="234" spans="3:19" x14ac:dyDescent="0.2">
      <c r="C234" s="11">
        <f ca="1">IF(ISNUMBER(kinematics!S76),kinematics!S76,IF(ISNUMBER(kinematics!$S$30),MIN(kinematics!$S$30:$S$210),180))</f>
        <v>180</v>
      </c>
      <c r="D234" s="18">
        <f ca="1">IF(ISNUMBER(kinematics!S76),kinematics!R76,0)</f>
        <v>0</v>
      </c>
      <c r="E234" s="18">
        <f ca="1">IF(ISNUMBER(kinematics!S76),kinematics!V76,0)</f>
        <v>0</v>
      </c>
      <c r="I234" s="11">
        <f t="shared" ca="1" si="17"/>
        <v>180</v>
      </c>
      <c r="J234" s="18">
        <f ca="1">IF(ISNUMBER(kinematics!S76),kinematics!T76,0)</f>
        <v>0</v>
      </c>
      <c r="K234" s="18">
        <f ca="1">IF(ISNUMBER(kinematics!S76),kinematics!W76,0)</f>
        <v>0</v>
      </c>
      <c r="M234" s="18">
        <f ca="1">IF(ISNUMBER(kinematics!S76),kinematics!R76,MAX($D$6:$D$186))</f>
        <v>180</v>
      </c>
      <c r="N234" s="18">
        <f ca="1">IF(ISNUMBER(kinematics!S76),kinematics!T76,0)</f>
        <v>0</v>
      </c>
      <c r="O234" s="18">
        <f ca="1">IF(ISNUMBER(kinematics!S76),kinematics!V76,0)</f>
        <v>0</v>
      </c>
      <c r="P234" s="18">
        <f ca="1">IF(ISNUMBER(kinematics!S76),kinematics!W76,0)</f>
        <v>0</v>
      </c>
      <c r="R234" s="11">
        <f t="shared" ca="1" si="19"/>
        <v>0</v>
      </c>
      <c r="S234" s="11">
        <f t="shared" ca="1" si="18"/>
        <v>0</v>
      </c>
    </row>
    <row r="235" spans="3:19" x14ac:dyDescent="0.2">
      <c r="C235" s="11">
        <f ca="1">IF(ISNUMBER(kinematics!S77),kinematics!S77,IF(ISNUMBER(kinematics!$S$30),MIN(kinematics!$S$30:$S$210),180))</f>
        <v>180</v>
      </c>
      <c r="D235" s="18">
        <f ca="1">IF(ISNUMBER(kinematics!S77),kinematics!R77,0)</f>
        <v>0</v>
      </c>
      <c r="E235" s="18">
        <f ca="1">IF(ISNUMBER(kinematics!S77),kinematics!V77,0)</f>
        <v>0</v>
      </c>
      <c r="I235" s="11">
        <f t="shared" ca="1" si="17"/>
        <v>180</v>
      </c>
      <c r="J235" s="18">
        <f ca="1">IF(ISNUMBER(kinematics!S77),kinematics!T77,0)</f>
        <v>0</v>
      </c>
      <c r="K235" s="18">
        <f ca="1">IF(ISNUMBER(kinematics!S77),kinematics!W77,0)</f>
        <v>0</v>
      </c>
      <c r="M235" s="18">
        <f ca="1">IF(ISNUMBER(kinematics!S77),kinematics!R77,MAX($D$6:$D$186))</f>
        <v>180</v>
      </c>
      <c r="N235" s="18">
        <f ca="1">IF(ISNUMBER(kinematics!S77),kinematics!T77,0)</f>
        <v>0</v>
      </c>
      <c r="O235" s="18">
        <f ca="1">IF(ISNUMBER(kinematics!S77),kinematics!V77,0)</f>
        <v>0</v>
      </c>
      <c r="P235" s="18">
        <f ca="1">IF(ISNUMBER(kinematics!S77),kinematics!W77,0)</f>
        <v>0</v>
      </c>
      <c r="R235" s="11">
        <f t="shared" ca="1" si="19"/>
        <v>0</v>
      </c>
      <c r="S235" s="11">
        <f t="shared" ca="1" si="18"/>
        <v>0</v>
      </c>
    </row>
    <row r="236" spans="3:19" x14ac:dyDescent="0.2">
      <c r="C236" s="11">
        <f ca="1">IF(ISNUMBER(kinematics!S78),kinematics!S78,IF(ISNUMBER(kinematics!$S$30),MIN(kinematics!$S$30:$S$210),180))</f>
        <v>180</v>
      </c>
      <c r="D236" s="18">
        <f ca="1">IF(ISNUMBER(kinematics!S78),kinematics!R78,0)</f>
        <v>0</v>
      </c>
      <c r="E236" s="18">
        <f ca="1">IF(ISNUMBER(kinematics!S78),kinematics!V78,0)</f>
        <v>0</v>
      </c>
      <c r="I236" s="11">
        <f t="shared" ca="1" si="17"/>
        <v>180</v>
      </c>
      <c r="J236" s="18">
        <f ca="1">IF(ISNUMBER(kinematics!S78),kinematics!T78,0)</f>
        <v>0</v>
      </c>
      <c r="K236" s="18">
        <f ca="1">IF(ISNUMBER(kinematics!S78),kinematics!W78,0)</f>
        <v>0</v>
      </c>
      <c r="M236" s="18">
        <f ca="1">IF(ISNUMBER(kinematics!S78),kinematics!R78,MAX($D$6:$D$186))</f>
        <v>180</v>
      </c>
      <c r="N236" s="18">
        <f ca="1">IF(ISNUMBER(kinematics!S78),kinematics!T78,0)</f>
        <v>0</v>
      </c>
      <c r="O236" s="18">
        <f ca="1">IF(ISNUMBER(kinematics!S78),kinematics!V78,0)</f>
        <v>0</v>
      </c>
      <c r="P236" s="18">
        <f ca="1">IF(ISNUMBER(kinematics!S78),kinematics!W78,0)</f>
        <v>0</v>
      </c>
      <c r="R236" s="11">
        <f t="shared" ca="1" si="19"/>
        <v>0</v>
      </c>
      <c r="S236" s="11">
        <f t="shared" ca="1" si="18"/>
        <v>0</v>
      </c>
    </row>
    <row r="237" spans="3:19" x14ac:dyDescent="0.2">
      <c r="C237" s="11">
        <f ca="1">IF(ISNUMBER(kinematics!S79),kinematics!S79,IF(ISNUMBER(kinematics!$S$30),MIN(kinematics!$S$30:$S$210),180))</f>
        <v>180</v>
      </c>
      <c r="D237" s="18">
        <f ca="1">IF(ISNUMBER(kinematics!S79),kinematics!R79,0)</f>
        <v>0</v>
      </c>
      <c r="E237" s="18">
        <f ca="1">IF(ISNUMBER(kinematics!S79),kinematics!V79,0)</f>
        <v>0</v>
      </c>
      <c r="I237" s="11">
        <f t="shared" ca="1" si="17"/>
        <v>180</v>
      </c>
      <c r="J237" s="18">
        <f ca="1">IF(ISNUMBER(kinematics!S79),kinematics!T79,0)</f>
        <v>0</v>
      </c>
      <c r="K237" s="18">
        <f ca="1">IF(ISNUMBER(kinematics!S79),kinematics!W79,0)</f>
        <v>0</v>
      </c>
      <c r="M237" s="18">
        <f ca="1">IF(ISNUMBER(kinematics!S79),kinematics!R79,MAX($D$6:$D$186))</f>
        <v>180</v>
      </c>
      <c r="N237" s="18">
        <f ca="1">IF(ISNUMBER(kinematics!S79),kinematics!T79,0)</f>
        <v>0</v>
      </c>
      <c r="O237" s="18">
        <f ca="1">IF(ISNUMBER(kinematics!S79),kinematics!V79,0)</f>
        <v>0</v>
      </c>
      <c r="P237" s="18">
        <f ca="1">IF(ISNUMBER(kinematics!S79),kinematics!W79,0)</f>
        <v>0</v>
      </c>
      <c r="R237" s="11">
        <f t="shared" ca="1" si="19"/>
        <v>0</v>
      </c>
      <c r="S237" s="11">
        <f t="shared" ca="1" si="18"/>
        <v>0</v>
      </c>
    </row>
    <row r="238" spans="3:19" x14ac:dyDescent="0.2">
      <c r="C238" s="11">
        <f ca="1">IF(ISNUMBER(kinematics!S80),kinematics!S80,IF(ISNUMBER(kinematics!$S$30),MIN(kinematics!$S$30:$S$210),180))</f>
        <v>180</v>
      </c>
      <c r="D238" s="18">
        <f ca="1">IF(ISNUMBER(kinematics!S80),kinematics!R80,0)</f>
        <v>0</v>
      </c>
      <c r="E238" s="18">
        <f ca="1">IF(ISNUMBER(kinematics!S80),kinematics!V80,0)</f>
        <v>0</v>
      </c>
      <c r="I238" s="11">
        <f t="shared" ca="1" si="17"/>
        <v>180</v>
      </c>
      <c r="J238" s="18">
        <f ca="1">IF(ISNUMBER(kinematics!S80),kinematics!T80,0)</f>
        <v>0</v>
      </c>
      <c r="K238" s="18">
        <f ca="1">IF(ISNUMBER(kinematics!S80),kinematics!W80,0)</f>
        <v>0</v>
      </c>
      <c r="M238" s="18">
        <f ca="1">IF(ISNUMBER(kinematics!S80),kinematics!R80,MAX($D$6:$D$186))</f>
        <v>180</v>
      </c>
      <c r="N238" s="18">
        <f ca="1">IF(ISNUMBER(kinematics!S80),kinematics!T80,0)</f>
        <v>0</v>
      </c>
      <c r="O238" s="18">
        <f ca="1">IF(ISNUMBER(kinematics!S80),kinematics!V80,0)</f>
        <v>0</v>
      </c>
      <c r="P238" s="18">
        <f ca="1">IF(ISNUMBER(kinematics!S80),kinematics!W80,0)</f>
        <v>0</v>
      </c>
      <c r="R238" s="11">
        <f t="shared" ca="1" si="19"/>
        <v>0</v>
      </c>
      <c r="S238" s="11">
        <f t="shared" ca="1" si="18"/>
        <v>0</v>
      </c>
    </row>
    <row r="239" spans="3:19" x14ac:dyDescent="0.2">
      <c r="C239" s="11">
        <f ca="1">IF(ISNUMBER(kinematics!S81),kinematics!S81,IF(ISNUMBER(kinematics!$S$30),MIN(kinematics!$S$30:$S$210),180))</f>
        <v>180</v>
      </c>
      <c r="D239" s="18">
        <f ca="1">IF(ISNUMBER(kinematics!S81),kinematics!R81,0)</f>
        <v>0</v>
      </c>
      <c r="E239" s="18">
        <f ca="1">IF(ISNUMBER(kinematics!S81),kinematics!V81,0)</f>
        <v>0</v>
      </c>
      <c r="I239" s="11">
        <f t="shared" ca="1" si="17"/>
        <v>180</v>
      </c>
      <c r="J239" s="18">
        <f ca="1">IF(ISNUMBER(kinematics!S81),kinematics!T81,0)</f>
        <v>0</v>
      </c>
      <c r="K239" s="18">
        <f ca="1">IF(ISNUMBER(kinematics!S81),kinematics!W81,0)</f>
        <v>0</v>
      </c>
      <c r="M239" s="18">
        <f ca="1">IF(ISNUMBER(kinematics!S81),kinematics!R81,MAX($D$6:$D$186))</f>
        <v>180</v>
      </c>
      <c r="N239" s="18">
        <f ca="1">IF(ISNUMBER(kinematics!S81),kinematics!T81,0)</f>
        <v>0</v>
      </c>
      <c r="O239" s="18">
        <f ca="1">IF(ISNUMBER(kinematics!S81),kinematics!V81,0)</f>
        <v>0</v>
      </c>
      <c r="P239" s="18">
        <f ca="1">IF(ISNUMBER(kinematics!S81),kinematics!W81,0)</f>
        <v>0</v>
      </c>
      <c r="R239" s="11">
        <f t="shared" ref="R239:R326" ca="1" si="20">O239</f>
        <v>0</v>
      </c>
      <c r="S239" s="11">
        <f t="shared" ca="1" si="18"/>
        <v>0</v>
      </c>
    </row>
    <row r="240" spans="3:19" x14ac:dyDescent="0.2">
      <c r="C240" s="11">
        <f ca="1">IF(ISNUMBER(kinematics!S82),kinematics!S82,IF(ISNUMBER(kinematics!$S$30),MIN(kinematics!$S$30:$S$210),180))</f>
        <v>180</v>
      </c>
      <c r="D240" s="18">
        <f ca="1">IF(ISNUMBER(kinematics!S82),kinematics!R82,0)</f>
        <v>0</v>
      </c>
      <c r="E240" s="18">
        <f ca="1">IF(ISNUMBER(kinematics!S82),kinematics!V82,0)</f>
        <v>0</v>
      </c>
      <c r="I240" s="11">
        <f t="shared" ca="1" si="17"/>
        <v>180</v>
      </c>
      <c r="J240" s="18">
        <f ca="1">IF(ISNUMBER(kinematics!S82),kinematics!T82,0)</f>
        <v>0</v>
      </c>
      <c r="K240" s="18">
        <f ca="1">IF(ISNUMBER(kinematics!S82),kinematics!W82,0)</f>
        <v>0</v>
      </c>
      <c r="M240" s="18">
        <f ca="1">IF(ISNUMBER(kinematics!S82),kinematics!R82,MAX($D$6:$D$186))</f>
        <v>180</v>
      </c>
      <c r="N240" s="18">
        <f ca="1">IF(ISNUMBER(kinematics!S82),kinematics!T82,0)</f>
        <v>0</v>
      </c>
      <c r="O240" s="18">
        <f ca="1">IF(ISNUMBER(kinematics!S82),kinematics!V82,0)</f>
        <v>0</v>
      </c>
      <c r="P240" s="18">
        <f ca="1">IF(ISNUMBER(kinematics!S82),kinematics!W82,0)</f>
        <v>0</v>
      </c>
      <c r="R240" s="11">
        <f t="shared" ref="R240:R262" ca="1" si="21">O240</f>
        <v>0</v>
      </c>
      <c r="S240" s="11">
        <f t="shared" ca="1" si="18"/>
        <v>0</v>
      </c>
    </row>
    <row r="241" spans="3:19" x14ac:dyDescent="0.2">
      <c r="C241" s="11">
        <f ca="1">IF(ISNUMBER(kinematics!S83),kinematics!S83,IF(ISNUMBER(kinematics!$S$30),MIN(kinematics!$S$30:$S$210),180))</f>
        <v>180</v>
      </c>
      <c r="D241" s="18">
        <f ca="1">IF(ISNUMBER(kinematics!S83),kinematics!R83,0)</f>
        <v>0</v>
      </c>
      <c r="E241" s="18">
        <f ca="1">IF(ISNUMBER(kinematics!S83),kinematics!V83,0)</f>
        <v>0</v>
      </c>
      <c r="I241" s="11">
        <f t="shared" ca="1" si="17"/>
        <v>180</v>
      </c>
      <c r="J241" s="18">
        <f ca="1">IF(ISNUMBER(kinematics!S83),kinematics!T83,0)</f>
        <v>0</v>
      </c>
      <c r="K241" s="18">
        <f ca="1">IF(ISNUMBER(kinematics!S83),kinematics!W83,0)</f>
        <v>0</v>
      </c>
      <c r="M241" s="18">
        <f ca="1">IF(ISNUMBER(kinematics!S83),kinematics!R83,MAX($D$6:$D$186))</f>
        <v>180</v>
      </c>
      <c r="N241" s="18">
        <f ca="1">IF(ISNUMBER(kinematics!S83),kinematics!T83,0)</f>
        <v>0</v>
      </c>
      <c r="O241" s="18">
        <f ca="1">IF(ISNUMBER(kinematics!S83),kinematics!V83,0)</f>
        <v>0</v>
      </c>
      <c r="P241" s="18">
        <f ca="1">IF(ISNUMBER(kinematics!S83),kinematics!W83,0)</f>
        <v>0</v>
      </c>
      <c r="R241" s="11">
        <f t="shared" ca="1" si="21"/>
        <v>0</v>
      </c>
      <c r="S241" s="11">
        <f t="shared" ca="1" si="18"/>
        <v>0</v>
      </c>
    </row>
    <row r="242" spans="3:19" x14ac:dyDescent="0.2">
      <c r="C242" s="11">
        <f ca="1">IF(ISNUMBER(kinematics!S84),kinematics!S84,IF(ISNUMBER(kinematics!$S$30),MIN(kinematics!$S$30:$S$210),180))</f>
        <v>180</v>
      </c>
      <c r="D242" s="18">
        <f ca="1">IF(ISNUMBER(kinematics!S84),kinematics!R84,0)</f>
        <v>0</v>
      </c>
      <c r="E242" s="18">
        <f ca="1">IF(ISNUMBER(kinematics!S84),kinematics!V84,0)</f>
        <v>0</v>
      </c>
      <c r="I242" s="11">
        <f t="shared" ca="1" si="17"/>
        <v>180</v>
      </c>
      <c r="J242" s="18">
        <f ca="1">IF(ISNUMBER(kinematics!S84),kinematics!T84,0)</f>
        <v>0</v>
      </c>
      <c r="K242" s="18">
        <f ca="1">IF(ISNUMBER(kinematics!S84),kinematics!W84,0)</f>
        <v>0</v>
      </c>
      <c r="M242" s="18">
        <f ca="1">IF(ISNUMBER(kinematics!S84),kinematics!R84,MAX($D$6:$D$186))</f>
        <v>180</v>
      </c>
      <c r="N242" s="18">
        <f ca="1">IF(ISNUMBER(kinematics!S84),kinematics!T84,0)</f>
        <v>0</v>
      </c>
      <c r="O242" s="18">
        <f ca="1">IF(ISNUMBER(kinematics!S84),kinematics!V84,0)</f>
        <v>0</v>
      </c>
      <c r="P242" s="18">
        <f ca="1">IF(ISNUMBER(kinematics!S84),kinematics!W84,0)</f>
        <v>0</v>
      </c>
      <c r="R242" s="11">
        <f t="shared" ca="1" si="21"/>
        <v>0</v>
      </c>
      <c r="S242" s="11">
        <f t="shared" ca="1" si="18"/>
        <v>0</v>
      </c>
    </row>
    <row r="243" spans="3:19" x14ac:dyDescent="0.2">
      <c r="C243" s="11">
        <f ca="1">IF(ISNUMBER(kinematics!S85),kinematics!S85,IF(ISNUMBER(kinematics!$S$30),MIN(kinematics!$S$30:$S$210),180))</f>
        <v>180</v>
      </c>
      <c r="D243" s="18">
        <f ca="1">IF(ISNUMBER(kinematics!S85),kinematics!R85,0)</f>
        <v>0</v>
      </c>
      <c r="E243" s="18">
        <f ca="1">IF(ISNUMBER(kinematics!S85),kinematics!V85,0)</f>
        <v>0</v>
      </c>
      <c r="I243" s="11">
        <f t="shared" ca="1" si="17"/>
        <v>180</v>
      </c>
      <c r="J243" s="18">
        <f ca="1">IF(ISNUMBER(kinematics!S85),kinematics!T85,0)</f>
        <v>0</v>
      </c>
      <c r="K243" s="18">
        <f ca="1">IF(ISNUMBER(kinematics!S85),kinematics!W85,0)</f>
        <v>0</v>
      </c>
      <c r="M243" s="18">
        <f ca="1">IF(ISNUMBER(kinematics!S85),kinematics!R85,MAX($D$6:$D$186))</f>
        <v>180</v>
      </c>
      <c r="N243" s="18">
        <f ca="1">IF(ISNUMBER(kinematics!S85),kinematics!T85,0)</f>
        <v>0</v>
      </c>
      <c r="O243" s="18">
        <f ca="1">IF(ISNUMBER(kinematics!S85),kinematics!V85,0)</f>
        <v>0</v>
      </c>
      <c r="P243" s="18">
        <f ca="1">IF(ISNUMBER(kinematics!S85),kinematics!W85,0)</f>
        <v>0</v>
      </c>
      <c r="R243" s="11">
        <f t="shared" ca="1" si="21"/>
        <v>0</v>
      </c>
      <c r="S243" s="11">
        <f t="shared" ca="1" si="18"/>
        <v>0</v>
      </c>
    </row>
    <row r="244" spans="3:19" x14ac:dyDescent="0.2">
      <c r="C244" s="11">
        <f ca="1">IF(ISNUMBER(kinematics!S86),kinematics!S86,IF(ISNUMBER(kinematics!$S$30),MIN(kinematics!$S$30:$S$210),180))</f>
        <v>180</v>
      </c>
      <c r="D244" s="18">
        <f ca="1">IF(ISNUMBER(kinematics!S86),kinematics!R86,0)</f>
        <v>0</v>
      </c>
      <c r="E244" s="18">
        <f ca="1">IF(ISNUMBER(kinematics!S86),kinematics!V86,0)</f>
        <v>0</v>
      </c>
      <c r="I244" s="11">
        <f t="shared" ca="1" si="17"/>
        <v>180</v>
      </c>
      <c r="J244" s="18">
        <f ca="1">IF(ISNUMBER(kinematics!S86),kinematics!T86,0)</f>
        <v>0</v>
      </c>
      <c r="K244" s="18">
        <f ca="1">IF(ISNUMBER(kinematics!S86),kinematics!W86,0)</f>
        <v>0</v>
      </c>
      <c r="M244" s="18">
        <f ca="1">IF(ISNUMBER(kinematics!S86),kinematics!R86,MAX($D$6:$D$186))</f>
        <v>180</v>
      </c>
      <c r="N244" s="18">
        <f ca="1">IF(ISNUMBER(kinematics!S86),kinematics!T86,0)</f>
        <v>0</v>
      </c>
      <c r="O244" s="18">
        <f ca="1">IF(ISNUMBER(kinematics!S86),kinematics!V86,0)</f>
        <v>0</v>
      </c>
      <c r="P244" s="18">
        <f ca="1">IF(ISNUMBER(kinematics!S86),kinematics!W86,0)</f>
        <v>0</v>
      </c>
      <c r="R244" s="11">
        <f t="shared" ca="1" si="21"/>
        <v>0</v>
      </c>
      <c r="S244" s="11">
        <f t="shared" ca="1" si="18"/>
        <v>0</v>
      </c>
    </row>
    <row r="245" spans="3:19" x14ac:dyDescent="0.2">
      <c r="C245" s="11">
        <f ca="1">IF(ISNUMBER(kinematics!S87),kinematics!S87,IF(ISNUMBER(kinematics!$S$30),MIN(kinematics!$S$30:$S$210),180))</f>
        <v>180</v>
      </c>
      <c r="D245" s="18">
        <f ca="1">IF(ISNUMBER(kinematics!S87),kinematics!R87,0)</f>
        <v>0</v>
      </c>
      <c r="E245" s="18">
        <f ca="1">IF(ISNUMBER(kinematics!S87),kinematics!V87,0)</f>
        <v>0</v>
      </c>
      <c r="I245" s="11">
        <f t="shared" ca="1" si="17"/>
        <v>180</v>
      </c>
      <c r="J245" s="18">
        <f ca="1">IF(ISNUMBER(kinematics!S87),kinematics!T87,0)</f>
        <v>0</v>
      </c>
      <c r="K245" s="18">
        <f ca="1">IF(ISNUMBER(kinematics!S87),kinematics!W87,0)</f>
        <v>0</v>
      </c>
      <c r="M245" s="18">
        <f ca="1">IF(ISNUMBER(kinematics!S87),kinematics!R87,MAX($D$6:$D$186))</f>
        <v>180</v>
      </c>
      <c r="N245" s="18">
        <f ca="1">IF(ISNUMBER(kinematics!S87),kinematics!T87,0)</f>
        <v>0</v>
      </c>
      <c r="O245" s="18">
        <f ca="1">IF(ISNUMBER(kinematics!S87),kinematics!V87,0)</f>
        <v>0</v>
      </c>
      <c r="P245" s="18">
        <f ca="1">IF(ISNUMBER(kinematics!S87),kinematics!W87,0)</f>
        <v>0</v>
      </c>
      <c r="R245" s="11">
        <f t="shared" ca="1" si="21"/>
        <v>0</v>
      </c>
      <c r="S245" s="11">
        <f t="shared" ca="1" si="18"/>
        <v>0</v>
      </c>
    </row>
    <row r="246" spans="3:19" x14ac:dyDescent="0.2">
      <c r="C246" s="11">
        <f ca="1">IF(ISNUMBER(kinematics!S88),kinematics!S88,IF(ISNUMBER(kinematics!$S$30),MIN(kinematics!$S$30:$S$210),180))</f>
        <v>180</v>
      </c>
      <c r="D246" s="18">
        <f ca="1">IF(ISNUMBER(kinematics!S88),kinematics!R88,0)</f>
        <v>0</v>
      </c>
      <c r="E246" s="18">
        <f ca="1">IF(ISNUMBER(kinematics!S88),kinematics!V88,0)</f>
        <v>0</v>
      </c>
      <c r="I246" s="11">
        <f t="shared" ca="1" si="17"/>
        <v>180</v>
      </c>
      <c r="J246" s="18">
        <f ca="1">IF(ISNUMBER(kinematics!S88),kinematics!T88,0)</f>
        <v>0</v>
      </c>
      <c r="K246" s="18">
        <f ca="1">IF(ISNUMBER(kinematics!S88),kinematics!W88,0)</f>
        <v>0</v>
      </c>
      <c r="M246" s="18">
        <f ca="1">IF(ISNUMBER(kinematics!S88),kinematics!R88,MAX($D$6:$D$186))</f>
        <v>180</v>
      </c>
      <c r="N246" s="18">
        <f ca="1">IF(ISNUMBER(kinematics!S88),kinematics!T88,0)</f>
        <v>0</v>
      </c>
      <c r="O246" s="18">
        <f ca="1">IF(ISNUMBER(kinematics!S88),kinematics!V88,0)</f>
        <v>0</v>
      </c>
      <c r="P246" s="18">
        <f ca="1">IF(ISNUMBER(kinematics!S88),kinematics!W88,0)</f>
        <v>0</v>
      </c>
      <c r="R246" s="11">
        <f t="shared" ca="1" si="21"/>
        <v>0</v>
      </c>
      <c r="S246" s="11">
        <f t="shared" ca="1" si="18"/>
        <v>0</v>
      </c>
    </row>
    <row r="247" spans="3:19" x14ac:dyDescent="0.2">
      <c r="C247" s="11">
        <f ca="1">IF(ISNUMBER(kinematics!S89),kinematics!S89,IF(ISNUMBER(kinematics!$S$30),MIN(kinematics!$S$30:$S$210),180))</f>
        <v>180</v>
      </c>
      <c r="D247" s="18">
        <f ca="1">IF(ISNUMBER(kinematics!S89),kinematics!R89,0)</f>
        <v>0</v>
      </c>
      <c r="E247" s="18">
        <f ca="1">IF(ISNUMBER(kinematics!S89),kinematics!V89,0)</f>
        <v>0</v>
      </c>
      <c r="I247" s="11">
        <f t="shared" ca="1" si="17"/>
        <v>180</v>
      </c>
      <c r="J247" s="18">
        <f ca="1">IF(ISNUMBER(kinematics!S89),kinematics!T89,0)</f>
        <v>0</v>
      </c>
      <c r="K247" s="18">
        <f ca="1">IF(ISNUMBER(kinematics!S89),kinematics!W89,0)</f>
        <v>0</v>
      </c>
      <c r="M247" s="18">
        <f ca="1">IF(ISNUMBER(kinematics!S89),kinematics!R89,MAX($D$6:$D$186))</f>
        <v>180</v>
      </c>
      <c r="N247" s="18">
        <f ca="1">IF(ISNUMBER(kinematics!S89),kinematics!T89,0)</f>
        <v>0</v>
      </c>
      <c r="O247" s="18">
        <f ca="1">IF(ISNUMBER(kinematics!S89),kinematics!V89,0)</f>
        <v>0</v>
      </c>
      <c r="P247" s="18">
        <f ca="1">IF(ISNUMBER(kinematics!S89),kinematics!W89,0)</f>
        <v>0</v>
      </c>
      <c r="R247" s="11">
        <f t="shared" ca="1" si="21"/>
        <v>0</v>
      </c>
      <c r="S247" s="11">
        <f t="shared" ca="1" si="18"/>
        <v>0</v>
      </c>
    </row>
    <row r="248" spans="3:19" x14ac:dyDescent="0.2">
      <c r="C248" s="11">
        <f ca="1">IF(ISNUMBER(kinematics!S90),kinematics!S90,IF(ISNUMBER(kinematics!$S$30),MIN(kinematics!$S$30:$S$210),180))</f>
        <v>180</v>
      </c>
      <c r="D248" s="18">
        <f ca="1">IF(ISNUMBER(kinematics!S90),kinematics!R90,0)</f>
        <v>0</v>
      </c>
      <c r="E248" s="18">
        <f ca="1">IF(ISNUMBER(kinematics!S90),kinematics!V90,0)</f>
        <v>0</v>
      </c>
      <c r="I248" s="11">
        <f t="shared" ca="1" si="17"/>
        <v>180</v>
      </c>
      <c r="J248" s="18">
        <f ca="1">IF(ISNUMBER(kinematics!S90),kinematics!T90,0)</f>
        <v>0</v>
      </c>
      <c r="K248" s="18">
        <f ca="1">IF(ISNUMBER(kinematics!S90),kinematics!W90,0)</f>
        <v>0</v>
      </c>
      <c r="M248" s="18">
        <f ca="1">IF(ISNUMBER(kinematics!S90),kinematics!R90,MAX($D$6:$D$186))</f>
        <v>180</v>
      </c>
      <c r="N248" s="18">
        <f ca="1">IF(ISNUMBER(kinematics!S90),kinematics!T90,0)</f>
        <v>0</v>
      </c>
      <c r="O248" s="18">
        <f ca="1">IF(ISNUMBER(kinematics!S90),kinematics!V90,0)</f>
        <v>0</v>
      </c>
      <c r="P248" s="18">
        <f ca="1">IF(ISNUMBER(kinematics!S90),kinematics!W90,0)</f>
        <v>0</v>
      </c>
      <c r="R248" s="11">
        <f t="shared" ca="1" si="21"/>
        <v>0</v>
      </c>
      <c r="S248" s="11">
        <f t="shared" ca="1" si="18"/>
        <v>0</v>
      </c>
    </row>
    <row r="249" spans="3:19" x14ac:dyDescent="0.2">
      <c r="C249" s="11">
        <f ca="1">IF(ISNUMBER(kinematics!S91),kinematics!S91,IF(ISNUMBER(kinematics!$S$30),MIN(kinematics!$S$30:$S$210),180))</f>
        <v>180</v>
      </c>
      <c r="D249" s="18">
        <f ca="1">IF(ISNUMBER(kinematics!S91),kinematics!R91,0)</f>
        <v>0</v>
      </c>
      <c r="E249" s="18">
        <f ca="1">IF(ISNUMBER(kinematics!S91),kinematics!V91,0)</f>
        <v>0</v>
      </c>
      <c r="I249" s="11">
        <f t="shared" ca="1" si="17"/>
        <v>180</v>
      </c>
      <c r="J249" s="18">
        <f ca="1">IF(ISNUMBER(kinematics!S91),kinematics!T91,0)</f>
        <v>0</v>
      </c>
      <c r="K249" s="18">
        <f ca="1">IF(ISNUMBER(kinematics!S91),kinematics!W91,0)</f>
        <v>0</v>
      </c>
      <c r="M249" s="18">
        <f ca="1">IF(ISNUMBER(kinematics!S91),kinematics!R91,MAX($D$6:$D$186))</f>
        <v>180</v>
      </c>
      <c r="N249" s="18">
        <f ca="1">IF(ISNUMBER(kinematics!S91),kinematics!T91,0)</f>
        <v>0</v>
      </c>
      <c r="O249" s="18">
        <f ca="1">IF(ISNUMBER(kinematics!S91),kinematics!V91,0)</f>
        <v>0</v>
      </c>
      <c r="P249" s="18">
        <f ca="1">IF(ISNUMBER(kinematics!S91),kinematics!W91,0)</f>
        <v>0</v>
      </c>
      <c r="R249" s="11">
        <f t="shared" ca="1" si="21"/>
        <v>0</v>
      </c>
      <c r="S249" s="11">
        <f t="shared" ca="1" si="18"/>
        <v>0</v>
      </c>
    </row>
    <row r="250" spans="3:19" x14ac:dyDescent="0.2">
      <c r="C250" s="11">
        <f ca="1">IF(ISNUMBER(kinematics!S92),kinematics!S92,IF(ISNUMBER(kinematics!$S$30),MIN(kinematics!$S$30:$S$210),180))</f>
        <v>180</v>
      </c>
      <c r="D250" s="18">
        <f ca="1">IF(ISNUMBER(kinematics!S92),kinematics!R92,0)</f>
        <v>0</v>
      </c>
      <c r="E250" s="18">
        <f ca="1">IF(ISNUMBER(kinematics!S92),kinematics!V92,0)</f>
        <v>0</v>
      </c>
      <c r="I250" s="11">
        <f t="shared" ca="1" si="17"/>
        <v>180</v>
      </c>
      <c r="J250" s="18">
        <f ca="1">IF(ISNUMBER(kinematics!S92),kinematics!T92,0)</f>
        <v>0</v>
      </c>
      <c r="K250" s="18">
        <f ca="1">IF(ISNUMBER(kinematics!S92),kinematics!W92,0)</f>
        <v>0</v>
      </c>
      <c r="M250" s="18">
        <f ca="1">IF(ISNUMBER(kinematics!S92),kinematics!R92,MAX($D$6:$D$186))</f>
        <v>180</v>
      </c>
      <c r="N250" s="18">
        <f ca="1">IF(ISNUMBER(kinematics!S92),kinematics!T92,0)</f>
        <v>0</v>
      </c>
      <c r="O250" s="18">
        <f ca="1">IF(ISNUMBER(kinematics!S92),kinematics!V92,0)</f>
        <v>0</v>
      </c>
      <c r="P250" s="18">
        <f ca="1">IF(ISNUMBER(kinematics!S92),kinematics!W92,0)</f>
        <v>0</v>
      </c>
      <c r="R250" s="11">
        <f t="shared" ca="1" si="21"/>
        <v>0</v>
      </c>
      <c r="S250" s="11">
        <f t="shared" ca="1" si="18"/>
        <v>0</v>
      </c>
    </row>
    <row r="251" spans="3:19" x14ac:dyDescent="0.2">
      <c r="C251" s="11">
        <f ca="1">IF(ISNUMBER(kinematics!S93),kinematics!S93,IF(ISNUMBER(kinematics!$S$30),MIN(kinematics!$S$30:$S$210),180))</f>
        <v>180</v>
      </c>
      <c r="D251" s="18">
        <f ca="1">IF(ISNUMBER(kinematics!S93),kinematics!R93,0)</f>
        <v>0</v>
      </c>
      <c r="E251" s="18">
        <f ca="1">IF(ISNUMBER(kinematics!S93),kinematics!V93,0)</f>
        <v>0</v>
      </c>
      <c r="I251" s="11">
        <f t="shared" ca="1" si="17"/>
        <v>180</v>
      </c>
      <c r="J251" s="18">
        <f ca="1">IF(ISNUMBER(kinematics!S93),kinematics!T93,0)</f>
        <v>0</v>
      </c>
      <c r="K251" s="18">
        <f ca="1">IF(ISNUMBER(kinematics!S93),kinematics!W93,0)</f>
        <v>0</v>
      </c>
      <c r="M251" s="18">
        <f ca="1">IF(ISNUMBER(kinematics!S93),kinematics!R93,MAX($D$6:$D$186))</f>
        <v>180</v>
      </c>
      <c r="N251" s="18">
        <f ca="1">IF(ISNUMBER(kinematics!S93),kinematics!T93,0)</f>
        <v>0</v>
      </c>
      <c r="O251" s="18">
        <f ca="1">IF(ISNUMBER(kinematics!S93),kinematics!V93,0)</f>
        <v>0</v>
      </c>
      <c r="P251" s="18">
        <f ca="1">IF(ISNUMBER(kinematics!S93),kinematics!W93,0)</f>
        <v>0</v>
      </c>
      <c r="R251" s="11">
        <f t="shared" ca="1" si="21"/>
        <v>0</v>
      </c>
      <c r="S251" s="11">
        <f t="shared" ca="1" si="18"/>
        <v>0</v>
      </c>
    </row>
    <row r="252" spans="3:19" x14ac:dyDescent="0.2">
      <c r="C252" s="11">
        <f ca="1">IF(ISNUMBER(kinematics!S94),kinematics!S94,IF(ISNUMBER(kinematics!$S$30),MIN(kinematics!$S$30:$S$210),180))</f>
        <v>180</v>
      </c>
      <c r="D252" s="18">
        <f ca="1">IF(ISNUMBER(kinematics!S94),kinematics!R94,0)</f>
        <v>0</v>
      </c>
      <c r="E252" s="18">
        <f ca="1">IF(ISNUMBER(kinematics!S94),kinematics!V94,0)</f>
        <v>0</v>
      </c>
      <c r="I252" s="11">
        <f t="shared" ca="1" si="17"/>
        <v>180</v>
      </c>
      <c r="J252" s="18">
        <f ca="1">IF(ISNUMBER(kinematics!S94),kinematics!T94,0)</f>
        <v>0</v>
      </c>
      <c r="K252" s="18">
        <f ca="1">IF(ISNUMBER(kinematics!S94),kinematics!W94,0)</f>
        <v>0</v>
      </c>
      <c r="M252" s="18">
        <f ca="1">IF(ISNUMBER(kinematics!S94),kinematics!R94,MAX($D$6:$D$186))</f>
        <v>180</v>
      </c>
      <c r="N252" s="18">
        <f ca="1">IF(ISNUMBER(kinematics!S94),kinematics!T94,0)</f>
        <v>0</v>
      </c>
      <c r="O252" s="18">
        <f ca="1">IF(ISNUMBER(kinematics!S94),kinematics!V94,0)</f>
        <v>0</v>
      </c>
      <c r="P252" s="18">
        <f ca="1">IF(ISNUMBER(kinematics!S94),kinematics!W94,0)</f>
        <v>0</v>
      </c>
      <c r="R252" s="11">
        <f t="shared" ca="1" si="21"/>
        <v>0</v>
      </c>
      <c r="S252" s="11">
        <f t="shared" ca="1" si="18"/>
        <v>0</v>
      </c>
    </row>
    <row r="253" spans="3:19" x14ac:dyDescent="0.2">
      <c r="C253" s="11">
        <f ca="1">IF(ISNUMBER(kinematics!S95),kinematics!S95,IF(ISNUMBER(kinematics!$S$30),MIN(kinematics!$S$30:$S$210),180))</f>
        <v>180</v>
      </c>
      <c r="D253" s="18">
        <f ca="1">IF(ISNUMBER(kinematics!S95),kinematics!R95,0)</f>
        <v>0</v>
      </c>
      <c r="E253" s="18">
        <f ca="1">IF(ISNUMBER(kinematics!S95),kinematics!V95,0)</f>
        <v>0</v>
      </c>
      <c r="I253" s="11">
        <f t="shared" ca="1" si="17"/>
        <v>180</v>
      </c>
      <c r="J253" s="18">
        <f ca="1">IF(ISNUMBER(kinematics!S95),kinematics!T95,0)</f>
        <v>0</v>
      </c>
      <c r="K253" s="18">
        <f ca="1">IF(ISNUMBER(kinematics!S95),kinematics!W95,0)</f>
        <v>0</v>
      </c>
      <c r="M253" s="18">
        <f ca="1">IF(ISNUMBER(kinematics!S95),kinematics!R95,MAX($D$6:$D$186))</f>
        <v>180</v>
      </c>
      <c r="N253" s="18">
        <f ca="1">IF(ISNUMBER(kinematics!S95),kinematics!T95,0)</f>
        <v>0</v>
      </c>
      <c r="O253" s="18">
        <f ca="1">IF(ISNUMBER(kinematics!S95),kinematics!V95,0)</f>
        <v>0</v>
      </c>
      <c r="P253" s="18">
        <f ca="1">IF(ISNUMBER(kinematics!S95),kinematics!W95,0)</f>
        <v>0</v>
      </c>
      <c r="R253" s="11">
        <f t="shared" ca="1" si="21"/>
        <v>0</v>
      </c>
      <c r="S253" s="11">
        <f t="shared" ca="1" si="18"/>
        <v>0</v>
      </c>
    </row>
    <row r="254" spans="3:19" x14ac:dyDescent="0.2">
      <c r="C254" s="11">
        <f ca="1">IF(ISNUMBER(kinematics!S96),kinematics!S96,IF(ISNUMBER(kinematics!$S$30),MIN(kinematics!$S$30:$S$210),180))</f>
        <v>180</v>
      </c>
      <c r="D254" s="18">
        <f ca="1">IF(ISNUMBER(kinematics!S96),kinematics!R96,0)</f>
        <v>0</v>
      </c>
      <c r="E254" s="18">
        <f ca="1">IF(ISNUMBER(kinematics!S96),kinematics!V96,0)</f>
        <v>0</v>
      </c>
      <c r="I254" s="11">
        <f t="shared" ca="1" si="17"/>
        <v>180</v>
      </c>
      <c r="J254" s="18">
        <f ca="1">IF(ISNUMBER(kinematics!S96),kinematics!T96,0)</f>
        <v>0</v>
      </c>
      <c r="K254" s="18">
        <f ca="1">IF(ISNUMBER(kinematics!S96),kinematics!W96,0)</f>
        <v>0</v>
      </c>
      <c r="M254" s="18">
        <f ca="1">IF(ISNUMBER(kinematics!S96),kinematics!R96,MAX($D$6:$D$186))</f>
        <v>180</v>
      </c>
      <c r="N254" s="18">
        <f ca="1">IF(ISNUMBER(kinematics!S96),kinematics!T96,0)</f>
        <v>0</v>
      </c>
      <c r="O254" s="18">
        <f ca="1">IF(ISNUMBER(kinematics!S96),kinematics!V96,0)</f>
        <v>0</v>
      </c>
      <c r="P254" s="18">
        <f ca="1">IF(ISNUMBER(kinematics!S96),kinematics!W96,0)</f>
        <v>0</v>
      </c>
      <c r="R254" s="11">
        <f t="shared" ca="1" si="21"/>
        <v>0</v>
      </c>
      <c r="S254" s="11">
        <f t="shared" ca="1" si="18"/>
        <v>0</v>
      </c>
    </row>
    <row r="255" spans="3:19" x14ac:dyDescent="0.2">
      <c r="C255" s="11">
        <f ca="1">IF(ISNUMBER(kinematics!S97),kinematics!S97,IF(ISNUMBER(kinematics!$S$30),MIN(kinematics!$S$30:$S$210),180))</f>
        <v>180</v>
      </c>
      <c r="D255" s="18">
        <f ca="1">IF(ISNUMBER(kinematics!S97),kinematics!R97,0)</f>
        <v>0</v>
      </c>
      <c r="E255" s="18">
        <f ca="1">IF(ISNUMBER(kinematics!S97),kinematics!V97,0)</f>
        <v>0</v>
      </c>
      <c r="I255" s="11">
        <f t="shared" ca="1" si="17"/>
        <v>180</v>
      </c>
      <c r="J255" s="18">
        <f ca="1">IF(ISNUMBER(kinematics!S97),kinematics!T97,0)</f>
        <v>0</v>
      </c>
      <c r="K255" s="18">
        <f ca="1">IF(ISNUMBER(kinematics!S97),kinematics!W97,0)</f>
        <v>0</v>
      </c>
      <c r="M255" s="18">
        <f ca="1">IF(ISNUMBER(kinematics!S97),kinematics!R97,MAX($D$6:$D$186))</f>
        <v>180</v>
      </c>
      <c r="N255" s="18">
        <f ca="1">IF(ISNUMBER(kinematics!S97),kinematics!T97,0)</f>
        <v>0</v>
      </c>
      <c r="O255" s="18">
        <f ca="1">IF(ISNUMBER(kinematics!S97),kinematics!V97,0)</f>
        <v>0</v>
      </c>
      <c r="P255" s="18">
        <f ca="1">IF(ISNUMBER(kinematics!S97),kinematics!W97,0)</f>
        <v>0</v>
      </c>
      <c r="R255" s="11">
        <f t="shared" ca="1" si="21"/>
        <v>0</v>
      </c>
      <c r="S255" s="11">
        <f t="shared" ca="1" si="18"/>
        <v>0</v>
      </c>
    </row>
    <row r="256" spans="3:19" x14ac:dyDescent="0.2">
      <c r="C256" s="11">
        <f ca="1">IF(ISNUMBER(kinematics!S98),kinematics!S98,IF(ISNUMBER(kinematics!$S$30),MIN(kinematics!$S$30:$S$210),180))</f>
        <v>180</v>
      </c>
      <c r="D256" s="18">
        <f ca="1">IF(ISNUMBER(kinematics!S98),kinematics!R98,0)</f>
        <v>0</v>
      </c>
      <c r="E256" s="18">
        <f ca="1">IF(ISNUMBER(kinematics!S98),kinematics!V98,0)</f>
        <v>0</v>
      </c>
      <c r="I256" s="11">
        <f t="shared" ca="1" si="17"/>
        <v>180</v>
      </c>
      <c r="J256" s="18">
        <f ca="1">IF(ISNUMBER(kinematics!S98),kinematics!T98,0)</f>
        <v>0</v>
      </c>
      <c r="K256" s="18">
        <f ca="1">IF(ISNUMBER(kinematics!S98),kinematics!W98,0)</f>
        <v>0</v>
      </c>
      <c r="M256" s="18">
        <f ca="1">IF(ISNUMBER(kinematics!S98),kinematics!R98,MAX($D$6:$D$186))</f>
        <v>180</v>
      </c>
      <c r="N256" s="18">
        <f ca="1">IF(ISNUMBER(kinematics!S98),kinematics!T98,0)</f>
        <v>0</v>
      </c>
      <c r="O256" s="18">
        <f ca="1">IF(ISNUMBER(kinematics!S98),kinematics!V98,0)</f>
        <v>0</v>
      </c>
      <c r="P256" s="18">
        <f ca="1">IF(ISNUMBER(kinematics!S98),kinematics!W98,0)</f>
        <v>0</v>
      </c>
      <c r="R256" s="11">
        <f t="shared" ca="1" si="21"/>
        <v>0</v>
      </c>
      <c r="S256" s="11">
        <f t="shared" ca="1" si="18"/>
        <v>0</v>
      </c>
    </row>
    <row r="257" spans="3:19" x14ac:dyDescent="0.2">
      <c r="C257" s="11">
        <f ca="1">IF(ISNUMBER(kinematics!S99),kinematics!S99,IF(ISNUMBER(kinematics!$S$30),MIN(kinematics!$S$30:$S$210),180))</f>
        <v>180</v>
      </c>
      <c r="D257" s="18">
        <f ca="1">IF(ISNUMBER(kinematics!S99),kinematics!R99,0)</f>
        <v>0</v>
      </c>
      <c r="E257" s="18">
        <f ca="1">IF(ISNUMBER(kinematics!S99),kinematics!V99,0)</f>
        <v>0</v>
      </c>
      <c r="I257" s="11">
        <f t="shared" ca="1" si="17"/>
        <v>180</v>
      </c>
      <c r="J257" s="18">
        <f ca="1">IF(ISNUMBER(kinematics!S99),kinematics!T99,0)</f>
        <v>0</v>
      </c>
      <c r="K257" s="18">
        <f ca="1">IF(ISNUMBER(kinematics!S99),kinematics!W99,0)</f>
        <v>0</v>
      </c>
      <c r="M257" s="18">
        <f ca="1">IF(ISNUMBER(kinematics!S99),kinematics!R99,MAX($D$6:$D$186))</f>
        <v>180</v>
      </c>
      <c r="N257" s="18">
        <f ca="1">IF(ISNUMBER(kinematics!S99),kinematics!T99,0)</f>
        <v>0</v>
      </c>
      <c r="O257" s="18">
        <f ca="1">IF(ISNUMBER(kinematics!S99),kinematics!V99,0)</f>
        <v>0</v>
      </c>
      <c r="P257" s="18">
        <f ca="1">IF(ISNUMBER(kinematics!S99),kinematics!W99,0)</f>
        <v>0</v>
      </c>
      <c r="R257" s="11">
        <f t="shared" ca="1" si="21"/>
        <v>0</v>
      </c>
      <c r="S257" s="11">
        <f t="shared" ca="1" si="18"/>
        <v>0</v>
      </c>
    </row>
    <row r="258" spans="3:19" x14ac:dyDescent="0.2">
      <c r="C258" s="11">
        <f ca="1">IF(ISNUMBER(kinematics!S100),kinematics!S100,IF(ISNUMBER(kinematics!$S$30),MIN(kinematics!$S$30:$S$210),180))</f>
        <v>180</v>
      </c>
      <c r="D258" s="18">
        <f ca="1">IF(ISNUMBER(kinematics!S100),kinematics!R100,0)</f>
        <v>0</v>
      </c>
      <c r="E258" s="18">
        <f ca="1">IF(ISNUMBER(kinematics!S100),kinematics!V100,0)</f>
        <v>0</v>
      </c>
      <c r="I258" s="11">
        <f t="shared" ca="1" si="17"/>
        <v>180</v>
      </c>
      <c r="J258" s="18">
        <f ca="1">IF(ISNUMBER(kinematics!S100),kinematics!T100,0)</f>
        <v>0</v>
      </c>
      <c r="K258" s="18">
        <f ca="1">IF(ISNUMBER(kinematics!S100),kinematics!W100,0)</f>
        <v>0</v>
      </c>
      <c r="M258" s="18">
        <f ca="1">IF(ISNUMBER(kinematics!S100),kinematics!R100,MAX($D$6:$D$186))</f>
        <v>180</v>
      </c>
      <c r="N258" s="18">
        <f ca="1">IF(ISNUMBER(kinematics!S100),kinematics!T100,0)</f>
        <v>0</v>
      </c>
      <c r="O258" s="18">
        <f ca="1">IF(ISNUMBER(kinematics!S100),kinematics!V100,0)</f>
        <v>0</v>
      </c>
      <c r="P258" s="18">
        <f ca="1">IF(ISNUMBER(kinematics!S100),kinematics!W100,0)</f>
        <v>0</v>
      </c>
      <c r="R258" s="11">
        <f t="shared" ca="1" si="21"/>
        <v>0</v>
      </c>
      <c r="S258" s="11">
        <f t="shared" ca="1" si="18"/>
        <v>0</v>
      </c>
    </row>
    <row r="259" spans="3:19" x14ac:dyDescent="0.2">
      <c r="C259" s="11">
        <f ca="1">IF(ISNUMBER(kinematics!S101),kinematics!S101,IF(ISNUMBER(kinematics!$S$30),MIN(kinematics!$S$30:$S$210),180))</f>
        <v>180</v>
      </c>
      <c r="D259" s="18">
        <f ca="1">IF(ISNUMBER(kinematics!S101),kinematics!R101,0)</f>
        <v>0</v>
      </c>
      <c r="E259" s="18">
        <f ca="1">IF(ISNUMBER(kinematics!S101),kinematics!V101,0)</f>
        <v>0</v>
      </c>
      <c r="I259" s="11">
        <f t="shared" ca="1" si="17"/>
        <v>180</v>
      </c>
      <c r="J259" s="18">
        <f ca="1">IF(ISNUMBER(kinematics!S101),kinematics!T101,0)</f>
        <v>0</v>
      </c>
      <c r="K259" s="18">
        <f ca="1">IF(ISNUMBER(kinematics!S101),kinematics!W101,0)</f>
        <v>0</v>
      </c>
      <c r="M259" s="18">
        <f ca="1">IF(ISNUMBER(kinematics!S101),kinematics!R101,MAX($D$6:$D$186))</f>
        <v>180</v>
      </c>
      <c r="N259" s="18">
        <f ca="1">IF(ISNUMBER(kinematics!S101),kinematics!T101,0)</f>
        <v>0</v>
      </c>
      <c r="O259" s="18">
        <f ca="1">IF(ISNUMBER(kinematics!S101),kinematics!V101,0)</f>
        <v>0</v>
      </c>
      <c r="P259" s="18">
        <f ca="1">IF(ISNUMBER(kinematics!S101),kinematics!W101,0)</f>
        <v>0</v>
      </c>
      <c r="R259" s="11">
        <f t="shared" ca="1" si="21"/>
        <v>0</v>
      </c>
      <c r="S259" s="11">
        <f t="shared" ca="1" si="18"/>
        <v>0</v>
      </c>
    </row>
    <row r="260" spans="3:19" x14ac:dyDescent="0.2">
      <c r="C260" s="11">
        <f ca="1">IF(ISNUMBER(kinematics!S102),kinematics!S102,IF(ISNUMBER(kinematics!$S$30),MIN(kinematics!$S$30:$S$210),180))</f>
        <v>180</v>
      </c>
      <c r="D260" s="18">
        <f ca="1">IF(ISNUMBER(kinematics!S102),kinematics!R102,0)</f>
        <v>0</v>
      </c>
      <c r="E260" s="18">
        <f ca="1">IF(ISNUMBER(kinematics!S102),kinematics!V102,0)</f>
        <v>0</v>
      </c>
      <c r="I260" s="11">
        <f t="shared" ca="1" si="17"/>
        <v>180</v>
      </c>
      <c r="J260" s="18">
        <f ca="1">IF(ISNUMBER(kinematics!S102),kinematics!T102,0)</f>
        <v>0</v>
      </c>
      <c r="K260" s="18">
        <f ca="1">IF(ISNUMBER(kinematics!S102),kinematics!W102,0)</f>
        <v>0</v>
      </c>
      <c r="M260" s="18">
        <f ca="1">IF(ISNUMBER(kinematics!S102),kinematics!R102,MAX($D$6:$D$186))</f>
        <v>180</v>
      </c>
      <c r="N260" s="18">
        <f ca="1">IF(ISNUMBER(kinematics!S102),kinematics!T102,0)</f>
        <v>0</v>
      </c>
      <c r="O260" s="18">
        <f ca="1">IF(ISNUMBER(kinematics!S102),kinematics!V102,0)</f>
        <v>0</v>
      </c>
      <c r="P260" s="18">
        <f ca="1">IF(ISNUMBER(kinematics!S102),kinematics!W102,0)</f>
        <v>0</v>
      </c>
      <c r="R260" s="11">
        <f t="shared" ca="1" si="21"/>
        <v>0</v>
      </c>
      <c r="S260" s="11">
        <f t="shared" ca="1" si="18"/>
        <v>0</v>
      </c>
    </row>
    <row r="261" spans="3:19" x14ac:dyDescent="0.2">
      <c r="C261" s="11">
        <f ca="1">IF(ISNUMBER(kinematics!S103),kinematics!S103,IF(ISNUMBER(kinematics!$S$30),MIN(kinematics!$S$30:$S$210),180))</f>
        <v>180</v>
      </c>
      <c r="D261" s="18">
        <f ca="1">IF(ISNUMBER(kinematics!S103),kinematics!R103,0)</f>
        <v>0</v>
      </c>
      <c r="E261" s="18">
        <f ca="1">IF(ISNUMBER(kinematics!S103),kinematics!V103,0)</f>
        <v>0</v>
      </c>
      <c r="I261" s="11">
        <f t="shared" ca="1" si="17"/>
        <v>180</v>
      </c>
      <c r="J261" s="18">
        <f ca="1">IF(ISNUMBER(kinematics!S103),kinematics!T103,0)</f>
        <v>0</v>
      </c>
      <c r="K261" s="18">
        <f ca="1">IF(ISNUMBER(kinematics!S103),kinematics!W103,0)</f>
        <v>0</v>
      </c>
      <c r="M261" s="18">
        <f ca="1">IF(ISNUMBER(kinematics!S103),kinematics!R103,MAX($D$6:$D$186))</f>
        <v>180</v>
      </c>
      <c r="N261" s="18">
        <f ca="1">IF(ISNUMBER(kinematics!S103),kinematics!T103,0)</f>
        <v>0</v>
      </c>
      <c r="O261" s="18">
        <f ca="1">IF(ISNUMBER(kinematics!S103),kinematics!V103,0)</f>
        <v>0</v>
      </c>
      <c r="P261" s="18">
        <f ca="1">IF(ISNUMBER(kinematics!S103),kinematics!W103,0)</f>
        <v>0</v>
      </c>
      <c r="R261" s="11">
        <f t="shared" ca="1" si="21"/>
        <v>0</v>
      </c>
      <c r="S261" s="11">
        <f t="shared" ca="1" si="18"/>
        <v>0</v>
      </c>
    </row>
    <row r="262" spans="3:19" x14ac:dyDescent="0.2">
      <c r="C262" s="11">
        <f ca="1">IF(ISNUMBER(kinematics!S104),kinematics!S104,IF(ISNUMBER(kinematics!$S$30),MIN(kinematics!$S$30:$S$210),180))</f>
        <v>180</v>
      </c>
      <c r="D262" s="18">
        <f ca="1">IF(ISNUMBER(kinematics!S104),kinematics!R104,0)</f>
        <v>0</v>
      </c>
      <c r="E262" s="18">
        <f ca="1">IF(ISNUMBER(kinematics!S104),kinematics!V104,0)</f>
        <v>0</v>
      </c>
      <c r="I262" s="11">
        <f t="shared" ca="1" si="17"/>
        <v>180</v>
      </c>
      <c r="J262" s="18">
        <f ca="1">IF(ISNUMBER(kinematics!S104),kinematics!T104,0)</f>
        <v>0</v>
      </c>
      <c r="K262" s="18">
        <f ca="1">IF(ISNUMBER(kinematics!S104),kinematics!W104,0)</f>
        <v>0</v>
      </c>
      <c r="M262" s="18">
        <f ca="1">IF(ISNUMBER(kinematics!S104),kinematics!R104,MAX($D$6:$D$186))</f>
        <v>180</v>
      </c>
      <c r="N262" s="18">
        <f ca="1">IF(ISNUMBER(kinematics!S104),kinematics!T104,0)</f>
        <v>0</v>
      </c>
      <c r="O262" s="18">
        <f ca="1">IF(ISNUMBER(kinematics!S104),kinematics!V104,0)</f>
        <v>0</v>
      </c>
      <c r="P262" s="18">
        <f ca="1">IF(ISNUMBER(kinematics!S104),kinematics!W104,0)</f>
        <v>0</v>
      </c>
      <c r="R262" s="11">
        <f t="shared" ca="1" si="21"/>
        <v>0</v>
      </c>
      <c r="S262" s="11">
        <f t="shared" ref="S262:S293" ca="1" si="22">P262</f>
        <v>0</v>
      </c>
    </row>
    <row r="263" spans="3:19" x14ac:dyDescent="0.2">
      <c r="C263" s="11">
        <f ca="1">IF(ISNUMBER(kinematics!S105),kinematics!S105,IF(ISNUMBER(kinematics!$S$30),MIN(kinematics!$S$30:$S$210),180))</f>
        <v>180</v>
      </c>
      <c r="D263" s="18">
        <f ca="1">IF(ISNUMBER(kinematics!S105),kinematics!R105,0)</f>
        <v>0</v>
      </c>
      <c r="E263" s="18">
        <f ca="1">IF(ISNUMBER(kinematics!S105),kinematics!V105,0)</f>
        <v>0</v>
      </c>
      <c r="I263" s="11">
        <f t="shared" ca="1" si="17"/>
        <v>180</v>
      </c>
      <c r="J263" s="18">
        <f ca="1">IF(ISNUMBER(kinematics!S105),kinematics!T105,0)</f>
        <v>0</v>
      </c>
      <c r="K263" s="18">
        <f ca="1">IF(ISNUMBER(kinematics!S105),kinematics!W105,0)</f>
        <v>0</v>
      </c>
      <c r="M263" s="18">
        <f ca="1">IF(ISNUMBER(kinematics!S105),kinematics!R105,MAX($D$6:$D$186))</f>
        <v>180</v>
      </c>
      <c r="N263" s="18">
        <f ca="1">IF(ISNUMBER(kinematics!S105),kinematics!T105,0)</f>
        <v>0</v>
      </c>
      <c r="O263" s="18">
        <f ca="1">IF(ISNUMBER(kinematics!S105),kinematics!V105,0)</f>
        <v>0</v>
      </c>
      <c r="P263" s="18">
        <f ca="1">IF(ISNUMBER(kinematics!S105),kinematics!W105,0)</f>
        <v>0</v>
      </c>
      <c r="R263" s="11">
        <f t="shared" ca="1" si="20"/>
        <v>0</v>
      </c>
      <c r="S263" s="11">
        <f t="shared" ca="1" si="22"/>
        <v>0</v>
      </c>
    </row>
    <row r="264" spans="3:19" x14ac:dyDescent="0.2">
      <c r="C264" s="11">
        <f ca="1">IF(ISNUMBER(kinematics!S106),kinematics!S106,IF(ISNUMBER(kinematics!$S$30),MIN(kinematics!$S$30:$S$210),180))</f>
        <v>180</v>
      </c>
      <c r="D264" s="18">
        <f ca="1">IF(ISNUMBER(kinematics!S106),kinematics!R106,0)</f>
        <v>0</v>
      </c>
      <c r="E264" s="18">
        <f ca="1">IF(ISNUMBER(kinematics!S106),kinematics!V106,0)</f>
        <v>0</v>
      </c>
      <c r="I264" s="11">
        <f t="shared" ref="I264:I327" ca="1" si="23">C264</f>
        <v>180</v>
      </c>
      <c r="J264" s="18">
        <f ca="1">IF(ISNUMBER(kinematics!S106),kinematics!T106,0)</f>
        <v>0</v>
      </c>
      <c r="K264" s="18">
        <f ca="1">IF(ISNUMBER(kinematics!S106),kinematics!W106,0)</f>
        <v>0</v>
      </c>
      <c r="M264" s="18">
        <f ca="1">IF(ISNUMBER(kinematics!S106),kinematics!R106,MAX($D$6:$D$186))</f>
        <v>180</v>
      </c>
      <c r="N264" s="18">
        <f ca="1">IF(ISNUMBER(kinematics!S106),kinematics!T106,0)</f>
        <v>0</v>
      </c>
      <c r="O264" s="18">
        <f ca="1">IF(ISNUMBER(kinematics!S106),kinematics!V106,0)</f>
        <v>0</v>
      </c>
      <c r="P264" s="18">
        <f ca="1">IF(ISNUMBER(kinematics!S106),kinematics!W106,0)</f>
        <v>0</v>
      </c>
      <c r="R264" s="11">
        <f t="shared" ca="1" si="20"/>
        <v>0</v>
      </c>
      <c r="S264" s="11">
        <f t="shared" ca="1" si="22"/>
        <v>0</v>
      </c>
    </row>
    <row r="265" spans="3:19" x14ac:dyDescent="0.2">
      <c r="C265" s="11">
        <f ca="1">IF(ISNUMBER(kinematics!S107),kinematics!S107,IF(ISNUMBER(kinematics!$S$30),MIN(kinematics!$S$30:$S$210),180))</f>
        <v>180</v>
      </c>
      <c r="D265" s="18">
        <f ca="1">IF(ISNUMBER(kinematics!S107),kinematics!R107,0)</f>
        <v>0</v>
      </c>
      <c r="E265" s="18">
        <f ca="1">IF(ISNUMBER(kinematics!S107),kinematics!V107,0)</f>
        <v>0</v>
      </c>
      <c r="I265" s="11">
        <f t="shared" ca="1" si="23"/>
        <v>180</v>
      </c>
      <c r="J265" s="18">
        <f ca="1">IF(ISNUMBER(kinematics!S107),kinematics!T107,0)</f>
        <v>0</v>
      </c>
      <c r="K265" s="18">
        <f ca="1">IF(ISNUMBER(kinematics!S107),kinematics!W107,0)</f>
        <v>0</v>
      </c>
      <c r="M265" s="18">
        <f ca="1">IF(ISNUMBER(kinematics!S107),kinematics!R107,MAX($D$6:$D$186))</f>
        <v>180</v>
      </c>
      <c r="N265" s="18">
        <f ca="1">IF(ISNUMBER(kinematics!S107),kinematics!T107,0)</f>
        <v>0</v>
      </c>
      <c r="O265" s="18">
        <f ca="1">IF(ISNUMBER(kinematics!S107),kinematics!V107,0)</f>
        <v>0</v>
      </c>
      <c r="P265" s="18">
        <f ca="1">IF(ISNUMBER(kinematics!S107),kinematics!W107,0)</f>
        <v>0</v>
      </c>
      <c r="R265" s="11">
        <f t="shared" ca="1" si="20"/>
        <v>0</v>
      </c>
      <c r="S265" s="11">
        <f t="shared" ca="1" si="22"/>
        <v>0</v>
      </c>
    </row>
    <row r="266" spans="3:19" x14ac:dyDescent="0.2">
      <c r="C266" s="11">
        <f ca="1">IF(ISNUMBER(kinematics!S108),kinematics!S108,IF(ISNUMBER(kinematics!$S$30),MIN(kinematics!$S$30:$S$210),180))</f>
        <v>180</v>
      </c>
      <c r="D266" s="18">
        <f ca="1">IF(ISNUMBER(kinematics!S108),kinematics!R108,0)</f>
        <v>0</v>
      </c>
      <c r="E266" s="18">
        <f ca="1">IF(ISNUMBER(kinematics!S108),kinematics!V108,0)</f>
        <v>0</v>
      </c>
      <c r="I266" s="11">
        <f t="shared" ca="1" si="23"/>
        <v>180</v>
      </c>
      <c r="J266" s="18">
        <f ca="1">IF(ISNUMBER(kinematics!S108),kinematics!T108,0)</f>
        <v>0</v>
      </c>
      <c r="K266" s="18">
        <f ca="1">IF(ISNUMBER(kinematics!S108),kinematics!W108,0)</f>
        <v>0</v>
      </c>
      <c r="M266" s="18">
        <f ca="1">IF(ISNUMBER(kinematics!S108),kinematics!R108,MAX($D$6:$D$186))</f>
        <v>180</v>
      </c>
      <c r="N266" s="18">
        <f ca="1">IF(ISNUMBER(kinematics!S108),kinematics!T108,0)</f>
        <v>0</v>
      </c>
      <c r="O266" s="18">
        <f ca="1">IF(ISNUMBER(kinematics!S108),kinematics!V108,0)</f>
        <v>0</v>
      </c>
      <c r="P266" s="18">
        <f ca="1">IF(ISNUMBER(kinematics!S108),kinematics!W108,0)</f>
        <v>0</v>
      </c>
      <c r="R266" s="11">
        <f t="shared" ca="1" si="20"/>
        <v>0</v>
      </c>
      <c r="S266" s="11">
        <f t="shared" ca="1" si="22"/>
        <v>0</v>
      </c>
    </row>
    <row r="267" spans="3:19" x14ac:dyDescent="0.2">
      <c r="C267" s="11">
        <f ca="1">IF(ISNUMBER(kinematics!S109),kinematics!S109,IF(ISNUMBER(kinematics!$S$30),MIN(kinematics!$S$30:$S$210),180))</f>
        <v>180</v>
      </c>
      <c r="D267" s="18">
        <f ca="1">IF(ISNUMBER(kinematics!S109),kinematics!R109,0)</f>
        <v>0</v>
      </c>
      <c r="E267" s="18">
        <f ca="1">IF(ISNUMBER(kinematics!S109),kinematics!V109,0)</f>
        <v>0</v>
      </c>
      <c r="I267" s="11">
        <f t="shared" ca="1" si="23"/>
        <v>180</v>
      </c>
      <c r="J267" s="18">
        <f ca="1">IF(ISNUMBER(kinematics!S109),kinematics!T109,0)</f>
        <v>0</v>
      </c>
      <c r="K267" s="18">
        <f ca="1">IF(ISNUMBER(kinematics!S109),kinematics!W109,0)</f>
        <v>0</v>
      </c>
      <c r="M267" s="18">
        <f ca="1">IF(ISNUMBER(kinematics!S109),kinematics!R109,MAX($D$6:$D$186))</f>
        <v>180</v>
      </c>
      <c r="N267" s="18">
        <f ca="1">IF(ISNUMBER(kinematics!S109),kinematics!T109,0)</f>
        <v>0</v>
      </c>
      <c r="O267" s="18">
        <f ca="1">IF(ISNUMBER(kinematics!S109),kinematics!V109,0)</f>
        <v>0</v>
      </c>
      <c r="P267" s="18">
        <f ca="1">IF(ISNUMBER(kinematics!S109),kinematics!W109,0)</f>
        <v>0</v>
      </c>
      <c r="R267" s="11">
        <f t="shared" ca="1" si="20"/>
        <v>0</v>
      </c>
      <c r="S267" s="11">
        <f t="shared" ca="1" si="22"/>
        <v>0</v>
      </c>
    </row>
    <row r="268" spans="3:19" x14ac:dyDescent="0.2">
      <c r="C268" s="11">
        <f ca="1">IF(ISNUMBER(kinematics!S110),kinematics!S110,IF(ISNUMBER(kinematics!$S$30),MIN(kinematics!$S$30:$S$210),180))</f>
        <v>180</v>
      </c>
      <c r="D268" s="18">
        <f ca="1">IF(ISNUMBER(kinematics!S110),kinematics!R110,0)</f>
        <v>0</v>
      </c>
      <c r="E268" s="18">
        <f ca="1">IF(ISNUMBER(kinematics!S110),kinematics!V110,0)</f>
        <v>0</v>
      </c>
      <c r="I268" s="11">
        <f t="shared" ca="1" si="23"/>
        <v>180</v>
      </c>
      <c r="J268" s="18">
        <f ca="1">IF(ISNUMBER(kinematics!S110),kinematics!T110,0)</f>
        <v>0</v>
      </c>
      <c r="K268" s="18">
        <f ca="1">IF(ISNUMBER(kinematics!S110),kinematics!W110,0)</f>
        <v>0</v>
      </c>
      <c r="M268" s="18">
        <f ca="1">IF(ISNUMBER(kinematics!S110),kinematics!R110,MAX($D$6:$D$186))</f>
        <v>180</v>
      </c>
      <c r="N268" s="18">
        <f ca="1">IF(ISNUMBER(kinematics!S110),kinematics!T110,0)</f>
        <v>0</v>
      </c>
      <c r="O268" s="18">
        <f ca="1">IF(ISNUMBER(kinematics!S110),kinematics!V110,0)</f>
        <v>0</v>
      </c>
      <c r="P268" s="18">
        <f ca="1">IF(ISNUMBER(kinematics!S110),kinematics!W110,0)</f>
        <v>0</v>
      </c>
      <c r="R268" s="11">
        <f t="shared" ca="1" si="20"/>
        <v>0</v>
      </c>
      <c r="S268" s="11">
        <f t="shared" ca="1" si="22"/>
        <v>0</v>
      </c>
    </row>
    <row r="269" spans="3:19" x14ac:dyDescent="0.2">
      <c r="C269" s="11">
        <f ca="1">IF(ISNUMBER(kinematics!S111),kinematics!S111,IF(ISNUMBER(kinematics!$S$30),MIN(kinematics!$S$30:$S$210),180))</f>
        <v>180</v>
      </c>
      <c r="D269" s="18">
        <f ca="1">IF(ISNUMBER(kinematics!S111),kinematics!R111,0)</f>
        <v>0</v>
      </c>
      <c r="E269" s="18">
        <f ca="1">IF(ISNUMBER(kinematics!S111),kinematics!V111,0)</f>
        <v>0</v>
      </c>
      <c r="I269" s="11">
        <f t="shared" ca="1" si="23"/>
        <v>180</v>
      </c>
      <c r="J269" s="18">
        <f ca="1">IF(ISNUMBER(kinematics!S111),kinematics!T111,0)</f>
        <v>0</v>
      </c>
      <c r="K269" s="18">
        <f ca="1">IF(ISNUMBER(kinematics!S111),kinematics!W111,0)</f>
        <v>0</v>
      </c>
      <c r="M269" s="18">
        <f ca="1">IF(ISNUMBER(kinematics!S111),kinematics!R111,MAX($D$6:$D$186))</f>
        <v>180</v>
      </c>
      <c r="N269" s="18">
        <f ca="1">IF(ISNUMBER(kinematics!S111),kinematics!T111,0)</f>
        <v>0</v>
      </c>
      <c r="O269" s="18">
        <f ca="1">IF(ISNUMBER(kinematics!S111),kinematics!V111,0)</f>
        <v>0</v>
      </c>
      <c r="P269" s="18">
        <f ca="1">IF(ISNUMBER(kinematics!S111),kinematics!W111,0)</f>
        <v>0</v>
      </c>
      <c r="R269" s="11">
        <f t="shared" ca="1" si="20"/>
        <v>0</v>
      </c>
      <c r="S269" s="11">
        <f t="shared" ca="1" si="22"/>
        <v>0</v>
      </c>
    </row>
    <row r="270" spans="3:19" x14ac:dyDescent="0.2">
      <c r="C270" s="11">
        <f ca="1">IF(ISNUMBER(kinematics!S112),kinematics!S112,IF(ISNUMBER(kinematics!$S$30),MIN(kinematics!$S$30:$S$210),180))</f>
        <v>180</v>
      </c>
      <c r="D270" s="18">
        <f ca="1">IF(ISNUMBER(kinematics!S112),kinematics!R112,0)</f>
        <v>0</v>
      </c>
      <c r="E270" s="18">
        <f ca="1">IF(ISNUMBER(kinematics!S112),kinematics!V112,0)</f>
        <v>0</v>
      </c>
      <c r="I270" s="11">
        <f t="shared" ca="1" si="23"/>
        <v>180</v>
      </c>
      <c r="J270" s="18">
        <f ca="1">IF(ISNUMBER(kinematics!S112),kinematics!T112,0)</f>
        <v>0</v>
      </c>
      <c r="K270" s="18">
        <f ca="1">IF(ISNUMBER(kinematics!S112),kinematics!W112,0)</f>
        <v>0</v>
      </c>
      <c r="M270" s="18">
        <f ca="1">IF(ISNUMBER(kinematics!S112),kinematics!R112,MAX($D$6:$D$186))</f>
        <v>180</v>
      </c>
      <c r="N270" s="18">
        <f ca="1">IF(ISNUMBER(kinematics!S112),kinematics!T112,0)</f>
        <v>0</v>
      </c>
      <c r="O270" s="18">
        <f ca="1">IF(ISNUMBER(kinematics!S112),kinematics!V112,0)</f>
        <v>0</v>
      </c>
      <c r="P270" s="18">
        <f ca="1">IF(ISNUMBER(kinematics!S112),kinematics!W112,0)</f>
        <v>0</v>
      </c>
      <c r="R270" s="11">
        <f t="shared" ca="1" si="20"/>
        <v>0</v>
      </c>
      <c r="S270" s="11">
        <f t="shared" ca="1" si="22"/>
        <v>0</v>
      </c>
    </row>
    <row r="271" spans="3:19" x14ac:dyDescent="0.2">
      <c r="C271" s="11">
        <f ca="1">IF(ISNUMBER(kinematics!S113),kinematics!S113,IF(ISNUMBER(kinematics!$S$30),MIN(kinematics!$S$30:$S$210),180))</f>
        <v>180</v>
      </c>
      <c r="D271" s="18">
        <f ca="1">IF(ISNUMBER(kinematics!S113),kinematics!R113,0)</f>
        <v>0</v>
      </c>
      <c r="E271" s="18">
        <f ca="1">IF(ISNUMBER(kinematics!S113),kinematics!V113,0)</f>
        <v>0</v>
      </c>
      <c r="I271" s="11">
        <f t="shared" ca="1" si="23"/>
        <v>180</v>
      </c>
      <c r="J271" s="18">
        <f ca="1">IF(ISNUMBER(kinematics!S113),kinematics!T113,0)</f>
        <v>0</v>
      </c>
      <c r="K271" s="18">
        <f ca="1">IF(ISNUMBER(kinematics!S113),kinematics!W113,0)</f>
        <v>0</v>
      </c>
      <c r="M271" s="18">
        <f ca="1">IF(ISNUMBER(kinematics!S113),kinematics!R113,MAX($D$6:$D$186))</f>
        <v>180</v>
      </c>
      <c r="N271" s="18">
        <f ca="1">IF(ISNUMBER(kinematics!S113),kinematics!T113,0)</f>
        <v>0</v>
      </c>
      <c r="O271" s="18">
        <f ca="1">IF(ISNUMBER(kinematics!S113),kinematics!V113,0)</f>
        <v>0</v>
      </c>
      <c r="P271" s="18">
        <f ca="1">IF(ISNUMBER(kinematics!S113),kinematics!W113,0)</f>
        <v>0</v>
      </c>
      <c r="R271" s="11">
        <f t="shared" ca="1" si="20"/>
        <v>0</v>
      </c>
      <c r="S271" s="11">
        <f t="shared" ca="1" si="22"/>
        <v>0</v>
      </c>
    </row>
    <row r="272" spans="3:19" x14ac:dyDescent="0.2">
      <c r="C272" s="11">
        <f ca="1">IF(ISNUMBER(kinematics!S114),kinematics!S114,IF(ISNUMBER(kinematics!$S$30),MIN(kinematics!$S$30:$S$210),180))</f>
        <v>180</v>
      </c>
      <c r="D272" s="18">
        <f ca="1">IF(ISNUMBER(kinematics!S114),kinematics!R114,0)</f>
        <v>0</v>
      </c>
      <c r="E272" s="18">
        <f ca="1">IF(ISNUMBER(kinematics!S114),kinematics!V114,0)</f>
        <v>0</v>
      </c>
      <c r="I272" s="11">
        <f t="shared" ca="1" si="23"/>
        <v>180</v>
      </c>
      <c r="J272" s="18">
        <f ca="1">IF(ISNUMBER(kinematics!S114),kinematics!T114,0)</f>
        <v>0</v>
      </c>
      <c r="K272" s="18">
        <f ca="1">IF(ISNUMBER(kinematics!S114),kinematics!W114,0)</f>
        <v>0</v>
      </c>
      <c r="M272" s="18">
        <f ca="1">IF(ISNUMBER(kinematics!S114),kinematics!R114,MAX($D$6:$D$186))</f>
        <v>180</v>
      </c>
      <c r="N272" s="18">
        <f ca="1">IF(ISNUMBER(kinematics!S114),kinematics!T114,0)</f>
        <v>0</v>
      </c>
      <c r="O272" s="18">
        <f ca="1">IF(ISNUMBER(kinematics!S114),kinematics!V114,0)</f>
        <v>0</v>
      </c>
      <c r="P272" s="18">
        <f ca="1">IF(ISNUMBER(kinematics!S114),kinematics!W114,0)</f>
        <v>0</v>
      </c>
      <c r="R272" s="11">
        <f t="shared" ca="1" si="20"/>
        <v>0</v>
      </c>
      <c r="S272" s="11">
        <f t="shared" ca="1" si="22"/>
        <v>0</v>
      </c>
    </row>
    <row r="273" spans="3:19" x14ac:dyDescent="0.2">
      <c r="C273" s="11">
        <f ca="1">IF(ISNUMBER(kinematics!S115),kinematics!S115,IF(ISNUMBER(kinematics!$S$30),MIN(kinematics!$S$30:$S$210),180))</f>
        <v>180</v>
      </c>
      <c r="D273" s="18">
        <f ca="1">IF(ISNUMBER(kinematics!S115),kinematics!R115,0)</f>
        <v>0</v>
      </c>
      <c r="E273" s="18">
        <f ca="1">IF(ISNUMBER(kinematics!S115),kinematics!V115,0)</f>
        <v>0</v>
      </c>
      <c r="I273" s="11">
        <f t="shared" ca="1" si="23"/>
        <v>180</v>
      </c>
      <c r="J273" s="18">
        <f ca="1">IF(ISNUMBER(kinematics!S115),kinematics!T115,0)</f>
        <v>0</v>
      </c>
      <c r="K273" s="18">
        <f ca="1">IF(ISNUMBER(kinematics!S115),kinematics!W115,0)</f>
        <v>0</v>
      </c>
      <c r="M273" s="18">
        <f ca="1">IF(ISNUMBER(kinematics!S115),kinematics!R115,MAX($D$6:$D$186))</f>
        <v>180</v>
      </c>
      <c r="N273" s="18">
        <f ca="1">IF(ISNUMBER(kinematics!S115),kinematics!T115,0)</f>
        <v>0</v>
      </c>
      <c r="O273" s="18">
        <f ca="1">IF(ISNUMBER(kinematics!S115),kinematics!V115,0)</f>
        <v>0</v>
      </c>
      <c r="P273" s="18">
        <f ca="1">IF(ISNUMBER(kinematics!S115),kinematics!W115,0)</f>
        <v>0</v>
      </c>
      <c r="R273" s="11">
        <f t="shared" ca="1" si="20"/>
        <v>0</v>
      </c>
      <c r="S273" s="11">
        <f t="shared" ca="1" si="22"/>
        <v>0</v>
      </c>
    </row>
    <row r="274" spans="3:19" x14ac:dyDescent="0.2">
      <c r="C274" s="11">
        <f ca="1">IF(ISNUMBER(kinematics!S116),kinematics!S116,IF(ISNUMBER(kinematics!$S$30),MIN(kinematics!$S$30:$S$210),180))</f>
        <v>180</v>
      </c>
      <c r="D274" s="18">
        <f ca="1">IF(ISNUMBER(kinematics!S116),kinematics!R116,0)</f>
        <v>0</v>
      </c>
      <c r="E274" s="18">
        <f ca="1">IF(ISNUMBER(kinematics!S116),kinematics!V116,0)</f>
        <v>0</v>
      </c>
      <c r="I274" s="11">
        <f t="shared" ca="1" si="23"/>
        <v>180</v>
      </c>
      <c r="J274" s="18">
        <f ca="1">IF(ISNUMBER(kinematics!S116),kinematics!T116,0)</f>
        <v>0</v>
      </c>
      <c r="K274" s="18">
        <f ca="1">IF(ISNUMBER(kinematics!S116),kinematics!W116,0)</f>
        <v>0</v>
      </c>
      <c r="M274" s="18">
        <f ca="1">IF(ISNUMBER(kinematics!S116),kinematics!R116,MAX($D$6:$D$186))</f>
        <v>180</v>
      </c>
      <c r="N274" s="18">
        <f ca="1">IF(ISNUMBER(kinematics!S116),kinematics!T116,0)</f>
        <v>0</v>
      </c>
      <c r="O274" s="18">
        <f ca="1">IF(ISNUMBER(kinematics!S116),kinematics!V116,0)</f>
        <v>0</v>
      </c>
      <c r="P274" s="18">
        <f ca="1">IF(ISNUMBER(kinematics!S116),kinematics!W116,0)</f>
        <v>0</v>
      </c>
      <c r="R274" s="11">
        <f t="shared" ca="1" si="20"/>
        <v>0</v>
      </c>
      <c r="S274" s="11">
        <f t="shared" ca="1" si="22"/>
        <v>0</v>
      </c>
    </row>
    <row r="275" spans="3:19" x14ac:dyDescent="0.2">
      <c r="C275" s="11">
        <f ca="1">IF(ISNUMBER(kinematics!S117),kinematics!S117,IF(ISNUMBER(kinematics!$S$30),MIN(kinematics!$S$30:$S$210),180))</f>
        <v>180</v>
      </c>
      <c r="D275" s="18">
        <f ca="1">IF(ISNUMBER(kinematics!S117),kinematics!R117,0)</f>
        <v>0</v>
      </c>
      <c r="E275" s="18">
        <f ca="1">IF(ISNUMBER(kinematics!S117),kinematics!V117,0)</f>
        <v>0</v>
      </c>
      <c r="I275" s="11">
        <f t="shared" ca="1" si="23"/>
        <v>180</v>
      </c>
      <c r="J275" s="18">
        <f ca="1">IF(ISNUMBER(kinematics!S117),kinematics!T117,0)</f>
        <v>0</v>
      </c>
      <c r="K275" s="18">
        <f ca="1">IF(ISNUMBER(kinematics!S117),kinematics!W117,0)</f>
        <v>0</v>
      </c>
      <c r="M275" s="18">
        <f ca="1">IF(ISNUMBER(kinematics!S117),kinematics!R117,MAX($D$6:$D$186))</f>
        <v>180</v>
      </c>
      <c r="N275" s="18">
        <f ca="1">IF(ISNUMBER(kinematics!S117),kinematics!T117,0)</f>
        <v>0</v>
      </c>
      <c r="O275" s="18">
        <f ca="1">IF(ISNUMBER(kinematics!S117),kinematics!V117,0)</f>
        <v>0</v>
      </c>
      <c r="P275" s="18">
        <f ca="1">IF(ISNUMBER(kinematics!S117),kinematics!W117,0)</f>
        <v>0</v>
      </c>
      <c r="R275" s="11">
        <f t="shared" ca="1" si="20"/>
        <v>0</v>
      </c>
      <c r="S275" s="11">
        <f t="shared" ca="1" si="22"/>
        <v>0</v>
      </c>
    </row>
    <row r="276" spans="3:19" x14ac:dyDescent="0.2">
      <c r="C276" s="11">
        <f ca="1">IF(ISNUMBER(kinematics!S118),kinematics!S118,IF(ISNUMBER(kinematics!$S$30),MIN(kinematics!$S$30:$S$210),180))</f>
        <v>180</v>
      </c>
      <c r="D276" s="18">
        <f ca="1">IF(ISNUMBER(kinematics!S118),kinematics!R118,0)</f>
        <v>0</v>
      </c>
      <c r="E276" s="18">
        <f ca="1">IF(ISNUMBER(kinematics!S118),kinematics!V118,0)</f>
        <v>0</v>
      </c>
      <c r="I276" s="11">
        <f t="shared" ca="1" si="23"/>
        <v>180</v>
      </c>
      <c r="J276" s="18">
        <f ca="1">IF(ISNUMBER(kinematics!S118),kinematics!T118,0)</f>
        <v>0</v>
      </c>
      <c r="K276" s="18">
        <f ca="1">IF(ISNUMBER(kinematics!S118),kinematics!W118,0)</f>
        <v>0</v>
      </c>
      <c r="M276" s="18">
        <f ca="1">IF(ISNUMBER(kinematics!S118),kinematics!R118,MAX($D$6:$D$186))</f>
        <v>180</v>
      </c>
      <c r="N276" s="18">
        <f ca="1">IF(ISNUMBER(kinematics!S118),kinematics!T118,0)</f>
        <v>0</v>
      </c>
      <c r="O276" s="18">
        <f ca="1">IF(ISNUMBER(kinematics!S118),kinematics!V118,0)</f>
        <v>0</v>
      </c>
      <c r="P276" s="18">
        <f ca="1">IF(ISNUMBER(kinematics!S118),kinematics!W118,0)</f>
        <v>0</v>
      </c>
      <c r="R276" s="11">
        <f t="shared" ca="1" si="20"/>
        <v>0</v>
      </c>
      <c r="S276" s="11">
        <f t="shared" ca="1" si="22"/>
        <v>0</v>
      </c>
    </row>
    <row r="277" spans="3:19" x14ac:dyDescent="0.2">
      <c r="C277" s="11">
        <f ca="1">IF(ISNUMBER(kinematics!S119),kinematics!S119,IF(ISNUMBER(kinematics!$S$30),MIN(kinematics!$S$30:$S$210),180))</f>
        <v>180</v>
      </c>
      <c r="D277" s="18">
        <f ca="1">IF(ISNUMBER(kinematics!S119),kinematics!R119,0)</f>
        <v>0</v>
      </c>
      <c r="E277" s="18">
        <f ca="1">IF(ISNUMBER(kinematics!S119),kinematics!V119,0)</f>
        <v>0</v>
      </c>
      <c r="I277" s="11">
        <f t="shared" ca="1" si="23"/>
        <v>180</v>
      </c>
      <c r="J277" s="18">
        <f ca="1">IF(ISNUMBER(kinematics!S119),kinematics!T119,0)</f>
        <v>0</v>
      </c>
      <c r="K277" s="18">
        <f ca="1">IF(ISNUMBER(kinematics!S119),kinematics!W119,0)</f>
        <v>0</v>
      </c>
      <c r="M277" s="18">
        <f ca="1">IF(ISNUMBER(kinematics!S119),kinematics!R119,MAX($D$6:$D$186))</f>
        <v>180</v>
      </c>
      <c r="N277" s="18">
        <f ca="1">IF(ISNUMBER(kinematics!S119),kinematics!T119,0)</f>
        <v>0</v>
      </c>
      <c r="O277" s="18">
        <f ca="1">IF(ISNUMBER(kinematics!S119),kinematics!V119,0)</f>
        <v>0</v>
      </c>
      <c r="P277" s="18">
        <f ca="1">IF(ISNUMBER(kinematics!S119),kinematics!W119,0)</f>
        <v>0</v>
      </c>
      <c r="R277" s="11">
        <f t="shared" ca="1" si="20"/>
        <v>0</v>
      </c>
      <c r="S277" s="11">
        <f t="shared" ca="1" si="22"/>
        <v>0</v>
      </c>
    </row>
    <row r="278" spans="3:19" x14ac:dyDescent="0.2">
      <c r="C278" s="11">
        <f ca="1">IF(ISNUMBER(kinematics!S120),kinematics!S120,IF(ISNUMBER(kinematics!$S$30),MIN(kinematics!$S$30:$S$210),180))</f>
        <v>180</v>
      </c>
      <c r="D278" s="18">
        <f ca="1">IF(ISNUMBER(kinematics!S120),kinematics!R120,0)</f>
        <v>0</v>
      </c>
      <c r="E278" s="18">
        <f ca="1">IF(ISNUMBER(kinematics!S120),kinematics!V120,0)</f>
        <v>0</v>
      </c>
      <c r="I278" s="11">
        <f t="shared" ca="1" si="23"/>
        <v>180</v>
      </c>
      <c r="J278" s="18">
        <f ca="1">IF(ISNUMBER(kinematics!S120),kinematics!T120,0)</f>
        <v>0</v>
      </c>
      <c r="K278" s="18">
        <f ca="1">IF(ISNUMBER(kinematics!S120),kinematics!W120,0)</f>
        <v>0</v>
      </c>
      <c r="M278" s="18">
        <f ca="1">IF(ISNUMBER(kinematics!S120),kinematics!R120,MAX($D$6:$D$186))</f>
        <v>180</v>
      </c>
      <c r="N278" s="18">
        <f ca="1">IF(ISNUMBER(kinematics!S120),kinematics!T120,0)</f>
        <v>0</v>
      </c>
      <c r="O278" s="18">
        <f ca="1">IF(ISNUMBER(kinematics!S120),kinematics!V120,0)</f>
        <v>0</v>
      </c>
      <c r="P278" s="18">
        <f ca="1">IF(ISNUMBER(kinematics!S120),kinematics!W120,0)</f>
        <v>0</v>
      </c>
      <c r="R278" s="11">
        <f t="shared" ca="1" si="20"/>
        <v>0</v>
      </c>
      <c r="S278" s="11">
        <f t="shared" ca="1" si="22"/>
        <v>0</v>
      </c>
    </row>
    <row r="279" spans="3:19" x14ac:dyDescent="0.2">
      <c r="C279" s="11">
        <f ca="1">IF(ISNUMBER(kinematics!S121),kinematics!S121,IF(ISNUMBER(kinematics!$S$30),MIN(kinematics!$S$30:$S$210),180))</f>
        <v>180</v>
      </c>
      <c r="D279" s="18">
        <f ca="1">IF(ISNUMBER(kinematics!S121),kinematics!R121,0)</f>
        <v>0</v>
      </c>
      <c r="E279" s="18">
        <f ca="1">IF(ISNUMBER(kinematics!S121),kinematics!V121,0)</f>
        <v>0</v>
      </c>
      <c r="I279" s="11">
        <f t="shared" ca="1" si="23"/>
        <v>180</v>
      </c>
      <c r="J279" s="18">
        <f ca="1">IF(ISNUMBER(kinematics!S121),kinematics!T121,0)</f>
        <v>0</v>
      </c>
      <c r="K279" s="18">
        <f ca="1">IF(ISNUMBER(kinematics!S121),kinematics!W121,0)</f>
        <v>0</v>
      </c>
      <c r="M279" s="18">
        <f ca="1">IF(ISNUMBER(kinematics!S121),kinematics!R121,MAX($D$6:$D$186))</f>
        <v>180</v>
      </c>
      <c r="N279" s="18">
        <f ca="1">IF(ISNUMBER(kinematics!S121),kinematics!T121,0)</f>
        <v>0</v>
      </c>
      <c r="O279" s="18">
        <f ca="1">IF(ISNUMBER(kinematics!S121),kinematics!V121,0)</f>
        <v>0</v>
      </c>
      <c r="P279" s="18">
        <f ca="1">IF(ISNUMBER(kinematics!S121),kinematics!W121,0)</f>
        <v>0</v>
      </c>
      <c r="R279" s="11">
        <f t="shared" ca="1" si="20"/>
        <v>0</v>
      </c>
      <c r="S279" s="11">
        <f t="shared" ca="1" si="22"/>
        <v>0</v>
      </c>
    </row>
    <row r="280" spans="3:19" x14ac:dyDescent="0.2">
      <c r="C280" s="11">
        <f ca="1">IF(ISNUMBER(kinematics!S122),kinematics!S122,IF(ISNUMBER(kinematics!$S$30),MIN(kinematics!$S$30:$S$210),180))</f>
        <v>180</v>
      </c>
      <c r="D280" s="18">
        <f ca="1">IF(ISNUMBER(kinematics!S122),kinematics!R122,0)</f>
        <v>0</v>
      </c>
      <c r="E280" s="18">
        <f ca="1">IF(ISNUMBER(kinematics!S122),kinematics!V122,0)</f>
        <v>0</v>
      </c>
      <c r="I280" s="11">
        <f t="shared" ca="1" si="23"/>
        <v>180</v>
      </c>
      <c r="J280" s="18">
        <f ca="1">IF(ISNUMBER(kinematics!S122),kinematics!T122,0)</f>
        <v>0</v>
      </c>
      <c r="K280" s="18">
        <f ca="1">IF(ISNUMBER(kinematics!S122),kinematics!W122,0)</f>
        <v>0</v>
      </c>
      <c r="M280" s="18">
        <f ca="1">IF(ISNUMBER(kinematics!S122),kinematics!R122,MAX($D$6:$D$186))</f>
        <v>180</v>
      </c>
      <c r="N280" s="18">
        <f ca="1">IF(ISNUMBER(kinematics!S122),kinematics!T122,0)</f>
        <v>0</v>
      </c>
      <c r="O280" s="18">
        <f ca="1">IF(ISNUMBER(kinematics!S122),kinematics!V122,0)</f>
        <v>0</v>
      </c>
      <c r="P280" s="18">
        <f ca="1">IF(ISNUMBER(kinematics!S122),kinematics!W122,0)</f>
        <v>0</v>
      </c>
      <c r="R280" s="11">
        <f t="shared" ca="1" si="20"/>
        <v>0</v>
      </c>
      <c r="S280" s="11">
        <f t="shared" ca="1" si="22"/>
        <v>0</v>
      </c>
    </row>
    <row r="281" spans="3:19" x14ac:dyDescent="0.2">
      <c r="C281" s="11">
        <f ca="1">IF(ISNUMBER(kinematics!S123),kinematics!S123,IF(ISNUMBER(kinematics!$S$30),MIN(kinematics!$S$30:$S$210),180))</f>
        <v>180</v>
      </c>
      <c r="D281" s="18">
        <f ca="1">IF(ISNUMBER(kinematics!S123),kinematics!R123,0)</f>
        <v>0</v>
      </c>
      <c r="E281" s="18">
        <f ca="1">IF(ISNUMBER(kinematics!S123),kinematics!V123,0)</f>
        <v>0</v>
      </c>
      <c r="I281" s="11">
        <f t="shared" ca="1" si="23"/>
        <v>180</v>
      </c>
      <c r="J281" s="18">
        <f ca="1">IF(ISNUMBER(kinematics!S123),kinematics!T123,0)</f>
        <v>0</v>
      </c>
      <c r="K281" s="18">
        <f ca="1">IF(ISNUMBER(kinematics!S123),kinematics!W123,0)</f>
        <v>0</v>
      </c>
      <c r="M281" s="18">
        <f ca="1">IF(ISNUMBER(kinematics!S123),kinematics!R123,MAX($D$6:$D$186))</f>
        <v>180</v>
      </c>
      <c r="N281" s="18">
        <f ca="1">IF(ISNUMBER(kinematics!S123),kinematics!T123,0)</f>
        <v>0</v>
      </c>
      <c r="O281" s="18">
        <f ca="1">IF(ISNUMBER(kinematics!S123),kinematics!V123,0)</f>
        <v>0</v>
      </c>
      <c r="P281" s="18">
        <f ca="1">IF(ISNUMBER(kinematics!S123),kinematics!W123,0)</f>
        <v>0</v>
      </c>
      <c r="R281" s="11">
        <f t="shared" ca="1" si="20"/>
        <v>0</v>
      </c>
      <c r="S281" s="11">
        <f t="shared" ca="1" si="22"/>
        <v>0</v>
      </c>
    </row>
    <row r="282" spans="3:19" x14ac:dyDescent="0.2">
      <c r="C282" s="11">
        <f ca="1">IF(ISNUMBER(kinematics!S124),kinematics!S124,IF(ISNUMBER(kinematics!$S$30),MIN(kinematics!$S$30:$S$210),180))</f>
        <v>180</v>
      </c>
      <c r="D282" s="18">
        <f ca="1">IF(ISNUMBER(kinematics!S124),kinematics!R124,0)</f>
        <v>0</v>
      </c>
      <c r="E282" s="18">
        <f ca="1">IF(ISNUMBER(kinematics!S124),kinematics!V124,0)</f>
        <v>0</v>
      </c>
      <c r="I282" s="11">
        <f t="shared" ca="1" si="23"/>
        <v>180</v>
      </c>
      <c r="J282" s="18">
        <f ca="1">IF(ISNUMBER(kinematics!S124),kinematics!T124,0)</f>
        <v>0</v>
      </c>
      <c r="K282" s="18">
        <f ca="1">IF(ISNUMBER(kinematics!S124),kinematics!W124,0)</f>
        <v>0</v>
      </c>
      <c r="M282" s="18">
        <f ca="1">IF(ISNUMBER(kinematics!S124),kinematics!R124,MAX($D$6:$D$186))</f>
        <v>180</v>
      </c>
      <c r="N282" s="18">
        <f ca="1">IF(ISNUMBER(kinematics!S124),kinematics!T124,0)</f>
        <v>0</v>
      </c>
      <c r="O282" s="18">
        <f ca="1">IF(ISNUMBER(kinematics!S124),kinematics!V124,0)</f>
        <v>0</v>
      </c>
      <c r="P282" s="18">
        <f ca="1">IF(ISNUMBER(kinematics!S124),kinematics!W124,0)</f>
        <v>0</v>
      </c>
      <c r="R282" s="11">
        <f t="shared" ca="1" si="20"/>
        <v>0</v>
      </c>
      <c r="S282" s="11">
        <f t="shared" ca="1" si="22"/>
        <v>0</v>
      </c>
    </row>
    <row r="283" spans="3:19" x14ac:dyDescent="0.2">
      <c r="C283" s="11">
        <f ca="1">IF(ISNUMBER(kinematics!S125),kinematics!S125,IF(ISNUMBER(kinematics!$S$30),MIN(kinematics!$S$30:$S$210),180))</f>
        <v>180</v>
      </c>
      <c r="D283" s="18">
        <f ca="1">IF(ISNUMBER(kinematics!S125),kinematics!R125,0)</f>
        <v>0</v>
      </c>
      <c r="E283" s="18">
        <f ca="1">IF(ISNUMBER(kinematics!S125),kinematics!V125,0)</f>
        <v>0</v>
      </c>
      <c r="I283" s="11">
        <f t="shared" ca="1" si="23"/>
        <v>180</v>
      </c>
      <c r="J283" s="18">
        <f ca="1">IF(ISNUMBER(kinematics!S125),kinematics!T125,0)</f>
        <v>0</v>
      </c>
      <c r="K283" s="18">
        <f ca="1">IF(ISNUMBER(kinematics!S125),kinematics!W125,0)</f>
        <v>0</v>
      </c>
      <c r="M283" s="18">
        <f ca="1">IF(ISNUMBER(kinematics!S125),kinematics!R125,MAX($D$6:$D$186))</f>
        <v>180</v>
      </c>
      <c r="N283" s="18">
        <f ca="1">IF(ISNUMBER(kinematics!S125),kinematics!T125,0)</f>
        <v>0</v>
      </c>
      <c r="O283" s="18">
        <f ca="1">IF(ISNUMBER(kinematics!S125),kinematics!V125,0)</f>
        <v>0</v>
      </c>
      <c r="P283" s="18">
        <f ca="1">IF(ISNUMBER(kinematics!S125),kinematics!W125,0)</f>
        <v>0</v>
      </c>
      <c r="R283" s="11">
        <f t="shared" ca="1" si="20"/>
        <v>0</v>
      </c>
      <c r="S283" s="11">
        <f t="shared" ca="1" si="22"/>
        <v>0</v>
      </c>
    </row>
    <row r="284" spans="3:19" x14ac:dyDescent="0.2">
      <c r="C284" s="11">
        <f ca="1">IF(ISNUMBER(kinematics!S126),kinematics!S126,IF(ISNUMBER(kinematics!$S$30),MIN(kinematics!$S$30:$S$210),180))</f>
        <v>180</v>
      </c>
      <c r="D284" s="18">
        <f ca="1">IF(ISNUMBER(kinematics!S126),kinematics!R126,0)</f>
        <v>0</v>
      </c>
      <c r="E284" s="18">
        <f ca="1">IF(ISNUMBER(kinematics!S126),kinematics!V126,0)</f>
        <v>0</v>
      </c>
      <c r="I284" s="11">
        <f t="shared" ca="1" si="23"/>
        <v>180</v>
      </c>
      <c r="J284" s="18">
        <f ca="1">IF(ISNUMBER(kinematics!S126),kinematics!T126,0)</f>
        <v>0</v>
      </c>
      <c r="K284" s="18">
        <f ca="1">IF(ISNUMBER(kinematics!S126),kinematics!W126,0)</f>
        <v>0</v>
      </c>
      <c r="M284" s="18">
        <f ca="1">IF(ISNUMBER(kinematics!S126),kinematics!R126,MAX($D$6:$D$186))</f>
        <v>180</v>
      </c>
      <c r="N284" s="18">
        <f ca="1">IF(ISNUMBER(kinematics!S126),kinematics!T126,0)</f>
        <v>0</v>
      </c>
      <c r="O284" s="18">
        <f ca="1">IF(ISNUMBER(kinematics!S126),kinematics!V126,0)</f>
        <v>0</v>
      </c>
      <c r="P284" s="18">
        <f ca="1">IF(ISNUMBER(kinematics!S126),kinematics!W126,0)</f>
        <v>0</v>
      </c>
      <c r="R284" s="11">
        <f t="shared" ca="1" si="20"/>
        <v>0</v>
      </c>
      <c r="S284" s="11">
        <f t="shared" ca="1" si="22"/>
        <v>0</v>
      </c>
    </row>
    <row r="285" spans="3:19" x14ac:dyDescent="0.2">
      <c r="C285" s="11">
        <f ca="1">IF(ISNUMBER(kinematics!S127),kinematics!S127,IF(ISNUMBER(kinematics!$S$30),MIN(kinematics!$S$30:$S$210),180))</f>
        <v>180</v>
      </c>
      <c r="D285" s="18">
        <f ca="1">IF(ISNUMBER(kinematics!S127),kinematics!R127,0)</f>
        <v>0</v>
      </c>
      <c r="E285" s="18">
        <f ca="1">IF(ISNUMBER(kinematics!S127),kinematics!V127,0)</f>
        <v>0</v>
      </c>
      <c r="I285" s="11">
        <f t="shared" ca="1" si="23"/>
        <v>180</v>
      </c>
      <c r="J285" s="18">
        <f ca="1">IF(ISNUMBER(kinematics!S127),kinematics!T127,0)</f>
        <v>0</v>
      </c>
      <c r="K285" s="18">
        <f ca="1">IF(ISNUMBER(kinematics!S127),kinematics!W127,0)</f>
        <v>0</v>
      </c>
      <c r="M285" s="18">
        <f ca="1">IF(ISNUMBER(kinematics!S127),kinematics!R127,MAX($D$6:$D$186))</f>
        <v>180</v>
      </c>
      <c r="N285" s="18">
        <f ca="1">IF(ISNUMBER(kinematics!S127),kinematics!T127,0)</f>
        <v>0</v>
      </c>
      <c r="O285" s="18">
        <f ca="1">IF(ISNUMBER(kinematics!S127),kinematics!V127,0)</f>
        <v>0</v>
      </c>
      <c r="P285" s="18">
        <f ca="1">IF(ISNUMBER(kinematics!S127),kinematics!W127,0)</f>
        <v>0</v>
      </c>
      <c r="R285" s="11">
        <f t="shared" ca="1" si="20"/>
        <v>0</v>
      </c>
      <c r="S285" s="11">
        <f t="shared" ca="1" si="22"/>
        <v>0</v>
      </c>
    </row>
    <row r="286" spans="3:19" x14ac:dyDescent="0.2">
      <c r="C286" s="11">
        <f ca="1">IF(ISNUMBER(kinematics!S128),kinematics!S128,IF(ISNUMBER(kinematics!$S$30),MIN(kinematics!$S$30:$S$210),180))</f>
        <v>180</v>
      </c>
      <c r="D286" s="18">
        <f ca="1">IF(ISNUMBER(kinematics!S128),kinematics!R128,0)</f>
        <v>0</v>
      </c>
      <c r="E286" s="18">
        <f ca="1">IF(ISNUMBER(kinematics!S128),kinematics!V128,0)</f>
        <v>0</v>
      </c>
      <c r="I286" s="11">
        <f t="shared" ca="1" si="23"/>
        <v>180</v>
      </c>
      <c r="J286" s="18">
        <f ca="1">IF(ISNUMBER(kinematics!S128),kinematics!T128,0)</f>
        <v>0</v>
      </c>
      <c r="K286" s="18">
        <f ca="1">IF(ISNUMBER(kinematics!S128),kinematics!W128,0)</f>
        <v>0</v>
      </c>
      <c r="M286" s="18">
        <f ca="1">IF(ISNUMBER(kinematics!S128),kinematics!R128,MAX($D$6:$D$186))</f>
        <v>180</v>
      </c>
      <c r="N286" s="18">
        <f ca="1">IF(ISNUMBER(kinematics!S128),kinematics!T128,0)</f>
        <v>0</v>
      </c>
      <c r="O286" s="18">
        <f ca="1">IF(ISNUMBER(kinematics!S128),kinematics!V128,0)</f>
        <v>0</v>
      </c>
      <c r="P286" s="18">
        <f ca="1">IF(ISNUMBER(kinematics!S128),kinematics!W128,0)</f>
        <v>0</v>
      </c>
      <c r="R286" s="11">
        <f t="shared" ca="1" si="20"/>
        <v>0</v>
      </c>
      <c r="S286" s="11">
        <f t="shared" ca="1" si="22"/>
        <v>0</v>
      </c>
    </row>
    <row r="287" spans="3:19" x14ac:dyDescent="0.2">
      <c r="C287" s="11">
        <f ca="1">IF(ISNUMBER(kinematics!S129),kinematics!S129,IF(ISNUMBER(kinematics!$S$30),MIN(kinematics!$S$30:$S$210),180))</f>
        <v>180</v>
      </c>
      <c r="D287" s="18">
        <f ca="1">IF(ISNUMBER(kinematics!S129),kinematics!R129,0)</f>
        <v>0</v>
      </c>
      <c r="E287" s="18">
        <f ca="1">IF(ISNUMBER(kinematics!S129),kinematics!V129,0)</f>
        <v>0</v>
      </c>
      <c r="I287" s="11">
        <f t="shared" ca="1" si="23"/>
        <v>180</v>
      </c>
      <c r="J287" s="18">
        <f ca="1">IF(ISNUMBER(kinematics!S129),kinematics!T129,0)</f>
        <v>0</v>
      </c>
      <c r="K287" s="18">
        <f ca="1">IF(ISNUMBER(kinematics!S129),kinematics!W129,0)</f>
        <v>0</v>
      </c>
      <c r="M287" s="18">
        <f ca="1">IF(ISNUMBER(kinematics!S129),kinematics!R129,MAX($D$6:$D$186))</f>
        <v>180</v>
      </c>
      <c r="N287" s="18">
        <f ca="1">IF(ISNUMBER(kinematics!S129),kinematics!T129,0)</f>
        <v>0</v>
      </c>
      <c r="O287" s="18">
        <f ca="1">IF(ISNUMBER(kinematics!S129),kinematics!V129,0)</f>
        <v>0</v>
      </c>
      <c r="P287" s="18">
        <f ca="1">IF(ISNUMBER(kinematics!S129),kinematics!W129,0)</f>
        <v>0</v>
      </c>
      <c r="R287" s="11">
        <f t="shared" ca="1" si="20"/>
        <v>0</v>
      </c>
      <c r="S287" s="11">
        <f t="shared" ca="1" si="22"/>
        <v>0</v>
      </c>
    </row>
    <row r="288" spans="3:19" x14ac:dyDescent="0.2">
      <c r="C288" s="11">
        <f ca="1">IF(ISNUMBER(kinematics!S130),kinematics!S130,IF(ISNUMBER(kinematics!$S$30),MIN(kinematics!$S$30:$S$210),180))</f>
        <v>180</v>
      </c>
      <c r="D288" s="18">
        <f ca="1">IF(ISNUMBER(kinematics!S130),kinematics!R130,0)</f>
        <v>0</v>
      </c>
      <c r="E288" s="18">
        <f ca="1">IF(ISNUMBER(kinematics!S130),kinematics!V130,0)</f>
        <v>0</v>
      </c>
      <c r="I288" s="11">
        <f t="shared" ca="1" si="23"/>
        <v>180</v>
      </c>
      <c r="J288" s="18">
        <f ca="1">IF(ISNUMBER(kinematics!S130),kinematics!T130,0)</f>
        <v>0</v>
      </c>
      <c r="K288" s="18">
        <f ca="1">IF(ISNUMBER(kinematics!S130),kinematics!W130,0)</f>
        <v>0</v>
      </c>
      <c r="M288" s="18">
        <f ca="1">IF(ISNUMBER(kinematics!S130),kinematics!R130,MAX($D$6:$D$186))</f>
        <v>180</v>
      </c>
      <c r="N288" s="18">
        <f ca="1">IF(ISNUMBER(kinematics!S130),kinematics!T130,0)</f>
        <v>0</v>
      </c>
      <c r="O288" s="18">
        <f ca="1">IF(ISNUMBER(kinematics!S130),kinematics!V130,0)</f>
        <v>0</v>
      </c>
      <c r="P288" s="18">
        <f ca="1">IF(ISNUMBER(kinematics!S130),kinematics!W130,0)</f>
        <v>0</v>
      </c>
      <c r="R288" s="11">
        <f t="shared" ca="1" si="20"/>
        <v>0</v>
      </c>
      <c r="S288" s="11">
        <f t="shared" ca="1" si="22"/>
        <v>0</v>
      </c>
    </row>
    <row r="289" spans="3:19" x14ac:dyDescent="0.2">
      <c r="C289" s="11">
        <f ca="1">IF(ISNUMBER(kinematics!S131),kinematics!S131,IF(ISNUMBER(kinematics!$S$30),MIN(kinematics!$S$30:$S$210),180))</f>
        <v>180</v>
      </c>
      <c r="D289" s="18">
        <f ca="1">IF(ISNUMBER(kinematics!S131),kinematics!R131,0)</f>
        <v>0</v>
      </c>
      <c r="E289" s="18">
        <f ca="1">IF(ISNUMBER(kinematics!S131),kinematics!V131,0)</f>
        <v>0</v>
      </c>
      <c r="I289" s="11">
        <f t="shared" ca="1" si="23"/>
        <v>180</v>
      </c>
      <c r="J289" s="18">
        <f ca="1">IF(ISNUMBER(kinematics!S131),kinematics!T131,0)</f>
        <v>0</v>
      </c>
      <c r="K289" s="18">
        <f ca="1">IF(ISNUMBER(kinematics!S131),kinematics!W131,0)</f>
        <v>0</v>
      </c>
      <c r="M289" s="18">
        <f ca="1">IF(ISNUMBER(kinematics!S131),kinematics!R131,MAX($D$6:$D$186))</f>
        <v>180</v>
      </c>
      <c r="N289" s="18">
        <f ca="1">IF(ISNUMBER(kinematics!S131),kinematics!T131,0)</f>
        <v>0</v>
      </c>
      <c r="O289" s="18">
        <f ca="1">IF(ISNUMBER(kinematics!S131),kinematics!V131,0)</f>
        <v>0</v>
      </c>
      <c r="P289" s="18">
        <f ca="1">IF(ISNUMBER(kinematics!S131),kinematics!W131,0)</f>
        <v>0</v>
      </c>
      <c r="R289" s="11">
        <f t="shared" ca="1" si="20"/>
        <v>0</v>
      </c>
      <c r="S289" s="11">
        <f t="shared" ca="1" si="22"/>
        <v>0</v>
      </c>
    </row>
    <row r="290" spans="3:19" x14ac:dyDescent="0.2">
      <c r="C290" s="11">
        <f ca="1">IF(ISNUMBER(kinematics!S132),kinematics!S132,IF(ISNUMBER(kinematics!$S$30),MIN(kinematics!$S$30:$S$210),180))</f>
        <v>180</v>
      </c>
      <c r="D290" s="18">
        <f ca="1">IF(ISNUMBER(kinematics!S132),kinematics!R132,0)</f>
        <v>0</v>
      </c>
      <c r="E290" s="18">
        <f ca="1">IF(ISNUMBER(kinematics!S132),kinematics!V132,0)</f>
        <v>0</v>
      </c>
      <c r="I290" s="11">
        <f t="shared" ca="1" si="23"/>
        <v>180</v>
      </c>
      <c r="J290" s="18">
        <f ca="1">IF(ISNUMBER(kinematics!S132),kinematics!T132,0)</f>
        <v>0</v>
      </c>
      <c r="K290" s="18">
        <f ca="1">IF(ISNUMBER(kinematics!S132),kinematics!W132,0)</f>
        <v>0</v>
      </c>
      <c r="M290" s="18">
        <f ca="1">IF(ISNUMBER(kinematics!S132),kinematics!R132,MAX($D$6:$D$186))</f>
        <v>180</v>
      </c>
      <c r="N290" s="18">
        <f ca="1">IF(ISNUMBER(kinematics!S132),kinematics!T132,0)</f>
        <v>0</v>
      </c>
      <c r="O290" s="18">
        <f ca="1">IF(ISNUMBER(kinematics!S132),kinematics!V132,0)</f>
        <v>0</v>
      </c>
      <c r="P290" s="18">
        <f ca="1">IF(ISNUMBER(kinematics!S132),kinematics!W132,0)</f>
        <v>0</v>
      </c>
      <c r="R290" s="11">
        <f t="shared" ca="1" si="20"/>
        <v>0</v>
      </c>
      <c r="S290" s="11">
        <f t="shared" ca="1" si="22"/>
        <v>0</v>
      </c>
    </row>
    <row r="291" spans="3:19" x14ac:dyDescent="0.2">
      <c r="C291" s="11">
        <f ca="1">IF(ISNUMBER(kinematics!S133),kinematics!S133,IF(ISNUMBER(kinematics!$S$30),MIN(kinematics!$S$30:$S$210),180))</f>
        <v>180</v>
      </c>
      <c r="D291" s="18">
        <f ca="1">IF(ISNUMBER(kinematics!S133),kinematics!R133,0)</f>
        <v>0</v>
      </c>
      <c r="E291" s="18">
        <f ca="1">IF(ISNUMBER(kinematics!S133),kinematics!V133,0)</f>
        <v>0</v>
      </c>
      <c r="I291" s="11">
        <f t="shared" ca="1" si="23"/>
        <v>180</v>
      </c>
      <c r="J291" s="18">
        <f ca="1">IF(ISNUMBER(kinematics!S133),kinematics!T133,0)</f>
        <v>0</v>
      </c>
      <c r="K291" s="18">
        <f ca="1">IF(ISNUMBER(kinematics!S133),kinematics!W133,0)</f>
        <v>0</v>
      </c>
      <c r="M291" s="18">
        <f ca="1">IF(ISNUMBER(kinematics!S133),kinematics!R133,MAX($D$6:$D$186))</f>
        <v>180</v>
      </c>
      <c r="N291" s="18">
        <f ca="1">IF(ISNUMBER(kinematics!S133),kinematics!T133,0)</f>
        <v>0</v>
      </c>
      <c r="O291" s="18">
        <f ca="1">IF(ISNUMBER(kinematics!S133),kinematics!V133,0)</f>
        <v>0</v>
      </c>
      <c r="P291" s="18">
        <f ca="1">IF(ISNUMBER(kinematics!S133),kinematics!W133,0)</f>
        <v>0</v>
      </c>
      <c r="R291" s="11">
        <f t="shared" ca="1" si="20"/>
        <v>0</v>
      </c>
      <c r="S291" s="11">
        <f t="shared" ca="1" si="22"/>
        <v>0</v>
      </c>
    </row>
    <row r="292" spans="3:19" x14ac:dyDescent="0.2">
      <c r="C292" s="11">
        <f ca="1">IF(ISNUMBER(kinematics!S134),kinematics!S134,IF(ISNUMBER(kinematics!$S$30),MIN(kinematics!$S$30:$S$210),180))</f>
        <v>180</v>
      </c>
      <c r="D292" s="18">
        <f ca="1">IF(ISNUMBER(kinematics!S134),kinematics!R134,0)</f>
        <v>0</v>
      </c>
      <c r="E292" s="18">
        <f ca="1">IF(ISNUMBER(kinematics!S134),kinematics!V134,0)</f>
        <v>0</v>
      </c>
      <c r="I292" s="11">
        <f t="shared" ca="1" si="23"/>
        <v>180</v>
      </c>
      <c r="J292" s="18">
        <f ca="1">IF(ISNUMBER(kinematics!S134),kinematics!T134,0)</f>
        <v>0</v>
      </c>
      <c r="K292" s="18">
        <f ca="1">IF(ISNUMBER(kinematics!S134),kinematics!W134,0)</f>
        <v>0</v>
      </c>
      <c r="M292" s="18">
        <f ca="1">IF(ISNUMBER(kinematics!S134),kinematics!R134,MAX($D$6:$D$186))</f>
        <v>180</v>
      </c>
      <c r="N292" s="18">
        <f ca="1">IF(ISNUMBER(kinematics!S134),kinematics!T134,0)</f>
        <v>0</v>
      </c>
      <c r="O292" s="18">
        <f ca="1">IF(ISNUMBER(kinematics!S134),kinematics!V134,0)</f>
        <v>0</v>
      </c>
      <c r="P292" s="18">
        <f ca="1">IF(ISNUMBER(kinematics!S134),kinematics!W134,0)</f>
        <v>0</v>
      </c>
      <c r="R292" s="11">
        <f t="shared" ca="1" si="20"/>
        <v>0</v>
      </c>
      <c r="S292" s="11">
        <f t="shared" ca="1" si="22"/>
        <v>0</v>
      </c>
    </row>
    <row r="293" spans="3:19" x14ac:dyDescent="0.2">
      <c r="C293" s="11">
        <f ca="1">IF(ISNUMBER(kinematics!S135),kinematics!S135,IF(ISNUMBER(kinematics!$S$30),MIN(kinematics!$S$30:$S$210),180))</f>
        <v>180</v>
      </c>
      <c r="D293" s="18">
        <f ca="1">IF(ISNUMBER(kinematics!S135),kinematics!R135,0)</f>
        <v>0</v>
      </c>
      <c r="E293" s="18">
        <f ca="1">IF(ISNUMBER(kinematics!S135),kinematics!V135,0)</f>
        <v>0</v>
      </c>
      <c r="I293" s="11">
        <f t="shared" ca="1" si="23"/>
        <v>180</v>
      </c>
      <c r="J293" s="18">
        <f ca="1">IF(ISNUMBER(kinematics!S135),kinematics!T135,0)</f>
        <v>0</v>
      </c>
      <c r="K293" s="18">
        <f ca="1">IF(ISNUMBER(kinematics!S135),kinematics!W135,0)</f>
        <v>0</v>
      </c>
      <c r="M293" s="18">
        <f ca="1">IF(ISNUMBER(kinematics!S135),kinematics!R135,MAX($D$6:$D$186))</f>
        <v>180</v>
      </c>
      <c r="N293" s="18">
        <f ca="1">IF(ISNUMBER(kinematics!S135),kinematics!T135,0)</f>
        <v>0</v>
      </c>
      <c r="O293" s="18">
        <f ca="1">IF(ISNUMBER(kinematics!S135),kinematics!V135,0)</f>
        <v>0</v>
      </c>
      <c r="P293" s="18">
        <f ca="1">IF(ISNUMBER(kinematics!S135),kinematics!W135,0)</f>
        <v>0</v>
      </c>
      <c r="R293" s="11">
        <f t="shared" ca="1" si="20"/>
        <v>0</v>
      </c>
      <c r="S293" s="11">
        <f t="shared" ca="1" si="22"/>
        <v>0</v>
      </c>
    </row>
    <row r="294" spans="3:19" x14ac:dyDescent="0.2">
      <c r="C294" s="11">
        <f ca="1">IF(ISNUMBER(kinematics!S136),kinematics!S136,IF(ISNUMBER(kinematics!$S$30),MIN(kinematics!$S$30:$S$210),180))</f>
        <v>180</v>
      </c>
      <c r="D294" s="18">
        <f ca="1">IF(ISNUMBER(kinematics!S136),kinematics!R136,0)</f>
        <v>0</v>
      </c>
      <c r="E294" s="18">
        <f ca="1">IF(ISNUMBER(kinematics!S136),kinematics!V136,0)</f>
        <v>0</v>
      </c>
      <c r="I294" s="11">
        <f t="shared" ca="1" si="23"/>
        <v>180</v>
      </c>
      <c r="J294" s="18">
        <f ca="1">IF(ISNUMBER(kinematics!S136),kinematics!T136,0)</f>
        <v>0</v>
      </c>
      <c r="K294" s="18">
        <f ca="1">IF(ISNUMBER(kinematics!S136),kinematics!W136,0)</f>
        <v>0</v>
      </c>
      <c r="M294" s="18">
        <f ca="1">IF(ISNUMBER(kinematics!S136),kinematics!R136,MAX($D$6:$D$186))</f>
        <v>180</v>
      </c>
      <c r="N294" s="18">
        <f ca="1">IF(ISNUMBER(kinematics!S136),kinematics!T136,0)</f>
        <v>0</v>
      </c>
      <c r="O294" s="18">
        <f ca="1">IF(ISNUMBER(kinematics!S136),kinematics!V136,0)</f>
        <v>0</v>
      </c>
      <c r="P294" s="18">
        <f ca="1">IF(ISNUMBER(kinematics!S136),kinematics!W136,0)</f>
        <v>0</v>
      </c>
      <c r="R294" s="11">
        <f t="shared" ca="1" si="20"/>
        <v>0</v>
      </c>
      <c r="S294" s="11">
        <f t="shared" ref="S294:S325" ca="1" si="24">P294</f>
        <v>0</v>
      </c>
    </row>
    <row r="295" spans="3:19" x14ac:dyDescent="0.2">
      <c r="C295" s="11">
        <f ca="1">IF(ISNUMBER(kinematics!S137),kinematics!S137,IF(ISNUMBER(kinematics!$S$30),MIN(kinematics!$S$30:$S$210),180))</f>
        <v>180</v>
      </c>
      <c r="D295" s="18">
        <f ca="1">IF(ISNUMBER(kinematics!S137),kinematics!R137,0)</f>
        <v>0</v>
      </c>
      <c r="E295" s="18">
        <f ca="1">IF(ISNUMBER(kinematics!S137),kinematics!V137,0)</f>
        <v>0</v>
      </c>
      <c r="I295" s="11">
        <f t="shared" ca="1" si="23"/>
        <v>180</v>
      </c>
      <c r="J295" s="18">
        <f ca="1">IF(ISNUMBER(kinematics!S137),kinematics!T137,0)</f>
        <v>0</v>
      </c>
      <c r="K295" s="18">
        <f ca="1">IF(ISNUMBER(kinematics!S137),kinematics!W137,0)</f>
        <v>0</v>
      </c>
      <c r="M295" s="18">
        <f ca="1">IF(ISNUMBER(kinematics!S137),kinematics!R137,MAX($D$6:$D$186))</f>
        <v>180</v>
      </c>
      <c r="N295" s="18">
        <f ca="1">IF(ISNUMBER(kinematics!S137),kinematics!T137,0)</f>
        <v>0</v>
      </c>
      <c r="O295" s="18">
        <f ca="1">IF(ISNUMBER(kinematics!S137),kinematics!V137,0)</f>
        <v>0</v>
      </c>
      <c r="P295" s="18">
        <f ca="1">IF(ISNUMBER(kinematics!S137),kinematics!W137,0)</f>
        <v>0</v>
      </c>
      <c r="R295" s="11">
        <f t="shared" ca="1" si="20"/>
        <v>0</v>
      </c>
      <c r="S295" s="11">
        <f t="shared" ca="1" si="24"/>
        <v>0</v>
      </c>
    </row>
    <row r="296" spans="3:19" x14ac:dyDescent="0.2">
      <c r="C296" s="11">
        <f ca="1">IF(ISNUMBER(kinematics!S138),kinematics!S138,IF(ISNUMBER(kinematics!$S$30),MIN(kinematics!$S$30:$S$210),180))</f>
        <v>180</v>
      </c>
      <c r="D296" s="18">
        <f ca="1">IF(ISNUMBER(kinematics!S138),kinematics!R138,0)</f>
        <v>0</v>
      </c>
      <c r="E296" s="18">
        <f ca="1">IF(ISNUMBER(kinematics!S138),kinematics!V138,0)</f>
        <v>0</v>
      </c>
      <c r="I296" s="11">
        <f t="shared" ca="1" si="23"/>
        <v>180</v>
      </c>
      <c r="J296" s="18">
        <f ca="1">IF(ISNUMBER(kinematics!S138),kinematics!T138,0)</f>
        <v>0</v>
      </c>
      <c r="K296" s="18">
        <f ca="1">IF(ISNUMBER(kinematics!S138),kinematics!W138,0)</f>
        <v>0</v>
      </c>
      <c r="M296" s="18">
        <f ca="1">IF(ISNUMBER(kinematics!S138),kinematics!R138,MAX($D$6:$D$186))</f>
        <v>180</v>
      </c>
      <c r="N296" s="18">
        <f ca="1">IF(ISNUMBER(kinematics!S138),kinematics!T138,0)</f>
        <v>0</v>
      </c>
      <c r="O296" s="18">
        <f ca="1">IF(ISNUMBER(kinematics!S138),kinematics!V138,0)</f>
        <v>0</v>
      </c>
      <c r="P296" s="18">
        <f ca="1">IF(ISNUMBER(kinematics!S138),kinematics!W138,0)</f>
        <v>0</v>
      </c>
      <c r="R296" s="11">
        <f t="shared" ca="1" si="20"/>
        <v>0</v>
      </c>
      <c r="S296" s="11">
        <f t="shared" ca="1" si="24"/>
        <v>0</v>
      </c>
    </row>
    <row r="297" spans="3:19" x14ac:dyDescent="0.2">
      <c r="C297" s="11">
        <f ca="1">IF(ISNUMBER(kinematics!S139),kinematics!S139,IF(ISNUMBER(kinematics!$S$30),MIN(kinematics!$S$30:$S$210),180))</f>
        <v>180</v>
      </c>
      <c r="D297" s="18">
        <f ca="1">IF(ISNUMBER(kinematics!S139),kinematics!R139,0)</f>
        <v>0</v>
      </c>
      <c r="E297" s="18">
        <f ca="1">IF(ISNUMBER(kinematics!S139),kinematics!V139,0)</f>
        <v>0</v>
      </c>
      <c r="I297" s="11">
        <f t="shared" ca="1" si="23"/>
        <v>180</v>
      </c>
      <c r="J297" s="18">
        <f ca="1">IF(ISNUMBER(kinematics!S139),kinematics!T139,0)</f>
        <v>0</v>
      </c>
      <c r="K297" s="18">
        <f ca="1">IF(ISNUMBER(kinematics!S139),kinematics!W139,0)</f>
        <v>0</v>
      </c>
      <c r="M297" s="18">
        <f ca="1">IF(ISNUMBER(kinematics!S139),kinematics!R139,MAX($D$6:$D$186))</f>
        <v>180</v>
      </c>
      <c r="N297" s="18">
        <f ca="1">IF(ISNUMBER(kinematics!S139),kinematics!T139,0)</f>
        <v>0</v>
      </c>
      <c r="O297" s="18">
        <f ca="1">IF(ISNUMBER(kinematics!S139),kinematics!V139,0)</f>
        <v>0</v>
      </c>
      <c r="P297" s="18">
        <f ca="1">IF(ISNUMBER(kinematics!S139),kinematics!W139,0)</f>
        <v>0</v>
      </c>
      <c r="R297" s="11">
        <f t="shared" ca="1" si="20"/>
        <v>0</v>
      </c>
      <c r="S297" s="11">
        <f t="shared" ca="1" si="24"/>
        <v>0</v>
      </c>
    </row>
    <row r="298" spans="3:19" x14ac:dyDescent="0.2">
      <c r="C298" s="11">
        <f ca="1">IF(ISNUMBER(kinematics!S140),kinematics!S140,IF(ISNUMBER(kinematics!$S$30),MIN(kinematics!$S$30:$S$210),180))</f>
        <v>180</v>
      </c>
      <c r="D298" s="18">
        <f ca="1">IF(ISNUMBER(kinematics!S140),kinematics!R140,0)</f>
        <v>0</v>
      </c>
      <c r="E298" s="18">
        <f ca="1">IF(ISNUMBER(kinematics!S140),kinematics!V140,0)</f>
        <v>0</v>
      </c>
      <c r="I298" s="11">
        <f t="shared" ca="1" si="23"/>
        <v>180</v>
      </c>
      <c r="J298" s="18">
        <f ca="1">IF(ISNUMBER(kinematics!S140),kinematics!T140,0)</f>
        <v>0</v>
      </c>
      <c r="K298" s="18">
        <f ca="1">IF(ISNUMBER(kinematics!S140),kinematics!W140,0)</f>
        <v>0</v>
      </c>
      <c r="M298" s="18">
        <f ca="1">IF(ISNUMBER(kinematics!S140),kinematics!R140,MAX($D$6:$D$186))</f>
        <v>180</v>
      </c>
      <c r="N298" s="18">
        <f ca="1">IF(ISNUMBER(kinematics!S140),kinematics!T140,0)</f>
        <v>0</v>
      </c>
      <c r="O298" s="18">
        <f ca="1">IF(ISNUMBER(kinematics!S140),kinematics!V140,0)</f>
        <v>0</v>
      </c>
      <c r="P298" s="18">
        <f ca="1">IF(ISNUMBER(kinematics!S140),kinematics!W140,0)</f>
        <v>0</v>
      </c>
      <c r="R298" s="11">
        <f t="shared" ca="1" si="20"/>
        <v>0</v>
      </c>
      <c r="S298" s="11">
        <f t="shared" ca="1" si="24"/>
        <v>0</v>
      </c>
    </row>
    <row r="299" spans="3:19" x14ac:dyDescent="0.2">
      <c r="C299" s="11">
        <f ca="1">IF(ISNUMBER(kinematics!S141),kinematics!S141,IF(ISNUMBER(kinematics!$S$30),MIN(kinematics!$S$30:$S$210),180))</f>
        <v>180</v>
      </c>
      <c r="D299" s="18">
        <f ca="1">IF(ISNUMBER(kinematics!S141),kinematics!R141,0)</f>
        <v>0</v>
      </c>
      <c r="E299" s="18">
        <f ca="1">IF(ISNUMBER(kinematics!S141),kinematics!V141,0)</f>
        <v>0</v>
      </c>
      <c r="I299" s="11">
        <f t="shared" ca="1" si="23"/>
        <v>180</v>
      </c>
      <c r="J299" s="18">
        <f ca="1">IF(ISNUMBER(kinematics!S141),kinematics!T141,0)</f>
        <v>0</v>
      </c>
      <c r="K299" s="18">
        <f ca="1">IF(ISNUMBER(kinematics!S141),kinematics!W141,0)</f>
        <v>0</v>
      </c>
      <c r="M299" s="18">
        <f ca="1">IF(ISNUMBER(kinematics!S141),kinematics!R141,MAX($D$6:$D$186))</f>
        <v>180</v>
      </c>
      <c r="N299" s="18">
        <f ca="1">IF(ISNUMBER(kinematics!S141),kinematics!T141,0)</f>
        <v>0</v>
      </c>
      <c r="O299" s="18">
        <f ca="1">IF(ISNUMBER(kinematics!S141),kinematics!V141,0)</f>
        <v>0</v>
      </c>
      <c r="P299" s="18">
        <f ca="1">IF(ISNUMBER(kinematics!S141),kinematics!W141,0)</f>
        <v>0</v>
      </c>
      <c r="R299" s="11">
        <f t="shared" ca="1" si="20"/>
        <v>0</v>
      </c>
      <c r="S299" s="11">
        <f t="shared" ca="1" si="24"/>
        <v>0</v>
      </c>
    </row>
    <row r="300" spans="3:19" x14ac:dyDescent="0.2">
      <c r="C300" s="11">
        <f ca="1">IF(ISNUMBER(kinematics!S142),kinematics!S142,IF(ISNUMBER(kinematics!$S$30),MIN(kinematics!$S$30:$S$210),180))</f>
        <v>180</v>
      </c>
      <c r="D300" s="18">
        <f ca="1">IF(ISNUMBER(kinematics!S142),kinematics!R142,0)</f>
        <v>0</v>
      </c>
      <c r="E300" s="18">
        <f ca="1">IF(ISNUMBER(kinematics!S142),kinematics!V142,0)</f>
        <v>0</v>
      </c>
      <c r="I300" s="11">
        <f t="shared" ca="1" si="23"/>
        <v>180</v>
      </c>
      <c r="J300" s="18">
        <f ca="1">IF(ISNUMBER(kinematics!S142),kinematics!T142,0)</f>
        <v>0</v>
      </c>
      <c r="K300" s="18">
        <f ca="1">IF(ISNUMBER(kinematics!S142),kinematics!W142,0)</f>
        <v>0</v>
      </c>
      <c r="M300" s="18">
        <f ca="1">IF(ISNUMBER(kinematics!S142),kinematics!R142,MAX($D$6:$D$186))</f>
        <v>180</v>
      </c>
      <c r="N300" s="18">
        <f ca="1">IF(ISNUMBER(kinematics!S142),kinematics!T142,0)</f>
        <v>0</v>
      </c>
      <c r="O300" s="18">
        <f ca="1">IF(ISNUMBER(kinematics!S142),kinematics!V142,0)</f>
        <v>0</v>
      </c>
      <c r="P300" s="18">
        <f ca="1">IF(ISNUMBER(kinematics!S142),kinematics!W142,0)</f>
        <v>0</v>
      </c>
      <c r="R300" s="11">
        <f t="shared" ca="1" si="20"/>
        <v>0</v>
      </c>
      <c r="S300" s="11">
        <f t="shared" ca="1" si="24"/>
        <v>0</v>
      </c>
    </row>
    <row r="301" spans="3:19" x14ac:dyDescent="0.2">
      <c r="C301" s="11">
        <f ca="1">IF(ISNUMBER(kinematics!S143),kinematics!S143,IF(ISNUMBER(kinematics!$S$30),MIN(kinematics!$S$30:$S$210),180))</f>
        <v>180</v>
      </c>
      <c r="D301" s="18">
        <f ca="1">IF(ISNUMBER(kinematics!S143),kinematics!R143,0)</f>
        <v>0</v>
      </c>
      <c r="E301" s="18">
        <f ca="1">IF(ISNUMBER(kinematics!S143),kinematics!V143,0)</f>
        <v>0</v>
      </c>
      <c r="I301" s="11">
        <f t="shared" ca="1" si="23"/>
        <v>180</v>
      </c>
      <c r="J301" s="18">
        <f ca="1">IF(ISNUMBER(kinematics!S143),kinematics!T143,0)</f>
        <v>0</v>
      </c>
      <c r="K301" s="18">
        <f ca="1">IF(ISNUMBER(kinematics!S143),kinematics!W143,0)</f>
        <v>0</v>
      </c>
      <c r="M301" s="18">
        <f ca="1">IF(ISNUMBER(kinematics!S143),kinematics!R143,MAX($D$6:$D$186))</f>
        <v>180</v>
      </c>
      <c r="N301" s="18">
        <f ca="1">IF(ISNUMBER(kinematics!S143),kinematics!T143,0)</f>
        <v>0</v>
      </c>
      <c r="O301" s="18">
        <f ca="1">IF(ISNUMBER(kinematics!S143),kinematics!V143,0)</f>
        <v>0</v>
      </c>
      <c r="P301" s="18">
        <f ca="1">IF(ISNUMBER(kinematics!S143),kinematics!W143,0)</f>
        <v>0</v>
      </c>
      <c r="R301" s="11">
        <f t="shared" ca="1" si="20"/>
        <v>0</v>
      </c>
      <c r="S301" s="11">
        <f t="shared" ca="1" si="24"/>
        <v>0</v>
      </c>
    </row>
    <row r="302" spans="3:19" x14ac:dyDescent="0.2">
      <c r="C302" s="11">
        <f ca="1">IF(ISNUMBER(kinematics!S144),kinematics!S144,IF(ISNUMBER(kinematics!$S$30),MIN(kinematics!$S$30:$S$210),180))</f>
        <v>180</v>
      </c>
      <c r="D302" s="18">
        <f ca="1">IF(ISNUMBER(kinematics!S144),kinematics!R144,0)</f>
        <v>0</v>
      </c>
      <c r="E302" s="18">
        <f ca="1">IF(ISNUMBER(kinematics!S144),kinematics!V144,0)</f>
        <v>0</v>
      </c>
      <c r="I302" s="11">
        <f t="shared" ca="1" si="23"/>
        <v>180</v>
      </c>
      <c r="J302" s="18">
        <f ca="1">IF(ISNUMBER(kinematics!S144),kinematics!T144,0)</f>
        <v>0</v>
      </c>
      <c r="K302" s="18">
        <f ca="1">IF(ISNUMBER(kinematics!S144),kinematics!W144,0)</f>
        <v>0</v>
      </c>
      <c r="M302" s="18">
        <f ca="1">IF(ISNUMBER(kinematics!S144),kinematics!R144,MAX($D$6:$D$186))</f>
        <v>180</v>
      </c>
      <c r="N302" s="18">
        <f ca="1">IF(ISNUMBER(kinematics!S144),kinematics!T144,0)</f>
        <v>0</v>
      </c>
      <c r="O302" s="18">
        <f ca="1">IF(ISNUMBER(kinematics!S144),kinematics!V144,0)</f>
        <v>0</v>
      </c>
      <c r="P302" s="18">
        <f ca="1">IF(ISNUMBER(kinematics!S144),kinematics!W144,0)</f>
        <v>0</v>
      </c>
      <c r="R302" s="11">
        <f t="shared" ca="1" si="20"/>
        <v>0</v>
      </c>
      <c r="S302" s="11">
        <f t="shared" ca="1" si="24"/>
        <v>0</v>
      </c>
    </row>
    <row r="303" spans="3:19" x14ac:dyDescent="0.2">
      <c r="C303" s="11">
        <f ca="1">IF(ISNUMBER(kinematics!S145),kinematics!S145,IF(ISNUMBER(kinematics!$S$30),MIN(kinematics!$S$30:$S$210),180))</f>
        <v>180</v>
      </c>
      <c r="D303" s="18">
        <f ca="1">IF(ISNUMBER(kinematics!S145),kinematics!R145,0)</f>
        <v>0</v>
      </c>
      <c r="E303" s="18">
        <f ca="1">IF(ISNUMBER(kinematics!S145),kinematics!V145,0)</f>
        <v>0</v>
      </c>
      <c r="I303" s="11">
        <f t="shared" ca="1" si="23"/>
        <v>180</v>
      </c>
      <c r="J303" s="18">
        <f ca="1">IF(ISNUMBER(kinematics!S145),kinematics!T145,0)</f>
        <v>0</v>
      </c>
      <c r="K303" s="18">
        <f ca="1">IF(ISNUMBER(kinematics!S145),kinematics!W145,0)</f>
        <v>0</v>
      </c>
      <c r="M303" s="18">
        <f ca="1">IF(ISNUMBER(kinematics!S145),kinematics!R145,MAX($D$6:$D$186))</f>
        <v>180</v>
      </c>
      <c r="N303" s="18">
        <f ca="1">IF(ISNUMBER(kinematics!S145),kinematics!T145,0)</f>
        <v>0</v>
      </c>
      <c r="O303" s="18">
        <f ca="1">IF(ISNUMBER(kinematics!S145),kinematics!V145,0)</f>
        <v>0</v>
      </c>
      <c r="P303" s="18">
        <f ca="1">IF(ISNUMBER(kinematics!S145),kinematics!W145,0)</f>
        <v>0</v>
      </c>
      <c r="R303" s="11">
        <f t="shared" ca="1" si="20"/>
        <v>0</v>
      </c>
      <c r="S303" s="11">
        <f t="shared" ca="1" si="24"/>
        <v>0</v>
      </c>
    </row>
    <row r="304" spans="3:19" x14ac:dyDescent="0.2">
      <c r="C304" s="11">
        <f ca="1">IF(ISNUMBER(kinematics!S146),kinematics!S146,IF(ISNUMBER(kinematics!$S$30),MIN(kinematics!$S$30:$S$210),180))</f>
        <v>180</v>
      </c>
      <c r="D304" s="18">
        <f ca="1">IF(ISNUMBER(kinematics!S146),kinematics!R146,0)</f>
        <v>0</v>
      </c>
      <c r="E304" s="18">
        <f ca="1">IF(ISNUMBER(kinematics!S146),kinematics!V146,0)</f>
        <v>0</v>
      </c>
      <c r="I304" s="11">
        <f t="shared" ca="1" si="23"/>
        <v>180</v>
      </c>
      <c r="J304" s="18">
        <f ca="1">IF(ISNUMBER(kinematics!S146),kinematics!T146,0)</f>
        <v>0</v>
      </c>
      <c r="K304" s="18">
        <f ca="1">IF(ISNUMBER(kinematics!S146),kinematics!W146,0)</f>
        <v>0</v>
      </c>
      <c r="M304" s="18">
        <f ca="1">IF(ISNUMBER(kinematics!S146),kinematics!R146,MAX($D$6:$D$186))</f>
        <v>180</v>
      </c>
      <c r="N304" s="18">
        <f ca="1">IF(ISNUMBER(kinematics!S146),kinematics!T146,0)</f>
        <v>0</v>
      </c>
      <c r="O304" s="18">
        <f ca="1">IF(ISNUMBER(kinematics!S146),kinematics!V146,0)</f>
        <v>0</v>
      </c>
      <c r="P304" s="18">
        <f ca="1">IF(ISNUMBER(kinematics!S146),kinematics!W146,0)</f>
        <v>0</v>
      </c>
      <c r="R304" s="11">
        <f t="shared" ca="1" si="20"/>
        <v>0</v>
      </c>
      <c r="S304" s="11">
        <f t="shared" ca="1" si="24"/>
        <v>0</v>
      </c>
    </row>
    <row r="305" spans="3:19" x14ac:dyDescent="0.2">
      <c r="C305" s="11">
        <f ca="1">IF(ISNUMBER(kinematics!S147),kinematics!S147,IF(ISNUMBER(kinematics!$S$30),MIN(kinematics!$S$30:$S$210),180))</f>
        <v>180</v>
      </c>
      <c r="D305" s="18">
        <f ca="1">IF(ISNUMBER(kinematics!S147),kinematics!R147,0)</f>
        <v>0</v>
      </c>
      <c r="E305" s="18">
        <f ca="1">IF(ISNUMBER(kinematics!S147),kinematics!V147,0)</f>
        <v>0</v>
      </c>
      <c r="I305" s="11">
        <f t="shared" ca="1" si="23"/>
        <v>180</v>
      </c>
      <c r="J305" s="18">
        <f ca="1">IF(ISNUMBER(kinematics!S147),kinematics!T147,0)</f>
        <v>0</v>
      </c>
      <c r="K305" s="18">
        <f ca="1">IF(ISNUMBER(kinematics!S147),kinematics!W147,0)</f>
        <v>0</v>
      </c>
      <c r="M305" s="18">
        <f ca="1">IF(ISNUMBER(kinematics!S147),kinematics!R147,MAX($D$6:$D$186))</f>
        <v>180</v>
      </c>
      <c r="N305" s="18">
        <f ca="1">IF(ISNUMBER(kinematics!S147),kinematics!T147,0)</f>
        <v>0</v>
      </c>
      <c r="O305" s="18">
        <f ca="1">IF(ISNUMBER(kinematics!S147),kinematics!V147,0)</f>
        <v>0</v>
      </c>
      <c r="P305" s="18">
        <f ca="1">IF(ISNUMBER(kinematics!S147),kinematics!W147,0)</f>
        <v>0</v>
      </c>
      <c r="R305" s="11">
        <f t="shared" ca="1" si="20"/>
        <v>0</v>
      </c>
      <c r="S305" s="11">
        <f t="shared" ca="1" si="24"/>
        <v>0</v>
      </c>
    </row>
    <row r="306" spans="3:19" x14ac:dyDescent="0.2">
      <c r="C306" s="11">
        <f ca="1">IF(ISNUMBER(kinematics!S148),kinematics!S148,IF(ISNUMBER(kinematics!$S$30),MIN(kinematics!$S$30:$S$210),180))</f>
        <v>180</v>
      </c>
      <c r="D306" s="18">
        <f ca="1">IF(ISNUMBER(kinematics!S148),kinematics!R148,0)</f>
        <v>0</v>
      </c>
      <c r="E306" s="18">
        <f ca="1">IF(ISNUMBER(kinematics!S148),kinematics!V148,0)</f>
        <v>0</v>
      </c>
      <c r="I306" s="11">
        <f t="shared" ca="1" si="23"/>
        <v>180</v>
      </c>
      <c r="J306" s="18">
        <f ca="1">IF(ISNUMBER(kinematics!S148),kinematics!T148,0)</f>
        <v>0</v>
      </c>
      <c r="K306" s="18">
        <f ca="1">IF(ISNUMBER(kinematics!S148),kinematics!W148,0)</f>
        <v>0</v>
      </c>
      <c r="M306" s="18">
        <f ca="1">IF(ISNUMBER(kinematics!S148),kinematics!R148,MAX($D$6:$D$186))</f>
        <v>180</v>
      </c>
      <c r="N306" s="18">
        <f ca="1">IF(ISNUMBER(kinematics!S148),kinematics!T148,0)</f>
        <v>0</v>
      </c>
      <c r="O306" s="18">
        <f ca="1">IF(ISNUMBER(kinematics!S148),kinematics!V148,0)</f>
        <v>0</v>
      </c>
      <c r="P306" s="18">
        <f ca="1">IF(ISNUMBER(kinematics!S148),kinematics!W148,0)</f>
        <v>0</v>
      </c>
      <c r="R306" s="11">
        <f t="shared" ca="1" si="20"/>
        <v>0</v>
      </c>
      <c r="S306" s="11">
        <f t="shared" ca="1" si="24"/>
        <v>0</v>
      </c>
    </row>
    <row r="307" spans="3:19" x14ac:dyDescent="0.2">
      <c r="C307" s="11">
        <f ca="1">IF(ISNUMBER(kinematics!S149),kinematics!S149,IF(ISNUMBER(kinematics!$S$30),MIN(kinematics!$S$30:$S$210),180))</f>
        <v>180</v>
      </c>
      <c r="D307" s="18">
        <f ca="1">IF(ISNUMBER(kinematics!S149),kinematics!R149,0)</f>
        <v>0</v>
      </c>
      <c r="E307" s="18">
        <f ca="1">IF(ISNUMBER(kinematics!S149),kinematics!V149,0)</f>
        <v>0</v>
      </c>
      <c r="I307" s="11">
        <f t="shared" ca="1" si="23"/>
        <v>180</v>
      </c>
      <c r="J307" s="18">
        <f ca="1">IF(ISNUMBER(kinematics!S149),kinematics!T149,0)</f>
        <v>0</v>
      </c>
      <c r="K307" s="18">
        <f ca="1">IF(ISNUMBER(kinematics!S149),kinematics!W149,0)</f>
        <v>0</v>
      </c>
      <c r="M307" s="18">
        <f ca="1">IF(ISNUMBER(kinematics!S149),kinematics!R149,MAX($D$6:$D$186))</f>
        <v>180</v>
      </c>
      <c r="N307" s="18">
        <f ca="1">IF(ISNUMBER(kinematics!S149),kinematics!T149,0)</f>
        <v>0</v>
      </c>
      <c r="O307" s="18">
        <f ca="1">IF(ISNUMBER(kinematics!S149),kinematics!V149,0)</f>
        <v>0</v>
      </c>
      <c r="P307" s="18">
        <f ca="1">IF(ISNUMBER(kinematics!S149),kinematics!W149,0)</f>
        <v>0</v>
      </c>
      <c r="R307" s="11">
        <f t="shared" ca="1" si="20"/>
        <v>0</v>
      </c>
      <c r="S307" s="11">
        <f t="shared" ca="1" si="24"/>
        <v>0</v>
      </c>
    </row>
    <row r="308" spans="3:19" x14ac:dyDescent="0.2">
      <c r="C308" s="11">
        <f ca="1">IF(ISNUMBER(kinematics!S150),kinematics!S150,IF(ISNUMBER(kinematics!$S$30),MIN(kinematics!$S$30:$S$210),180))</f>
        <v>180</v>
      </c>
      <c r="D308" s="18">
        <f ca="1">IF(ISNUMBER(kinematics!S150),kinematics!R150,0)</f>
        <v>0</v>
      </c>
      <c r="E308" s="18">
        <f ca="1">IF(ISNUMBER(kinematics!S150),kinematics!V150,0)</f>
        <v>0</v>
      </c>
      <c r="I308" s="11">
        <f t="shared" ca="1" si="23"/>
        <v>180</v>
      </c>
      <c r="J308" s="18">
        <f ca="1">IF(ISNUMBER(kinematics!S150),kinematics!T150,0)</f>
        <v>0</v>
      </c>
      <c r="K308" s="18">
        <f ca="1">IF(ISNUMBER(kinematics!S150),kinematics!W150,0)</f>
        <v>0</v>
      </c>
      <c r="M308" s="18">
        <f ca="1">IF(ISNUMBER(kinematics!S150),kinematics!R150,MAX($D$6:$D$186))</f>
        <v>180</v>
      </c>
      <c r="N308" s="18">
        <f ca="1">IF(ISNUMBER(kinematics!S150),kinematics!T150,0)</f>
        <v>0</v>
      </c>
      <c r="O308" s="18">
        <f ca="1">IF(ISNUMBER(kinematics!S150),kinematics!V150,0)</f>
        <v>0</v>
      </c>
      <c r="P308" s="18">
        <f ca="1">IF(ISNUMBER(kinematics!S150),kinematics!W150,0)</f>
        <v>0</v>
      </c>
      <c r="R308" s="11">
        <f t="shared" ca="1" si="20"/>
        <v>0</v>
      </c>
      <c r="S308" s="11">
        <f t="shared" ca="1" si="24"/>
        <v>0</v>
      </c>
    </row>
    <row r="309" spans="3:19" x14ac:dyDescent="0.2">
      <c r="C309" s="11">
        <f ca="1">IF(ISNUMBER(kinematics!S151),kinematics!S151,IF(ISNUMBER(kinematics!$S$30),MIN(kinematics!$S$30:$S$210),180))</f>
        <v>180</v>
      </c>
      <c r="D309" s="18">
        <f ca="1">IF(ISNUMBER(kinematics!S151),kinematics!R151,0)</f>
        <v>0</v>
      </c>
      <c r="E309" s="18">
        <f ca="1">IF(ISNUMBER(kinematics!S151),kinematics!V151,0)</f>
        <v>0</v>
      </c>
      <c r="I309" s="11">
        <f t="shared" ca="1" si="23"/>
        <v>180</v>
      </c>
      <c r="J309" s="18">
        <f ca="1">IF(ISNUMBER(kinematics!S151),kinematics!T151,0)</f>
        <v>0</v>
      </c>
      <c r="K309" s="18">
        <f ca="1">IF(ISNUMBER(kinematics!S151),kinematics!W151,0)</f>
        <v>0</v>
      </c>
      <c r="M309" s="18">
        <f ca="1">IF(ISNUMBER(kinematics!S151),kinematics!R151,MAX($D$6:$D$186))</f>
        <v>180</v>
      </c>
      <c r="N309" s="18">
        <f ca="1">IF(ISNUMBER(kinematics!S151),kinematics!T151,0)</f>
        <v>0</v>
      </c>
      <c r="O309" s="18">
        <f ca="1">IF(ISNUMBER(kinematics!S151),kinematics!V151,0)</f>
        <v>0</v>
      </c>
      <c r="P309" s="18">
        <f ca="1">IF(ISNUMBER(kinematics!S151),kinematics!W151,0)</f>
        <v>0</v>
      </c>
      <c r="R309" s="11">
        <f t="shared" ca="1" si="20"/>
        <v>0</v>
      </c>
      <c r="S309" s="11">
        <f t="shared" ca="1" si="24"/>
        <v>0</v>
      </c>
    </row>
    <row r="310" spans="3:19" x14ac:dyDescent="0.2">
      <c r="C310" s="11">
        <f ca="1">IF(ISNUMBER(kinematics!S152),kinematics!S152,IF(ISNUMBER(kinematics!$S$30),MIN(kinematics!$S$30:$S$210),180))</f>
        <v>180</v>
      </c>
      <c r="D310" s="18">
        <f ca="1">IF(ISNUMBER(kinematics!S152),kinematics!R152,0)</f>
        <v>0</v>
      </c>
      <c r="E310" s="18">
        <f ca="1">IF(ISNUMBER(kinematics!S152),kinematics!V152,0)</f>
        <v>0</v>
      </c>
      <c r="I310" s="11">
        <f t="shared" ca="1" si="23"/>
        <v>180</v>
      </c>
      <c r="J310" s="18">
        <f ca="1">IF(ISNUMBER(kinematics!S152),kinematics!T152,0)</f>
        <v>0</v>
      </c>
      <c r="K310" s="18">
        <f ca="1">IF(ISNUMBER(kinematics!S152),kinematics!W152,0)</f>
        <v>0</v>
      </c>
      <c r="M310" s="18">
        <f ca="1">IF(ISNUMBER(kinematics!S152),kinematics!R152,MAX($D$6:$D$186))</f>
        <v>180</v>
      </c>
      <c r="N310" s="18">
        <f ca="1">IF(ISNUMBER(kinematics!S152),kinematics!T152,0)</f>
        <v>0</v>
      </c>
      <c r="O310" s="18">
        <f ca="1">IF(ISNUMBER(kinematics!S152),kinematics!V152,0)</f>
        <v>0</v>
      </c>
      <c r="P310" s="18">
        <f ca="1">IF(ISNUMBER(kinematics!S152),kinematics!W152,0)</f>
        <v>0</v>
      </c>
      <c r="R310" s="11">
        <f t="shared" ca="1" si="20"/>
        <v>0</v>
      </c>
      <c r="S310" s="11">
        <f t="shared" ca="1" si="24"/>
        <v>0</v>
      </c>
    </row>
    <row r="311" spans="3:19" x14ac:dyDescent="0.2">
      <c r="C311" s="11">
        <f ca="1">IF(ISNUMBER(kinematics!S153),kinematics!S153,IF(ISNUMBER(kinematics!$S$30),MIN(kinematics!$S$30:$S$210),180))</f>
        <v>180</v>
      </c>
      <c r="D311" s="18">
        <f ca="1">IF(ISNUMBER(kinematics!S153),kinematics!R153,0)</f>
        <v>0</v>
      </c>
      <c r="E311" s="18">
        <f ca="1">IF(ISNUMBER(kinematics!S153),kinematics!V153,0)</f>
        <v>0</v>
      </c>
      <c r="I311" s="11">
        <f t="shared" ca="1" si="23"/>
        <v>180</v>
      </c>
      <c r="J311" s="18">
        <f ca="1">IF(ISNUMBER(kinematics!S153),kinematics!T153,0)</f>
        <v>0</v>
      </c>
      <c r="K311" s="18">
        <f ca="1">IF(ISNUMBER(kinematics!S153),kinematics!W153,0)</f>
        <v>0</v>
      </c>
      <c r="M311" s="18">
        <f ca="1">IF(ISNUMBER(kinematics!S153),kinematics!R153,MAX($D$6:$D$186))</f>
        <v>180</v>
      </c>
      <c r="N311" s="18">
        <f ca="1">IF(ISNUMBER(kinematics!S153),kinematics!T153,0)</f>
        <v>0</v>
      </c>
      <c r="O311" s="18">
        <f ca="1">IF(ISNUMBER(kinematics!S153),kinematics!V153,0)</f>
        <v>0</v>
      </c>
      <c r="P311" s="18">
        <f ca="1">IF(ISNUMBER(kinematics!S153),kinematics!W153,0)</f>
        <v>0</v>
      </c>
      <c r="R311" s="11">
        <f t="shared" ca="1" si="20"/>
        <v>0</v>
      </c>
      <c r="S311" s="11">
        <f t="shared" ca="1" si="24"/>
        <v>0</v>
      </c>
    </row>
    <row r="312" spans="3:19" x14ac:dyDescent="0.2">
      <c r="C312" s="11">
        <f ca="1">IF(ISNUMBER(kinematics!S154),kinematics!S154,IF(ISNUMBER(kinematics!$S$30),MIN(kinematics!$S$30:$S$210),180))</f>
        <v>180</v>
      </c>
      <c r="D312" s="18">
        <f ca="1">IF(ISNUMBER(kinematics!S154),kinematics!R154,0)</f>
        <v>0</v>
      </c>
      <c r="E312" s="18">
        <f ca="1">IF(ISNUMBER(kinematics!S154),kinematics!V154,0)</f>
        <v>0</v>
      </c>
      <c r="I312" s="11">
        <f t="shared" ca="1" si="23"/>
        <v>180</v>
      </c>
      <c r="J312" s="18">
        <f ca="1">IF(ISNUMBER(kinematics!S154),kinematics!T154,0)</f>
        <v>0</v>
      </c>
      <c r="K312" s="18">
        <f ca="1">IF(ISNUMBER(kinematics!S154),kinematics!W154,0)</f>
        <v>0</v>
      </c>
      <c r="M312" s="18">
        <f ca="1">IF(ISNUMBER(kinematics!S154),kinematics!R154,MAX($D$6:$D$186))</f>
        <v>180</v>
      </c>
      <c r="N312" s="18">
        <f ca="1">IF(ISNUMBER(kinematics!S154),kinematics!T154,0)</f>
        <v>0</v>
      </c>
      <c r="O312" s="18">
        <f ca="1">IF(ISNUMBER(kinematics!S154),kinematics!V154,0)</f>
        <v>0</v>
      </c>
      <c r="P312" s="18">
        <f ca="1">IF(ISNUMBER(kinematics!S154),kinematics!W154,0)</f>
        <v>0</v>
      </c>
      <c r="R312" s="11">
        <f t="shared" ca="1" si="20"/>
        <v>0</v>
      </c>
      <c r="S312" s="11">
        <f t="shared" ca="1" si="24"/>
        <v>0</v>
      </c>
    </row>
    <row r="313" spans="3:19" x14ac:dyDescent="0.2">
      <c r="C313" s="11">
        <f ca="1">IF(ISNUMBER(kinematics!S155),kinematics!S155,IF(ISNUMBER(kinematics!$S$30),MIN(kinematics!$S$30:$S$210),180))</f>
        <v>180</v>
      </c>
      <c r="D313" s="18">
        <f ca="1">IF(ISNUMBER(kinematics!S155),kinematics!R155,0)</f>
        <v>0</v>
      </c>
      <c r="E313" s="18">
        <f ca="1">IF(ISNUMBER(kinematics!S155),kinematics!V155,0)</f>
        <v>0</v>
      </c>
      <c r="I313" s="11">
        <f t="shared" ca="1" si="23"/>
        <v>180</v>
      </c>
      <c r="J313" s="18">
        <f ca="1">IF(ISNUMBER(kinematics!S155),kinematics!T155,0)</f>
        <v>0</v>
      </c>
      <c r="K313" s="18">
        <f ca="1">IF(ISNUMBER(kinematics!S155),kinematics!W155,0)</f>
        <v>0</v>
      </c>
      <c r="M313" s="18">
        <f ca="1">IF(ISNUMBER(kinematics!S155),kinematics!R155,MAX($D$6:$D$186))</f>
        <v>180</v>
      </c>
      <c r="N313" s="18">
        <f ca="1">IF(ISNUMBER(kinematics!S155),kinematics!T155,0)</f>
        <v>0</v>
      </c>
      <c r="O313" s="18">
        <f ca="1">IF(ISNUMBER(kinematics!S155),kinematics!V155,0)</f>
        <v>0</v>
      </c>
      <c r="P313" s="18">
        <f ca="1">IF(ISNUMBER(kinematics!S155),kinematics!W155,0)</f>
        <v>0</v>
      </c>
      <c r="R313" s="11">
        <f t="shared" ca="1" si="20"/>
        <v>0</v>
      </c>
      <c r="S313" s="11">
        <f t="shared" ca="1" si="24"/>
        <v>0</v>
      </c>
    </row>
    <row r="314" spans="3:19" x14ac:dyDescent="0.2">
      <c r="C314" s="11">
        <f ca="1">IF(ISNUMBER(kinematics!S156),kinematics!S156,IF(ISNUMBER(kinematics!$S$30),MIN(kinematics!$S$30:$S$210),180))</f>
        <v>180</v>
      </c>
      <c r="D314" s="18">
        <f ca="1">IF(ISNUMBER(kinematics!S156),kinematics!R156,0)</f>
        <v>0</v>
      </c>
      <c r="E314" s="18">
        <f ca="1">IF(ISNUMBER(kinematics!S156),kinematics!V156,0)</f>
        <v>0</v>
      </c>
      <c r="I314" s="11">
        <f t="shared" ca="1" si="23"/>
        <v>180</v>
      </c>
      <c r="J314" s="18">
        <f ca="1">IF(ISNUMBER(kinematics!S156),kinematics!T156,0)</f>
        <v>0</v>
      </c>
      <c r="K314" s="18">
        <f ca="1">IF(ISNUMBER(kinematics!S156),kinematics!W156,0)</f>
        <v>0</v>
      </c>
      <c r="M314" s="18">
        <f ca="1">IF(ISNUMBER(kinematics!S156),kinematics!R156,MAX($D$6:$D$186))</f>
        <v>180</v>
      </c>
      <c r="N314" s="18">
        <f ca="1">IF(ISNUMBER(kinematics!S156),kinematics!T156,0)</f>
        <v>0</v>
      </c>
      <c r="O314" s="18">
        <f ca="1">IF(ISNUMBER(kinematics!S156),kinematics!V156,0)</f>
        <v>0</v>
      </c>
      <c r="P314" s="18">
        <f ca="1">IF(ISNUMBER(kinematics!S156),kinematics!W156,0)</f>
        <v>0</v>
      </c>
      <c r="R314" s="11">
        <f t="shared" ca="1" si="20"/>
        <v>0</v>
      </c>
      <c r="S314" s="11">
        <f t="shared" ca="1" si="24"/>
        <v>0</v>
      </c>
    </row>
    <row r="315" spans="3:19" x14ac:dyDescent="0.2">
      <c r="C315" s="11">
        <f ca="1">IF(ISNUMBER(kinematics!S157),kinematics!S157,IF(ISNUMBER(kinematics!$S$30),MIN(kinematics!$S$30:$S$210),180))</f>
        <v>180</v>
      </c>
      <c r="D315" s="18">
        <f ca="1">IF(ISNUMBER(kinematics!S157),kinematics!R157,0)</f>
        <v>0</v>
      </c>
      <c r="E315" s="18">
        <f ca="1">IF(ISNUMBER(kinematics!S157),kinematics!V157,0)</f>
        <v>0</v>
      </c>
      <c r="I315" s="11">
        <f t="shared" ca="1" si="23"/>
        <v>180</v>
      </c>
      <c r="J315" s="18">
        <f ca="1">IF(ISNUMBER(kinematics!S157),kinematics!T157,0)</f>
        <v>0</v>
      </c>
      <c r="K315" s="18">
        <f ca="1">IF(ISNUMBER(kinematics!S157),kinematics!W157,0)</f>
        <v>0</v>
      </c>
      <c r="M315" s="18">
        <f ca="1">IF(ISNUMBER(kinematics!S157),kinematics!R157,MAX($D$6:$D$186))</f>
        <v>180</v>
      </c>
      <c r="N315" s="18">
        <f ca="1">IF(ISNUMBER(kinematics!S157),kinematics!T157,0)</f>
        <v>0</v>
      </c>
      <c r="O315" s="18">
        <f ca="1">IF(ISNUMBER(kinematics!S157),kinematics!V157,0)</f>
        <v>0</v>
      </c>
      <c r="P315" s="18">
        <f ca="1">IF(ISNUMBER(kinematics!S157),kinematics!W157,0)</f>
        <v>0</v>
      </c>
      <c r="R315" s="11">
        <f t="shared" ca="1" si="20"/>
        <v>0</v>
      </c>
      <c r="S315" s="11">
        <f t="shared" ca="1" si="24"/>
        <v>0</v>
      </c>
    </row>
    <row r="316" spans="3:19" x14ac:dyDescent="0.2">
      <c r="C316" s="11">
        <f ca="1">IF(ISNUMBER(kinematics!S158),kinematics!S158,IF(ISNUMBER(kinematics!$S$30),MIN(kinematics!$S$30:$S$210),180))</f>
        <v>180</v>
      </c>
      <c r="D316" s="18">
        <f ca="1">IF(ISNUMBER(kinematics!S158),kinematics!R158,0)</f>
        <v>0</v>
      </c>
      <c r="E316" s="18">
        <f ca="1">IF(ISNUMBER(kinematics!S158),kinematics!V158,0)</f>
        <v>0</v>
      </c>
      <c r="I316" s="11">
        <f t="shared" ca="1" si="23"/>
        <v>180</v>
      </c>
      <c r="J316" s="18">
        <f ca="1">IF(ISNUMBER(kinematics!S158),kinematics!T158,0)</f>
        <v>0</v>
      </c>
      <c r="K316" s="18">
        <f ca="1">IF(ISNUMBER(kinematics!S158),kinematics!W158,0)</f>
        <v>0</v>
      </c>
      <c r="M316" s="18">
        <f ca="1">IF(ISNUMBER(kinematics!S158),kinematics!R158,MAX($D$6:$D$186))</f>
        <v>180</v>
      </c>
      <c r="N316" s="18">
        <f ca="1">IF(ISNUMBER(kinematics!S158),kinematics!T158,0)</f>
        <v>0</v>
      </c>
      <c r="O316" s="18">
        <f ca="1">IF(ISNUMBER(kinematics!S158),kinematics!V158,0)</f>
        <v>0</v>
      </c>
      <c r="P316" s="18">
        <f ca="1">IF(ISNUMBER(kinematics!S158),kinematics!W158,0)</f>
        <v>0</v>
      </c>
      <c r="R316" s="11">
        <f t="shared" ca="1" si="20"/>
        <v>0</v>
      </c>
      <c r="S316" s="11">
        <f t="shared" ca="1" si="24"/>
        <v>0</v>
      </c>
    </row>
    <row r="317" spans="3:19" x14ac:dyDescent="0.2">
      <c r="C317" s="11">
        <f ca="1">IF(ISNUMBER(kinematics!S159),kinematics!S159,IF(ISNUMBER(kinematics!$S$30),MIN(kinematics!$S$30:$S$210),180))</f>
        <v>180</v>
      </c>
      <c r="D317" s="18">
        <f ca="1">IF(ISNUMBER(kinematics!S159),kinematics!R159,0)</f>
        <v>0</v>
      </c>
      <c r="E317" s="18">
        <f ca="1">IF(ISNUMBER(kinematics!S159),kinematics!V159,0)</f>
        <v>0</v>
      </c>
      <c r="I317" s="11">
        <f t="shared" ca="1" si="23"/>
        <v>180</v>
      </c>
      <c r="J317" s="18">
        <f ca="1">IF(ISNUMBER(kinematics!S159),kinematics!T159,0)</f>
        <v>0</v>
      </c>
      <c r="K317" s="18">
        <f ca="1">IF(ISNUMBER(kinematics!S159),kinematics!W159,0)</f>
        <v>0</v>
      </c>
      <c r="M317" s="18">
        <f ca="1">IF(ISNUMBER(kinematics!S159),kinematics!R159,MAX($D$6:$D$186))</f>
        <v>180</v>
      </c>
      <c r="N317" s="18">
        <f ca="1">IF(ISNUMBER(kinematics!S159),kinematics!T159,0)</f>
        <v>0</v>
      </c>
      <c r="O317" s="18">
        <f ca="1">IF(ISNUMBER(kinematics!S159),kinematics!V159,0)</f>
        <v>0</v>
      </c>
      <c r="P317" s="18">
        <f ca="1">IF(ISNUMBER(kinematics!S159),kinematics!W159,0)</f>
        <v>0</v>
      </c>
      <c r="R317" s="11">
        <f ca="1">O317</f>
        <v>0</v>
      </c>
      <c r="S317" s="11">
        <f t="shared" ca="1" si="24"/>
        <v>0</v>
      </c>
    </row>
    <row r="318" spans="3:19" x14ac:dyDescent="0.2">
      <c r="C318" s="11">
        <f ca="1">IF(ISNUMBER(kinematics!S160),kinematics!S160,IF(ISNUMBER(kinematics!$S$30),MIN(kinematics!$S$30:$S$210),180))</f>
        <v>180</v>
      </c>
      <c r="D318" s="18">
        <f ca="1">IF(ISNUMBER(kinematics!S160),kinematics!R160,0)</f>
        <v>0</v>
      </c>
      <c r="E318" s="18">
        <f ca="1">IF(ISNUMBER(kinematics!S160),kinematics!V160,0)</f>
        <v>0</v>
      </c>
      <c r="I318" s="11">
        <f t="shared" ca="1" si="23"/>
        <v>180</v>
      </c>
      <c r="J318" s="18">
        <f ca="1">IF(ISNUMBER(kinematics!S160),kinematics!T160,0)</f>
        <v>0</v>
      </c>
      <c r="K318" s="18">
        <f ca="1">IF(ISNUMBER(kinematics!S160),kinematics!W160,0)</f>
        <v>0</v>
      </c>
      <c r="M318" s="18">
        <f ca="1">IF(ISNUMBER(kinematics!S160),kinematics!R160,MAX($D$6:$D$186))</f>
        <v>180</v>
      </c>
      <c r="N318" s="18">
        <f ca="1">IF(ISNUMBER(kinematics!S160),kinematics!T160,0)</f>
        <v>0</v>
      </c>
      <c r="O318" s="18">
        <f ca="1">IF(ISNUMBER(kinematics!S160),kinematics!V160,0)</f>
        <v>0</v>
      </c>
      <c r="P318" s="18">
        <f ca="1">IF(ISNUMBER(kinematics!S160),kinematics!W160,0)</f>
        <v>0</v>
      </c>
      <c r="R318" s="11">
        <f t="shared" ca="1" si="20"/>
        <v>0</v>
      </c>
      <c r="S318" s="11">
        <f t="shared" ca="1" si="24"/>
        <v>0</v>
      </c>
    </row>
    <row r="319" spans="3:19" x14ac:dyDescent="0.2">
      <c r="C319" s="11">
        <f ca="1">IF(ISNUMBER(kinematics!S161),kinematics!S161,IF(ISNUMBER(kinematics!$S$30),MIN(kinematics!$S$30:$S$210),180))</f>
        <v>180</v>
      </c>
      <c r="D319" s="18">
        <f ca="1">IF(ISNUMBER(kinematics!S161),kinematics!R161,0)</f>
        <v>0</v>
      </c>
      <c r="E319" s="18">
        <f ca="1">IF(ISNUMBER(kinematics!S161),kinematics!V161,0)</f>
        <v>0</v>
      </c>
      <c r="I319" s="11">
        <f t="shared" ca="1" si="23"/>
        <v>180</v>
      </c>
      <c r="J319" s="18">
        <f ca="1">IF(ISNUMBER(kinematics!S161),kinematics!T161,0)</f>
        <v>0</v>
      </c>
      <c r="K319" s="18">
        <f ca="1">IF(ISNUMBER(kinematics!S161),kinematics!W161,0)</f>
        <v>0</v>
      </c>
      <c r="M319" s="18">
        <f ca="1">IF(ISNUMBER(kinematics!S161),kinematics!R161,MAX($D$6:$D$186))</f>
        <v>180</v>
      </c>
      <c r="N319" s="18">
        <f ca="1">IF(ISNUMBER(kinematics!S161),kinematics!T161,0)</f>
        <v>0</v>
      </c>
      <c r="O319" s="18">
        <f ca="1">IF(ISNUMBER(kinematics!S161),kinematics!V161,0)</f>
        <v>0</v>
      </c>
      <c r="P319" s="18">
        <f ca="1">IF(ISNUMBER(kinematics!S161),kinematics!W161,0)</f>
        <v>0</v>
      </c>
      <c r="R319" s="11">
        <f t="shared" ca="1" si="20"/>
        <v>0</v>
      </c>
      <c r="S319" s="11">
        <f t="shared" ca="1" si="24"/>
        <v>0</v>
      </c>
    </row>
    <row r="320" spans="3:19" x14ac:dyDescent="0.2">
      <c r="C320" s="11">
        <f ca="1">IF(ISNUMBER(kinematics!S162),kinematics!S162,IF(ISNUMBER(kinematics!$S$30),MIN(kinematics!$S$30:$S$210),180))</f>
        <v>180</v>
      </c>
      <c r="D320" s="18">
        <f ca="1">IF(ISNUMBER(kinematics!S162),kinematics!R162,0)</f>
        <v>0</v>
      </c>
      <c r="E320" s="18">
        <f ca="1">IF(ISNUMBER(kinematics!S162),kinematics!V162,0)</f>
        <v>0</v>
      </c>
      <c r="I320" s="11">
        <f t="shared" ca="1" si="23"/>
        <v>180</v>
      </c>
      <c r="J320" s="18">
        <f ca="1">IF(ISNUMBER(kinematics!S162),kinematics!T162,0)</f>
        <v>0</v>
      </c>
      <c r="K320" s="18">
        <f ca="1">IF(ISNUMBER(kinematics!S162),kinematics!W162,0)</f>
        <v>0</v>
      </c>
      <c r="M320" s="18">
        <f ca="1">IF(ISNUMBER(kinematics!S162),kinematics!R162,MAX($D$6:$D$186))</f>
        <v>180</v>
      </c>
      <c r="N320" s="18">
        <f ca="1">IF(ISNUMBER(kinematics!S162),kinematics!T162,0)</f>
        <v>0</v>
      </c>
      <c r="O320" s="18">
        <f ca="1">IF(ISNUMBER(kinematics!S162),kinematics!V162,0)</f>
        <v>0</v>
      </c>
      <c r="P320" s="18">
        <f ca="1">IF(ISNUMBER(kinematics!S162),kinematics!W162,0)</f>
        <v>0</v>
      </c>
      <c r="R320" s="11">
        <f t="shared" ca="1" si="20"/>
        <v>0</v>
      </c>
      <c r="S320" s="11">
        <f t="shared" ca="1" si="24"/>
        <v>0</v>
      </c>
    </row>
    <row r="321" spans="3:19" x14ac:dyDescent="0.2">
      <c r="C321" s="11">
        <f ca="1">IF(ISNUMBER(kinematics!S163),kinematics!S163,IF(ISNUMBER(kinematics!$S$30),MIN(kinematics!$S$30:$S$210),180))</f>
        <v>180</v>
      </c>
      <c r="D321" s="18">
        <f ca="1">IF(ISNUMBER(kinematics!S163),kinematics!R163,0)</f>
        <v>0</v>
      </c>
      <c r="E321" s="18">
        <f ca="1">IF(ISNUMBER(kinematics!S163),kinematics!V163,0)</f>
        <v>0</v>
      </c>
      <c r="I321" s="11">
        <f t="shared" ca="1" si="23"/>
        <v>180</v>
      </c>
      <c r="J321" s="18">
        <f ca="1">IF(ISNUMBER(kinematics!S163),kinematics!T163,0)</f>
        <v>0</v>
      </c>
      <c r="K321" s="18">
        <f ca="1">IF(ISNUMBER(kinematics!S163),kinematics!W163,0)</f>
        <v>0</v>
      </c>
      <c r="M321" s="18">
        <f ca="1">IF(ISNUMBER(kinematics!S163),kinematics!R163,MAX($D$6:$D$186))</f>
        <v>180</v>
      </c>
      <c r="N321" s="18">
        <f ca="1">IF(ISNUMBER(kinematics!S163),kinematics!T163,0)</f>
        <v>0</v>
      </c>
      <c r="O321" s="18">
        <f ca="1">IF(ISNUMBER(kinematics!S163),kinematics!V163,0)</f>
        <v>0</v>
      </c>
      <c r="P321" s="18">
        <f ca="1">IF(ISNUMBER(kinematics!S163),kinematics!W163,0)</f>
        <v>0</v>
      </c>
      <c r="R321" s="11">
        <f t="shared" ca="1" si="20"/>
        <v>0</v>
      </c>
      <c r="S321" s="11">
        <f t="shared" ca="1" si="24"/>
        <v>0</v>
      </c>
    </row>
    <row r="322" spans="3:19" x14ac:dyDescent="0.2">
      <c r="C322" s="11">
        <f ca="1">IF(ISNUMBER(kinematics!S164),kinematics!S164,IF(ISNUMBER(kinematics!$S$30),MIN(kinematics!$S$30:$S$210),180))</f>
        <v>180</v>
      </c>
      <c r="D322" s="18">
        <f ca="1">IF(ISNUMBER(kinematics!S164),kinematics!R164,0)</f>
        <v>0</v>
      </c>
      <c r="E322" s="18">
        <f ca="1">IF(ISNUMBER(kinematics!S164),kinematics!V164,0)</f>
        <v>0</v>
      </c>
      <c r="I322" s="11">
        <f t="shared" ca="1" si="23"/>
        <v>180</v>
      </c>
      <c r="J322" s="18">
        <f ca="1">IF(ISNUMBER(kinematics!S164),kinematics!T164,0)</f>
        <v>0</v>
      </c>
      <c r="K322" s="18">
        <f ca="1">IF(ISNUMBER(kinematics!S164),kinematics!W164,0)</f>
        <v>0</v>
      </c>
      <c r="M322" s="18">
        <f ca="1">IF(ISNUMBER(kinematics!S164),kinematics!R164,MAX($D$6:$D$186))</f>
        <v>180</v>
      </c>
      <c r="N322" s="18">
        <f ca="1">IF(ISNUMBER(kinematics!S164),kinematics!T164,0)</f>
        <v>0</v>
      </c>
      <c r="O322" s="18">
        <f ca="1">IF(ISNUMBER(kinematics!S164),kinematics!V164,0)</f>
        <v>0</v>
      </c>
      <c r="P322" s="18">
        <f ca="1">IF(ISNUMBER(kinematics!S164),kinematics!W164,0)</f>
        <v>0</v>
      </c>
      <c r="R322" s="11">
        <f t="shared" ca="1" si="20"/>
        <v>0</v>
      </c>
      <c r="S322" s="11">
        <f t="shared" ca="1" si="24"/>
        <v>0</v>
      </c>
    </row>
    <row r="323" spans="3:19" x14ac:dyDescent="0.2">
      <c r="C323" s="11">
        <f ca="1">IF(ISNUMBER(kinematics!S165),kinematics!S165,IF(ISNUMBER(kinematics!$S$30),MIN(kinematics!$S$30:$S$210),180))</f>
        <v>180</v>
      </c>
      <c r="D323" s="18">
        <f ca="1">IF(ISNUMBER(kinematics!S165),kinematics!R165,0)</f>
        <v>0</v>
      </c>
      <c r="E323" s="18">
        <f ca="1">IF(ISNUMBER(kinematics!S165),kinematics!V165,0)</f>
        <v>0</v>
      </c>
      <c r="I323" s="11">
        <f t="shared" ca="1" si="23"/>
        <v>180</v>
      </c>
      <c r="J323" s="18">
        <f ca="1">IF(ISNUMBER(kinematics!S165),kinematics!T165,0)</f>
        <v>0</v>
      </c>
      <c r="K323" s="18">
        <f ca="1">IF(ISNUMBER(kinematics!S165),kinematics!W165,0)</f>
        <v>0</v>
      </c>
      <c r="M323" s="18">
        <f ca="1">IF(ISNUMBER(kinematics!S165),kinematics!R165,MAX($D$6:$D$186))</f>
        <v>180</v>
      </c>
      <c r="N323" s="18">
        <f ca="1">IF(ISNUMBER(kinematics!S165),kinematics!T165,0)</f>
        <v>0</v>
      </c>
      <c r="O323" s="18">
        <f ca="1">IF(ISNUMBER(kinematics!S165),kinematics!V165,0)</f>
        <v>0</v>
      </c>
      <c r="P323" s="18">
        <f ca="1">IF(ISNUMBER(kinematics!S165),kinematics!W165,0)</f>
        <v>0</v>
      </c>
      <c r="R323" s="11">
        <f t="shared" ca="1" si="20"/>
        <v>0</v>
      </c>
      <c r="S323" s="11">
        <f t="shared" ca="1" si="24"/>
        <v>0</v>
      </c>
    </row>
    <row r="324" spans="3:19" x14ac:dyDescent="0.2">
      <c r="C324" s="11">
        <f ca="1">IF(ISNUMBER(kinematics!S166),kinematics!S166,IF(ISNUMBER(kinematics!$S$30),MIN(kinematics!$S$30:$S$210),180))</f>
        <v>180</v>
      </c>
      <c r="D324" s="18">
        <f ca="1">IF(ISNUMBER(kinematics!S166),kinematics!R166,0)</f>
        <v>0</v>
      </c>
      <c r="E324" s="18">
        <f ca="1">IF(ISNUMBER(kinematics!S166),kinematics!V166,0)</f>
        <v>0</v>
      </c>
      <c r="I324" s="11">
        <f t="shared" ca="1" si="23"/>
        <v>180</v>
      </c>
      <c r="J324" s="18">
        <f ca="1">IF(ISNUMBER(kinematics!S166),kinematics!T166,0)</f>
        <v>0</v>
      </c>
      <c r="K324" s="18">
        <f ca="1">IF(ISNUMBER(kinematics!S166),kinematics!W166,0)</f>
        <v>0</v>
      </c>
      <c r="M324" s="18">
        <f ca="1">IF(ISNUMBER(kinematics!S166),kinematics!R166,MAX($D$6:$D$186))</f>
        <v>180</v>
      </c>
      <c r="N324" s="18">
        <f ca="1">IF(ISNUMBER(kinematics!S166),kinematics!T166,0)</f>
        <v>0</v>
      </c>
      <c r="O324" s="18">
        <f ca="1">IF(ISNUMBER(kinematics!S166),kinematics!V166,0)</f>
        <v>0</v>
      </c>
      <c r="P324" s="18">
        <f ca="1">IF(ISNUMBER(kinematics!S166),kinematics!W166,0)</f>
        <v>0</v>
      </c>
      <c r="R324" s="11">
        <f t="shared" ca="1" si="20"/>
        <v>0</v>
      </c>
      <c r="S324" s="11">
        <f t="shared" ca="1" si="24"/>
        <v>0</v>
      </c>
    </row>
    <row r="325" spans="3:19" x14ac:dyDescent="0.2">
      <c r="C325" s="11">
        <f ca="1">IF(ISNUMBER(kinematics!S167),kinematics!S167,IF(ISNUMBER(kinematics!$S$30),MIN(kinematics!$S$30:$S$210),180))</f>
        <v>180</v>
      </c>
      <c r="D325" s="18">
        <f ca="1">IF(ISNUMBER(kinematics!S167),kinematics!R167,0)</f>
        <v>0</v>
      </c>
      <c r="E325" s="18">
        <f ca="1">IF(ISNUMBER(kinematics!S167),kinematics!V167,0)</f>
        <v>0</v>
      </c>
      <c r="I325" s="11">
        <f t="shared" ca="1" si="23"/>
        <v>180</v>
      </c>
      <c r="J325" s="18">
        <f ca="1">IF(ISNUMBER(kinematics!S167),kinematics!T167,0)</f>
        <v>0</v>
      </c>
      <c r="K325" s="18">
        <f ca="1">IF(ISNUMBER(kinematics!S167),kinematics!W167,0)</f>
        <v>0</v>
      </c>
      <c r="M325" s="18">
        <f ca="1">IF(ISNUMBER(kinematics!S167),kinematics!R167,MAX($D$6:$D$186))</f>
        <v>180</v>
      </c>
      <c r="N325" s="18">
        <f ca="1">IF(ISNUMBER(kinematics!S167),kinematics!T167,0)</f>
        <v>0</v>
      </c>
      <c r="O325" s="18">
        <f ca="1">IF(ISNUMBER(kinematics!S167),kinematics!V167,0)</f>
        <v>0</v>
      </c>
      <c r="P325" s="18">
        <f ca="1">IF(ISNUMBER(kinematics!S167),kinematics!W167,0)</f>
        <v>0</v>
      </c>
      <c r="R325" s="11">
        <f t="shared" ca="1" si="20"/>
        <v>0</v>
      </c>
      <c r="S325" s="11">
        <f t="shared" ca="1" si="24"/>
        <v>0</v>
      </c>
    </row>
    <row r="326" spans="3:19" x14ac:dyDescent="0.2">
      <c r="C326" s="11">
        <f ca="1">IF(ISNUMBER(kinematics!S168),kinematics!S168,IF(ISNUMBER(kinematics!$S$30),MIN(kinematics!$S$30:$S$210),180))</f>
        <v>180</v>
      </c>
      <c r="D326" s="18">
        <f ca="1">IF(ISNUMBER(kinematics!S168),kinematics!R168,0)</f>
        <v>0</v>
      </c>
      <c r="E326" s="18">
        <f ca="1">IF(ISNUMBER(kinematics!S168),kinematics!V168,0)</f>
        <v>0</v>
      </c>
      <c r="I326" s="11">
        <f t="shared" ca="1" si="23"/>
        <v>180</v>
      </c>
      <c r="J326" s="18">
        <f ca="1">IF(ISNUMBER(kinematics!S168),kinematics!T168,0)</f>
        <v>0</v>
      </c>
      <c r="K326" s="18">
        <f ca="1">IF(ISNUMBER(kinematics!S168),kinematics!W168,0)</f>
        <v>0</v>
      </c>
      <c r="M326" s="18">
        <f ca="1">IF(ISNUMBER(kinematics!S168),kinematics!R168,MAX($D$6:$D$186))</f>
        <v>180</v>
      </c>
      <c r="N326" s="18">
        <f ca="1">IF(ISNUMBER(kinematics!S168),kinematics!T168,0)</f>
        <v>0</v>
      </c>
      <c r="O326" s="18">
        <f ca="1">IF(ISNUMBER(kinematics!S168),kinematics!V168,0)</f>
        <v>0</v>
      </c>
      <c r="P326" s="18">
        <f ca="1">IF(ISNUMBER(kinematics!S168),kinematics!W168,0)</f>
        <v>0</v>
      </c>
      <c r="R326" s="11">
        <f t="shared" ca="1" si="20"/>
        <v>0</v>
      </c>
      <c r="S326" s="11">
        <f t="shared" ref="S326:S367" ca="1" si="25">P326</f>
        <v>0</v>
      </c>
    </row>
    <row r="327" spans="3:19" x14ac:dyDescent="0.2">
      <c r="C327" s="11">
        <f ca="1">IF(ISNUMBER(kinematics!S169),kinematics!S169,IF(ISNUMBER(kinematics!$S$30),MIN(kinematics!$S$30:$S$210),180))</f>
        <v>180</v>
      </c>
      <c r="D327" s="18">
        <f ca="1">IF(ISNUMBER(kinematics!S169),kinematics!R169,0)</f>
        <v>0</v>
      </c>
      <c r="E327" s="18">
        <f ca="1">IF(ISNUMBER(kinematics!S169),kinematics!V169,0)</f>
        <v>0</v>
      </c>
      <c r="I327" s="11">
        <f t="shared" ca="1" si="23"/>
        <v>180</v>
      </c>
      <c r="J327" s="18">
        <f ca="1">IF(ISNUMBER(kinematics!S169),kinematics!T169,0)</f>
        <v>0</v>
      </c>
      <c r="K327" s="18">
        <f ca="1">IF(ISNUMBER(kinematics!S169),kinematics!W169,0)</f>
        <v>0</v>
      </c>
      <c r="M327" s="18">
        <f ca="1">IF(ISNUMBER(kinematics!S169),kinematics!R169,MAX($D$6:$D$186))</f>
        <v>180</v>
      </c>
      <c r="N327" s="18">
        <f ca="1">IF(ISNUMBER(kinematics!S169),kinematics!T169,0)</f>
        <v>0</v>
      </c>
      <c r="O327" s="18">
        <f ca="1">IF(ISNUMBER(kinematics!S169),kinematics!V169,0)</f>
        <v>0</v>
      </c>
      <c r="P327" s="18">
        <f ca="1">IF(ISNUMBER(kinematics!S169),kinematics!W169,0)</f>
        <v>0</v>
      </c>
      <c r="R327" s="11">
        <f t="shared" ref="R327:R368" ca="1" si="26">O327</f>
        <v>0</v>
      </c>
      <c r="S327" s="11">
        <f t="shared" ca="1" si="25"/>
        <v>0</v>
      </c>
    </row>
    <row r="328" spans="3:19" x14ac:dyDescent="0.2">
      <c r="C328" s="11">
        <f ca="1">IF(ISNUMBER(kinematics!S170),kinematics!S170,IF(ISNUMBER(kinematics!$S$30),MIN(kinematics!$S$30:$S$210),180))</f>
        <v>180</v>
      </c>
      <c r="D328" s="18">
        <f ca="1">IF(ISNUMBER(kinematics!S170),kinematics!R170,0)</f>
        <v>0</v>
      </c>
      <c r="E328" s="18">
        <f ca="1">IF(ISNUMBER(kinematics!S170),kinematics!V170,0)</f>
        <v>0</v>
      </c>
      <c r="I328" s="11">
        <f t="shared" ref="I328:I368" ca="1" si="27">C328</f>
        <v>180</v>
      </c>
      <c r="J328" s="18">
        <f ca="1">IF(ISNUMBER(kinematics!S170),kinematics!T170,0)</f>
        <v>0</v>
      </c>
      <c r="K328" s="18">
        <f ca="1">IF(ISNUMBER(kinematics!S170),kinematics!W170,0)</f>
        <v>0</v>
      </c>
      <c r="M328" s="18">
        <f ca="1">IF(ISNUMBER(kinematics!S170),kinematics!R170,MAX($D$6:$D$186))</f>
        <v>180</v>
      </c>
      <c r="N328" s="18">
        <f ca="1">IF(ISNUMBER(kinematics!S170),kinematics!T170,0)</f>
        <v>0</v>
      </c>
      <c r="O328" s="18">
        <f ca="1">IF(ISNUMBER(kinematics!S170),kinematics!V170,0)</f>
        <v>0</v>
      </c>
      <c r="P328" s="18">
        <f ca="1">IF(ISNUMBER(kinematics!S170),kinematics!W170,0)</f>
        <v>0</v>
      </c>
      <c r="R328" s="11">
        <f t="shared" ca="1" si="26"/>
        <v>0</v>
      </c>
      <c r="S328" s="11">
        <f t="shared" ca="1" si="25"/>
        <v>0</v>
      </c>
    </row>
    <row r="329" spans="3:19" x14ac:dyDescent="0.2">
      <c r="C329" s="11">
        <f ca="1">IF(ISNUMBER(kinematics!S171),kinematics!S171,IF(ISNUMBER(kinematics!$S$30),MIN(kinematics!$S$30:$S$210),180))</f>
        <v>180</v>
      </c>
      <c r="D329" s="18">
        <f ca="1">IF(ISNUMBER(kinematics!S171),kinematics!R171,0)</f>
        <v>0</v>
      </c>
      <c r="E329" s="18">
        <f ca="1">IF(ISNUMBER(kinematics!S171),kinematics!V171,0)</f>
        <v>0</v>
      </c>
      <c r="I329" s="11">
        <f t="shared" ca="1" si="27"/>
        <v>180</v>
      </c>
      <c r="J329" s="18">
        <f ca="1">IF(ISNUMBER(kinematics!S171),kinematics!T171,0)</f>
        <v>0</v>
      </c>
      <c r="K329" s="18">
        <f ca="1">IF(ISNUMBER(kinematics!S171),kinematics!W171,0)</f>
        <v>0</v>
      </c>
      <c r="M329" s="18">
        <f ca="1">IF(ISNUMBER(kinematics!S171),kinematics!R171,MAX($D$6:$D$186))</f>
        <v>180</v>
      </c>
      <c r="N329" s="18">
        <f ca="1">IF(ISNUMBER(kinematics!S171),kinematics!T171,0)</f>
        <v>0</v>
      </c>
      <c r="O329" s="18">
        <f ca="1">IF(ISNUMBER(kinematics!S171),kinematics!V171,0)</f>
        <v>0</v>
      </c>
      <c r="P329" s="18">
        <f ca="1">IF(ISNUMBER(kinematics!S171),kinematics!W171,0)</f>
        <v>0</v>
      </c>
      <c r="R329" s="11">
        <f t="shared" ca="1" si="26"/>
        <v>0</v>
      </c>
      <c r="S329" s="11">
        <f t="shared" ca="1" si="25"/>
        <v>0</v>
      </c>
    </row>
    <row r="330" spans="3:19" x14ac:dyDescent="0.2">
      <c r="C330" s="11">
        <f ca="1">IF(ISNUMBER(kinematics!S172),kinematics!S172,IF(ISNUMBER(kinematics!$S$30),MIN(kinematics!$S$30:$S$210),180))</f>
        <v>180</v>
      </c>
      <c r="D330" s="18">
        <f ca="1">IF(ISNUMBER(kinematics!S172),kinematics!R172,0)</f>
        <v>0</v>
      </c>
      <c r="E330" s="18">
        <f ca="1">IF(ISNUMBER(kinematics!S172),kinematics!V172,0)</f>
        <v>0</v>
      </c>
      <c r="I330" s="11">
        <f t="shared" ca="1" si="27"/>
        <v>180</v>
      </c>
      <c r="J330" s="18">
        <f ca="1">IF(ISNUMBER(kinematics!S172),kinematics!T172,0)</f>
        <v>0</v>
      </c>
      <c r="K330" s="18">
        <f ca="1">IF(ISNUMBER(kinematics!S172),kinematics!W172,0)</f>
        <v>0</v>
      </c>
      <c r="M330" s="18">
        <f ca="1">IF(ISNUMBER(kinematics!S172),kinematics!R172,MAX($D$6:$D$186))</f>
        <v>180</v>
      </c>
      <c r="N330" s="18">
        <f ca="1">IF(ISNUMBER(kinematics!S172),kinematics!T172,0)</f>
        <v>0</v>
      </c>
      <c r="O330" s="18">
        <f ca="1">IF(ISNUMBER(kinematics!S172),kinematics!V172,0)</f>
        <v>0</v>
      </c>
      <c r="P330" s="18">
        <f ca="1">IF(ISNUMBER(kinematics!S172),kinematics!W172,0)</f>
        <v>0</v>
      </c>
      <c r="R330" s="11">
        <f t="shared" ca="1" si="26"/>
        <v>0</v>
      </c>
      <c r="S330" s="11">
        <f t="shared" ca="1" si="25"/>
        <v>0</v>
      </c>
    </row>
    <row r="331" spans="3:19" x14ac:dyDescent="0.2">
      <c r="C331" s="11">
        <f ca="1">IF(ISNUMBER(kinematics!S173),kinematics!S173,IF(ISNUMBER(kinematics!$S$30),MIN(kinematics!$S$30:$S$210),180))</f>
        <v>180</v>
      </c>
      <c r="D331" s="18">
        <f ca="1">IF(ISNUMBER(kinematics!S173),kinematics!R173,0)</f>
        <v>0</v>
      </c>
      <c r="E331" s="18">
        <f ca="1">IF(ISNUMBER(kinematics!S173),kinematics!V173,0)</f>
        <v>0</v>
      </c>
      <c r="I331" s="11">
        <f t="shared" ca="1" si="27"/>
        <v>180</v>
      </c>
      <c r="J331" s="18">
        <f ca="1">IF(ISNUMBER(kinematics!S173),kinematics!T173,0)</f>
        <v>0</v>
      </c>
      <c r="K331" s="18">
        <f ca="1">IF(ISNUMBER(kinematics!S173),kinematics!W173,0)</f>
        <v>0</v>
      </c>
      <c r="M331" s="18">
        <f ca="1">IF(ISNUMBER(kinematics!S173),kinematics!R173,MAX($D$6:$D$186))</f>
        <v>180</v>
      </c>
      <c r="N331" s="18">
        <f ca="1">IF(ISNUMBER(kinematics!S173),kinematics!T173,0)</f>
        <v>0</v>
      </c>
      <c r="O331" s="18">
        <f ca="1">IF(ISNUMBER(kinematics!S173),kinematics!V173,0)</f>
        <v>0</v>
      </c>
      <c r="P331" s="18">
        <f ca="1">IF(ISNUMBER(kinematics!S173),kinematics!W173,0)</f>
        <v>0</v>
      </c>
      <c r="R331" s="11">
        <f t="shared" ca="1" si="26"/>
        <v>0</v>
      </c>
      <c r="S331" s="11">
        <f t="shared" ca="1" si="25"/>
        <v>0</v>
      </c>
    </row>
    <row r="332" spans="3:19" x14ac:dyDescent="0.2">
      <c r="C332" s="11">
        <f ca="1">IF(ISNUMBER(kinematics!S174),kinematics!S174,IF(ISNUMBER(kinematics!$S$30),MIN(kinematics!$S$30:$S$210),180))</f>
        <v>180</v>
      </c>
      <c r="D332" s="18">
        <f ca="1">IF(ISNUMBER(kinematics!S174),kinematics!R174,0)</f>
        <v>0</v>
      </c>
      <c r="E332" s="18">
        <f ca="1">IF(ISNUMBER(kinematics!S174),kinematics!V174,0)</f>
        <v>0</v>
      </c>
      <c r="I332" s="11">
        <f t="shared" ca="1" si="27"/>
        <v>180</v>
      </c>
      <c r="J332" s="18">
        <f ca="1">IF(ISNUMBER(kinematics!S174),kinematics!T174,0)</f>
        <v>0</v>
      </c>
      <c r="K332" s="18">
        <f ca="1">IF(ISNUMBER(kinematics!S174),kinematics!W174,0)</f>
        <v>0</v>
      </c>
      <c r="M332" s="18">
        <f ca="1">IF(ISNUMBER(kinematics!S174),kinematics!R174,MAX($D$6:$D$186))</f>
        <v>180</v>
      </c>
      <c r="N332" s="18">
        <f ca="1">IF(ISNUMBER(kinematics!S174),kinematics!T174,0)</f>
        <v>0</v>
      </c>
      <c r="O332" s="18">
        <f ca="1">IF(ISNUMBER(kinematics!S174),kinematics!V174,0)</f>
        <v>0</v>
      </c>
      <c r="P332" s="18">
        <f ca="1">IF(ISNUMBER(kinematics!S174),kinematics!W174,0)</f>
        <v>0</v>
      </c>
      <c r="R332" s="11">
        <f t="shared" ca="1" si="26"/>
        <v>0</v>
      </c>
      <c r="S332" s="11">
        <f t="shared" ca="1" si="25"/>
        <v>0</v>
      </c>
    </row>
    <row r="333" spans="3:19" x14ac:dyDescent="0.2">
      <c r="C333" s="11">
        <f ca="1">IF(ISNUMBER(kinematics!S175),kinematics!S175,IF(ISNUMBER(kinematics!$S$30),MIN(kinematics!$S$30:$S$210),180))</f>
        <v>180</v>
      </c>
      <c r="D333" s="18">
        <f ca="1">IF(ISNUMBER(kinematics!S175),kinematics!R175,0)</f>
        <v>0</v>
      </c>
      <c r="E333" s="18">
        <f ca="1">IF(ISNUMBER(kinematics!S175),kinematics!V175,0)</f>
        <v>0</v>
      </c>
      <c r="I333" s="11">
        <f t="shared" ca="1" si="27"/>
        <v>180</v>
      </c>
      <c r="J333" s="18">
        <f ca="1">IF(ISNUMBER(kinematics!S175),kinematics!T175,0)</f>
        <v>0</v>
      </c>
      <c r="K333" s="18">
        <f ca="1">IF(ISNUMBER(kinematics!S175),kinematics!W175,0)</f>
        <v>0</v>
      </c>
      <c r="M333" s="18">
        <f ca="1">IF(ISNUMBER(kinematics!S175),kinematics!R175,MAX($D$6:$D$186))</f>
        <v>180</v>
      </c>
      <c r="N333" s="18">
        <f ca="1">IF(ISNUMBER(kinematics!S175),kinematics!T175,0)</f>
        <v>0</v>
      </c>
      <c r="O333" s="18">
        <f ca="1">IF(ISNUMBER(kinematics!S175),kinematics!V175,0)</f>
        <v>0</v>
      </c>
      <c r="P333" s="18">
        <f ca="1">IF(ISNUMBER(kinematics!S175),kinematics!W175,0)</f>
        <v>0</v>
      </c>
      <c r="R333" s="11">
        <f t="shared" ca="1" si="26"/>
        <v>0</v>
      </c>
      <c r="S333" s="11">
        <f t="shared" ca="1" si="25"/>
        <v>0</v>
      </c>
    </row>
    <row r="334" spans="3:19" x14ac:dyDescent="0.2">
      <c r="C334" s="11">
        <f ca="1">IF(ISNUMBER(kinematics!S176),kinematics!S176,IF(ISNUMBER(kinematics!$S$30),MIN(kinematics!$S$30:$S$210),180))</f>
        <v>180</v>
      </c>
      <c r="D334" s="18">
        <f ca="1">IF(ISNUMBER(kinematics!S176),kinematics!R176,0)</f>
        <v>0</v>
      </c>
      <c r="E334" s="18">
        <f ca="1">IF(ISNUMBER(kinematics!S176),kinematics!V176,0)</f>
        <v>0</v>
      </c>
      <c r="I334" s="11">
        <f t="shared" ca="1" si="27"/>
        <v>180</v>
      </c>
      <c r="J334" s="18">
        <f ca="1">IF(ISNUMBER(kinematics!S176),kinematics!T176,0)</f>
        <v>0</v>
      </c>
      <c r="K334" s="18">
        <f ca="1">IF(ISNUMBER(kinematics!S176),kinematics!W176,0)</f>
        <v>0</v>
      </c>
      <c r="M334" s="18">
        <f ca="1">IF(ISNUMBER(kinematics!S176),kinematics!R176,MAX($D$6:$D$186))</f>
        <v>180</v>
      </c>
      <c r="N334" s="18">
        <f ca="1">IF(ISNUMBER(kinematics!S176),kinematics!T176,0)</f>
        <v>0</v>
      </c>
      <c r="O334" s="18">
        <f ca="1">IF(ISNUMBER(kinematics!S176),kinematics!V176,0)</f>
        <v>0</v>
      </c>
      <c r="P334" s="18">
        <f ca="1">IF(ISNUMBER(kinematics!S176),kinematics!W176,0)</f>
        <v>0</v>
      </c>
      <c r="R334" s="11">
        <f t="shared" ca="1" si="26"/>
        <v>0</v>
      </c>
      <c r="S334" s="11">
        <f t="shared" ca="1" si="25"/>
        <v>0</v>
      </c>
    </row>
    <row r="335" spans="3:19" x14ac:dyDescent="0.2">
      <c r="C335" s="11">
        <f ca="1">IF(ISNUMBER(kinematics!S177),kinematics!S177,IF(ISNUMBER(kinematics!$S$30),MIN(kinematics!$S$30:$S$210),180))</f>
        <v>180</v>
      </c>
      <c r="D335" s="18">
        <f ca="1">IF(ISNUMBER(kinematics!S177),kinematics!R177,0)</f>
        <v>0</v>
      </c>
      <c r="E335" s="18">
        <f ca="1">IF(ISNUMBER(kinematics!S177),kinematics!V177,0)</f>
        <v>0</v>
      </c>
      <c r="I335" s="11">
        <f t="shared" ca="1" si="27"/>
        <v>180</v>
      </c>
      <c r="J335" s="18">
        <f ca="1">IF(ISNUMBER(kinematics!S177),kinematics!T177,0)</f>
        <v>0</v>
      </c>
      <c r="K335" s="18">
        <f ca="1">IF(ISNUMBER(kinematics!S177),kinematics!W177,0)</f>
        <v>0</v>
      </c>
      <c r="M335" s="18">
        <f ca="1">IF(ISNUMBER(kinematics!S177),kinematics!R177,MAX($D$6:$D$186))</f>
        <v>180</v>
      </c>
      <c r="N335" s="18">
        <f ca="1">IF(ISNUMBER(kinematics!S177),kinematics!T177,0)</f>
        <v>0</v>
      </c>
      <c r="O335" s="18">
        <f ca="1">IF(ISNUMBER(kinematics!S177),kinematics!V177,0)</f>
        <v>0</v>
      </c>
      <c r="P335" s="18">
        <f ca="1">IF(ISNUMBER(kinematics!S177),kinematics!W177,0)</f>
        <v>0</v>
      </c>
      <c r="R335" s="11">
        <f t="shared" ca="1" si="26"/>
        <v>0</v>
      </c>
      <c r="S335" s="11">
        <f t="shared" ca="1" si="25"/>
        <v>0</v>
      </c>
    </row>
    <row r="336" spans="3:19" x14ac:dyDescent="0.2">
      <c r="C336" s="11">
        <f ca="1">IF(ISNUMBER(kinematics!S178),kinematics!S178,IF(ISNUMBER(kinematics!$S$30),MIN(kinematics!$S$30:$S$210),180))</f>
        <v>180</v>
      </c>
      <c r="D336" s="18">
        <f ca="1">IF(ISNUMBER(kinematics!S178),kinematics!R178,0)</f>
        <v>0</v>
      </c>
      <c r="E336" s="18">
        <f ca="1">IF(ISNUMBER(kinematics!S178),kinematics!V178,0)</f>
        <v>0</v>
      </c>
      <c r="I336" s="11">
        <f t="shared" ca="1" si="27"/>
        <v>180</v>
      </c>
      <c r="J336" s="18">
        <f ca="1">IF(ISNUMBER(kinematics!S178),kinematics!T178,0)</f>
        <v>0</v>
      </c>
      <c r="K336" s="18">
        <f ca="1">IF(ISNUMBER(kinematics!S178),kinematics!W178,0)</f>
        <v>0</v>
      </c>
      <c r="M336" s="18">
        <f ca="1">IF(ISNUMBER(kinematics!S178),kinematics!R178,MAX($D$6:$D$186))</f>
        <v>180</v>
      </c>
      <c r="N336" s="18">
        <f ca="1">IF(ISNUMBER(kinematics!S178),kinematics!T178,0)</f>
        <v>0</v>
      </c>
      <c r="O336" s="18">
        <f ca="1">IF(ISNUMBER(kinematics!S178),kinematics!V178,0)</f>
        <v>0</v>
      </c>
      <c r="P336" s="18">
        <f ca="1">IF(ISNUMBER(kinematics!S178),kinematics!W178,0)</f>
        <v>0</v>
      </c>
      <c r="R336" s="11">
        <f t="shared" ca="1" si="26"/>
        <v>0</v>
      </c>
      <c r="S336" s="11">
        <f t="shared" ca="1" si="25"/>
        <v>0</v>
      </c>
    </row>
    <row r="337" spans="3:19" x14ac:dyDescent="0.2">
      <c r="C337" s="11">
        <f ca="1">IF(ISNUMBER(kinematics!S179),kinematics!S179,IF(ISNUMBER(kinematics!$S$30),MIN(kinematics!$S$30:$S$210),180))</f>
        <v>180</v>
      </c>
      <c r="D337" s="18">
        <f ca="1">IF(ISNUMBER(kinematics!S179),kinematics!R179,0)</f>
        <v>0</v>
      </c>
      <c r="E337" s="18">
        <f ca="1">IF(ISNUMBER(kinematics!S179),kinematics!V179,0)</f>
        <v>0</v>
      </c>
      <c r="I337" s="11">
        <f t="shared" ca="1" si="27"/>
        <v>180</v>
      </c>
      <c r="J337" s="18">
        <f ca="1">IF(ISNUMBER(kinematics!S179),kinematics!T179,0)</f>
        <v>0</v>
      </c>
      <c r="K337" s="18">
        <f ca="1">IF(ISNUMBER(kinematics!S179),kinematics!W179,0)</f>
        <v>0</v>
      </c>
      <c r="M337" s="18">
        <f ca="1">IF(ISNUMBER(kinematics!S179),kinematics!R179,MAX($D$6:$D$186))</f>
        <v>180</v>
      </c>
      <c r="N337" s="18">
        <f ca="1">IF(ISNUMBER(kinematics!S179),kinematics!T179,0)</f>
        <v>0</v>
      </c>
      <c r="O337" s="18">
        <f ca="1">IF(ISNUMBER(kinematics!S179),kinematics!V179,0)</f>
        <v>0</v>
      </c>
      <c r="P337" s="18">
        <f ca="1">IF(ISNUMBER(kinematics!S179),kinematics!W179,0)</f>
        <v>0</v>
      </c>
      <c r="R337" s="11">
        <f t="shared" ca="1" si="26"/>
        <v>0</v>
      </c>
      <c r="S337" s="11">
        <f t="shared" ca="1" si="25"/>
        <v>0</v>
      </c>
    </row>
    <row r="338" spans="3:19" x14ac:dyDescent="0.2">
      <c r="C338" s="11">
        <f ca="1">IF(ISNUMBER(kinematics!S180),kinematics!S180,IF(ISNUMBER(kinematics!$S$30),MIN(kinematics!$S$30:$S$210),180))</f>
        <v>180</v>
      </c>
      <c r="D338" s="18">
        <f ca="1">IF(ISNUMBER(kinematics!S180),kinematics!R180,0)</f>
        <v>0</v>
      </c>
      <c r="E338" s="18">
        <f ca="1">IF(ISNUMBER(kinematics!S180),kinematics!V180,0)</f>
        <v>0</v>
      </c>
      <c r="I338" s="11">
        <f t="shared" ca="1" si="27"/>
        <v>180</v>
      </c>
      <c r="J338" s="18">
        <f ca="1">IF(ISNUMBER(kinematics!S180),kinematics!T180,0)</f>
        <v>0</v>
      </c>
      <c r="K338" s="18">
        <f ca="1">IF(ISNUMBER(kinematics!S180),kinematics!W180,0)</f>
        <v>0</v>
      </c>
      <c r="M338" s="18">
        <f ca="1">IF(ISNUMBER(kinematics!S180),kinematics!R180,MAX($D$6:$D$186))</f>
        <v>180</v>
      </c>
      <c r="N338" s="18">
        <f ca="1">IF(ISNUMBER(kinematics!S180),kinematics!T180,0)</f>
        <v>0</v>
      </c>
      <c r="O338" s="18">
        <f ca="1">IF(ISNUMBER(kinematics!S180),kinematics!V180,0)</f>
        <v>0</v>
      </c>
      <c r="P338" s="18">
        <f ca="1">IF(ISNUMBER(kinematics!S180),kinematics!W180,0)</f>
        <v>0</v>
      </c>
      <c r="R338" s="11">
        <f t="shared" ca="1" si="26"/>
        <v>0</v>
      </c>
      <c r="S338" s="11">
        <f t="shared" ca="1" si="25"/>
        <v>0</v>
      </c>
    </row>
    <row r="339" spans="3:19" x14ac:dyDescent="0.2">
      <c r="C339" s="11">
        <f ca="1">IF(ISNUMBER(kinematics!S181),kinematics!S181,IF(ISNUMBER(kinematics!$S$30),MIN(kinematics!$S$30:$S$210),180))</f>
        <v>180</v>
      </c>
      <c r="D339" s="18">
        <f ca="1">IF(ISNUMBER(kinematics!S181),kinematics!R181,0)</f>
        <v>0</v>
      </c>
      <c r="E339" s="18">
        <f ca="1">IF(ISNUMBER(kinematics!S181),kinematics!V181,0)</f>
        <v>0</v>
      </c>
      <c r="I339" s="11">
        <f t="shared" ca="1" si="27"/>
        <v>180</v>
      </c>
      <c r="J339" s="18">
        <f ca="1">IF(ISNUMBER(kinematics!S181),kinematics!T181,0)</f>
        <v>0</v>
      </c>
      <c r="K339" s="18">
        <f ca="1">IF(ISNUMBER(kinematics!S181),kinematics!W181,0)</f>
        <v>0</v>
      </c>
      <c r="M339" s="18">
        <f ca="1">IF(ISNUMBER(kinematics!S181),kinematics!R181,MAX($D$6:$D$186))</f>
        <v>180</v>
      </c>
      <c r="N339" s="18">
        <f ca="1">IF(ISNUMBER(kinematics!S181),kinematics!T181,0)</f>
        <v>0</v>
      </c>
      <c r="O339" s="18">
        <f ca="1">IF(ISNUMBER(kinematics!S181),kinematics!V181,0)</f>
        <v>0</v>
      </c>
      <c r="P339" s="18">
        <f ca="1">IF(ISNUMBER(kinematics!S181),kinematics!W181,0)</f>
        <v>0</v>
      </c>
      <c r="R339" s="11">
        <f t="shared" ca="1" si="26"/>
        <v>0</v>
      </c>
      <c r="S339" s="11">
        <f t="shared" ca="1" si="25"/>
        <v>0</v>
      </c>
    </row>
    <row r="340" spans="3:19" x14ac:dyDescent="0.2">
      <c r="C340" s="11">
        <f ca="1">IF(ISNUMBER(kinematics!S182),kinematics!S182,IF(ISNUMBER(kinematics!$S$30),MIN(kinematics!$S$30:$S$210),180))</f>
        <v>180</v>
      </c>
      <c r="D340" s="18">
        <f ca="1">IF(ISNUMBER(kinematics!S182),kinematics!R182,0)</f>
        <v>0</v>
      </c>
      <c r="E340" s="18">
        <f ca="1">IF(ISNUMBER(kinematics!S182),kinematics!V182,0)</f>
        <v>0</v>
      </c>
      <c r="I340" s="11">
        <f t="shared" ca="1" si="27"/>
        <v>180</v>
      </c>
      <c r="J340" s="18">
        <f ca="1">IF(ISNUMBER(kinematics!S182),kinematics!T182,0)</f>
        <v>0</v>
      </c>
      <c r="K340" s="18">
        <f ca="1">IF(ISNUMBER(kinematics!S182),kinematics!W182,0)</f>
        <v>0</v>
      </c>
      <c r="M340" s="18">
        <f ca="1">IF(ISNUMBER(kinematics!S182),kinematics!R182,MAX($D$6:$D$186))</f>
        <v>180</v>
      </c>
      <c r="N340" s="18">
        <f ca="1">IF(ISNUMBER(kinematics!S182),kinematics!T182,0)</f>
        <v>0</v>
      </c>
      <c r="O340" s="18">
        <f ca="1">IF(ISNUMBER(kinematics!S182),kinematics!V182,0)</f>
        <v>0</v>
      </c>
      <c r="P340" s="18">
        <f ca="1">IF(ISNUMBER(kinematics!S182),kinematics!W182,0)</f>
        <v>0</v>
      </c>
      <c r="R340" s="11">
        <f t="shared" ca="1" si="26"/>
        <v>0</v>
      </c>
      <c r="S340" s="11">
        <f t="shared" ca="1" si="25"/>
        <v>0</v>
      </c>
    </row>
    <row r="341" spans="3:19" x14ac:dyDescent="0.2">
      <c r="C341" s="11">
        <f ca="1">IF(ISNUMBER(kinematics!S183),kinematics!S183,IF(ISNUMBER(kinematics!$S$30),MIN(kinematics!$S$30:$S$210),180))</f>
        <v>180</v>
      </c>
      <c r="D341" s="18">
        <f ca="1">IF(ISNUMBER(kinematics!S183),kinematics!R183,0)</f>
        <v>0</v>
      </c>
      <c r="E341" s="18">
        <f ca="1">IF(ISNUMBER(kinematics!S183),kinematics!V183,0)</f>
        <v>0</v>
      </c>
      <c r="I341" s="11">
        <f t="shared" ca="1" si="27"/>
        <v>180</v>
      </c>
      <c r="J341" s="18">
        <f ca="1">IF(ISNUMBER(kinematics!S183),kinematics!T183,0)</f>
        <v>0</v>
      </c>
      <c r="K341" s="18">
        <f ca="1">IF(ISNUMBER(kinematics!S183),kinematics!W183,0)</f>
        <v>0</v>
      </c>
      <c r="M341" s="18">
        <f ca="1">IF(ISNUMBER(kinematics!S183),kinematics!R183,MAX($D$6:$D$186))</f>
        <v>180</v>
      </c>
      <c r="N341" s="18">
        <f ca="1">IF(ISNUMBER(kinematics!S183),kinematics!T183,0)</f>
        <v>0</v>
      </c>
      <c r="O341" s="18">
        <f ca="1">IF(ISNUMBER(kinematics!S183),kinematics!V183,0)</f>
        <v>0</v>
      </c>
      <c r="P341" s="18">
        <f ca="1">IF(ISNUMBER(kinematics!S183),kinematics!W183,0)</f>
        <v>0</v>
      </c>
      <c r="R341" s="11">
        <f t="shared" ca="1" si="26"/>
        <v>0</v>
      </c>
      <c r="S341" s="11">
        <f t="shared" ca="1" si="25"/>
        <v>0</v>
      </c>
    </row>
    <row r="342" spans="3:19" x14ac:dyDescent="0.2">
      <c r="C342" s="11">
        <f ca="1">IF(ISNUMBER(kinematics!S184),kinematics!S184,IF(ISNUMBER(kinematics!$S$30),MIN(kinematics!$S$30:$S$210),180))</f>
        <v>180</v>
      </c>
      <c r="D342" s="18">
        <f ca="1">IF(ISNUMBER(kinematics!S184),kinematics!R184,0)</f>
        <v>0</v>
      </c>
      <c r="E342" s="18">
        <f ca="1">IF(ISNUMBER(kinematics!S184),kinematics!V184,0)</f>
        <v>0</v>
      </c>
      <c r="I342" s="11">
        <f t="shared" ca="1" si="27"/>
        <v>180</v>
      </c>
      <c r="J342" s="18">
        <f ca="1">IF(ISNUMBER(kinematics!S184),kinematics!T184,0)</f>
        <v>0</v>
      </c>
      <c r="K342" s="18">
        <f ca="1">IF(ISNUMBER(kinematics!S184),kinematics!W184,0)</f>
        <v>0</v>
      </c>
      <c r="M342" s="18">
        <f ca="1">IF(ISNUMBER(kinematics!S184),kinematics!R184,MAX($D$6:$D$186))</f>
        <v>180</v>
      </c>
      <c r="N342" s="18">
        <f ca="1">IF(ISNUMBER(kinematics!S184),kinematics!T184,0)</f>
        <v>0</v>
      </c>
      <c r="O342" s="18">
        <f ca="1">IF(ISNUMBER(kinematics!S184),kinematics!V184,0)</f>
        <v>0</v>
      </c>
      <c r="P342" s="18">
        <f ca="1">IF(ISNUMBER(kinematics!S184),kinematics!W184,0)</f>
        <v>0</v>
      </c>
      <c r="R342" s="11">
        <f t="shared" ca="1" si="26"/>
        <v>0</v>
      </c>
      <c r="S342" s="11">
        <f t="shared" ca="1" si="25"/>
        <v>0</v>
      </c>
    </row>
    <row r="343" spans="3:19" x14ac:dyDescent="0.2">
      <c r="C343" s="11">
        <f ca="1">IF(ISNUMBER(kinematics!S185),kinematics!S185,IF(ISNUMBER(kinematics!$S$30),MIN(kinematics!$S$30:$S$210),180))</f>
        <v>180</v>
      </c>
      <c r="D343" s="18">
        <f ca="1">IF(ISNUMBER(kinematics!S185),kinematics!R185,0)</f>
        <v>0</v>
      </c>
      <c r="E343" s="18">
        <f ca="1">IF(ISNUMBER(kinematics!S185),kinematics!V185,0)</f>
        <v>0</v>
      </c>
      <c r="I343" s="11">
        <f t="shared" ca="1" si="27"/>
        <v>180</v>
      </c>
      <c r="J343" s="18">
        <f ca="1">IF(ISNUMBER(kinematics!S185),kinematics!T185,0)</f>
        <v>0</v>
      </c>
      <c r="K343" s="18">
        <f ca="1">IF(ISNUMBER(kinematics!S185),kinematics!W185,0)</f>
        <v>0</v>
      </c>
      <c r="M343" s="18">
        <f ca="1">IF(ISNUMBER(kinematics!S185),kinematics!R185,MAX($D$6:$D$186))</f>
        <v>180</v>
      </c>
      <c r="N343" s="18">
        <f ca="1">IF(ISNUMBER(kinematics!S185),kinematics!T185,0)</f>
        <v>0</v>
      </c>
      <c r="O343" s="18">
        <f ca="1">IF(ISNUMBER(kinematics!S185),kinematics!V185,0)</f>
        <v>0</v>
      </c>
      <c r="P343" s="18">
        <f ca="1">IF(ISNUMBER(kinematics!S185),kinematics!W185,0)</f>
        <v>0</v>
      </c>
      <c r="R343" s="11">
        <f t="shared" ca="1" si="26"/>
        <v>0</v>
      </c>
      <c r="S343" s="11">
        <f t="shared" ca="1" si="25"/>
        <v>0</v>
      </c>
    </row>
    <row r="344" spans="3:19" x14ac:dyDescent="0.2">
      <c r="C344" s="11">
        <f ca="1">IF(ISNUMBER(kinematics!S186),kinematics!S186,IF(ISNUMBER(kinematics!$S$30),MIN(kinematics!$S$30:$S$210),180))</f>
        <v>180</v>
      </c>
      <c r="D344" s="18">
        <f ca="1">IF(ISNUMBER(kinematics!S186),kinematics!R186,0)</f>
        <v>0</v>
      </c>
      <c r="E344" s="18">
        <f ca="1">IF(ISNUMBER(kinematics!S186),kinematics!V186,0)</f>
        <v>0</v>
      </c>
      <c r="I344" s="11">
        <f t="shared" ca="1" si="27"/>
        <v>180</v>
      </c>
      <c r="J344" s="18">
        <f ca="1">IF(ISNUMBER(kinematics!S186),kinematics!T186,0)</f>
        <v>0</v>
      </c>
      <c r="K344" s="18">
        <f ca="1">IF(ISNUMBER(kinematics!S186),kinematics!W186,0)</f>
        <v>0</v>
      </c>
      <c r="M344" s="18">
        <f ca="1">IF(ISNUMBER(kinematics!S186),kinematics!R186,MAX($D$6:$D$186))</f>
        <v>180</v>
      </c>
      <c r="N344" s="18">
        <f ca="1">IF(ISNUMBER(kinematics!S186),kinematics!T186,0)</f>
        <v>0</v>
      </c>
      <c r="O344" s="18">
        <f ca="1">IF(ISNUMBER(kinematics!S186),kinematics!V186,0)</f>
        <v>0</v>
      </c>
      <c r="P344" s="18">
        <f ca="1">IF(ISNUMBER(kinematics!S186),kinematics!W186,0)</f>
        <v>0</v>
      </c>
      <c r="R344" s="11">
        <f t="shared" ca="1" si="26"/>
        <v>0</v>
      </c>
      <c r="S344" s="11">
        <f t="shared" ca="1" si="25"/>
        <v>0</v>
      </c>
    </row>
    <row r="345" spans="3:19" x14ac:dyDescent="0.2">
      <c r="C345" s="11">
        <f ca="1">IF(ISNUMBER(kinematics!S187),kinematics!S187,IF(ISNUMBER(kinematics!$S$30),MIN(kinematics!$S$30:$S$210),180))</f>
        <v>180</v>
      </c>
      <c r="D345" s="18">
        <f ca="1">IF(ISNUMBER(kinematics!S187),kinematics!R187,0)</f>
        <v>0</v>
      </c>
      <c r="E345" s="18">
        <f ca="1">IF(ISNUMBER(kinematics!S187),kinematics!V187,0)</f>
        <v>0</v>
      </c>
      <c r="I345" s="11">
        <f t="shared" ca="1" si="27"/>
        <v>180</v>
      </c>
      <c r="J345" s="18">
        <f ca="1">IF(ISNUMBER(kinematics!S187),kinematics!T187,0)</f>
        <v>0</v>
      </c>
      <c r="K345" s="18">
        <f ca="1">IF(ISNUMBER(kinematics!S187),kinematics!W187,0)</f>
        <v>0</v>
      </c>
      <c r="M345" s="18">
        <f ca="1">IF(ISNUMBER(kinematics!S187),kinematics!R187,MAX($D$6:$D$186))</f>
        <v>180</v>
      </c>
      <c r="N345" s="18">
        <f ca="1">IF(ISNUMBER(kinematics!S187),kinematics!T187,0)</f>
        <v>0</v>
      </c>
      <c r="O345" s="18">
        <f ca="1">IF(ISNUMBER(kinematics!S187),kinematics!V187,0)</f>
        <v>0</v>
      </c>
      <c r="P345" s="18">
        <f ca="1">IF(ISNUMBER(kinematics!S187),kinematics!W187,0)</f>
        <v>0</v>
      </c>
      <c r="R345" s="11">
        <f t="shared" ca="1" si="26"/>
        <v>0</v>
      </c>
      <c r="S345" s="11">
        <f t="shared" ca="1" si="25"/>
        <v>0</v>
      </c>
    </row>
    <row r="346" spans="3:19" x14ac:dyDescent="0.2">
      <c r="C346" s="11">
        <f ca="1">IF(ISNUMBER(kinematics!S188),kinematics!S188,IF(ISNUMBER(kinematics!$S$30),MIN(kinematics!$S$30:$S$210),180))</f>
        <v>180</v>
      </c>
      <c r="D346" s="18">
        <f ca="1">IF(ISNUMBER(kinematics!S188),kinematics!R188,0)</f>
        <v>0</v>
      </c>
      <c r="E346" s="18">
        <f ca="1">IF(ISNUMBER(kinematics!S188),kinematics!V188,0)</f>
        <v>0</v>
      </c>
      <c r="I346" s="11">
        <f t="shared" ca="1" si="27"/>
        <v>180</v>
      </c>
      <c r="J346" s="18">
        <f ca="1">IF(ISNUMBER(kinematics!S188),kinematics!T188,0)</f>
        <v>0</v>
      </c>
      <c r="K346" s="18">
        <f ca="1">IF(ISNUMBER(kinematics!S188),kinematics!W188,0)</f>
        <v>0</v>
      </c>
      <c r="M346" s="18">
        <f ca="1">IF(ISNUMBER(kinematics!S188),kinematics!R188,MAX($D$6:$D$186))</f>
        <v>180</v>
      </c>
      <c r="N346" s="18">
        <f ca="1">IF(ISNUMBER(kinematics!S188),kinematics!T188,0)</f>
        <v>0</v>
      </c>
      <c r="O346" s="18">
        <f ca="1">IF(ISNUMBER(kinematics!S188),kinematics!V188,0)</f>
        <v>0</v>
      </c>
      <c r="P346" s="18">
        <f ca="1">IF(ISNUMBER(kinematics!S188),kinematics!W188,0)</f>
        <v>0</v>
      </c>
      <c r="R346" s="11">
        <f t="shared" ca="1" si="26"/>
        <v>0</v>
      </c>
      <c r="S346" s="11">
        <f t="shared" ca="1" si="25"/>
        <v>0</v>
      </c>
    </row>
    <row r="347" spans="3:19" x14ac:dyDescent="0.2">
      <c r="C347" s="11">
        <f ca="1">IF(ISNUMBER(kinematics!S189),kinematics!S189,IF(ISNUMBER(kinematics!$S$30),MIN(kinematics!$S$30:$S$210),180))</f>
        <v>180</v>
      </c>
      <c r="D347" s="18">
        <f ca="1">IF(ISNUMBER(kinematics!S189),kinematics!R189,0)</f>
        <v>0</v>
      </c>
      <c r="E347" s="18">
        <f ca="1">IF(ISNUMBER(kinematics!S189),kinematics!V189,0)</f>
        <v>0</v>
      </c>
      <c r="I347" s="11">
        <f t="shared" ca="1" si="27"/>
        <v>180</v>
      </c>
      <c r="J347" s="18">
        <f ca="1">IF(ISNUMBER(kinematics!S189),kinematics!T189,0)</f>
        <v>0</v>
      </c>
      <c r="K347" s="18">
        <f ca="1">IF(ISNUMBER(kinematics!S189),kinematics!W189,0)</f>
        <v>0</v>
      </c>
      <c r="M347" s="18">
        <f ca="1">IF(ISNUMBER(kinematics!S189),kinematics!R189,MAX($D$6:$D$186))</f>
        <v>180</v>
      </c>
      <c r="N347" s="18">
        <f ca="1">IF(ISNUMBER(kinematics!S189),kinematics!T189,0)</f>
        <v>0</v>
      </c>
      <c r="O347" s="18">
        <f ca="1">IF(ISNUMBER(kinematics!S189),kinematics!V189,0)</f>
        <v>0</v>
      </c>
      <c r="P347" s="18">
        <f ca="1">IF(ISNUMBER(kinematics!S189),kinematics!W189,0)</f>
        <v>0</v>
      </c>
      <c r="R347" s="11">
        <f t="shared" ca="1" si="26"/>
        <v>0</v>
      </c>
      <c r="S347" s="11">
        <f t="shared" ca="1" si="25"/>
        <v>0</v>
      </c>
    </row>
    <row r="348" spans="3:19" x14ac:dyDescent="0.2">
      <c r="C348" s="11">
        <f ca="1">IF(ISNUMBER(kinematics!S190),kinematics!S190,IF(ISNUMBER(kinematics!$S$30),MIN(kinematics!$S$30:$S$210),180))</f>
        <v>180</v>
      </c>
      <c r="D348" s="18">
        <f ca="1">IF(ISNUMBER(kinematics!S190),kinematics!R190,0)</f>
        <v>0</v>
      </c>
      <c r="E348" s="18">
        <f ca="1">IF(ISNUMBER(kinematics!S190),kinematics!V190,0)</f>
        <v>0</v>
      </c>
      <c r="I348" s="11">
        <f t="shared" ca="1" si="27"/>
        <v>180</v>
      </c>
      <c r="J348" s="18">
        <f ca="1">IF(ISNUMBER(kinematics!S190),kinematics!T190,0)</f>
        <v>0</v>
      </c>
      <c r="K348" s="18">
        <f ca="1">IF(ISNUMBER(kinematics!S190),kinematics!W190,0)</f>
        <v>0</v>
      </c>
      <c r="M348" s="18">
        <f ca="1">IF(ISNUMBER(kinematics!S190),kinematics!R190,MAX($D$6:$D$186))</f>
        <v>180</v>
      </c>
      <c r="N348" s="18">
        <f ca="1">IF(ISNUMBER(kinematics!S190),kinematics!T190,0)</f>
        <v>0</v>
      </c>
      <c r="O348" s="18">
        <f ca="1">IF(ISNUMBER(kinematics!S190),kinematics!V190,0)</f>
        <v>0</v>
      </c>
      <c r="P348" s="18">
        <f ca="1">IF(ISNUMBER(kinematics!S190),kinematics!W190,0)</f>
        <v>0</v>
      </c>
      <c r="R348" s="11">
        <f t="shared" ca="1" si="26"/>
        <v>0</v>
      </c>
      <c r="S348" s="11">
        <f t="shared" ca="1" si="25"/>
        <v>0</v>
      </c>
    </row>
    <row r="349" spans="3:19" x14ac:dyDescent="0.2">
      <c r="C349" s="11">
        <f ca="1">IF(ISNUMBER(kinematics!S191),kinematics!S191,IF(ISNUMBER(kinematics!$S$30),MIN(kinematics!$S$30:$S$210),180))</f>
        <v>180</v>
      </c>
      <c r="D349" s="18">
        <f ca="1">IF(ISNUMBER(kinematics!S191),kinematics!R191,0)</f>
        <v>0</v>
      </c>
      <c r="E349" s="18">
        <f ca="1">IF(ISNUMBER(kinematics!S191),kinematics!V191,0)</f>
        <v>0</v>
      </c>
      <c r="I349" s="11">
        <f t="shared" ca="1" si="27"/>
        <v>180</v>
      </c>
      <c r="J349" s="18">
        <f ca="1">IF(ISNUMBER(kinematics!S191),kinematics!T191,0)</f>
        <v>0</v>
      </c>
      <c r="K349" s="18">
        <f ca="1">IF(ISNUMBER(kinematics!S191),kinematics!W191,0)</f>
        <v>0</v>
      </c>
      <c r="M349" s="18">
        <f ca="1">IF(ISNUMBER(kinematics!S191),kinematics!R191,MAX($D$6:$D$186))</f>
        <v>180</v>
      </c>
      <c r="N349" s="18">
        <f ca="1">IF(ISNUMBER(kinematics!S191),kinematics!T191,0)</f>
        <v>0</v>
      </c>
      <c r="O349" s="18">
        <f ca="1">IF(ISNUMBER(kinematics!S191),kinematics!V191,0)</f>
        <v>0</v>
      </c>
      <c r="P349" s="18">
        <f ca="1">IF(ISNUMBER(kinematics!S191),kinematics!W191,0)</f>
        <v>0</v>
      </c>
      <c r="R349" s="11">
        <f t="shared" ca="1" si="26"/>
        <v>0</v>
      </c>
      <c r="S349" s="11">
        <f t="shared" ca="1" si="25"/>
        <v>0</v>
      </c>
    </row>
    <row r="350" spans="3:19" x14ac:dyDescent="0.2">
      <c r="C350" s="11">
        <f ca="1">IF(ISNUMBER(kinematics!S192),kinematics!S192,IF(ISNUMBER(kinematics!$S$30),MIN(kinematics!$S$30:$S$210),180))</f>
        <v>180</v>
      </c>
      <c r="D350" s="18">
        <f ca="1">IF(ISNUMBER(kinematics!S192),kinematics!R192,0)</f>
        <v>0</v>
      </c>
      <c r="E350" s="18">
        <f ca="1">IF(ISNUMBER(kinematics!S192),kinematics!V192,0)</f>
        <v>0</v>
      </c>
      <c r="I350" s="11">
        <f t="shared" ca="1" si="27"/>
        <v>180</v>
      </c>
      <c r="J350" s="18">
        <f ca="1">IF(ISNUMBER(kinematics!S192),kinematics!T192,0)</f>
        <v>0</v>
      </c>
      <c r="K350" s="18">
        <f ca="1">IF(ISNUMBER(kinematics!S192),kinematics!W192,0)</f>
        <v>0</v>
      </c>
      <c r="M350" s="18">
        <f ca="1">IF(ISNUMBER(kinematics!S192),kinematics!R192,MAX($D$6:$D$186))</f>
        <v>180</v>
      </c>
      <c r="N350" s="18">
        <f ca="1">IF(ISNUMBER(kinematics!S192),kinematics!T192,0)</f>
        <v>0</v>
      </c>
      <c r="O350" s="18">
        <f ca="1">IF(ISNUMBER(kinematics!S192),kinematics!V192,0)</f>
        <v>0</v>
      </c>
      <c r="P350" s="18">
        <f ca="1">IF(ISNUMBER(kinematics!S192),kinematics!W192,0)</f>
        <v>0</v>
      </c>
      <c r="R350" s="11">
        <f t="shared" ca="1" si="26"/>
        <v>0</v>
      </c>
      <c r="S350" s="11">
        <f t="shared" ca="1" si="25"/>
        <v>0</v>
      </c>
    </row>
    <row r="351" spans="3:19" x14ac:dyDescent="0.2">
      <c r="C351" s="11">
        <f ca="1">IF(ISNUMBER(kinematics!S193),kinematics!S193,IF(ISNUMBER(kinematics!$S$30),MIN(kinematics!$S$30:$S$210),180))</f>
        <v>180</v>
      </c>
      <c r="D351" s="18">
        <f ca="1">IF(ISNUMBER(kinematics!S193),kinematics!R193,0)</f>
        <v>0</v>
      </c>
      <c r="E351" s="18">
        <f ca="1">IF(ISNUMBER(kinematics!S193),kinematics!V193,0)</f>
        <v>0</v>
      </c>
      <c r="I351" s="11">
        <f t="shared" ca="1" si="27"/>
        <v>180</v>
      </c>
      <c r="J351" s="18">
        <f ca="1">IF(ISNUMBER(kinematics!S193),kinematics!T193,0)</f>
        <v>0</v>
      </c>
      <c r="K351" s="18">
        <f ca="1">IF(ISNUMBER(kinematics!S193),kinematics!W193,0)</f>
        <v>0</v>
      </c>
      <c r="M351" s="18">
        <f ca="1">IF(ISNUMBER(kinematics!S193),kinematics!R193,MAX($D$6:$D$186))</f>
        <v>180</v>
      </c>
      <c r="N351" s="18">
        <f ca="1">IF(ISNUMBER(kinematics!S193),kinematics!T193,0)</f>
        <v>0</v>
      </c>
      <c r="O351" s="18">
        <f ca="1">IF(ISNUMBER(kinematics!S193),kinematics!V193,0)</f>
        <v>0</v>
      </c>
      <c r="P351" s="18">
        <f ca="1">IF(ISNUMBER(kinematics!S193),kinematics!W193,0)</f>
        <v>0</v>
      </c>
      <c r="R351" s="11">
        <f t="shared" ca="1" si="26"/>
        <v>0</v>
      </c>
      <c r="S351" s="11">
        <f t="shared" ca="1" si="25"/>
        <v>0</v>
      </c>
    </row>
    <row r="352" spans="3:19" x14ac:dyDescent="0.2">
      <c r="C352" s="11">
        <f ca="1">IF(ISNUMBER(kinematics!S194),kinematics!S194,IF(ISNUMBER(kinematics!$S$30),MIN(kinematics!$S$30:$S$210),180))</f>
        <v>180</v>
      </c>
      <c r="D352" s="18">
        <f ca="1">IF(ISNUMBER(kinematics!S194),kinematics!R194,0)</f>
        <v>0</v>
      </c>
      <c r="E352" s="18">
        <f ca="1">IF(ISNUMBER(kinematics!S194),kinematics!V194,0)</f>
        <v>0</v>
      </c>
      <c r="I352" s="11">
        <f t="shared" ca="1" si="27"/>
        <v>180</v>
      </c>
      <c r="J352" s="18">
        <f ca="1">IF(ISNUMBER(kinematics!S194),kinematics!T194,0)</f>
        <v>0</v>
      </c>
      <c r="K352" s="18">
        <f ca="1">IF(ISNUMBER(kinematics!S194),kinematics!W194,0)</f>
        <v>0</v>
      </c>
      <c r="M352" s="18">
        <f ca="1">IF(ISNUMBER(kinematics!S194),kinematics!R194,MAX($D$6:$D$186))</f>
        <v>180</v>
      </c>
      <c r="N352" s="18">
        <f ca="1">IF(ISNUMBER(kinematics!S194),kinematics!T194,0)</f>
        <v>0</v>
      </c>
      <c r="O352" s="18">
        <f ca="1">IF(ISNUMBER(kinematics!S194),kinematics!V194,0)</f>
        <v>0</v>
      </c>
      <c r="P352" s="18">
        <f ca="1">IF(ISNUMBER(kinematics!S194),kinematics!W194,0)</f>
        <v>0</v>
      </c>
      <c r="R352" s="11">
        <f t="shared" ca="1" si="26"/>
        <v>0</v>
      </c>
      <c r="S352" s="11">
        <f t="shared" ca="1" si="25"/>
        <v>0</v>
      </c>
    </row>
    <row r="353" spans="3:19" x14ac:dyDescent="0.2">
      <c r="C353" s="11">
        <f ca="1">IF(ISNUMBER(kinematics!S195),kinematics!S195,IF(ISNUMBER(kinematics!$S$30),MIN(kinematics!$S$30:$S$210),180))</f>
        <v>180</v>
      </c>
      <c r="D353" s="18">
        <f ca="1">IF(ISNUMBER(kinematics!S195),kinematics!R195,0)</f>
        <v>0</v>
      </c>
      <c r="E353" s="18">
        <f ca="1">IF(ISNUMBER(kinematics!S195),kinematics!V195,0)</f>
        <v>0</v>
      </c>
      <c r="I353" s="11">
        <f t="shared" ca="1" si="27"/>
        <v>180</v>
      </c>
      <c r="J353" s="18">
        <f ca="1">IF(ISNUMBER(kinematics!S195),kinematics!T195,0)</f>
        <v>0</v>
      </c>
      <c r="K353" s="18">
        <f ca="1">IF(ISNUMBER(kinematics!S195),kinematics!W195,0)</f>
        <v>0</v>
      </c>
      <c r="M353" s="18">
        <f ca="1">IF(ISNUMBER(kinematics!S195),kinematics!R195,MAX($D$6:$D$186))</f>
        <v>180</v>
      </c>
      <c r="N353" s="18">
        <f ca="1">IF(ISNUMBER(kinematics!S195),kinematics!T195,0)</f>
        <v>0</v>
      </c>
      <c r="O353" s="18">
        <f ca="1">IF(ISNUMBER(kinematics!S195),kinematics!V195,0)</f>
        <v>0</v>
      </c>
      <c r="P353" s="18">
        <f ca="1">IF(ISNUMBER(kinematics!S195),kinematics!W195,0)</f>
        <v>0</v>
      </c>
      <c r="R353" s="11">
        <f t="shared" ca="1" si="26"/>
        <v>0</v>
      </c>
      <c r="S353" s="11">
        <f t="shared" ca="1" si="25"/>
        <v>0</v>
      </c>
    </row>
    <row r="354" spans="3:19" x14ac:dyDescent="0.2">
      <c r="C354" s="11">
        <f ca="1">IF(ISNUMBER(kinematics!S196),kinematics!S196,IF(ISNUMBER(kinematics!$S$30),MIN(kinematics!$S$30:$S$210),180))</f>
        <v>180</v>
      </c>
      <c r="D354" s="18">
        <f ca="1">IF(ISNUMBER(kinematics!S196),kinematics!R196,0)</f>
        <v>0</v>
      </c>
      <c r="E354" s="18">
        <f ca="1">IF(ISNUMBER(kinematics!S196),kinematics!V196,0)</f>
        <v>0</v>
      </c>
      <c r="I354" s="11">
        <f t="shared" ca="1" si="27"/>
        <v>180</v>
      </c>
      <c r="J354" s="18">
        <f ca="1">IF(ISNUMBER(kinematics!S196),kinematics!T196,0)</f>
        <v>0</v>
      </c>
      <c r="K354" s="18">
        <f ca="1">IF(ISNUMBER(kinematics!S196),kinematics!W196,0)</f>
        <v>0</v>
      </c>
      <c r="M354" s="18">
        <f ca="1">IF(ISNUMBER(kinematics!S196),kinematics!R196,MAX($D$6:$D$186))</f>
        <v>180</v>
      </c>
      <c r="N354" s="18">
        <f ca="1">IF(ISNUMBER(kinematics!S196),kinematics!T196,0)</f>
        <v>0</v>
      </c>
      <c r="O354" s="18">
        <f ca="1">IF(ISNUMBER(kinematics!S196),kinematics!V196,0)</f>
        <v>0</v>
      </c>
      <c r="P354" s="18">
        <f ca="1">IF(ISNUMBER(kinematics!S196),kinematics!W196,0)</f>
        <v>0</v>
      </c>
      <c r="R354" s="11">
        <f t="shared" ca="1" si="26"/>
        <v>0</v>
      </c>
      <c r="S354" s="11">
        <f t="shared" ca="1" si="25"/>
        <v>0</v>
      </c>
    </row>
    <row r="355" spans="3:19" x14ac:dyDescent="0.2">
      <c r="C355" s="11">
        <f ca="1">IF(ISNUMBER(kinematics!S197),kinematics!S197,IF(ISNUMBER(kinematics!$S$30),MIN(kinematics!$S$30:$S$210),180))</f>
        <v>180</v>
      </c>
      <c r="D355" s="18">
        <f ca="1">IF(ISNUMBER(kinematics!S197),kinematics!R197,0)</f>
        <v>0</v>
      </c>
      <c r="E355" s="18">
        <f ca="1">IF(ISNUMBER(kinematics!S197),kinematics!V197,0)</f>
        <v>0</v>
      </c>
      <c r="I355" s="11">
        <f t="shared" ca="1" si="27"/>
        <v>180</v>
      </c>
      <c r="J355" s="18">
        <f ca="1">IF(ISNUMBER(kinematics!S197),kinematics!T197,0)</f>
        <v>0</v>
      </c>
      <c r="K355" s="18">
        <f ca="1">IF(ISNUMBER(kinematics!S197),kinematics!W197,0)</f>
        <v>0</v>
      </c>
      <c r="M355" s="18">
        <f ca="1">IF(ISNUMBER(kinematics!S197),kinematics!R197,MAX($D$6:$D$186))</f>
        <v>180</v>
      </c>
      <c r="N355" s="18">
        <f ca="1">IF(ISNUMBER(kinematics!S197),kinematics!T197,0)</f>
        <v>0</v>
      </c>
      <c r="O355" s="18">
        <f ca="1">IF(ISNUMBER(kinematics!S197),kinematics!V197,0)</f>
        <v>0</v>
      </c>
      <c r="P355" s="18">
        <f ca="1">IF(ISNUMBER(kinematics!S197),kinematics!W197,0)</f>
        <v>0</v>
      </c>
      <c r="R355" s="11">
        <f t="shared" ca="1" si="26"/>
        <v>0</v>
      </c>
      <c r="S355" s="11">
        <f t="shared" ca="1" si="25"/>
        <v>0</v>
      </c>
    </row>
    <row r="356" spans="3:19" x14ac:dyDescent="0.2">
      <c r="C356" s="11">
        <f ca="1">IF(ISNUMBER(kinematics!S198),kinematics!S198,IF(ISNUMBER(kinematics!$S$30),MIN(kinematics!$S$30:$S$210),180))</f>
        <v>180</v>
      </c>
      <c r="D356" s="18">
        <f ca="1">IF(ISNUMBER(kinematics!S198),kinematics!R198,0)</f>
        <v>0</v>
      </c>
      <c r="E356" s="18">
        <f ca="1">IF(ISNUMBER(kinematics!S198),kinematics!V198,0)</f>
        <v>0</v>
      </c>
      <c r="I356" s="11">
        <f t="shared" ca="1" si="27"/>
        <v>180</v>
      </c>
      <c r="J356" s="18">
        <f ca="1">IF(ISNUMBER(kinematics!S198),kinematics!T198,0)</f>
        <v>0</v>
      </c>
      <c r="K356" s="18">
        <f ca="1">IF(ISNUMBER(kinematics!S198),kinematics!W198,0)</f>
        <v>0</v>
      </c>
      <c r="M356" s="18">
        <f ca="1">IF(ISNUMBER(kinematics!S198),kinematics!R198,MAX($D$6:$D$186))</f>
        <v>180</v>
      </c>
      <c r="N356" s="18">
        <f ca="1">IF(ISNUMBER(kinematics!S198),kinematics!T198,0)</f>
        <v>0</v>
      </c>
      <c r="O356" s="18">
        <f ca="1">IF(ISNUMBER(kinematics!S198),kinematics!V198,0)</f>
        <v>0</v>
      </c>
      <c r="P356" s="18">
        <f ca="1">IF(ISNUMBER(kinematics!S198),kinematics!W198,0)</f>
        <v>0</v>
      </c>
      <c r="R356" s="11">
        <f t="shared" ca="1" si="26"/>
        <v>0</v>
      </c>
      <c r="S356" s="11">
        <f t="shared" ca="1" si="25"/>
        <v>0</v>
      </c>
    </row>
    <row r="357" spans="3:19" x14ac:dyDescent="0.2">
      <c r="C357" s="11">
        <f ca="1">IF(ISNUMBER(kinematics!S199),kinematics!S199,IF(ISNUMBER(kinematics!$S$30),MIN(kinematics!$S$30:$S$210),180))</f>
        <v>180</v>
      </c>
      <c r="D357" s="18">
        <f ca="1">IF(ISNUMBER(kinematics!S199),kinematics!R199,0)</f>
        <v>0</v>
      </c>
      <c r="E357" s="18">
        <f ca="1">IF(ISNUMBER(kinematics!S199),kinematics!V199,0)</f>
        <v>0</v>
      </c>
      <c r="I357" s="11">
        <f t="shared" ca="1" si="27"/>
        <v>180</v>
      </c>
      <c r="J357" s="18">
        <f ca="1">IF(ISNUMBER(kinematics!S199),kinematics!T199,0)</f>
        <v>0</v>
      </c>
      <c r="K357" s="18">
        <f ca="1">IF(ISNUMBER(kinematics!S199),kinematics!W199,0)</f>
        <v>0</v>
      </c>
      <c r="M357" s="18">
        <f ca="1">IF(ISNUMBER(kinematics!S199),kinematics!R199,MAX($D$6:$D$186))</f>
        <v>180</v>
      </c>
      <c r="N357" s="18">
        <f ca="1">IF(ISNUMBER(kinematics!S199),kinematics!T199,0)</f>
        <v>0</v>
      </c>
      <c r="O357" s="18">
        <f ca="1">IF(ISNUMBER(kinematics!S199),kinematics!V199,0)</f>
        <v>0</v>
      </c>
      <c r="P357" s="18">
        <f ca="1">IF(ISNUMBER(kinematics!S199),kinematics!W199,0)</f>
        <v>0</v>
      </c>
      <c r="R357" s="11">
        <f t="shared" ca="1" si="26"/>
        <v>0</v>
      </c>
      <c r="S357" s="11">
        <f t="shared" ca="1" si="25"/>
        <v>0</v>
      </c>
    </row>
    <row r="358" spans="3:19" x14ac:dyDescent="0.2">
      <c r="C358" s="11">
        <f ca="1">IF(ISNUMBER(kinematics!S200),kinematics!S200,IF(ISNUMBER(kinematics!$S$30),MIN(kinematics!$S$30:$S$210),180))</f>
        <v>180</v>
      </c>
      <c r="D358" s="18">
        <f ca="1">IF(ISNUMBER(kinematics!S200),kinematics!R200,0)</f>
        <v>0</v>
      </c>
      <c r="E358" s="18">
        <f ca="1">IF(ISNUMBER(kinematics!S200),kinematics!V200,0)</f>
        <v>0</v>
      </c>
      <c r="I358" s="11">
        <f t="shared" ca="1" si="27"/>
        <v>180</v>
      </c>
      <c r="J358" s="18">
        <f ca="1">IF(ISNUMBER(kinematics!S200),kinematics!T200,0)</f>
        <v>0</v>
      </c>
      <c r="K358" s="18">
        <f ca="1">IF(ISNUMBER(kinematics!S200),kinematics!W200,0)</f>
        <v>0</v>
      </c>
      <c r="M358" s="18">
        <f ca="1">IF(ISNUMBER(kinematics!S200),kinematics!R200,MAX($D$6:$D$186))</f>
        <v>180</v>
      </c>
      <c r="N358" s="18">
        <f ca="1">IF(ISNUMBER(kinematics!S200),kinematics!T200,0)</f>
        <v>0</v>
      </c>
      <c r="O358" s="18">
        <f ca="1">IF(ISNUMBER(kinematics!S200),kinematics!V200,0)</f>
        <v>0</v>
      </c>
      <c r="P358" s="18">
        <f ca="1">IF(ISNUMBER(kinematics!S200),kinematics!W200,0)</f>
        <v>0</v>
      </c>
      <c r="R358" s="11">
        <f t="shared" ca="1" si="26"/>
        <v>0</v>
      </c>
      <c r="S358" s="11">
        <f t="shared" ca="1" si="25"/>
        <v>0</v>
      </c>
    </row>
    <row r="359" spans="3:19" x14ac:dyDescent="0.2">
      <c r="C359" s="11">
        <f ca="1">IF(ISNUMBER(kinematics!S201),kinematics!S201,IF(ISNUMBER(kinematics!$S$30),MIN(kinematics!$S$30:$S$210),180))</f>
        <v>180</v>
      </c>
      <c r="D359" s="18">
        <f ca="1">IF(ISNUMBER(kinematics!S201),kinematics!R201,0)</f>
        <v>0</v>
      </c>
      <c r="E359" s="18">
        <f ca="1">IF(ISNUMBER(kinematics!S201),kinematics!V201,0)</f>
        <v>0</v>
      </c>
      <c r="I359" s="11">
        <f t="shared" ca="1" si="27"/>
        <v>180</v>
      </c>
      <c r="J359" s="18">
        <f ca="1">IF(ISNUMBER(kinematics!S201),kinematics!T201,0)</f>
        <v>0</v>
      </c>
      <c r="K359" s="18">
        <f ca="1">IF(ISNUMBER(kinematics!S201),kinematics!W201,0)</f>
        <v>0</v>
      </c>
      <c r="M359" s="18">
        <f ca="1">IF(ISNUMBER(kinematics!S201),kinematics!R201,MAX($D$6:$D$186))</f>
        <v>180</v>
      </c>
      <c r="N359" s="18">
        <f ca="1">IF(ISNUMBER(kinematics!S201),kinematics!T201,0)</f>
        <v>0</v>
      </c>
      <c r="O359" s="18">
        <f ca="1">IF(ISNUMBER(kinematics!S201),kinematics!V201,0)</f>
        <v>0</v>
      </c>
      <c r="P359" s="18">
        <f ca="1">IF(ISNUMBER(kinematics!S201),kinematics!W201,0)</f>
        <v>0</v>
      </c>
      <c r="R359" s="11">
        <f t="shared" ca="1" si="26"/>
        <v>0</v>
      </c>
      <c r="S359" s="11">
        <f t="shared" ca="1" si="25"/>
        <v>0</v>
      </c>
    </row>
    <row r="360" spans="3:19" x14ac:dyDescent="0.2">
      <c r="C360" s="11">
        <f ca="1">IF(ISNUMBER(kinematics!S202),kinematics!S202,IF(ISNUMBER(kinematics!$S$30),MIN(kinematics!$S$30:$S$210),180))</f>
        <v>180</v>
      </c>
      <c r="D360" s="18">
        <f ca="1">IF(ISNUMBER(kinematics!S202),kinematics!R202,0)</f>
        <v>0</v>
      </c>
      <c r="E360" s="18">
        <f ca="1">IF(ISNUMBER(kinematics!S202),kinematics!V202,0)</f>
        <v>0</v>
      </c>
      <c r="I360" s="11">
        <f t="shared" ca="1" si="27"/>
        <v>180</v>
      </c>
      <c r="J360" s="18">
        <f ca="1">IF(ISNUMBER(kinematics!S202),kinematics!T202,0)</f>
        <v>0</v>
      </c>
      <c r="K360" s="18">
        <f ca="1">IF(ISNUMBER(kinematics!S202),kinematics!W202,0)</f>
        <v>0</v>
      </c>
      <c r="M360" s="18">
        <f ca="1">IF(ISNUMBER(kinematics!S202),kinematics!R202,MAX($D$6:$D$186))</f>
        <v>180</v>
      </c>
      <c r="N360" s="18">
        <f ca="1">IF(ISNUMBER(kinematics!S202),kinematics!T202,0)</f>
        <v>0</v>
      </c>
      <c r="O360" s="18">
        <f ca="1">IF(ISNUMBER(kinematics!S202),kinematics!V202,0)</f>
        <v>0</v>
      </c>
      <c r="P360" s="18">
        <f ca="1">IF(ISNUMBER(kinematics!S202),kinematics!W202,0)</f>
        <v>0</v>
      </c>
      <c r="R360" s="11">
        <f t="shared" ca="1" si="26"/>
        <v>0</v>
      </c>
      <c r="S360" s="11">
        <f t="shared" ca="1" si="25"/>
        <v>0</v>
      </c>
    </row>
    <row r="361" spans="3:19" x14ac:dyDescent="0.2">
      <c r="C361" s="11">
        <f ca="1">IF(ISNUMBER(kinematics!S203),kinematics!S203,IF(ISNUMBER(kinematics!$S$30),MIN(kinematics!$S$30:$S$210),180))</f>
        <v>180</v>
      </c>
      <c r="D361" s="18">
        <f ca="1">IF(ISNUMBER(kinematics!S203),kinematics!R203,0)</f>
        <v>0</v>
      </c>
      <c r="E361" s="18">
        <f ca="1">IF(ISNUMBER(kinematics!S203),kinematics!V203,0)</f>
        <v>0</v>
      </c>
      <c r="I361" s="11">
        <f t="shared" ca="1" si="27"/>
        <v>180</v>
      </c>
      <c r="J361" s="18">
        <f ca="1">IF(ISNUMBER(kinematics!S203),kinematics!T203,0)</f>
        <v>0</v>
      </c>
      <c r="K361" s="18">
        <f ca="1">IF(ISNUMBER(kinematics!S203),kinematics!W203,0)</f>
        <v>0</v>
      </c>
      <c r="M361" s="18">
        <f ca="1">IF(ISNUMBER(kinematics!S203),kinematics!R203,MAX($D$6:$D$186))</f>
        <v>180</v>
      </c>
      <c r="N361" s="18">
        <f ca="1">IF(ISNUMBER(kinematics!S203),kinematics!T203,0)</f>
        <v>0</v>
      </c>
      <c r="O361" s="18">
        <f ca="1">IF(ISNUMBER(kinematics!S203),kinematics!V203,0)</f>
        <v>0</v>
      </c>
      <c r="P361" s="18">
        <f ca="1">IF(ISNUMBER(kinematics!S203),kinematics!W203,0)</f>
        <v>0</v>
      </c>
      <c r="R361" s="11">
        <f t="shared" ca="1" si="26"/>
        <v>0</v>
      </c>
      <c r="S361" s="11">
        <f t="shared" ca="1" si="25"/>
        <v>0</v>
      </c>
    </row>
    <row r="362" spans="3:19" x14ac:dyDescent="0.2">
      <c r="C362" s="11">
        <f ca="1">IF(ISNUMBER(kinematics!S204),kinematics!S204,IF(ISNUMBER(kinematics!$S$30),MIN(kinematics!$S$30:$S$210),180))</f>
        <v>180</v>
      </c>
      <c r="D362" s="18">
        <f ca="1">IF(ISNUMBER(kinematics!S204),kinematics!R204,0)</f>
        <v>0</v>
      </c>
      <c r="E362" s="18">
        <f ca="1">IF(ISNUMBER(kinematics!S204),kinematics!V204,0)</f>
        <v>0</v>
      </c>
      <c r="I362" s="11">
        <f t="shared" ca="1" si="27"/>
        <v>180</v>
      </c>
      <c r="J362" s="18">
        <f ca="1">IF(ISNUMBER(kinematics!S204),kinematics!T204,0)</f>
        <v>0</v>
      </c>
      <c r="K362" s="18">
        <f ca="1">IF(ISNUMBER(kinematics!S204),kinematics!W204,0)</f>
        <v>0</v>
      </c>
      <c r="M362" s="18">
        <f ca="1">IF(ISNUMBER(kinematics!S204),kinematics!R204,MAX($D$6:$D$186))</f>
        <v>180</v>
      </c>
      <c r="N362" s="18">
        <f ca="1">IF(ISNUMBER(kinematics!S204),kinematics!T204,0)</f>
        <v>0</v>
      </c>
      <c r="O362" s="18">
        <f ca="1">IF(ISNUMBER(kinematics!S204),kinematics!V204,0)</f>
        <v>0</v>
      </c>
      <c r="P362" s="18">
        <f ca="1">IF(ISNUMBER(kinematics!S204),kinematics!W204,0)</f>
        <v>0</v>
      </c>
      <c r="R362" s="11">
        <f t="shared" ca="1" si="26"/>
        <v>0</v>
      </c>
      <c r="S362" s="11">
        <f t="shared" ca="1" si="25"/>
        <v>0</v>
      </c>
    </row>
    <row r="363" spans="3:19" x14ac:dyDescent="0.2">
      <c r="C363" s="11">
        <f ca="1">IF(ISNUMBER(kinematics!S205),kinematics!S205,IF(ISNUMBER(kinematics!$S$30),MIN(kinematics!$S$30:$S$210),180))</f>
        <v>180</v>
      </c>
      <c r="D363" s="18">
        <f ca="1">IF(ISNUMBER(kinematics!S205),kinematics!R205,0)</f>
        <v>0</v>
      </c>
      <c r="E363" s="18">
        <f ca="1">IF(ISNUMBER(kinematics!S205),kinematics!V205,0)</f>
        <v>0</v>
      </c>
      <c r="I363" s="11">
        <f t="shared" ca="1" si="27"/>
        <v>180</v>
      </c>
      <c r="J363" s="18">
        <f ca="1">IF(ISNUMBER(kinematics!S205),kinematics!T205,0)</f>
        <v>0</v>
      </c>
      <c r="K363" s="18">
        <f ca="1">IF(ISNUMBER(kinematics!S205),kinematics!W205,0)</f>
        <v>0</v>
      </c>
      <c r="M363" s="18">
        <f ca="1">IF(ISNUMBER(kinematics!S205),kinematics!R205,MAX($D$6:$D$186))</f>
        <v>180</v>
      </c>
      <c r="N363" s="18">
        <f ca="1">IF(ISNUMBER(kinematics!S205),kinematics!T205,0)</f>
        <v>0</v>
      </c>
      <c r="O363" s="18">
        <f ca="1">IF(ISNUMBER(kinematics!S205),kinematics!V205,0)</f>
        <v>0</v>
      </c>
      <c r="P363" s="18">
        <f ca="1">IF(ISNUMBER(kinematics!S205),kinematics!W205,0)</f>
        <v>0</v>
      </c>
      <c r="R363" s="11">
        <f t="shared" ca="1" si="26"/>
        <v>0</v>
      </c>
      <c r="S363" s="11">
        <f t="shared" ca="1" si="25"/>
        <v>0</v>
      </c>
    </row>
    <row r="364" spans="3:19" x14ac:dyDescent="0.2">
      <c r="C364" s="11">
        <f ca="1">IF(ISNUMBER(kinematics!S206),kinematics!S206,IF(ISNUMBER(kinematics!$S$30),MIN(kinematics!$S$30:$S$210),180))</f>
        <v>180</v>
      </c>
      <c r="D364" s="18">
        <f ca="1">IF(ISNUMBER(kinematics!S206),kinematics!R206,0)</f>
        <v>0</v>
      </c>
      <c r="E364" s="18">
        <f ca="1">IF(ISNUMBER(kinematics!S206),kinematics!V206,0)</f>
        <v>0</v>
      </c>
      <c r="I364" s="11">
        <f t="shared" ca="1" si="27"/>
        <v>180</v>
      </c>
      <c r="J364" s="18">
        <f ca="1">IF(ISNUMBER(kinematics!S206),kinematics!T206,0)</f>
        <v>0</v>
      </c>
      <c r="K364" s="18">
        <f ca="1">IF(ISNUMBER(kinematics!S206),kinematics!W206,0)</f>
        <v>0</v>
      </c>
      <c r="M364" s="18">
        <f ca="1">IF(ISNUMBER(kinematics!S206),kinematics!R206,MAX($D$6:$D$186))</f>
        <v>180</v>
      </c>
      <c r="N364" s="18">
        <f ca="1">IF(ISNUMBER(kinematics!S206),kinematics!T206,0)</f>
        <v>0</v>
      </c>
      <c r="O364" s="18">
        <f ca="1">IF(ISNUMBER(kinematics!S206),kinematics!V206,0)</f>
        <v>0</v>
      </c>
      <c r="P364" s="18">
        <f ca="1">IF(ISNUMBER(kinematics!S206),kinematics!W206,0)</f>
        <v>0</v>
      </c>
      <c r="R364" s="11">
        <f t="shared" ca="1" si="26"/>
        <v>0</v>
      </c>
      <c r="S364" s="11">
        <f t="shared" ca="1" si="25"/>
        <v>0</v>
      </c>
    </row>
    <row r="365" spans="3:19" x14ac:dyDescent="0.2">
      <c r="C365" s="11">
        <f ca="1">IF(ISNUMBER(kinematics!S207),kinematics!S207,IF(ISNUMBER(kinematics!$S$30),MIN(kinematics!$S$30:$S$210),180))</f>
        <v>180</v>
      </c>
      <c r="D365" s="18">
        <f ca="1">IF(ISNUMBER(kinematics!S207),kinematics!R207,0)</f>
        <v>0</v>
      </c>
      <c r="E365" s="18">
        <f ca="1">IF(ISNUMBER(kinematics!S207),kinematics!V207,0)</f>
        <v>0</v>
      </c>
      <c r="I365" s="11">
        <f t="shared" ca="1" si="27"/>
        <v>180</v>
      </c>
      <c r="J365" s="18">
        <f ca="1">IF(ISNUMBER(kinematics!S207),kinematics!T207,0)</f>
        <v>0</v>
      </c>
      <c r="K365" s="18">
        <f ca="1">IF(ISNUMBER(kinematics!S207),kinematics!W207,0)</f>
        <v>0</v>
      </c>
      <c r="M365" s="18">
        <f ca="1">IF(ISNUMBER(kinematics!S207),kinematics!R207,MAX($D$6:$D$186))</f>
        <v>180</v>
      </c>
      <c r="N365" s="18">
        <f ca="1">IF(ISNUMBER(kinematics!S207),kinematics!T207,0)</f>
        <v>0</v>
      </c>
      <c r="O365" s="18">
        <f ca="1">IF(ISNUMBER(kinematics!S207),kinematics!V207,0)</f>
        <v>0</v>
      </c>
      <c r="P365" s="18">
        <f ca="1">IF(ISNUMBER(kinematics!S207),kinematics!W207,0)</f>
        <v>0</v>
      </c>
      <c r="R365" s="11">
        <f t="shared" ca="1" si="26"/>
        <v>0</v>
      </c>
      <c r="S365" s="11">
        <f t="shared" ca="1" si="25"/>
        <v>0</v>
      </c>
    </row>
    <row r="366" spans="3:19" x14ac:dyDescent="0.2">
      <c r="C366" s="11">
        <f ca="1">IF(ISNUMBER(kinematics!S208),kinematics!S208,IF(ISNUMBER(kinematics!$S$30),MIN(kinematics!$S$30:$S$210),180))</f>
        <v>180</v>
      </c>
      <c r="D366" s="18">
        <f ca="1">IF(ISNUMBER(kinematics!S208),kinematics!R208,0)</f>
        <v>0</v>
      </c>
      <c r="E366" s="18">
        <f ca="1">IF(ISNUMBER(kinematics!S208),kinematics!V208,0)</f>
        <v>0</v>
      </c>
      <c r="I366" s="11">
        <f t="shared" ca="1" si="27"/>
        <v>180</v>
      </c>
      <c r="J366" s="18">
        <f ca="1">IF(ISNUMBER(kinematics!S208),kinematics!T208,0)</f>
        <v>0</v>
      </c>
      <c r="K366" s="18">
        <f ca="1">IF(ISNUMBER(kinematics!S208),kinematics!W208,0)</f>
        <v>0</v>
      </c>
      <c r="M366" s="18">
        <f ca="1">IF(ISNUMBER(kinematics!S208),kinematics!R208,MAX($D$6:$D$186))</f>
        <v>180</v>
      </c>
      <c r="N366" s="18">
        <f ca="1">IF(ISNUMBER(kinematics!S208),kinematics!T208,0)</f>
        <v>0</v>
      </c>
      <c r="O366" s="18">
        <f ca="1">IF(ISNUMBER(kinematics!S208),kinematics!V208,0)</f>
        <v>0</v>
      </c>
      <c r="P366" s="18">
        <f ca="1">IF(ISNUMBER(kinematics!S208),kinematics!W208,0)</f>
        <v>0</v>
      </c>
      <c r="R366" s="11">
        <f t="shared" ca="1" si="26"/>
        <v>0</v>
      </c>
      <c r="S366" s="11">
        <f t="shared" ca="1" si="25"/>
        <v>0</v>
      </c>
    </row>
    <row r="367" spans="3:19" x14ac:dyDescent="0.2">
      <c r="C367" s="11">
        <f ca="1">IF(ISNUMBER(kinematics!S209),kinematics!S209,IF(ISNUMBER(kinematics!$S$30),MIN(kinematics!$S$30:$S$210),180))</f>
        <v>180</v>
      </c>
      <c r="D367" s="18">
        <f ca="1">IF(ISNUMBER(kinematics!S209),kinematics!R209,0)</f>
        <v>0</v>
      </c>
      <c r="E367" s="18">
        <f ca="1">IF(ISNUMBER(kinematics!S209),kinematics!V209,0)</f>
        <v>0</v>
      </c>
      <c r="I367" s="11">
        <f t="shared" ca="1" si="27"/>
        <v>180</v>
      </c>
      <c r="J367" s="18">
        <f ca="1">IF(ISNUMBER(kinematics!S209),kinematics!T209,0)</f>
        <v>0</v>
      </c>
      <c r="K367" s="18">
        <f ca="1">IF(ISNUMBER(kinematics!S209),kinematics!W209,0)</f>
        <v>0</v>
      </c>
      <c r="M367" s="18">
        <f ca="1">IF(ISNUMBER(kinematics!S209),kinematics!R209,MAX($D$6:$D$186))</f>
        <v>180</v>
      </c>
      <c r="N367" s="18">
        <f ca="1">IF(ISNUMBER(kinematics!S209),kinematics!T209,0)</f>
        <v>0</v>
      </c>
      <c r="O367" s="18">
        <f ca="1">IF(ISNUMBER(kinematics!S209),kinematics!V209,0)</f>
        <v>0</v>
      </c>
      <c r="P367" s="18">
        <f ca="1">IF(ISNUMBER(kinematics!S209),kinematics!W209,0)</f>
        <v>0</v>
      </c>
      <c r="R367" s="11">
        <f t="shared" ca="1" si="26"/>
        <v>0</v>
      </c>
      <c r="S367" s="11">
        <f t="shared" ca="1" si="25"/>
        <v>0</v>
      </c>
    </row>
    <row r="368" spans="3:19" x14ac:dyDescent="0.2">
      <c r="C368" s="11">
        <f ca="1">IF(ISNUMBER(kinematics!S210),kinematics!S210,IF(ISNUMBER(kinematics!$S$30),MIN(kinematics!$S$30:$S$210),180))</f>
        <v>180</v>
      </c>
      <c r="D368" s="18">
        <f ca="1">IF(ISNUMBER(kinematics!S210),kinematics!R210,0)</f>
        <v>0</v>
      </c>
      <c r="E368" s="18">
        <f ca="1">IF(ISNUMBER(kinematics!S210),kinematics!V210,0)</f>
        <v>0</v>
      </c>
      <c r="I368" s="11">
        <f t="shared" ca="1" si="27"/>
        <v>180</v>
      </c>
      <c r="J368" s="18">
        <f ca="1">IF(ISNUMBER(kinematics!S210),kinematics!T210,0)</f>
        <v>0</v>
      </c>
      <c r="K368" s="18">
        <f ca="1">IF(ISNUMBER(kinematics!S210),kinematics!W210,0)</f>
        <v>0</v>
      </c>
      <c r="M368" s="18">
        <f ca="1">IF(ISNUMBER(kinematics!S210),kinematics!R210,MAX($D$6:$D$186))</f>
        <v>180</v>
      </c>
      <c r="N368" s="18">
        <f ca="1">IF(ISNUMBER(kinematics!S210),kinematics!T210,0)</f>
        <v>0</v>
      </c>
      <c r="O368" s="18">
        <f ca="1">IF(ISNUMBER(kinematics!S210),kinematics!V210,0)</f>
        <v>0</v>
      </c>
      <c r="P368" s="18">
        <f ca="1">IF(ISNUMBER(kinematics!S210),kinematics!W210,0)</f>
        <v>0</v>
      </c>
      <c r="R368" s="11">
        <f t="shared" ca="1" si="26"/>
        <v>0</v>
      </c>
      <c r="S368" s="11">
        <f ca="1">P368</f>
        <v>0</v>
      </c>
    </row>
  </sheetData>
  <sheetProtection password="C786" sheet="1" objects="1" scenarios="1"/>
  <mergeCells count="2">
    <mergeCell ref="A3:E3"/>
    <mergeCell ref="G3:K3"/>
  </mergeCells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944"/>
  <sheetViews>
    <sheetView topLeftCell="A43" workbookViewId="0">
      <selection activeCell="J54" sqref="J54"/>
    </sheetView>
  </sheetViews>
  <sheetFormatPr defaultRowHeight="12.75" x14ac:dyDescent="0.2"/>
  <cols>
    <col min="9" max="9" width="13.5703125" customWidth="1"/>
    <col min="10" max="10" width="13.42578125" customWidth="1"/>
    <col min="11" max="11" width="12" bestFit="1" customWidth="1"/>
  </cols>
  <sheetData>
    <row r="1" spans="1:24" x14ac:dyDescent="0.2">
      <c r="A1" t="s">
        <v>122</v>
      </c>
      <c r="E1" s="1" t="s">
        <v>121</v>
      </c>
      <c r="H1" s="3" t="s">
        <v>118</v>
      </c>
      <c r="I1" s="1"/>
      <c r="J1" s="1"/>
      <c r="K1" s="1"/>
    </row>
    <row r="2" spans="1:24" x14ac:dyDescent="0.2">
      <c r="A2">
        <v>931.49406099999999</v>
      </c>
      <c r="D2" t="s">
        <v>98</v>
      </c>
      <c r="E2">
        <f ca="1">F2+H2/$A$2</f>
        <v>3.0160293216619873</v>
      </c>
      <c r="F2">
        <f>kinematics!D5</f>
        <v>3</v>
      </c>
      <c r="G2" t="str">
        <f>INDEX(Symbol_values,MATCH(kinematics!I5,Z_values,0))</f>
        <v>He</v>
      </c>
      <c r="H2">
        <f ca="1">VLOOKUP(kinematics!C5,INDIRECT(ADDRESS(MATCH(kinematics!D5,A_values,0),4,1)):INDIRECT(ADDRESS(MATCH(kinematics!D5+1,A_values,0)-1,7,1)),4,FALSE)/1000</f>
        <v>14.931217930000001</v>
      </c>
      <c r="J2" s="231" t="s">
        <v>489</v>
      </c>
      <c r="K2" s="232"/>
      <c r="L2" s="232"/>
      <c r="M2" s="232"/>
    </row>
    <row r="3" spans="1:24" x14ac:dyDescent="0.2">
      <c r="A3">
        <f>A2/1000</f>
        <v>0.93149406099999998</v>
      </c>
      <c r="D3" t="s">
        <v>99</v>
      </c>
      <c r="E3">
        <f ca="1">F3+H3/$A$2</f>
        <v>121.90344400810946</v>
      </c>
      <c r="F3">
        <f>kinematics!D6</f>
        <v>122</v>
      </c>
      <c r="G3" t="str">
        <f>INDEX(Symbol_values,MATCH(kinematics!I6,Z_values,0))</f>
        <v>Sn</v>
      </c>
      <c r="H3">
        <f ca="1">VLOOKUP(kinematics!C6,INDIRECT(ADDRESS(MATCH(kinematics!D6,A_values,0),4,1)):INDIRECT(ADDRESS(MATCH(kinematics!D6+1,A_values,0)-1,7,1)),4,FALSE)/1000</f>
        <v>-89.941333</v>
      </c>
      <c r="J3" s="232"/>
      <c r="K3" s="231" t="s">
        <v>489</v>
      </c>
      <c r="L3" s="232"/>
      <c r="M3" s="232"/>
    </row>
    <row r="4" spans="1:24" x14ac:dyDescent="0.2">
      <c r="D4" t="s">
        <v>100</v>
      </c>
      <c r="E4">
        <f ca="1">F4+H4/$A$2</f>
        <v>3.0160492809948254</v>
      </c>
      <c r="F4">
        <f>kinematics!D8</f>
        <v>3</v>
      </c>
      <c r="G4" t="str">
        <f>INDEX(Symbol_values,MATCH(kinematics!I8,Z_values,0))</f>
        <v>H</v>
      </c>
      <c r="H4">
        <f ca="1">VLOOKUP(kinematics!C8,INDIRECT(ADDRESS(MATCH(kinematics!D8,A_values,0),4,1)):INDIRECT(ADDRESS(MATCH(kinematics!D8+1,A_values,0)-1,7,1)),4,FALSE)/1000</f>
        <v>14.949809929999999</v>
      </c>
      <c r="J4" s="231" t="s">
        <v>489</v>
      </c>
      <c r="K4" s="232"/>
      <c r="L4" s="232"/>
      <c r="M4" s="232"/>
    </row>
    <row r="5" spans="1:24" x14ac:dyDescent="0.2">
      <c r="D5" t="s">
        <v>101</v>
      </c>
      <c r="E5">
        <f ca="1">F5+H5/$A$2</f>
        <v>121.90516808029332</v>
      </c>
      <c r="F5">
        <f>kinematics!D10</f>
        <v>122</v>
      </c>
      <c r="G5" t="str">
        <f>INDEX(Symbol_values,MATCH(kinematics!I10,Z_values,0))</f>
        <v>Sb</v>
      </c>
      <c r="H5">
        <f ca="1">VLOOKUP(kinematics!C10,INDIRECT(ADDRESS(MATCH(kinematics!D10,A_values,0),4,1)):INDIRECT(ADDRESS(MATCH(kinematics!D10+1,A_values,0)-1,7,1)),4,FALSE)/1000</f>
        <v>-88.335369999999998</v>
      </c>
    </row>
    <row r="7" spans="1:24" x14ac:dyDescent="0.2">
      <c r="A7" s="1" t="s">
        <v>5</v>
      </c>
      <c r="B7" s="1" t="s">
        <v>302</v>
      </c>
      <c r="C7" s="1" t="s">
        <v>184</v>
      </c>
      <c r="D7" s="1"/>
      <c r="E7" s="3" t="s">
        <v>304</v>
      </c>
      <c r="F7" s="3" t="s">
        <v>303</v>
      </c>
      <c r="G7" s="3" t="s">
        <v>305</v>
      </c>
      <c r="H7" s="228" t="s">
        <v>597</v>
      </c>
      <c r="I7" s="228" t="s">
        <v>598</v>
      </c>
      <c r="J7" s="228" t="s">
        <v>599</v>
      </c>
      <c r="M7" s="228" t="s">
        <v>1661</v>
      </c>
      <c r="P7" s="229" t="s">
        <v>497</v>
      </c>
      <c r="Q7" s="229"/>
      <c r="R7" s="229"/>
      <c r="S7" s="229"/>
      <c r="U7" s="234" t="s">
        <v>1663</v>
      </c>
      <c r="V7" s="233"/>
      <c r="W7" s="233"/>
      <c r="X7" s="233"/>
    </row>
    <row r="8" spans="1:24" x14ac:dyDescent="0.2">
      <c r="A8">
        <v>1</v>
      </c>
      <c r="B8">
        <v>0</v>
      </c>
      <c r="C8">
        <v>1</v>
      </c>
      <c r="D8" s="51" t="s">
        <v>92</v>
      </c>
      <c r="E8">
        <f>VLOOKUP(M8,'MASS - 2016'!$A$1:$G$3418,6,FALSE)</f>
        <v>8071.3171300000004</v>
      </c>
      <c r="F8">
        <f>VLOOKUP(M8,'MASS - 2016'!$A$1:$G$3418,7,FALSE)</f>
        <v>4.6000000000000001E-4</v>
      </c>
      <c r="G8">
        <f>IF(ISNUMBER(E8),E8,VALUE(SUBSTITUTE(E8,"#",".01")))</f>
        <v>8071.3171300000004</v>
      </c>
      <c r="H8">
        <f>(C8*$A$3+G8/1000000)/$A$3</f>
        <v>1.0086649152881717</v>
      </c>
      <c r="I8">
        <f>H8*$A$3</f>
        <v>0.93956537813000007</v>
      </c>
      <c r="J8">
        <f>1000*I8-B8*0.511</f>
        <v>939.56537813000011</v>
      </c>
      <c r="M8">
        <f>1000*A8+B8</f>
        <v>1000</v>
      </c>
      <c r="N8">
        <f>VLOOKUP(M8,'MASS - 2016'!$A$1:$G$3418,6,FALSE)</f>
        <v>8071.3171300000004</v>
      </c>
      <c r="P8" s="229">
        <f>Decay!G1</f>
        <v>0</v>
      </c>
      <c r="Q8" s="229" t="e">
        <f>INDEX(Symbol_values,MATCH(Decay!H1,Z_values,0))</f>
        <v>#N/A</v>
      </c>
      <c r="R8" s="229" t="e">
        <f ca="1">VLOOKUP(Q8,INDIRECT(ADDRESS(MATCH(P8,A_values,0),4,1)):INDIRECT(ADDRESS(MATCH(P8+1,A_values,0)-1,7,1)),4,FALSE)/1000</f>
        <v>#N/A</v>
      </c>
      <c r="S8" s="229" t="e">
        <f ca="1">P8+R8/$A$2</f>
        <v>#N/A</v>
      </c>
      <c r="U8" s="233">
        <f>'Recoil-Decay'!G1</f>
        <v>1</v>
      </c>
      <c r="V8" s="233" t="str">
        <f>INDEX(Symbol_values,MATCH('Recoil-Decay'!H1,Z_values,0))</f>
        <v>H</v>
      </c>
      <c r="W8" s="233">
        <f ca="1">VLOOKUP(V8,INDIRECT(ADDRESS(MATCH(U8,A_values,0),4,1)):INDIRECT(ADDRESS(MATCH(U8+1,A_values,0)-1,7,1)),4,FALSE)/1000</f>
        <v>7.2889706100000007</v>
      </c>
      <c r="X8" s="233">
        <f ca="1">U8+W8/$A$2</f>
        <v>1.0078250317583077</v>
      </c>
    </row>
    <row r="9" spans="1:24" x14ac:dyDescent="0.2">
      <c r="A9">
        <v>0</v>
      </c>
      <c r="B9">
        <v>1</v>
      </c>
      <c r="C9">
        <v>1</v>
      </c>
      <c r="D9" s="51" t="s">
        <v>94</v>
      </c>
      <c r="E9">
        <f>VLOOKUP(M9,'MASS - 2016'!$A$1:$G$3418,6,FALSE)</f>
        <v>7288.9706100000003</v>
      </c>
      <c r="F9">
        <f>VLOOKUP(M9,'MASS - 2016'!$A$1:$G$3418,7,FALSE)</f>
        <v>9.0000000000000006E-5</v>
      </c>
      <c r="G9">
        <f t="shared" ref="G9:G78" si="0">IF(ISNUMBER(E9),E9,VALUE(SUBSTITUTE(E9,"#",".01")))</f>
        <v>7288.9706100000003</v>
      </c>
      <c r="H9">
        <f t="shared" ref="H9:H72" si="1">(C9*$A$3+G9/1000000)/$A$3</f>
        <v>1.0078250317583077</v>
      </c>
      <c r="I9">
        <f t="shared" ref="I9:I72" si="2">H9*$A$3</f>
        <v>0.93878303160999999</v>
      </c>
      <c r="J9">
        <f t="shared" ref="J9:J75" si="3">1000*I9-B9*0.511</f>
        <v>938.27203161</v>
      </c>
      <c r="M9">
        <f t="shared" ref="M9:M72" si="4">1000*A9+B9</f>
        <v>1</v>
      </c>
      <c r="P9" s="229">
        <f>Decay!G3</f>
        <v>12</v>
      </c>
      <c r="Q9" s="229" t="str">
        <f>INDEX(Symbol_values,MATCH(Decay!H3,Z_values,0))</f>
        <v>N</v>
      </c>
      <c r="R9" s="229">
        <f ca="1">VLOOKUP(Q9,INDIRECT(ADDRESS(MATCH(P9,A_values,0),4,1)):INDIRECT(ADDRESS(MATCH(P9+1,A_values,0)-1,7,1)),4,FALSE)/1000</f>
        <v>17.338068</v>
      </c>
      <c r="S9" s="229">
        <f ca="1">P9+R9/$A$2</f>
        <v>12.018613181474702</v>
      </c>
      <c r="U9" s="233">
        <f>'Recoil-Decay'!G3</f>
        <v>11</v>
      </c>
      <c r="V9" s="233" t="str">
        <f>INDEX(Symbol_values,MATCH('Recoil-Decay'!H3,Z_values,0))</f>
        <v>C</v>
      </c>
      <c r="W9" s="233">
        <f ca="1">VLOOKUP(V9,INDIRECT(ADDRESS(MATCH(U9,A_values,0),4,1)):INDIRECT(ADDRESS(MATCH(U9+1,A_values,0)-1,7,1)),4,FALSE)/1000</f>
        <v>10.649396000000001</v>
      </c>
      <c r="X9" s="233">
        <f ca="1">U9+W9/$A$2</f>
        <v>11.011432596777448</v>
      </c>
    </row>
    <row r="10" spans="1:24" x14ac:dyDescent="0.2">
      <c r="A10">
        <v>2</v>
      </c>
      <c r="B10">
        <v>0</v>
      </c>
      <c r="C10">
        <v>2</v>
      </c>
      <c r="D10" s="51" t="s">
        <v>92</v>
      </c>
      <c r="E10">
        <f>2*E8</f>
        <v>16142.634260000001</v>
      </c>
      <c r="G10">
        <f>2*G8</f>
        <v>16142.634260000001</v>
      </c>
      <c r="H10">
        <f t="shared" si="1"/>
        <v>2.0173298305763434</v>
      </c>
      <c r="I10">
        <f t="shared" si="2"/>
        <v>1.8791307562600001</v>
      </c>
      <c r="J10">
        <f t="shared" si="3"/>
        <v>1879.1307562600002</v>
      </c>
      <c r="M10">
        <f t="shared" si="4"/>
        <v>2000</v>
      </c>
    </row>
    <row r="11" spans="1:24" x14ac:dyDescent="0.2">
      <c r="A11">
        <v>1</v>
      </c>
      <c r="B11">
        <v>1</v>
      </c>
      <c r="C11">
        <v>2</v>
      </c>
      <c r="D11" s="51" t="s">
        <v>94</v>
      </c>
      <c r="E11">
        <f>VLOOKUP(M11,'MASS - 2016'!$A$1:$G$3418,6,FALSE)</f>
        <v>13135.72176</v>
      </c>
      <c r="F11">
        <f>VLOOKUP(M11,'MASS - 2016'!$A$1:$G$3418,7,FALSE)</f>
        <v>1.1E-4</v>
      </c>
      <c r="G11">
        <f t="shared" si="0"/>
        <v>13135.72176</v>
      </c>
      <c r="H11">
        <f t="shared" si="1"/>
        <v>2.0141017772522334</v>
      </c>
      <c r="I11">
        <f t="shared" si="2"/>
        <v>1.8761238437600003</v>
      </c>
      <c r="J11">
        <f t="shared" si="3"/>
        <v>1875.6128437600003</v>
      </c>
      <c r="M11">
        <f t="shared" si="4"/>
        <v>1001</v>
      </c>
      <c r="P11" s="221" t="s">
        <v>489</v>
      </c>
    </row>
    <row r="12" spans="1:24" x14ac:dyDescent="0.2">
      <c r="A12">
        <v>0</v>
      </c>
      <c r="B12">
        <v>2</v>
      </c>
      <c r="C12">
        <v>2</v>
      </c>
      <c r="D12" s="51" t="s">
        <v>96</v>
      </c>
      <c r="E12">
        <f>2*E9</f>
        <v>14577.941220000001</v>
      </c>
      <c r="F12">
        <f>2*F9</f>
        <v>1.8000000000000001E-4</v>
      </c>
      <c r="G12">
        <f>2*G9</f>
        <v>14577.941220000001</v>
      </c>
      <c r="H12">
        <f t="shared" si="1"/>
        <v>2.0156500635166155</v>
      </c>
      <c r="I12">
        <f t="shared" si="2"/>
        <v>1.87756606322</v>
      </c>
      <c r="J12">
        <f t="shared" si="3"/>
        <v>1876.54406322</v>
      </c>
      <c r="M12">
        <f t="shared" si="4"/>
        <v>2</v>
      </c>
    </row>
    <row r="13" spans="1:24" x14ac:dyDescent="0.2">
      <c r="A13">
        <v>2</v>
      </c>
      <c r="B13">
        <v>1</v>
      </c>
      <c r="C13">
        <v>3</v>
      </c>
      <c r="D13" s="51" t="s">
        <v>94</v>
      </c>
      <c r="E13">
        <f>VLOOKUP(M13,'MASS - 2016'!$A$1:$G$3418,6,FALSE)</f>
        <v>14949.809929999999</v>
      </c>
      <c r="F13">
        <f>VLOOKUP(M13,'MASS - 2016'!$A$1:$G$3418,7,FALSE)</f>
        <v>2.2000000000000001E-4</v>
      </c>
      <c r="G13">
        <f t="shared" si="0"/>
        <v>14949.809929999999</v>
      </c>
      <c r="H13">
        <f t="shared" si="1"/>
        <v>3.0160492809948254</v>
      </c>
      <c r="I13">
        <f t="shared" si="2"/>
        <v>2.80943199293</v>
      </c>
      <c r="J13">
        <f t="shared" si="3"/>
        <v>2808.92099293</v>
      </c>
      <c r="M13">
        <f t="shared" si="4"/>
        <v>2001</v>
      </c>
    </row>
    <row r="14" spans="1:24" x14ac:dyDescent="0.2">
      <c r="A14">
        <v>1</v>
      </c>
      <c r="B14">
        <v>2</v>
      </c>
      <c r="C14">
        <v>3</v>
      </c>
      <c r="D14" s="51" t="s">
        <v>96</v>
      </c>
      <c r="E14">
        <f>VLOOKUP(M14,'MASS - 2016'!$A$1:$G$3418,6,FALSE)</f>
        <v>14931.217930000001</v>
      </c>
      <c r="F14">
        <f>VLOOKUP(M14,'MASS - 2016'!$A$1:$G$3418,7,FALSE)</f>
        <v>2.1000000000000001E-4</v>
      </c>
      <c r="G14">
        <f t="shared" si="0"/>
        <v>14931.217930000001</v>
      </c>
      <c r="H14">
        <f t="shared" si="1"/>
        <v>3.0160293216619878</v>
      </c>
      <c r="I14">
        <f t="shared" si="2"/>
        <v>2.80941340093</v>
      </c>
      <c r="J14">
        <f t="shared" si="3"/>
        <v>2808.3914009300001</v>
      </c>
      <c r="M14">
        <f t="shared" si="4"/>
        <v>1002</v>
      </c>
    </row>
    <row r="15" spans="1:24" x14ac:dyDescent="0.2">
      <c r="A15">
        <v>0</v>
      </c>
      <c r="B15">
        <v>3</v>
      </c>
      <c r="C15">
        <v>3</v>
      </c>
      <c r="D15" s="227" t="s">
        <v>0</v>
      </c>
      <c r="E15" t="str">
        <f>VLOOKUP(M15,'MASS - 2016'!$A$1:$G$3418,6,FALSE)</f>
        <v>28667#</v>
      </c>
      <c r="F15" t="str">
        <f>VLOOKUP(M15,'MASS - 2016'!$A$1:$G$3418,7,FALSE)</f>
        <v>2000#</v>
      </c>
      <c r="G15">
        <f t="shared" ref="G15" si="5">IF(ISNUMBER(E15),E15,VALUE(SUBSTITUTE(E15,"#",".01")))</f>
        <v>28667.01</v>
      </c>
      <c r="H15">
        <f t="shared" si="1"/>
        <v>3.0307753008851441</v>
      </c>
      <c r="I15">
        <f t="shared" si="2"/>
        <v>2.8231491929999999</v>
      </c>
      <c r="J15">
        <f t="shared" ref="J15" si="6">1000*I15-B15*0.511</f>
        <v>2821.6161929999998</v>
      </c>
      <c r="M15">
        <f t="shared" si="4"/>
        <v>3</v>
      </c>
    </row>
    <row r="16" spans="1:24" x14ac:dyDescent="0.2">
      <c r="A16">
        <v>3</v>
      </c>
      <c r="B16">
        <v>1</v>
      </c>
      <c r="C16">
        <v>4</v>
      </c>
      <c r="D16" s="51" t="s">
        <v>94</v>
      </c>
      <c r="E16">
        <f>VLOOKUP(M16,'MASS - 2016'!$A$1:$G$3418,6,FALSE)</f>
        <v>24621.127</v>
      </c>
      <c r="F16">
        <f>VLOOKUP(M16,'MASS - 2016'!$A$1:$G$3418,7,FALSE)</f>
        <v>100</v>
      </c>
      <c r="G16">
        <f t="shared" si="0"/>
        <v>24621.127</v>
      </c>
      <c r="H16">
        <f t="shared" si="1"/>
        <v>4.0264318668586769</v>
      </c>
      <c r="I16">
        <f t="shared" si="2"/>
        <v>3.750597371</v>
      </c>
      <c r="J16">
        <f t="shared" si="3"/>
        <v>3750.0863709999999</v>
      </c>
      <c r="M16">
        <f t="shared" si="4"/>
        <v>3001</v>
      </c>
    </row>
    <row r="17" spans="1:13" x14ac:dyDescent="0.2">
      <c r="A17">
        <v>2</v>
      </c>
      <c r="B17">
        <v>2</v>
      </c>
      <c r="C17">
        <v>4</v>
      </c>
      <c r="D17" s="51" t="s">
        <v>96</v>
      </c>
      <c r="E17">
        <f>VLOOKUP(M17,'MASS - 2016'!$A$1:$G$3418,6,FALSE)</f>
        <v>2424.91561</v>
      </c>
      <c r="F17">
        <f>VLOOKUP(M17,'MASS - 2016'!$A$1:$G$3418,7,FALSE)</f>
        <v>6.0000000000000002E-5</v>
      </c>
      <c r="G17">
        <f t="shared" si="0"/>
        <v>2424.91561</v>
      </c>
      <c r="H17">
        <f t="shared" si="1"/>
        <v>4.0026032539674992</v>
      </c>
      <c r="I17">
        <f t="shared" si="2"/>
        <v>3.7284011596100002</v>
      </c>
      <c r="J17">
        <f t="shared" si="3"/>
        <v>3727.3791596100004</v>
      </c>
      <c r="M17">
        <f t="shared" si="4"/>
        <v>2002</v>
      </c>
    </row>
    <row r="18" spans="1:13" x14ac:dyDescent="0.2">
      <c r="A18">
        <v>1</v>
      </c>
      <c r="B18">
        <v>3</v>
      </c>
      <c r="C18">
        <v>4</v>
      </c>
      <c r="D18" s="51" t="s">
        <v>0</v>
      </c>
      <c r="E18">
        <f>VLOOKUP(M18,'MASS - 2016'!$A$1:$G$3418,6,FALSE)</f>
        <v>25323.188999999998</v>
      </c>
      <c r="F18">
        <f>VLOOKUP(M18,'MASS - 2016'!$A$1:$G$3418,7,FALSE)</f>
        <v>212.13200000000001</v>
      </c>
      <c r="G18">
        <f t="shared" si="0"/>
        <v>25323.188999999998</v>
      </c>
      <c r="H18">
        <f t="shared" si="1"/>
        <v>4.0271855614117547</v>
      </c>
      <c r="I18">
        <f t="shared" si="2"/>
        <v>3.7512994330000002</v>
      </c>
      <c r="J18">
        <f t="shared" si="3"/>
        <v>3749.7664330000002</v>
      </c>
      <c r="M18">
        <f t="shared" si="4"/>
        <v>1003</v>
      </c>
    </row>
    <row r="19" spans="1:13" x14ac:dyDescent="0.2">
      <c r="A19">
        <v>0</v>
      </c>
      <c r="B19">
        <v>4</v>
      </c>
      <c r="C19">
        <v>4</v>
      </c>
      <c r="D19" s="51" t="s">
        <v>1</v>
      </c>
      <c r="E19">
        <v>0</v>
      </c>
      <c r="F19">
        <v>0</v>
      </c>
      <c r="G19">
        <f t="shared" si="0"/>
        <v>0</v>
      </c>
      <c r="H19">
        <f t="shared" si="1"/>
        <v>4</v>
      </c>
      <c r="I19">
        <f t="shared" si="2"/>
        <v>3.7259762439999999</v>
      </c>
      <c r="J19">
        <f t="shared" si="3"/>
        <v>3723.9322440000001</v>
      </c>
      <c r="M19">
        <f t="shared" si="4"/>
        <v>4</v>
      </c>
    </row>
    <row r="20" spans="1:13" x14ac:dyDescent="0.2">
      <c r="A20">
        <v>4</v>
      </c>
      <c r="B20">
        <v>1</v>
      </c>
      <c r="C20">
        <v>5</v>
      </c>
      <c r="D20" s="51" t="s">
        <v>94</v>
      </c>
      <c r="E20">
        <f>VLOOKUP(M20,'MASS - 2016'!$A$1:$G$3418,6,FALSE)</f>
        <v>32892.444000000003</v>
      </c>
      <c r="F20">
        <f>VLOOKUP(M20,'MASS - 2016'!$A$1:$G$3418,7,FALSE)</f>
        <v>89.442999999999998</v>
      </c>
      <c r="G20">
        <f t="shared" si="0"/>
        <v>32892.444000000003</v>
      </c>
      <c r="H20">
        <f t="shared" si="1"/>
        <v>5.0353114908372989</v>
      </c>
      <c r="I20">
        <f t="shared" si="2"/>
        <v>4.6903627490000002</v>
      </c>
      <c r="J20">
        <f t="shared" si="3"/>
        <v>4689.8517489999995</v>
      </c>
      <c r="M20">
        <f t="shared" si="4"/>
        <v>4001</v>
      </c>
    </row>
    <row r="21" spans="1:13" x14ac:dyDescent="0.2">
      <c r="A21">
        <v>3</v>
      </c>
      <c r="B21">
        <v>2</v>
      </c>
      <c r="C21">
        <v>5</v>
      </c>
      <c r="D21" s="51" t="s">
        <v>96</v>
      </c>
      <c r="E21">
        <f>VLOOKUP(M21,'MASS - 2016'!$A$1:$G$3418,6,FALSE)</f>
        <v>11231.233</v>
      </c>
      <c r="F21">
        <f>VLOOKUP(M21,'MASS - 2016'!$A$1:$G$3418,7,FALSE)</f>
        <v>20</v>
      </c>
      <c r="G21">
        <f t="shared" si="0"/>
        <v>11231.233</v>
      </c>
      <c r="H21">
        <f t="shared" si="1"/>
        <v>5.0120572244850852</v>
      </c>
      <c r="I21">
        <f t="shared" si="2"/>
        <v>4.6687015380000005</v>
      </c>
      <c r="J21">
        <f t="shared" si="3"/>
        <v>4667.6795380000003</v>
      </c>
      <c r="M21">
        <f t="shared" si="4"/>
        <v>3002</v>
      </c>
    </row>
    <row r="22" spans="1:13" x14ac:dyDescent="0.2">
      <c r="A22">
        <v>2</v>
      </c>
      <c r="B22">
        <v>3</v>
      </c>
      <c r="C22">
        <v>5</v>
      </c>
      <c r="D22" s="51" t="s">
        <v>0</v>
      </c>
      <c r="E22">
        <f>VLOOKUP(M22,'MASS - 2016'!$A$1:$G$3418,6,FALSE)</f>
        <v>11678.886</v>
      </c>
      <c r="F22">
        <f>VLOOKUP(M22,'MASS - 2016'!$A$1:$G$3418,7,FALSE)</f>
        <v>50</v>
      </c>
      <c r="G22">
        <f t="shared" si="0"/>
        <v>11678.886</v>
      </c>
      <c r="H22">
        <f t="shared" si="1"/>
        <v>5.0125377997444911</v>
      </c>
      <c r="I22">
        <f t="shared" si="2"/>
        <v>4.6691491910000007</v>
      </c>
      <c r="J22">
        <f t="shared" si="3"/>
        <v>4667.6161910000001</v>
      </c>
      <c r="M22">
        <f t="shared" si="4"/>
        <v>2003</v>
      </c>
    </row>
    <row r="23" spans="1:13" x14ac:dyDescent="0.2">
      <c r="A23">
        <v>1</v>
      </c>
      <c r="B23">
        <v>4</v>
      </c>
      <c r="C23">
        <v>5</v>
      </c>
      <c r="D23" s="51" t="s">
        <v>1</v>
      </c>
      <c r="E23" t="str">
        <f>VLOOKUP(M23,'MASS - 2016'!$A$1:$G$3418,6,FALSE)</f>
        <v>37139#</v>
      </c>
      <c r="F23" t="str">
        <f>VLOOKUP(M23,'MASS - 2016'!$A$1:$G$3418,7,FALSE)</f>
        <v>2003#</v>
      </c>
      <c r="G23">
        <f t="shared" si="0"/>
        <v>37139.01</v>
      </c>
      <c r="H23">
        <f t="shared" si="1"/>
        <v>5.0398703669244327</v>
      </c>
      <c r="I23">
        <f t="shared" si="2"/>
        <v>4.6946093150000001</v>
      </c>
      <c r="J23">
        <f t="shared" si="3"/>
        <v>4692.5653149999998</v>
      </c>
      <c r="M23">
        <f t="shared" si="4"/>
        <v>1004</v>
      </c>
    </row>
    <row r="24" spans="1:13" x14ac:dyDescent="0.2">
      <c r="A24">
        <v>0</v>
      </c>
      <c r="B24">
        <v>5</v>
      </c>
      <c r="C24">
        <v>5</v>
      </c>
      <c r="D24" s="51" t="s">
        <v>3</v>
      </c>
      <c r="E24">
        <v>0</v>
      </c>
      <c r="F24">
        <v>0</v>
      </c>
      <c r="G24">
        <v>0</v>
      </c>
      <c r="H24">
        <f t="shared" si="1"/>
        <v>5.0000000000000009</v>
      </c>
      <c r="I24">
        <f t="shared" si="2"/>
        <v>4.6574703050000004</v>
      </c>
      <c r="J24">
        <f t="shared" si="3"/>
        <v>4654.9153050000004</v>
      </c>
      <c r="M24">
        <f t="shared" si="4"/>
        <v>5</v>
      </c>
    </row>
    <row r="25" spans="1:13" x14ac:dyDescent="0.2">
      <c r="A25">
        <v>5</v>
      </c>
      <c r="B25">
        <v>1</v>
      </c>
      <c r="C25">
        <v>6</v>
      </c>
      <c r="D25" s="51" t="s">
        <v>94</v>
      </c>
      <c r="E25">
        <f>VLOOKUP(M25,'MASS - 2016'!$A$1:$G$3418,6,FALSE)</f>
        <v>41875.720999999998</v>
      </c>
      <c r="F25">
        <f>VLOOKUP(M25,'MASS - 2016'!$A$1:$G$3418,7,FALSE)</f>
        <v>254.12700000000001</v>
      </c>
      <c r="G25">
        <f t="shared" si="0"/>
        <v>41875.720999999998</v>
      </c>
      <c r="H25">
        <f t="shared" si="1"/>
        <v>6.0449554353089967</v>
      </c>
      <c r="I25">
        <f t="shared" si="2"/>
        <v>5.6308400870000002</v>
      </c>
      <c r="J25">
        <f t="shared" si="3"/>
        <v>5630.3290870000001</v>
      </c>
      <c r="M25">
        <f t="shared" si="4"/>
        <v>5001</v>
      </c>
    </row>
    <row r="26" spans="1:13" x14ac:dyDescent="0.2">
      <c r="A26">
        <v>4</v>
      </c>
      <c r="B26">
        <v>2</v>
      </c>
      <c r="C26">
        <v>6</v>
      </c>
      <c r="D26" s="51" t="s">
        <v>96</v>
      </c>
      <c r="E26">
        <f>VLOOKUP(M26,'MASS - 2016'!$A$1:$G$3418,6,FALSE)</f>
        <v>17592.095000000001</v>
      </c>
      <c r="F26">
        <f>VLOOKUP(M26,'MASS - 2016'!$A$1:$G$3418,7,FALSE)</f>
        <v>5.2999999999999999E-2</v>
      </c>
      <c r="G26">
        <f t="shared" si="0"/>
        <v>17592.095000000001</v>
      </c>
      <c r="H26">
        <f t="shared" si="1"/>
        <v>6.0188858906745093</v>
      </c>
      <c r="I26">
        <f t="shared" si="2"/>
        <v>5.6065564610000003</v>
      </c>
      <c r="J26">
        <f t="shared" si="3"/>
        <v>5605.5344610000002</v>
      </c>
      <c r="M26">
        <f t="shared" si="4"/>
        <v>4002</v>
      </c>
    </row>
    <row r="27" spans="1:13" x14ac:dyDescent="0.2">
      <c r="A27">
        <v>3</v>
      </c>
      <c r="B27">
        <v>3</v>
      </c>
      <c r="C27">
        <v>6</v>
      </c>
      <c r="D27" s="51" t="s">
        <v>0</v>
      </c>
      <c r="E27">
        <f>VLOOKUP(M27,'MASS - 2016'!$A$1:$G$3418,6,FALSE)</f>
        <v>14086.87895</v>
      </c>
      <c r="F27">
        <f>VLOOKUP(M27,'MASS - 2016'!$A$1:$G$3418,7,FALSE)</f>
        <v>1.4400000000000001E-3</v>
      </c>
      <c r="G27">
        <f t="shared" si="0"/>
        <v>14086.87895</v>
      </c>
      <c r="H27">
        <f t="shared" si="1"/>
        <v>6.0151228864893422</v>
      </c>
      <c r="I27">
        <f t="shared" si="2"/>
        <v>5.6030512449499996</v>
      </c>
      <c r="J27">
        <f t="shared" si="3"/>
        <v>5601.5182449499989</v>
      </c>
      <c r="M27">
        <f t="shared" si="4"/>
        <v>3003</v>
      </c>
    </row>
    <row r="28" spans="1:13" x14ac:dyDescent="0.2">
      <c r="A28">
        <v>2</v>
      </c>
      <c r="B28">
        <v>4</v>
      </c>
      <c r="C28">
        <v>6</v>
      </c>
      <c r="D28" s="51" t="s">
        <v>1</v>
      </c>
      <c r="E28">
        <f>VLOOKUP(M28,'MASS - 2016'!$A$1:$G$3418,6,FALSE)</f>
        <v>18375.032999999999</v>
      </c>
      <c r="F28">
        <f>VLOOKUP(M28,'MASS - 2016'!$A$1:$G$3418,7,FALSE)</f>
        <v>5.4480000000000004</v>
      </c>
      <c r="G28">
        <f t="shared" si="0"/>
        <v>18375.032999999999</v>
      </c>
      <c r="H28">
        <f t="shared" si="1"/>
        <v>6.0197264091842664</v>
      </c>
      <c r="I28">
        <f t="shared" si="2"/>
        <v>5.6073393989999998</v>
      </c>
      <c r="J28">
        <f t="shared" si="3"/>
        <v>5605.2953989999996</v>
      </c>
      <c r="M28">
        <f t="shared" si="4"/>
        <v>2004</v>
      </c>
    </row>
    <row r="29" spans="1:13" x14ac:dyDescent="0.2">
      <c r="A29">
        <v>5</v>
      </c>
      <c r="B29">
        <v>2</v>
      </c>
      <c r="C29">
        <v>7</v>
      </c>
      <c r="D29" s="51" t="s">
        <v>96</v>
      </c>
      <c r="E29">
        <f>VLOOKUP(M29,'MASS - 2016'!$A$1:$G$3418,6,FALSE)</f>
        <v>26073.126</v>
      </c>
      <c r="F29">
        <f>VLOOKUP(M29,'MASS - 2016'!$A$1:$G$3418,7,FALSE)</f>
        <v>7.5590000000000002</v>
      </c>
      <c r="G29">
        <f t="shared" si="0"/>
        <v>26073.126</v>
      </c>
      <c r="H29">
        <f t="shared" si="1"/>
        <v>7.0279906518910158</v>
      </c>
      <c r="I29">
        <f t="shared" si="2"/>
        <v>6.5465315529999994</v>
      </c>
      <c r="J29">
        <f t="shared" si="3"/>
        <v>6545.5095529999999</v>
      </c>
      <c r="M29">
        <f t="shared" si="4"/>
        <v>5002</v>
      </c>
    </row>
    <row r="30" spans="1:13" x14ac:dyDescent="0.2">
      <c r="A30">
        <v>4</v>
      </c>
      <c r="B30">
        <v>3</v>
      </c>
      <c r="C30">
        <v>7</v>
      </c>
      <c r="D30" s="51" t="s">
        <v>0</v>
      </c>
      <c r="E30">
        <f>VLOOKUP(M30,'MASS - 2016'!$A$1:$G$3418,6,FALSE)</f>
        <v>14907.10529</v>
      </c>
      <c r="F30">
        <f>VLOOKUP(M30,'MASS - 2016'!$A$1:$G$3418,7,FALSE)</f>
        <v>4.2300000000000003E-3</v>
      </c>
      <c r="G30">
        <f t="shared" si="0"/>
        <v>14907.10529</v>
      </c>
      <c r="H30">
        <f t="shared" si="1"/>
        <v>7.016003435678372</v>
      </c>
      <c r="I30">
        <f t="shared" si="2"/>
        <v>6.5353655322899993</v>
      </c>
      <c r="J30">
        <f t="shared" si="3"/>
        <v>6533.8325322899991</v>
      </c>
      <c r="M30">
        <f t="shared" si="4"/>
        <v>4003</v>
      </c>
    </row>
    <row r="31" spans="1:13" x14ac:dyDescent="0.2">
      <c r="A31">
        <v>3</v>
      </c>
      <c r="B31">
        <v>4</v>
      </c>
      <c r="C31">
        <v>7</v>
      </c>
      <c r="D31" s="51" t="s">
        <v>1</v>
      </c>
      <c r="E31">
        <f>VLOOKUP(M31,'MASS - 2016'!$A$1:$G$3418,6,FALSE)</f>
        <v>15768.999</v>
      </c>
      <c r="F31">
        <f>VLOOKUP(M31,'MASS - 2016'!$A$1:$G$3418,7,FALSE)</f>
        <v>7.0999999999999994E-2</v>
      </c>
      <c r="G31">
        <f t="shared" si="0"/>
        <v>15768.999</v>
      </c>
      <c r="H31">
        <f t="shared" si="1"/>
        <v>7.0169287166287138</v>
      </c>
      <c r="I31">
        <f t="shared" si="2"/>
        <v>6.5362274259999991</v>
      </c>
      <c r="J31">
        <f t="shared" si="3"/>
        <v>6534.1834259999996</v>
      </c>
      <c r="M31">
        <f t="shared" si="4"/>
        <v>3004</v>
      </c>
    </row>
    <row r="32" spans="1:13" x14ac:dyDescent="0.2">
      <c r="A32">
        <v>3</v>
      </c>
      <c r="B32">
        <v>4</v>
      </c>
      <c r="C32">
        <v>7</v>
      </c>
      <c r="D32" s="51" t="s">
        <v>485</v>
      </c>
      <c r="E32">
        <f>E31+430</f>
        <v>16198.999</v>
      </c>
      <c r="G32">
        <f>E32</f>
        <v>16198.999</v>
      </c>
      <c r="H32">
        <f t="shared" si="1"/>
        <v>7.0173903406132396</v>
      </c>
      <c r="I32">
        <f t="shared" si="2"/>
        <v>6.5366574259999997</v>
      </c>
      <c r="J32">
        <f t="shared" si="3"/>
        <v>6534.6134259999999</v>
      </c>
      <c r="M32">
        <f t="shared" si="4"/>
        <v>3004</v>
      </c>
    </row>
    <row r="33" spans="1:13" x14ac:dyDescent="0.2">
      <c r="A33">
        <v>2</v>
      </c>
      <c r="B33">
        <v>5</v>
      </c>
      <c r="C33">
        <v>7</v>
      </c>
      <c r="D33" s="51" t="s">
        <v>3</v>
      </c>
      <c r="E33">
        <f>VLOOKUP(M33,'MASS - 2016'!$A$1:$G$3418,6,FALSE)</f>
        <v>27676.55</v>
      </c>
      <c r="F33">
        <f>VLOOKUP(M33,'MASS - 2016'!$A$1:$G$3418,7,FALSE)</f>
        <v>25.15</v>
      </c>
      <c r="G33">
        <f t="shared" si="0"/>
        <v>27676.55</v>
      </c>
      <c r="H33">
        <f t="shared" si="1"/>
        <v>7.0297119983462775</v>
      </c>
      <c r="I33">
        <f t="shared" si="2"/>
        <v>6.5481349769999992</v>
      </c>
      <c r="J33">
        <f t="shared" si="3"/>
        <v>6545.5799769999985</v>
      </c>
      <c r="M33">
        <f t="shared" si="4"/>
        <v>2005</v>
      </c>
    </row>
    <row r="34" spans="1:13" x14ac:dyDescent="0.2">
      <c r="A34">
        <v>6</v>
      </c>
      <c r="B34">
        <v>2</v>
      </c>
      <c r="C34">
        <v>8</v>
      </c>
      <c r="D34" s="51" t="s">
        <v>96</v>
      </c>
      <c r="E34">
        <f>VLOOKUP(M34,'MASS - 2016'!$A$1:$G$3418,6,FALSE)</f>
        <v>31609.681</v>
      </c>
      <c r="F34">
        <f>VLOOKUP(M34,'MASS - 2016'!$A$1:$G$3418,7,FALSE)</f>
        <v>8.8999999999999996E-2</v>
      </c>
      <c r="G34">
        <f t="shared" si="0"/>
        <v>31609.681</v>
      </c>
      <c r="H34">
        <f t="shared" si="1"/>
        <v>8.0339343881227379</v>
      </c>
      <c r="I34">
        <f t="shared" si="2"/>
        <v>7.4835621689999989</v>
      </c>
      <c r="J34">
        <f t="shared" si="3"/>
        <v>7482.540168999999</v>
      </c>
      <c r="M34">
        <f t="shared" si="4"/>
        <v>6002</v>
      </c>
    </row>
    <row r="35" spans="1:13" x14ac:dyDescent="0.2">
      <c r="A35">
        <v>5</v>
      </c>
      <c r="B35">
        <v>3</v>
      </c>
      <c r="C35">
        <v>8</v>
      </c>
      <c r="D35" s="51" t="s">
        <v>0</v>
      </c>
      <c r="E35">
        <f>VLOOKUP(M35,'MASS - 2016'!$A$1:$G$3418,6,FALSE)</f>
        <v>20945.804</v>
      </c>
      <c r="F35">
        <f>VLOOKUP(M35,'MASS - 2016'!$A$1:$G$3418,7,FALSE)</f>
        <v>4.7E-2</v>
      </c>
      <c r="G35">
        <f t="shared" si="0"/>
        <v>20945.804</v>
      </c>
      <c r="H35">
        <f t="shared" si="1"/>
        <v>8.0224862453524537</v>
      </c>
      <c r="I35">
        <f t="shared" si="2"/>
        <v>7.4728982919999991</v>
      </c>
      <c r="J35">
        <f t="shared" si="3"/>
        <v>7471.3652919999986</v>
      </c>
      <c r="M35">
        <f t="shared" si="4"/>
        <v>5003</v>
      </c>
    </row>
    <row r="36" spans="1:13" x14ac:dyDescent="0.2">
      <c r="A36">
        <v>4</v>
      </c>
      <c r="B36">
        <v>4</v>
      </c>
      <c r="C36">
        <v>8</v>
      </c>
      <c r="D36" s="51" t="s">
        <v>1</v>
      </c>
      <c r="E36">
        <f>VLOOKUP(M36,'MASS - 2016'!$A$1:$G$3418,6,FALSE)</f>
        <v>4941.6710000000003</v>
      </c>
      <c r="F36">
        <f>VLOOKUP(M36,'MASS - 2016'!$A$1:$G$3418,7,FALSE)</f>
        <v>3.5000000000000003E-2</v>
      </c>
      <c r="G36">
        <f t="shared" si="0"/>
        <v>4941.6710000000003</v>
      </c>
      <c r="H36">
        <f t="shared" si="1"/>
        <v>8.0053051019935602</v>
      </c>
      <c r="I36">
        <f t="shared" si="2"/>
        <v>7.4568941590000009</v>
      </c>
      <c r="J36">
        <f t="shared" si="3"/>
        <v>7454.8501590000014</v>
      </c>
      <c r="M36">
        <f t="shared" si="4"/>
        <v>4004</v>
      </c>
    </row>
    <row r="37" spans="1:13" x14ac:dyDescent="0.2">
      <c r="A37">
        <v>3</v>
      </c>
      <c r="B37">
        <v>5</v>
      </c>
      <c r="C37">
        <v>8</v>
      </c>
      <c r="D37" s="51" t="s">
        <v>3</v>
      </c>
      <c r="E37">
        <f>VLOOKUP(M37,'MASS - 2016'!$A$1:$G$3418,6,FALSE)</f>
        <v>22921.566999999999</v>
      </c>
      <c r="F37">
        <f>VLOOKUP(M37,'MASS - 2016'!$A$1:$G$3418,7,FALSE)</f>
        <v>1</v>
      </c>
      <c r="G37">
        <f t="shared" si="0"/>
        <v>22921.566999999999</v>
      </c>
      <c r="H37">
        <f t="shared" si="1"/>
        <v>8.0246073141630045</v>
      </c>
      <c r="I37">
        <f t="shared" si="2"/>
        <v>7.4748740549999999</v>
      </c>
      <c r="J37">
        <f t="shared" si="3"/>
        <v>7472.3190549999999</v>
      </c>
      <c r="M37">
        <f t="shared" si="4"/>
        <v>3005</v>
      </c>
    </row>
    <row r="38" spans="1:13" x14ac:dyDescent="0.2">
      <c r="A38">
        <v>2</v>
      </c>
      <c r="B38">
        <v>6</v>
      </c>
      <c r="C38">
        <v>8</v>
      </c>
      <c r="D38" s="51" t="s">
        <v>4</v>
      </c>
      <c r="E38">
        <f>VLOOKUP(M38,'MASS - 2016'!$A$1:$G$3418,6,FALSE)</f>
        <v>35064.267999999996</v>
      </c>
      <c r="F38">
        <f>VLOOKUP(M38,'MASS - 2016'!$A$1:$G$3418,7,FALSE)</f>
        <v>18.242999999999999</v>
      </c>
      <c r="G38">
        <f t="shared" si="0"/>
        <v>35064.267999999996</v>
      </c>
      <c r="H38">
        <f t="shared" si="1"/>
        <v>8.0376430397874543</v>
      </c>
      <c r="I38">
        <f t="shared" si="2"/>
        <v>7.4870167560000001</v>
      </c>
      <c r="J38">
        <f t="shared" si="3"/>
        <v>7483.9507560000002</v>
      </c>
      <c r="M38">
        <f t="shared" si="4"/>
        <v>2006</v>
      </c>
    </row>
    <row r="39" spans="1:13" x14ac:dyDescent="0.2">
      <c r="A39">
        <v>7</v>
      </c>
      <c r="B39">
        <v>2</v>
      </c>
      <c r="C39">
        <v>9</v>
      </c>
      <c r="D39" s="51" t="s">
        <v>96</v>
      </c>
      <c r="E39">
        <f>VLOOKUP(M39,'MASS - 2016'!$A$1:$G$3418,6,FALSE)</f>
        <v>40935.826000000001</v>
      </c>
      <c r="F39">
        <f>VLOOKUP(M39,'MASS - 2016'!$A$1:$G$3418,7,FALSE)</f>
        <v>46.816000000000003</v>
      </c>
      <c r="G39">
        <f t="shared" si="0"/>
        <v>40935.826000000001</v>
      </c>
      <c r="H39">
        <f t="shared" si="1"/>
        <v>9.043946416530078</v>
      </c>
      <c r="I39">
        <f t="shared" si="2"/>
        <v>8.4243823750000004</v>
      </c>
      <c r="J39">
        <f t="shared" si="3"/>
        <v>8423.3603750000002</v>
      </c>
      <c r="M39">
        <f t="shared" si="4"/>
        <v>7002</v>
      </c>
    </row>
    <row r="40" spans="1:13" x14ac:dyDescent="0.2">
      <c r="A40">
        <v>6</v>
      </c>
      <c r="B40">
        <v>3</v>
      </c>
      <c r="C40">
        <v>9</v>
      </c>
      <c r="D40" s="51" t="s">
        <v>0</v>
      </c>
      <c r="E40">
        <f>VLOOKUP(M40,'MASS - 2016'!$A$1:$G$3418,6,FALSE)</f>
        <v>24954.901999999998</v>
      </c>
      <c r="F40">
        <f>VLOOKUP(M40,'MASS - 2016'!$A$1:$G$3418,7,FALSE)</f>
        <v>0.186</v>
      </c>
      <c r="G40">
        <f t="shared" si="0"/>
        <v>24954.901999999998</v>
      </c>
      <c r="H40">
        <f t="shared" si="1"/>
        <v>9.0267901890573619</v>
      </c>
      <c r="I40">
        <f t="shared" si="2"/>
        <v>8.4084014509999996</v>
      </c>
      <c r="J40">
        <f t="shared" si="3"/>
        <v>8406.8684510000003</v>
      </c>
      <c r="M40">
        <f t="shared" si="4"/>
        <v>6003</v>
      </c>
    </row>
    <row r="41" spans="1:13" x14ac:dyDescent="0.2">
      <c r="A41">
        <v>5</v>
      </c>
      <c r="B41">
        <v>4</v>
      </c>
      <c r="C41">
        <v>9</v>
      </c>
      <c r="D41" s="51" t="s">
        <v>1</v>
      </c>
      <c r="E41">
        <f>VLOOKUP(M41,'MASS - 2016'!$A$1:$G$3418,6,FALSE)</f>
        <v>11348.453</v>
      </c>
      <c r="F41">
        <f>VLOOKUP(M41,'MASS - 2016'!$A$1:$G$3418,7,FALSE)</f>
        <v>7.6999999999999999E-2</v>
      </c>
      <c r="G41">
        <f t="shared" si="0"/>
        <v>11348.453</v>
      </c>
      <c r="H41">
        <f t="shared" si="1"/>
        <v>9.0121830653303547</v>
      </c>
      <c r="I41">
        <f t="shared" si="2"/>
        <v>8.3947950020000004</v>
      </c>
      <c r="J41">
        <f t="shared" si="3"/>
        <v>8392.7510020000009</v>
      </c>
      <c r="M41">
        <f t="shared" si="4"/>
        <v>5004</v>
      </c>
    </row>
    <row r="42" spans="1:13" x14ac:dyDescent="0.2">
      <c r="A42">
        <v>4</v>
      </c>
      <c r="B42">
        <v>5</v>
      </c>
      <c r="C42">
        <v>9</v>
      </c>
      <c r="D42" s="51" t="s">
        <v>3</v>
      </c>
      <c r="E42">
        <f>VLOOKUP(M42,'MASS - 2016'!$A$1:$G$3418,6,FALSE)</f>
        <v>12416.487999999999</v>
      </c>
      <c r="F42">
        <f>VLOOKUP(M42,'MASS - 2016'!$A$1:$G$3418,7,FALSE)</f>
        <v>0.90300000000000002</v>
      </c>
      <c r="G42">
        <f t="shared" si="0"/>
        <v>12416.487999999999</v>
      </c>
      <c r="H42">
        <f t="shared" si="1"/>
        <v>9.0133296480566614</v>
      </c>
      <c r="I42">
        <f t="shared" si="2"/>
        <v>8.3958630369999998</v>
      </c>
      <c r="J42">
        <f t="shared" si="3"/>
        <v>8393.3080369999989</v>
      </c>
      <c r="M42">
        <f t="shared" si="4"/>
        <v>4005</v>
      </c>
    </row>
    <row r="43" spans="1:13" x14ac:dyDescent="0.2">
      <c r="A43">
        <v>3</v>
      </c>
      <c r="B43">
        <v>6</v>
      </c>
      <c r="C43">
        <v>9</v>
      </c>
      <c r="D43" s="51" t="s">
        <v>4</v>
      </c>
      <c r="E43">
        <f>VLOOKUP(M43,'MASS - 2016'!$A$1:$G$3418,6,FALSE)</f>
        <v>28910.972000000002</v>
      </c>
      <c r="F43">
        <f>VLOOKUP(M43,'MASS - 2016'!$A$1:$G$3418,7,FALSE)</f>
        <v>2.137</v>
      </c>
      <c r="G43">
        <f t="shared" si="0"/>
        <v>28910.972000000002</v>
      </c>
      <c r="H43">
        <f t="shared" si="1"/>
        <v>9.0310372048630807</v>
      </c>
      <c r="I43">
        <f t="shared" si="2"/>
        <v>8.4123575210000006</v>
      </c>
      <c r="J43">
        <f t="shared" si="3"/>
        <v>8409.2915209999992</v>
      </c>
      <c r="M43">
        <f t="shared" si="4"/>
        <v>3006</v>
      </c>
    </row>
    <row r="44" spans="1:13" x14ac:dyDescent="0.2">
      <c r="A44">
        <v>8</v>
      </c>
      <c r="B44">
        <v>2</v>
      </c>
      <c r="C44">
        <v>10</v>
      </c>
      <c r="D44" s="51" t="s">
        <v>96</v>
      </c>
      <c r="E44">
        <f>VLOOKUP(M44,'MASS - 2016'!$A$1:$G$3418,6,FALSE)</f>
        <v>49197.142999999996</v>
      </c>
      <c r="F44">
        <f>VLOOKUP(M44,'MASS - 2016'!$A$1:$G$3418,7,FALSE)</f>
        <v>92.847999999999999</v>
      </c>
      <c r="G44">
        <f t="shared" si="0"/>
        <v>49197.142999999996</v>
      </c>
      <c r="H44">
        <f t="shared" si="1"/>
        <v>10.052815305067202</v>
      </c>
      <c r="I44">
        <f t="shared" si="2"/>
        <v>9.3641377530000014</v>
      </c>
      <c r="J44">
        <f t="shared" si="3"/>
        <v>9363.115753</v>
      </c>
      <c r="M44">
        <f t="shared" si="4"/>
        <v>8002</v>
      </c>
    </row>
    <row r="45" spans="1:13" x14ac:dyDescent="0.2">
      <c r="A45">
        <v>7</v>
      </c>
      <c r="B45">
        <v>3</v>
      </c>
      <c r="C45">
        <v>10</v>
      </c>
      <c r="D45" s="51" t="s">
        <v>0</v>
      </c>
      <c r="E45">
        <f>VLOOKUP(M45,'MASS - 2016'!$A$1:$G$3418,6,FALSE)</f>
        <v>33052.624000000003</v>
      </c>
      <c r="F45">
        <f>VLOOKUP(M45,'MASS - 2016'!$A$1:$G$3418,7,FALSE)</f>
        <v>12.721</v>
      </c>
      <c r="G45">
        <f t="shared" si="0"/>
        <v>33052.624000000003</v>
      </c>
      <c r="H45">
        <f t="shared" si="1"/>
        <v>10.035483451139257</v>
      </c>
      <c r="I45">
        <f t="shared" si="2"/>
        <v>9.3479932340000005</v>
      </c>
      <c r="J45">
        <f t="shared" si="3"/>
        <v>9346.4602340000019</v>
      </c>
      <c r="M45">
        <f t="shared" si="4"/>
        <v>7003</v>
      </c>
    </row>
    <row r="46" spans="1:13" x14ac:dyDescent="0.2">
      <c r="A46">
        <v>6</v>
      </c>
      <c r="B46">
        <v>4</v>
      </c>
      <c r="C46">
        <v>10</v>
      </c>
      <c r="D46" s="51" t="s">
        <v>1</v>
      </c>
      <c r="E46">
        <f>VLOOKUP(M46,'MASS - 2016'!$A$1:$G$3418,6,FALSE)</f>
        <v>12607.487999999999</v>
      </c>
      <c r="F46">
        <f>VLOOKUP(M46,'MASS - 2016'!$A$1:$G$3418,7,FALSE)</f>
        <v>8.1000000000000003E-2</v>
      </c>
      <c r="G46">
        <f t="shared" si="0"/>
        <v>12607.487999999999</v>
      </c>
      <c r="H46">
        <f t="shared" si="1"/>
        <v>10.013534694989323</v>
      </c>
      <c r="I46">
        <f t="shared" si="2"/>
        <v>9.3275480980000012</v>
      </c>
      <c r="J46">
        <f t="shared" si="3"/>
        <v>9325.5040980000012</v>
      </c>
      <c r="M46">
        <f t="shared" si="4"/>
        <v>6004</v>
      </c>
    </row>
    <row r="47" spans="1:13" x14ac:dyDescent="0.2">
      <c r="A47">
        <v>5</v>
      </c>
      <c r="B47">
        <v>5</v>
      </c>
      <c r="C47">
        <v>10</v>
      </c>
      <c r="D47" s="51" t="s">
        <v>3</v>
      </c>
      <c r="E47">
        <f>VLOOKUP(M47,'MASS - 2016'!$A$1:$G$3418,6,FALSE)</f>
        <v>12050.609</v>
      </c>
      <c r="F47">
        <f>VLOOKUP(M47,'MASS - 2016'!$A$1:$G$3418,7,FALSE)</f>
        <v>1.4999999999999999E-2</v>
      </c>
      <c r="G47">
        <f t="shared" si="0"/>
        <v>12050.609</v>
      </c>
      <c r="H47">
        <f t="shared" si="1"/>
        <v>10.012936860796582</v>
      </c>
      <c r="I47">
        <f t="shared" si="2"/>
        <v>9.3269912189999999</v>
      </c>
      <c r="J47">
        <f t="shared" si="3"/>
        <v>9324.4362189999993</v>
      </c>
      <c r="M47">
        <f t="shared" si="4"/>
        <v>5005</v>
      </c>
    </row>
    <row r="48" spans="1:13" x14ac:dyDescent="0.2">
      <c r="A48">
        <v>4</v>
      </c>
      <c r="B48">
        <v>6</v>
      </c>
      <c r="C48">
        <v>10</v>
      </c>
      <c r="D48" s="51" t="s">
        <v>4</v>
      </c>
      <c r="E48">
        <f>VLOOKUP(M48,'MASS - 2016'!$A$1:$G$3418,6,FALSE)</f>
        <v>15698.672</v>
      </c>
      <c r="F48">
        <f>VLOOKUP(M48,'MASS - 2016'!$A$1:$G$3418,7,FALSE)</f>
        <v>7.0000000000000007E-2</v>
      </c>
      <c r="G48">
        <f t="shared" si="0"/>
        <v>15698.672</v>
      </c>
      <c r="H48">
        <f t="shared" si="1"/>
        <v>10.016853217489274</v>
      </c>
      <c r="I48">
        <f t="shared" si="2"/>
        <v>9.3306392819999999</v>
      </c>
      <c r="J48">
        <f t="shared" si="3"/>
        <v>9327.5732819999994</v>
      </c>
      <c r="M48">
        <f t="shared" si="4"/>
        <v>4006</v>
      </c>
    </row>
    <row r="49" spans="1:13" x14ac:dyDescent="0.2">
      <c r="A49">
        <v>3</v>
      </c>
      <c r="B49">
        <v>7</v>
      </c>
      <c r="C49">
        <v>10</v>
      </c>
      <c r="D49" s="51" t="s">
        <v>5</v>
      </c>
      <c r="E49">
        <f>VLOOKUP(M49,'MASS - 2016'!$A$1:$G$3418,6,FALSE)</f>
        <v>38800.025999999998</v>
      </c>
      <c r="F49">
        <f>VLOOKUP(M49,'MASS - 2016'!$A$1:$G$3418,7,FALSE)</f>
        <v>400</v>
      </c>
      <c r="G49">
        <f t="shared" si="0"/>
        <v>38800.025999999998</v>
      </c>
      <c r="H49">
        <f t="shared" si="1"/>
        <v>10.041653540934387</v>
      </c>
      <c r="I49">
        <f t="shared" si="2"/>
        <v>9.3537406360000013</v>
      </c>
      <c r="J49">
        <f t="shared" si="3"/>
        <v>9350.1636360000011</v>
      </c>
      <c r="M49">
        <f t="shared" si="4"/>
        <v>3007</v>
      </c>
    </row>
    <row r="50" spans="1:13" x14ac:dyDescent="0.2">
      <c r="A50">
        <v>8</v>
      </c>
      <c r="B50">
        <v>3</v>
      </c>
      <c r="C50">
        <v>11</v>
      </c>
      <c r="D50" s="51" t="s">
        <v>0</v>
      </c>
      <c r="E50">
        <f>VLOOKUP(M50,'MASS - 2016'!$A$1:$G$3418,6,FALSE)</f>
        <v>40728.254000000001</v>
      </c>
      <c r="F50">
        <f>VLOOKUP(M50,'MASS - 2016'!$A$1:$G$3418,7,FALSE)</f>
        <v>0.61499999999999999</v>
      </c>
      <c r="G50">
        <f t="shared" si="0"/>
        <v>40728.254000000001</v>
      </c>
      <c r="H50">
        <f t="shared" si="1"/>
        <v>11.04372357882376</v>
      </c>
      <c r="I50">
        <f t="shared" si="2"/>
        <v>10.287162924999999</v>
      </c>
      <c r="J50">
        <f t="shared" si="3"/>
        <v>10285.629924999999</v>
      </c>
      <c r="M50">
        <f t="shared" si="4"/>
        <v>8003</v>
      </c>
    </row>
    <row r="51" spans="1:13" x14ac:dyDescent="0.2">
      <c r="A51">
        <v>7</v>
      </c>
      <c r="B51">
        <v>4</v>
      </c>
      <c r="C51">
        <v>11</v>
      </c>
      <c r="D51" s="51" t="s">
        <v>1</v>
      </c>
      <c r="E51">
        <f>VLOOKUP(M51,'MASS - 2016'!$A$1:$G$3418,6,FALSE)</f>
        <v>20177.167000000001</v>
      </c>
      <c r="F51">
        <f>VLOOKUP(M51,'MASS - 2016'!$A$1:$G$3418,7,FALSE)</f>
        <v>0.23799999999999999</v>
      </c>
      <c r="G51">
        <f t="shared" si="0"/>
        <v>20177.167000000001</v>
      </c>
      <c r="H51">
        <f t="shared" si="1"/>
        <v>11.021661079597585</v>
      </c>
      <c r="I51">
        <f t="shared" si="2"/>
        <v>10.266611837999999</v>
      </c>
      <c r="J51">
        <f t="shared" si="3"/>
        <v>10264.567837999999</v>
      </c>
      <c r="M51">
        <f t="shared" si="4"/>
        <v>7004</v>
      </c>
    </row>
    <row r="52" spans="1:13" x14ac:dyDescent="0.2">
      <c r="A52">
        <v>6</v>
      </c>
      <c r="B52">
        <v>5</v>
      </c>
      <c r="C52">
        <v>11</v>
      </c>
      <c r="D52" s="51" t="s">
        <v>3</v>
      </c>
      <c r="E52">
        <f>VLOOKUP(M52,'MASS - 2016'!$A$1:$G$3418,6,FALSE)</f>
        <v>8667.7070000000003</v>
      </c>
      <c r="F52">
        <f>VLOOKUP(M52,'MASS - 2016'!$A$1:$G$3418,7,FALSE)</f>
        <v>1.2E-2</v>
      </c>
      <c r="G52">
        <f t="shared" si="0"/>
        <v>8667.7070000000003</v>
      </c>
      <c r="H52">
        <f t="shared" si="1"/>
        <v>11.009305166144264</v>
      </c>
      <c r="I52">
        <f t="shared" si="2"/>
        <v>10.255102378</v>
      </c>
      <c r="J52">
        <f t="shared" si="3"/>
        <v>10252.547377999999</v>
      </c>
      <c r="M52">
        <f t="shared" si="4"/>
        <v>6005</v>
      </c>
    </row>
    <row r="53" spans="1:13" x14ac:dyDescent="0.2">
      <c r="A53">
        <v>5</v>
      </c>
      <c r="B53">
        <v>6</v>
      </c>
      <c r="C53">
        <v>11</v>
      </c>
      <c r="D53" s="51" t="s">
        <v>4</v>
      </c>
      <c r="E53">
        <f>VLOOKUP(M53,'MASS - 2016'!$A$1:$G$3418,6,FALSE)</f>
        <v>10649.396000000001</v>
      </c>
      <c r="F53">
        <f>VLOOKUP(M53,'MASS - 2016'!$A$1:$G$3418,7,FALSE)</f>
        <v>0.06</v>
      </c>
      <c r="G53">
        <f t="shared" si="0"/>
        <v>10649.396000000001</v>
      </c>
      <c r="H53">
        <f t="shared" si="1"/>
        <v>11.011432596777446</v>
      </c>
      <c r="I53">
        <f t="shared" si="2"/>
        <v>10.257084066999999</v>
      </c>
      <c r="J53">
        <f t="shared" si="3"/>
        <v>10254.018066999999</v>
      </c>
      <c r="M53">
        <f t="shared" si="4"/>
        <v>5006</v>
      </c>
    </row>
    <row r="54" spans="1:13" x14ac:dyDescent="0.2">
      <c r="A54">
        <v>4</v>
      </c>
      <c r="B54">
        <v>7</v>
      </c>
      <c r="C54">
        <v>11</v>
      </c>
      <c r="D54" s="51" t="s">
        <v>5</v>
      </c>
      <c r="E54">
        <f>VLOOKUP(M54,'MASS - 2016'!$A$1:$G$3418,6,FALSE)</f>
        <v>24303.559000000001</v>
      </c>
      <c r="F54">
        <f>VLOOKUP(M54,'MASS - 2016'!$A$1:$G$3418,7,FALSE)</f>
        <v>46.154000000000003</v>
      </c>
      <c r="G54">
        <f>IF(ISNUMBER(E54),E54,VALUE(SUBSTITUTE(E54,"#",".01")))</f>
        <v>24303.559000000001</v>
      </c>
      <c r="H54">
        <f t="shared" si="1"/>
        <v>11.026090943590031</v>
      </c>
      <c r="I54">
        <f t="shared" si="2"/>
        <v>10.270738229999999</v>
      </c>
      <c r="J54">
        <f t="shared" si="3"/>
        <v>10267.16123</v>
      </c>
      <c r="M54">
        <f t="shared" si="4"/>
        <v>4007</v>
      </c>
    </row>
    <row r="55" spans="1:13" x14ac:dyDescent="0.2">
      <c r="A55">
        <v>9</v>
      </c>
      <c r="B55">
        <v>3</v>
      </c>
      <c r="C55">
        <v>12</v>
      </c>
      <c r="D55" s="51" t="s">
        <v>0</v>
      </c>
      <c r="E55">
        <f>VLOOKUP(M55,'MASS - 2016'!$A$1:$G$3418,6,FALSE)</f>
        <v>49009.571000000004</v>
      </c>
      <c r="F55">
        <f>VLOOKUP(M55,'MASS - 2016'!$A$1:$G$3418,7,FALSE)</f>
        <v>30.006</v>
      </c>
      <c r="G55">
        <f t="shared" si="0"/>
        <v>49009.571000000004</v>
      </c>
      <c r="H55">
        <f t="shared" si="1"/>
        <v>12.052613938243885</v>
      </c>
      <c r="I55">
        <f t="shared" si="2"/>
        <v>11.226938302999999</v>
      </c>
      <c r="J55">
        <f t="shared" si="3"/>
        <v>11225.405303</v>
      </c>
      <c r="M55">
        <f t="shared" si="4"/>
        <v>9003</v>
      </c>
    </row>
    <row r="56" spans="1:13" x14ac:dyDescent="0.2">
      <c r="A56">
        <v>8</v>
      </c>
      <c r="B56">
        <v>4</v>
      </c>
      <c r="C56">
        <v>12</v>
      </c>
      <c r="D56" s="51" t="s">
        <v>1</v>
      </c>
      <c r="E56">
        <f>VLOOKUP(M56,'MASS - 2016'!$A$1:$G$3418,6,FALSE)</f>
        <v>25077.759999999998</v>
      </c>
      <c r="F56">
        <f>VLOOKUP(M56,'MASS - 2016'!$A$1:$G$3418,7,FALSE)</f>
        <v>1.909</v>
      </c>
      <c r="G56">
        <f t="shared" si="0"/>
        <v>25077.759999999998</v>
      </c>
      <c r="H56">
        <f t="shared" si="1"/>
        <v>12.02692208254455</v>
      </c>
      <c r="I56">
        <f t="shared" si="2"/>
        <v>11.203006492</v>
      </c>
      <c r="J56">
        <f t="shared" si="3"/>
        <v>11200.962492000001</v>
      </c>
      <c r="M56">
        <f t="shared" si="4"/>
        <v>8004</v>
      </c>
    </row>
    <row r="57" spans="1:13" x14ac:dyDescent="0.2">
      <c r="A57">
        <v>7</v>
      </c>
      <c r="B57">
        <v>5</v>
      </c>
      <c r="C57">
        <v>12</v>
      </c>
      <c r="D57" s="51" t="s">
        <v>3</v>
      </c>
      <c r="E57">
        <f>VLOOKUP(M57,'MASS - 2016'!$A$1:$G$3418,6,FALSE)</f>
        <v>13369.397000000001</v>
      </c>
      <c r="F57">
        <f>VLOOKUP(M57,'MASS - 2016'!$A$1:$G$3418,7,FALSE)</f>
        <v>1.321</v>
      </c>
      <c r="G57">
        <f t="shared" si="0"/>
        <v>13369.397000000001</v>
      </c>
      <c r="H57">
        <f t="shared" si="1"/>
        <v>12.014352637939149</v>
      </c>
      <c r="I57">
        <f t="shared" si="2"/>
        <v>11.191298129</v>
      </c>
      <c r="J57">
        <f t="shared" si="3"/>
        <v>11188.743128999999</v>
      </c>
      <c r="M57">
        <f t="shared" si="4"/>
        <v>7005</v>
      </c>
    </row>
    <row r="58" spans="1:13" x14ac:dyDescent="0.2">
      <c r="A58">
        <v>6</v>
      </c>
      <c r="B58">
        <v>6</v>
      </c>
      <c r="C58">
        <v>12</v>
      </c>
      <c r="D58" s="51" t="s">
        <v>4</v>
      </c>
      <c r="E58">
        <f>VLOOKUP(M58,'MASS - 2016'!$A$1:$G$3418,6,FALSE)</f>
        <v>0</v>
      </c>
      <c r="F58">
        <f>VLOOKUP(M58,'MASS - 2016'!$A$1:$G$3418,7,FALSE)</f>
        <v>0</v>
      </c>
      <c r="G58">
        <f t="shared" si="0"/>
        <v>0</v>
      </c>
      <c r="H58">
        <f t="shared" si="1"/>
        <v>12</v>
      </c>
      <c r="I58">
        <f t="shared" si="2"/>
        <v>11.177928732</v>
      </c>
      <c r="J58">
        <f t="shared" si="3"/>
        <v>11174.862732</v>
      </c>
      <c r="M58">
        <f t="shared" si="4"/>
        <v>6006</v>
      </c>
    </row>
    <row r="59" spans="1:13" x14ac:dyDescent="0.2">
      <c r="A59">
        <v>5</v>
      </c>
      <c r="B59">
        <v>7</v>
      </c>
      <c r="C59">
        <v>12</v>
      </c>
      <c r="D59" s="51" t="s">
        <v>5</v>
      </c>
      <c r="E59">
        <f>VLOOKUP(M59,'MASS - 2016'!$A$1:$G$3418,6,FALSE)</f>
        <v>17338.067999999999</v>
      </c>
      <c r="F59">
        <f>VLOOKUP(M59,'MASS - 2016'!$A$1:$G$3418,7,FALSE)</f>
        <v>1</v>
      </c>
      <c r="G59">
        <f t="shared" si="0"/>
        <v>17338.067999999999</v>
      </c>
      <c r="H59">
        <f t="shared" si="1"/>
        <v>12.018613181474702</v>
      </c>
      <c r="I59">
        <f t="shared" si="2"/>
        <v>11.195266800000001</v>
      </c>
      <c r="J59">
        <f t="shared" si="3"/>
        <v>11191.689800000002</v>
      </c>
      <c r="M59">
        <f t="shared" si="4"/>
        <v>5007</v>
      </c>
    </row>
    <row r="60" spans="1:13" x14ac:dyDescent="0.2">
      <c r="A60">
        <v>4</v>
      </c>
      <c r="B60">
        <v>8</v>
      </c>
      <c r="C60">
        <v>12</v>
      </c>
      <c r="D60" s="51" t="s">
        <v>6</v>
      </c>
      <c r="E60">
        <f>VLOOKUP(M60,'MASS - 2016'!$A$1:$G$3418,6,FALSE)</f>
        <v>31914.613000000001</v>
      </c>
      <c r="F60">
        <f>VLOOKUP(M60,'MASS - 2016'!$A$1:$G$3418,7,FALSE)</f>
        <v>24</v>
      </c>
      <c r="G60">
        <f t="shared" si="0"/>
        <v>31914.613000000001</v>
      </c>
      <c r="H60">
        <f t="shared" si="1"/>
        <v>12.034261746087504</v>
      </c>
      <c r="I60">
        <f t="shared" si="2"/>
        <v>11.209843344999999</v>
      </c>
      <c r="J60">
        <f t="shared" si="3"/>
        <v>11205.755345</v>
      </c>
      <c r="M60">
        <f t="shared" si="4"/>
        <v>4008</v>
      </c>
    </row>
    <row r="61" spans="1:13" x14ac:dyDescent="0.2">
      <c r="A61">
        <v>9</v>
      </c>
      <c r="B61">
        <v>4</v>
      </c>
      <c r="C61">
        <v>13</v>
      </c>
      <c r="D61" s="51" t="s">
        <v>1</v>
      </c>
      <c r="E61">
        <f>VLOOKUP(M61,'MASS - 2016'!$A$1:$G$3418,6,FALSE)</f>
        <v>33659.076999999997</v>
      </c>
      <c r="F61">
        <f>VLOOKUP(M61,'MASS - 2016'!$A$1:$G$3418,7,FALSE)</f>
        <v>10.18</v>
      </c>
      <c r="G61">
        <f t="shared" si="0"/>
        <v>33659.076999999997</v>
      </c>
      <c r="H61">
        <f t="shared" si="1"/>
        <v>13.03613450520969</v>
      </c>
      <c r="I61">
        <f t="shared" si="2"/>
        <v>12.14308187</v>
      </c>
      <c r="J61">
        <f t="shared" si="3"/>
        <v>12141.03787</v>
      </c>
      <c r="M61">
        <f t="shared" si="4"/>
        <v>9004</v>
      </c>
    </row>
    <row r="62" spans="1:13" x14ac:dyDescent="0.2">
      <c r="A62">
        <v>8</v>
      </c>
      <c r="B62">
        <v>5</v>
      </c>
      <c r="C62">
        <v>13</v>
      </c>
      <c r="D62" s="51" t="s">
        <v>3</v>
      </c>
      <c r="E62">
        <f>VLOOKUP(M62,'MASS - 2016'!$A$1:$G$3418,6,FALSE)</f>
        <v>16561.947</v>
      </c>
      <c r="F62">
        <f>VLOOKUP(M62,'MASS - 2016'!$A$1:$G$3418,7,FALSE)</f>
        <v>1</v>
      </c>
      <c r="G62">
        <f t="shared" si="0"/>
        <v>16561.947</v>
      </c>
      <c r="H62">
        <f t="shared" si="1"/>
        <v>13.017779981315416</v>
      </c>
      <c r="I62">
        <f t="shared" si="2"/>
        <v>12.12598474</v>
      </c>
      <c r="J62">
        <f t="shared" si="3"/>
        <v>12123.42974</v>
      </c>
      <c r="M62">
        <f t="shared" si="4"/>
        <v>8005</v>
      </c>
    </row>
    <row r="63" spans="1:13" x14ac:dyDescent="0.2">
      <c r="A63">
        <v>7</v>
      </c>
      <c r="B63">
        <v>6</v>
      </c>
      <c r="C63">
        <v>13</v>
      </c>
      <c r="D63" s="51" t="s">
        <v>4</v>
      </c>
      <c r="E63">
        <f>VLOOKUP(M63,'MASS - 2016'!$A$1:$G$3418,6,FALSE)</f>
        <v>3125.0088799999999</v>
      </c>
      <c r="F63">
        <f>VLOOKUP(M63,'MASS - 2016'!$A$1:$G$3418,7,FALSE)</f>
        <v>2.1000000000000001E-4</v>
      </c>
      <c r="G63">
        <f t="shared" si="0"/>
        <v>3125.0088799999999</v>
      </c>
      <c r="H63">
        <f t="shared" si="1"/>
        <v>13.003354835002002</v>
      </c>
      <c r="I63">
        <f t="shared" si="2"/>
        <v>12.11254780188</v>
      </c>
      <c r="J63">
        <f t="shared" si="3"/>
        <v>12109.48180188</v>
      </c>
      <c r="M63">
        <f t="shared" si="4"/>
        <v>7006</v>
      </c>
    </row>
    <row r="64" spans="1:13" x14ac:dyDescent="0.2">
      <c r="A64">
        <v>6</v>
      </c>
      <c r="B64">
        <v>7</v>
      </c>
      <c r="C64">
        <v>13</v>
      </c>
      <c r="D64" s="51" t="s">
        <v>5</v>
      </c>
      <c r="E64">
        <f>VLOOKUP(M64,'MASS - 2016'!$A$1:$G$3418,6,FALSE)</f>
        <v>5345.4809999999998</v>
      </c>
      <c r="F64">
        <f>VLOOKUP(M64,'MASS - 2016'!$A$1:$G$3418,7,FALSE)</f>
        <v>0.27</v>
      </c>
      <c r="G64">
        <f t="shared" si="0"/>
        <v>5345.4809999999998</v>
      </c>
      <c r="H64">
        <f t="shared" si="1"/>
        <v>13.005738609856795</v>
      </c>
      <c r="I64">
        <f t="shared" si="2"/>
        <v>12.114768274000001</v>
      </c>
      <c r="J64">
        <f t="shared" si="3"/>
        <v>12111.191274000003</v>
      </c>
      <c r="M64">
        <f t="shared" si="4"/>
        <v>6007</v>
      </c>
    </row>
    <row r="65" spans="1:13" x14ac:dyDescent="0.2">
      <c r="A65">
        <v>5</v>
      </c>
      <c r="B65">
        <v>8</v>
      </c>
      <c r="C65">
        <v>13</v>
      </c>
      <c r="D65" s="51" t="s">
        <v>6</v>
      </c>
      <c r="E65">
        <f>VLOOKUP(M65,'MASS - 2016'!$A$1:$G$3418,6,FALSE)</f>
        <v>23115.432000000001</v>
      </c>
      <c r="F65">
        <f>VLOOKUP(M65,'MASS - 2016'!$A$1:$G$3418,7,FALSE)</f>
        <v>9.5259999999999998</v>
      </c>
      <c r="G65">
        <f t="shared" si="0"/>
        <v>23115.432000000001</v>
      </c>
      <c r="H65">
        <f t="shared" si="1"/>
        <v>13.024815436799656</v>
      </c>
      <c r="I65">
        <f t="shared" si="2"/>
        <v>12.132538225000001</v>
      </c>
      <c r="J65">
        <f t="shared" si="3"/>
        <v>12128.450225000001</v>
      </c>
      <c r="M65">
        <f t="shared" si="4"/>
        <v>5008</v>
      </c>
    </row>
    <row r="66" spans="1:13" x14ac:dyDescent="0.2">
      <c r="A66">
        <v>10</v>
      </c>
      <c r="B66">
        <v>4</v>
      </c>
      <c r="C66">
        <v>14</v>
      </c>
      <c r="D66" s="51" t="s">
        <v>1</v>
      </c>
      <c r="E66">
        <f>VLOOKUP(M66,'MASS - 2016'!$A$1:$G$3418,6,FALSE)</f>
        <v>39954.498</v>
      </c>
      <c r="F66">
        <f>VLOOKUP(M66,'MASS - 2016'!$A$1:$G$3418,7,FALSE)</f>
        <v>132.245</v>
      </c>
      <c r="G66">
        <f t="shared" si="0"/>
        <v>39954.498</v>
      </c>
      <c r="H66">
        <f t="shared" si="1"/>
        <v>14.04289291759639</v>
      </c>
      <c r="I66">
        <f t="shared" si="2"/>
        <v>13.080871351999999</v>
      </c>
      <c r="J66">
        <f t="shared" si="3"/>
        <v>13078.827351999998</v>
      </c>
      <c r="M66">
        <f t="shared" si="4"/>
        <v>10004</v>
      </c>
    </row>
    <row r="67" spans="1:13" x14ac:dyDescent="0.2">
      <c r="A67">
        <v>9</v>
      </c>
      <c r="B67">
        <v>5</v>
      </c>
      <c r="C67">
        <v>14</v>
      </c>
      <c r="D67" s="51" t="s">
        <v>3</v>
      </c>
      <c r="E67">
        <f>VLOOKUP(M67,'MASS - 2016'!$A$1:$G$3418,6,FALSE)</f>
        <v>23663.685000000001</v>
      </c>
      <c r="F67">
        <f>VLOOKUP(M67,'MASS - 2016'!$A$1:$G$3418,7,FALSE)</f>
        <v>21.213000000000001</v>
      </c>
      <c r="G67">
        <f t="shared" si="0"/>
        <v>23663.685000000001</v>
      </c>
      <c r="H67">
        <f t="shared" si="1"/>
        <v>14.025404010600557</v>
      </c>
      <c r="I67">
        <f t="shared" si="2"/>
        <v>13.064580539</v>
      </c>
      <c r="J67">
        <f t="shared" si="3"/>
        <v>13062.025539</v>
      </c>
      <c r="M67">
        <f t="shared" si="4"/>
        <v>9005</v>
      </c>
    </row>
    <row r="68" spans="1:13" x14ac:dyDescent="0.2">
      <c r="A68">
        <v>8</v>
      </c>
      <c r="B68">
        <v>6</v>
      </c>
      <c r="C68">
        <v>14</v>
      </c>
      <c r="D68" s="51" t="s">
        <v>4</v>
      </c>
      <c r="E68">
        <f>VLOOKUP(M68,'MASS - 2016'!$A$1:$G$3418,6,FALSE)</f>
        <v>3019.8927800000001</v>
      </c>
      <c r="F68">
        <f>VLOOKUP(M68,'MASS - 2016'!$A$1:$G$3418,7,FALSE)</f>
        <v>3.7599999999999999E-3</v>
      </c>
      <c r="G68">
        <f t="shared" si="0"/>
        <v>3019.8927800000001</v>
      </c>
      <c r="H68">
        <f t="shared" si="1"/>
        <v>14.003241988227769</v>
      </c>
      <c r="I68">
        <f t="shared" si="2"/>
        <v>13.043936746779998</v>
      </c>
      <c r="J68">
        <f t="shared" si="3"/>
        <v>13040.870746779998</v>
      </c>
      <c r="M68">
        <f t="shared" si="4"/>
        <v>8006</v>
      </c>
    </row>
    <row r="69" spans="1:13" x14ac:dyDescent="0.2">
      <c r="A69">
        <v>7</v>
      </c>
      <c r="B69">
        <v>7</v>
      </c>
      <c r="C69">
        <v>14</v>
      </c>
      <c r="D69" s="51" t="s">
        <v>5</v>
      </c>
      <c r="E69">
        <f>VLOOKUP(M69,'MASS - 2016'!$A$1:$G$3418,6,FALSE)</f>
        <v>2863.4167200000002</v>
      </c>
      <c r="F69">
        <f>VLOOKUP(M69,'MASS - 2016'!$A$1:$G$3418,7,FALSE)</f>
        <v>1.9000000000000001E-4</v>
      </c>
      <c r="G69">
        <f t="shared" si="0"/>
        <v>2863.4167200000002</v>
      </c>
      <c r="H69">
        <f t="shared" si="1"/>
        <v>14.003074004268933</v>
      </c>
      <c r="I69">
        <f t="shared" si="2"/>
        <v>13.043780270719999</v>
      </c>
      <c r="J69">
        <f t="shared" si="3"/>
        <v>13040.20327072</v>
      </c>
      <c r="M69">
        <f t="shared" si="4"/>
        <v>7007</v>
      </c>
    </row>
    <row r="70" spans="1:13" x14ac:dyDescent="0.2">
      <c r="A70">
        <v>6</v>
      </c>
      <c r="B70">
        <v>8</v>
      </c>
      <c r="C70">
        <v>14</v>
      </c>
      <c r="D70" s="51" t="s">
        <v>6</v>
      </c>
      <c r="E70">
        <f>VLOOKUP(M70,'MASS - 2016'!$A$1:$G$3418,6,FALSE)</f>
        <v>8007.7809999999999</v>
      </c>
      <c r="F70">
        <f>VLOOKUP(M70,'MASS - 2016'!$A$1:$G$3418,7,FALSE)</f>
        <v>2.5000000000000001E-2</v>
      </c>
      <c r="G70">
        <f t="shared" si="0"/>
        <v>8007.7809999999999</v>
      </c>
      <c r="H70">
        <f t="shared" si="1"/>
        <v>14.008596706447491</v>
      </c>
      <c r="I70">
        <f t="shared" si="2"/>
        <v>13.048924634999999</v>
      </c>
      <c r="J70">
        <f t="shared" si="3"/>
        <v>13044.836635</v>
      </c>
      <c r="M70">
        <f t="shared" si="4"/>
        <v>6008</v>
      </c>
    </row>
    <row r="71" spans="1:13" x14ac:dyDescent="0.2">
      <c r="A71">
        <v>5</v>
      </c>
      <c r="B71">
        <v>9</v>
      </c>
      <c r="C71">
        <v>14</v>
      </c>
      <c r="D71" s="51" t="s">
        <v>7</v>
      </c>
      <c r="E71">
        <f>VLOOKUP(M71,'MASS - 2016'!$A$1:$G$3418,6,FALSE)</f>
        <v>31964.401999999998</v>
      </c>
      <c r="F71">
        <f>VLOOKUP(M71,'MASS - 2016'!$A$1:$G$3418,7,FALSE)</f>
        <v>41.119</v>
      </c>
      <c r="G71">
        <f t="shared" si="0"/>
        <v>31964.401999999998</v>
      </c>
      <c r="H71">
        <f t="shared" si="1"/>
        <v>14.03431519677719</v>
      </c>
      <c r="I71">
        <f t="shared" si="2"/>
        <v>13.072881255999999</v>
      </c>
      <c r="J71">
        <f t="shared" si="3"/>
        <v>13068.282255999999</v>
      </c>
      <c r="M71">
        <f t="shared" si="4"/>
        <v>5009</v>
      </c>
    </row>
    <row r="72" spans="1:13" x14ac:dyDescent="0.2">
      <c r="A72">
        <v>10</v>
      </c>
      <c r="B72">
        <v>5</v>
      </c>
      <c r="C72">
        <v>15</v>
      </c>
      <c r="D72" s="51" t="s">
        <v>3</v>
      </c>
      <c r="E72">
        <f>VLOOKUP(M72,'MASS - 2016'!$A$1:$G$3418,6,FALSE)</f>
        <v>28958.241999999998</v>
      </c>
      <c r="F72">
        <f>VLOOKUP(M72,'MASS - 2016'!$A$1:$G$3418,7,FALSE)</f>
        <v>21.032</v>
      </c>
      <c r="G72">
        <f t="shared" si="0"/>
        <v>28958.241999999998</v>
      </c>
      <c r="H72">
        <f t="shared" si="1"/>
        <v>15.031087951295053</v>
      </c>
      <c r="I72">
        <f t="shared" si="2"/>
        <v>14.001369156999999</v>
      </c>
      <c r="J72">
        <f t="shared" si="3"/>
        <v>13998.814156999999</v>
      </c>
      <c r="M72">
        <f t="shared" si="4"/>
        <v>10005</v>
      </c>
    </row>
    <row r="73" spans="1:13" x14ac:dyDescent="0.2">
      <c r="A73">
        <v>9</v>
      </c>
      <c r="B73">
        <v>6</v>
      </c>
      <c r="C73">
        <v>15</v>
      </c>
      <c r="D73" s="51" t="s">
        <v>4</v>
      </c>
      <c r="E73">
        <f>VLOOKUP(M73,'MASS - 2016'!$A$1:$G$3418,6,FALSE)</f>
        <v>9873.1440000000002</v>
      </c>
      <c r="F73">
        <f>VLOOKUP(M73,'MASS - 2016'!$A$1:$G$3418,7,FALSE)</f>
        <v>0.8</v>
      </c>
      <c r="G73">
        <f t="shared" si="0"/>
        <v>9873.1440000000002</v>
      </c>
      <c r="H73">
        <f t="shared" ref="H73:H136" si="7">(C73*$A$3+G73/1000000)/$A$3</f>
        <v>15.010599255983877</v>
      </c>
      <c r="I73">
        <f t="shared" ref="I73:I136" si="8">H73*$A$3</f>
        <v>13.982284058999999</v>
      </c>
      <c r="J73">
        <f t="shared" si="3"/>
        <v>13979.218058999999</v>
      </c>
      <c r="M73">
        <f t="shared" ref="M73:M136" si="9">1000*A73+B73</f>
        <v>9006</v>
      </c>
    </row>
    <row r="74" spans="1:13" x14ac:dyDescent="0.2">
      <c r="A74">
        <v>8</v>
      </c>
      <c r="B74">
        <v>7</v>
      </c>
      <c r="C74">
        <v>15</v>
      </c>
      <c r="D74" s="51" t="s">
        <v>5</v>
      </c>
      <c r="E74">
        <f>VLOOKUP(M74,'MASS - 2016'!$A$1:$G$3418,6,FALSE)</f>
        <v>101.43871</v>
      </c>
      <c r="F74">
        <f>VLOOKUP(M74,'MASS - 2016'!$A$1:$G$3418,7,FALSE)</f>
        <v>5.9999999999999995E-4</v>
      </c>
      <c r="G74">
        <f t="shared" si="0"/>
        <v>101.43871</v>
      </c>
      <c r="H74">
        <f t="shared" si="7"/>
        <v>15.000108898933711</v>
      </c>
      <c r="I74">
        <f t="shared" si="8"/>
        <v>13.97251235371</v>
      </c>
      <c r="J74">
        <f t="shared" si="3"/>
        <v>13968.935353710001</v>
      </c>
      <c r="M74">
        <f t="shared" si="9"/>
        <v>8007</v>
      </c>
    </row>
    <row r="75" spans="1:13" x14ac:dyDescent="0.2">
      <c r="A75">
        <v>7</v>
      </c>
      <c r="B75">
        <v>8</v>
      </c>
      <c r="C75">
        <v>15</v>
      </c>
      <c r="D75" s="51" t="s">
        <v>6</v>
      </c>
      <c r="E75">
        <f>VLOOKUP(M75,'MASS - 2016'!$A$1:$G$3418,6,FALSE)</f>
        <v>2855.605</v>
      </c>
      <c r="F75">
        <f>VLOOKUP(M75,'MASS - 2016'!$A$1:$G$3418,7,FALSE)</f>
        <v>0.49099999999999999</v>
      </c>
      <c r="G75">
        <f t="shared" si="0"/>
        <v>2855.605</v>
      </c>
      <c r="H75">
        <f t="shared" si="7"/>
        <v>15.003065618042626</v>
      </c>
      <c r="I75">
        <f t="shared" si="8"/>
        <v>13.97526652</v>
      </c>
      <c r="J75">
        <f t="shared" si="3"/>
        <v>13971.178519999999</v>
      </c>
      <c r="M75">
        <f t="shared" si="9"/>
        <v>7008</v>
      </c>
    </row>
    <row r="76" spans="1:13" x14ac:dyDescent="0.2">
      <c r="A76">
        <v>6</v>
      </c>
      <c r="B76">
        <v>9</v>
      </c>
      <c r="C76">
        <v>15</v>
      </c>
      <c r="D76" s="51" t="s">
        <v>7</v>
      </c>
      <c r="E76">
        <f>VLOOKUP(M76,'MASS - 2016'!$A$1:$G$3418,6,FALSE)</f>
        <v>16566.751</v>
      </c>
      <c r="F76">
        <f>VLOOKUP(M76,'MASS - 2016'!$A$1:$G$3418,7,FALSE)</f>
        <v>14</v>
      </c>
      <c r="G76">
        <f t="shared" si="0"/>
        <v>16566.751</v>
      </c>
      <c r="H76">
        <f t="shared" si="7"/>
        <v>15.017785138621511</v>
      </c>
      <c r="I76">
        <f t="shared" si="8"/>
        <v>13.988977665999998</v>
      </c>
      <c r="J76">
        <f t="shared" ref="J76:J139" si="10">1000*I76-B76*0.511</f>
        <v>13984.378665999999</v>
      </c>
      <c r="M76">
        <f t="shared" si="9"/>
        <v>6009</v>
      </c>
    </row>
    <row r="77" spans="1:13" x14ac:dyDescent="0.2">
      <c r="A77">
        <v>11</v>
      </c>
      <c r="B77">
        <v>5</v>
      </c>
      <c r="C77">
        <v>16</v>
      </c>
      <c r="D77" s="51" t="s">
        <v>3</v>
      </c>
      <c r="E77">
        <f>VLOOKUP(M77,'MASS - 2016'!$A$1:$G$3418,6,FALSE)</f>
        <v>37112.51</v>
      </c>
      <c r="F77">
        <f>VLOOKUP(M77,'MASS - 2016'!$A$1:$G$3418,7,FALSE)</f>
        <v>24.568999999999999</v>
      </c>
      <c r="G77">
        <f t="shared" si="0"/>
        <v>37112.51</v>
      </c>
      <c r="H77">
        <f t="shared" si="7"/>
        <v>16.039841918004456</v>
      </c>
      <c r="I77">
        <f t="shared" si="8"/>
        <v>14.941017486</v>
      </c>
      <c r="J77">
        <f t="shared" si="10"/>
        <v>14938.462486</v>
      </c>
      <c r="M77">
        <f t="shared" si="9"/>
        <v>11005</v>
      </c>
    </row>
    <row r="78" spans="1:13" x14ac:dyDescent="0.2">
      <c r="A78">
        <v>10</v>
      </c>
      <c r="B78">
        <v>6</v>
      </c>
      <c r="C78">
        <v>16</v>
      </c>
      <c r="D78" s="51" t="s">
        <v>4</v>
      </c>
      <c r="E78">
        <f>VLOOKUP(M78,'MASS - 2016'!$A$1:$G$3418,6,FALSE)</f>
        <v>13694.132</v>
      </c>
      <c r="F78">
        <f>VLOOKUP(M78,'MASS - 2016'!$A$1:$G$3418,7,FALSE)</f>
        <v>3.5779999999999998</v>
      </c>
      <c r="G78">
        <f t="shared" si="0"/>
        <v>13694.132</v>
      </c>
      <c r="H78">
        <f t="shared" si="7"/>
        <v>16.014701255298718</v>
      </c>
      <c r="I78">
        <f t="shared" si="8"/>
        <v>14.917599108000001</v>
      </c>
      <c r="J78">
        <f t="shared" si="10"/>
        <v>14914.533108</v>
      </c>
      <c r="M78">
        <f t="shared" si="9"/>
        <v>10006</v>
      </c>
    </row>
    <row r="79" spans="1:13" x14ac:dyDescent="0.2">
      <c r="A79">
        <v>9</v>
      </c>
      <c r="B79">
        <v>7</v>
      </c>
      <c r="C79">
        <v>16</v>
      </c>
      <c r="D79" s="51" t="s">
        <v>5</v>
      </c>
      <c r="E79">
        <f>VLOOKUP(M79,'MASS - 2016'!$A$1:$G$3418,6,FALSE)</f>
        <v>5683.9070000000002</v>
      </c>
      <c r="F79">
        <f>VLOOKUP(M79,'MASS - 2016'!$A$1:$G$3418,7,FALSE)</f>
        <v>2.3010000000000002</v>
      </c>
      <c r="G79">
        <f t="shared" ref="G79:G142" si="11">IF(ISNUMBER(E79),E79,VALUE(SUBSTITUTE(E79,"#",".01")))</f>
        <v>5683.9070000000002</v>
      </c>
      <c r="H79">
        <f t="shared" si="7"/>
        <v>16.00610192510932</v>
      </c>
      <c r="I79">
        <f t="shared" si="8"/>
        <v>14.909588882999998</v>
      </c>
      <c r="J79">
        <f t="shared" si="10"/>
        <v>14906.011882999999</v>
      </c>
      <c r="M79">
        <f t="shared" si="9"/>
        <v>9007</v>
      </c>
    </row>
    <row r="80" spans="1:13" x14ac:dyDescent="0.2">
      <c r="A80">
        <v>8</v>
      </c>
      <c r="B80">
        <v>8</v>
      </c>
      <c r="C80">
        <v>16</v>
      </c>
      <c r="D80" s="51" t="s">
        <v>6</v>
      </c>
      <c r="E80">
        <f>VLOOKUP(M80,'MASS - 2016'!$A$1:$G$3418,6,FALSE)</f>
        <v>-4737.0013499999995</v>
      </c>
      <c r="F80">
        <f>VLOOKUP(M80,'MASS - 2016'!$A$1:$G$3418,7,FALSE)</f>
        <v>1.6000000000000001E-4</v>
      </c>
      <c r="G80">
        <f t="shared" si="11"/>
        <v>-4737.0013499999995</v>
      </c>
      <c r="H80">
        <f t="shared" si="7"/>
        <v>15.994914619911892</v>
      </c>
      <c r="I80">
        <f t="shared" si="8"/>
        <v>14.89916797465</v>
      </c>
      <c r="J80">
        <f t="shared" si="10"/>
        <v>14895.07997465</v>
      </c>
      <c r="M80">
        <f t="shared" si="9"/>
        <v>8008</v>
      </c>
    </row>
    <row r="81" spans="1:13" x14ac:dyDescent="0.2">
      <c r="A81">
        <v>7</v>
      </c>
      <c r="B81">
        <v>9</v>
      </c>
      <c r="C81">
        <v>16</v>
      </c>
      <c r="D81" s="51" t="s">
        <v>7</v>
      </c>
      <c r="E81">
        <f>VLOOKUP(M81,'MASS - 2016'!$A$1:$G$3418,6,FALSE)</f>
        <v>10680.253000000001</v>
      </c>
      <c r="F81">
        <f>VLOOKUP(M81,'MASS - 2016'!$A$1:$G$3418,7,FALSE)</f>
        <v>8.3209999999999997</v>
      </c>
      <c r="G81">
        <f t="shared" si="11"/>
        <v>10680.253000000001</v>
      </c>
      <c r="H81">
        <f t="shared" si="7"/>
        <v>16.011465723129287</v>
      </c>
      <c r="I81">
        <f t="shared" si="8"/>
        <v>14.914585229000002</v>
      </c>
      <c r="J81">
        <f t="shared" si="10"/>
        <v>14909.986229000002</v>
      </c>
      <c r="M81">
        <f t="shared" si="9"/>
        <v>7009</v>
      </c>
    </row>
    <row r="82" spans="1:13" x14ac:dyDescent="0.2">
      <c r="A82">
        <v>6</v>
      </c>
      <c r="B82">
        <v>10</v>
      </c>
      <c r="C82">
        <v>16</v>
      </c>
      <c r="D82" s="51" t="s">
        <v>8</v>
      </c>
      <c r="E82">
        <f>VLOOKUP(M82,'MASS - 2016'!$A$1:$G$3418,6,FALSE)</f>
        <v>23986.776000000002</v>
      </c>
      <c r="F82">
        <f>VLOOKUP(M82,'MASS - 2016'!$A$1:$G$3418,7,FALSE)</f>
        <v>20.48</v>
      </c>
      <c r="G82">
        <f t="shared" si="11"/>
        <v>23986.776000000002</v>
      </c>
      <c r="H82">
        <f t="shared" si="7"/>
        <v>16.025750863053542</v>
      </c>
      <c r="I82">
        <f t="shared" si="8"/>
        <v>14.927891751999999</v>
      </c>
      <c r="J82">
        <f t="shared" si="10"/>
        <v>14922.781751999999</v>
      </c>
      <c r="M82">
        <f t="shared" si="9"/>
        <v>6010</v>
      </c>
    </row>
    <row r="83" spans="1:13" x14ac:dyDescent="0.2">
      <c r="A83">
        <v>12</v>
      </c>
      <c r="B83">
        <v>5</v>
      </c>
      <c r="C83">
        <v>17</v>
      </c>
      <c r="D83" s="51" t="s">
        <v>3</v>
      </c>
      <c r="E83">
        <f>VLOOKUP(M83,'MASS - 2016'!$A$1:$G$3418,6,FALSE)</f>
        <v>43716.317000000003</v>
      </c>
      <c r="F83">
        <f>VLOOKUP(M83,'MASS - 2016'!$A$1:$G$3418,7,FALSE)</f>
        <v>204.10400000000001</v>
      </c>
      <c r="G83">
        <f t="shared" si="11"/>
        <v>43716.317000000003</v>
      </c>
      <c r="H83">
        <f t="shared" si="7"/>
        <v>17.046931396377417</v>
      </c>
      <c r="I83">
        <f t="shared" si="8"/>
        <v>15.879115354000001</v>
      </c>
      <c r="J83">
        <f t="shared" si="10"/>
        <v>15876.560354000001</v>
      </c>
      <c r="M83">
        <f t="shared" si="9"/>
        <v>12005</v>
      </c>
    </row>
    <row r="84" spans="1:13" x14ac:dyDescent="0.2">
      <c r="A84">
        <v>11</v>
      </c>
      <c r="B84">
        <v>6</v>
      </c>
      <c r="C84">
        <v>17</v>
      </c>
      <c r="D84" s="51" t="s">
        <v>4</v>
      </c>
      <c r="E84">
        <f>VLOOKUP(M84,'MASS - 2016'!$A$1:$G$3418,6,FALSE)</f>
        <v>21031.898000000001</v>
      </c>
      <c r="F84">
        <f>VLOOKUP(M84,'MASS - 2016'!$A$1:$G$3418,7,FALSE)</f>
        <v>17.364999999999998</v>
      </c>
      <c r="G84">
        <f t="shared" si="11"/>
        <v>21031.898000000001</v>
      </c>
      <c r="H84">
        <f t="shared" si="7"/>
        <v>17.022578671062512</v>
      </c>
      <c r="I84">
        <f t="shared" si="8"/>
        <v>15.856430935000002</v>
      </c>
      <c r="J84">
        <f t="shared" si="10"/>
        <v>15853.364935000001</v>
      </c>
      <c r="M84">
        <f t="shared" si="9"/>
        <v>11006</v>
      </c>
    </row>
    <row r="85" spans="1:13" x14ac:dyDescent="0.2">
      <c r="A85">
        <v>10</v>
      </c>
      <c r="B85">
        <v>7</v>
      </c>
      <c r="C85">
        <v>17</v>
      </c>
      <c r="D85" s="51" t="s">
        <v>5</v>
      </c>
      <c r="E85">
        <f>VLOOKUP(M85,'MASS - 2016'!$A$1:$G$3418,6,FALSE)</f>
        <v>7870.0789999999997</v>
      </c>
      <c r="F85">
        <f>VLOOKUP(M85,'MASS - 2016'!$A$1:$G$3418,7,FALSE)</f>
        <v>15</v>
      </c>
      <c r="G85">
        <f t="shared" si="11"/>
        <v>7870.0789999999997</v>
      </c>
      <c r="H85">
        <f t="shared" si="7"/>
        <v>17.008448877270943</v>
      </c>
      <c r="I85">
        <f t="shared" si="8"/>
        <v>15.843269116000002</v>
      </c>
      <c r="J85">
        <f t="shared" si="10"/>
        <v>15839.692116000002</v>
      </c>
      <c r="M85">
        <f t="shared" si="9"/>
        <v>10007</v>
      </c>
    </row>
    <row r="86" spans="1:13" x14ac:dyDescent="0.2">
      <c r="A86">
        <v>9</v>
      </c>
      <c r="B86">
        <v>8</v>
      </c>
      <c r="C86">
        <v>17</v>
      </c>
      <c r="D86" s="51" t="s">
        <v>6</v>
      </c>
      <c r="E86">
        <f>VLOOKUP(M86,'MASS - 2016'!$A$1:$G$3418,6,FALSE)</f>
        <v>-808.76347999999996</v>
      </c>
      <c r="F86">
        <f>VLOOKUP(M86,'MASS - 2016'!$A$1:$G$3418,7,FALSE)</f>
        <v>6.6E-4</v>
      </c>
      <c r="G86">
        <f t="shared" si="11"/>
        <v>-808.76347999999996</v>
      </c>
      <c r="H86">
        <f t="shared" si="7"/>
        <v>16.999131756697267</v>
      </c>
      <c r="I86">
        <f t="shared" si="8"/>
        <v>15.83459027352</v>
      </c>
      <c r="J86">
        <f t="shared" si="10"/>
        <v>15830.50227352</v>
      </c>
      <c r="M86">
        <f t="shared" si="9"/>
        <v>9008</v>
      </c>
    </row>
    <row r="87" spans="1:13" x14ac:dyDescent="0.2">
      <c r="A87">
        <v>8</v>
      </c>
      <c r="B87">
        <v>9</v>
      </c>
      <c r="C87">
        <v>17</v>
      </c>
      <c r="D87" s="51" t="s">
        <v>7</v>
      </c>
      <c r="E87">
        <f>VLOOKUP(M87,'MASS - 2016'!$A$1:$G$3418,6,FALSE)</f>
        <v>1951.702</v>
      </c>
      <c r="F87">
        <f>VLOOKUP(M87,'MASS - 2016'!$A$1:$G$3418,7,FALSE)</f>
        <v>0.248</v>
      </c>
      <c r="G87">
        <f t="shared" si="11"/>
        <v>1951.702</v>
      </c>
      <c r="H87">
        <f t="shared" si="7"/>
        <v>17.002095238264754</v>
      </c>
      <c r="I87">
        <f t="shared" si="8"/>
        <v>15.837350738999998</v>
      </c>
      <c r="J87">
        <f t="shared" si="10"/>
        <v>15832.751738999998</v>
      </c>
      <c r="M87">
        <f t="shared" si="9"/>
        <v>8009</v>
      </c>
    </row>
    <row r="88" spans="1:13" x14ac:dyDescent="0.2">
      <c r="A88">
        <v>7</v>
      </c>
      <c r="B88">
        <v>10</v>
      </c>
      <c r="C88">
        <v>17</v>
      </c>
      <c r="D88" s="51" t="s">
        <v>8</v>
      </c>
      <c r="E88">
        <f>VLOOKUP(M88,'MASS - 2016'!$A$1:$G$3418,6,FALSE)</f>
        <v>16500.447</v>
      </c>
      <c r="F88">
        <f>VLOOKUP(M88,'MASS - 2016'!$A$1:$G$3418,7,FALSE)</f>
        <v>0.35399999999999998</v>
      </c>
      <c r="G88">
        <f t="shared" si="11"/>
        <v>16500.447</v>
      </c>
      <c r="H88">
        <f t="shared" si="7"/>
        <v>17.017713958350186</v>
      </c>
      <c r="I88">
        <f t="shared" si="8"/>
        <v>15.851899483999999</v>
      </c>
      <c r="J88">
        <f t="shared" si="10"/>
        <v>15846.789483999999</v>
      </c>
      <c r="M88">
        <f t="shared" si="9"/>
        <v>7010</v>
      </c>
    </row>
    <row r="89" spans="1:13" x14ac:dyDescent="0.2">
      <c r="A89">
        <v>13</v>
      </c>
      <c r="B89">
        <v>5</v>
      </c>
      <c r="C89">
        <v>18</v>
      </c>
      <c r="D89" s="51" t="s">
        <v>3</v>
      </c>
      <c r="E89">
        <f>VLOOKUP(M89,'MASS - 2016'!$A$1:$G$3418,6,FALSE)</f>
        <v>51792.633999999998</v>
      </c>
      <c r="F89">
        <f>VLOOKUP(M89,'MASS - 2016'!$A$1:$G$3418,7,FALSE)</f>
        <v>204.16499999999999</v>
      </c>
      <c r="G89">
        <f t="shared" si="11"/>
        <v>51792.633999999998</v>
      </c>
      <c r="H89">
        <f t="shared" si="7"/>
        <v>18.055601679246781</v>
      </c>
      <c r="I89">
        <f t="shared" si="8"/>
        <v>16.818685732000002</v>
      </c>
      <c r="J89">
        <f t="shared" si="10"/>
        <v>16816.130732000001</v>
      </c>
      <c r="M89">
        <f t="shared" si="9"/>
        <v>13005</v>
      </c>
    </row>
    <row r="90" spans="1:13" x14ac:dyDescent="0.2">
      <c r="A90">
        <v>12</v>
      </c>
      <c r="B90">
        <v>6</v>
      </c>
      <c r="C90">
        <v>18</v>
      </c>
      <c r="D90" s="51" t="s">
        <v>4</v>
      </c>
      <c r="E90">
        <f>VLOOKUP(M90,'MASS - 2016'!$A$1:$G$3418,6,FALSE)</f>
        <v>24919.263999999999</v>
      </c>
      <c r="F90">
        <f>VLOOKUP(M90,'MASS - 2016'!$A$1:$G$3418,7,FALSE)</f>
        <v>30</v>
      </c>
      <c r="G90">
        <f t="shared" si="11"/>
        <v>24919.263999999999</v>
      </c>
      <c r="H90">
        <f t="shared" si="7"/>
        <v>18.026751930090946</v>
      </c>
      <c r="I90">
        <f t="shared" si="8"/>
        <v>16.791812362000002</v>
      </c>
      <c r="J90">
        <f t="shared" si="10"/>
        <v>16788.746362000002</v>
      </c>
      <c r="M90">
        <f t="shared" si="9"/>
        <v>12006</v>
      </c>
    </row>
    <row r="91" spans="1:13" x14ac:dyDescent="0.2">
      <c r="A91">
        <v>11</v>
      </c>
      <c r="B91">
        <v>7</v>
      </c>
      <c r="C91">
        <v>18</v>
      </c>
      <c r="D91" s="51" t="s">
        <v>5</v>
      </c>
      <c r="E91">
        <f>VLOOKUP(M91,'MASS - 2016'!$A$1:$G$3418,6,FALSE)</f>
        <v>13113.168</v>
      </c>
      <c r="F91">
        <f>VLOOKUP(M91,'MASS - 2016'!$A$1:$G$3418,7,FALSE)</f>
        <v>18.57</v>
      </c>
      <c r="G91">
        <f t="shared" si="11"/>
        <v>13113.168</v>
      </c>
      <c r="H91">
        <f t="shared" si="7"/>
        <v>18.014077564795123</v>
      </c>
      <c r="I91">
        <f t="shared" si="8"/>
        <v>16.780006266000001</v>
      </c>
      <c r="J91">
        <f t="shared" si="10"/>
        <v>16776.429265999999</v>
      </c>
      <c r="M91">
        <f t="shared" si="9"/>
        <v>11007</v>
      </c>
    </row>
    <row r="92" spans="1:13" x14ac:dyDescent="0.2">
      <c r="A92">
        <v>10</v>
      </c>
      <c r="B92">
        <v>8</v>
      </c>
      <c r="C92">
        <v>18</v>
      </c>
      <c r="D92" s="51" t="s">
        <v>6</v>
      </c>
      <c r="E92">
        <f>VLOOKUP(M92,'MASS - 2016'!$A$1:$G$3418,6,FALSE)</f>
        <v>-782.81560000000002</v>
      </c>
      <c r="F92">
        <f>VLOOKUP(M92,'MASS - 2016'!$A$1:$G$3418,7,FALSE)</f>
        <v>7.1000000000000002E-4</v>
      </c>
      <c r="G92">
        <f t="shared" si="11"/>
        <v>-782.81560000000002</v>
      </c>
      <c r="H92">
        <f t="shared" si="7"/>
        <v>17.999159612892047</v>
      </c>
      <c r="I92">
        <f t="shared" si="8"/>
        <v>16.7661102824</v>
      </c>
      <c r="J92">
        <f t="shared" si="10"/>
        <v>16762.022282400001</v>
      </c>
      <c r="M92">
        <f t="shared" si="9"/>
        <v>10008</v>
      </c>
    </row>
    <row r="93" spans="1:13" x14ac:dyDescent="0.2">
      <c r="A93">
        <v>9</v>
      </c>
      <c r="B93">
        <v>9</v>
      </c>
      <c r="C93">
        <v>18</v>
      </c>
      <c r="D93" s="51" t="s">
        <v>7</v>
      </c>
      <c r="E93">
        <f>VLOOKUP(M93,'MASS - 2016'!$A$1:$G$3418,6,FALSE)</f>
        <v>873.11300000000006</v>
      </c>
      <c r="F93">
        <f>VLOOKUP(M93,'MASS - 2016'!$A$1:$G$3418,7,FALSE)</f>
        <v>0.46300000000000002</v>
      </c>
      <c r="G93">
        <f t="shared" si="11"/>
        <v>873.11300000000006</v>
      </c>
      <c r="H93">
        <f t="shared" si="7"/>
        <v>18.00093732535349</v>
      </c>
      <c r="I93">
        <f t="shared" si="8"/>
        <v>16.767766211000001</v>
      </c>
      <c r="J93">
        <f t="shared" si="10"/>
        <v>16763.167211000004</v>
      </c>
      <c r="M93">
        <f t="shared" si="9"/>
        <v>9009</v>
      </c>
    </row>
    <row r="94" spans="1:13" x14ac:dyDescent="0.2">
      <c r="A94">
        <v>8</v>
      </c>
      <c r="B94">
        <v>10</v>
      </c>
      <c r="C94">
        <v>18</v>
      </c>
      <c r="D94" s="51" t="s">
        <v>8</v>
      </c>
      <c r="E94">
        <f>VLOOKUP(M94,'MASS - 2016'!$A$1:$G$3418,6,FALSE)</f>
        <v>5317.6139999999996</v>
      </c>
      <c r="F94">
        <f>VLOOKUP(M94,'MASS - 2016'!$A$1:$G$3418,7,FALSE)</f>
        <v>0.36299999999999999</v>
      </c>
      <c r="G94">
        <f t="shared" si="11"/>
        <v>5317.6139999999996</v>
      </c>
      <c r="H94">
        <f t="shared" si="7"/>
        <v>18.005708693401964</v>
      </c>
      <c r="I94">
        <f t="shared" si="8"/>
        <v>16.772210712</v>
      </c>
      <c r="J94">
        <f t="shared" si="10"/>
        <v>16767.100711999999</v>
      </c>
      <c r="M94">
        <f t="shared" si="9"/>
        <v>8010</v>
      </c>
    </row>
    <row r="95" spans="1:13" x14ac:dyDescent="0.2">
      <c r="A95">
        <v>7</v>
      </c>
      <c r="B95">
        <v>11</v>
      </c>
      <c r="C95">
        <v>18</v>
      </c>
      <c r="D95" s="51" t="s">
        <v>9</v>
      </c>
      <c r="E95">
        <f>VLOOKUP(M95,'MASS - 2016'!$A$1:$G$3418,6,FALSE)</f>
        <v>25037.988000000001</v>
      </c>
      <c r="F95">
        <f>VLOOKUP(M95,'MASS - 2016'!$A$1:$G$3418,7,FALSE)</f>
        <v>93.881</v>
      </c>
      <c r="G95">
        <f t="shared" si="11"/>
        <v>25037.988000000001</v>
      </c>
      <c r="H95">
        <f t="shared" si="7"/>
        <v>18.026879385546614</v>
      </c>
      <c r="I95">
        <f t="shared" si="8"/>
        <v>16.791931086000002</v>
      </c>
      <c r="J95">
        <f t="shared" si="10"/>
        <v>16786.310086000001</v>
      </c>
      <c r="M95">
        <f t="shared" si="9"/>
        <v>7011</v>
      </c>
    </row>
    <row r="96" spans="1:13" x14ac:dyDescent="0.2">
      <c r="A96">
        <v>14</v>
      </c>
      <c r="B96">
        <v>5</v>
      </c>
      <c r="C96">
        <v>19</v>
      </c>
      <c r="D96" s="51" t="s">
        <v>3</v>
      </c>
      <c r="E96">
        <f>VLOOKUP(M96,'MASS - 2016'!$A$1:$G$3418,6,FALSE)</f>
        <v>59770.243999999999</v>
      </c>
      <c r="F96">
        <f>VLOOKUP(M96,'MASS - 2016'!$A$1:$G$3418,7,FALSE)</f>
        <v>525.36300000000006</v>
      </c>
      <c r="G96">
        <f t="shared" si="11"/>
        <v>59770.243999999999</v>
      </c>
      <c r="H96">
        <f t="shared" si="7"/>
        <v>19.064165995793719</v>
      </c>
      <c r="I96">
        <f t="shared" si="8"/>
        <v>17.758157402999998</v>
      </c>
      <c r="J96">
        <f t="shared" si="10"/>
        <v>17755.602402999997</v>
      </c>
      <c r="M96">
        <f t="shared" si="9"/>
        <v>14005</v>
      </c>
    </row>
    <row r="97" spans="1:13" x14ac:dyDescent="0.2">
      <c r="A97">
        <v>13</v>
      </c>
      <c r="B97">
        <v>6</v>
      </c>
      <c r="C97">
        <v>19</v>
      </c>
      <c r="D97" s="51" t="s">
        <v>4</v>
      </c>
      <c r="E97">
        <f>VLOOKUP(M97,'MASS - 2016'!$A$1:$G$3418,6,FALSE)</f>
        <v>32413.752</v>
      </c>
      <c r="F97">
        <f>VLOOKUP(M97,'MASS - 2016'!$A$1:$G$3418,7,FALSE)</f>
        <v>98.388999999999996</v>
      </c>
      <c r="G97">
        <f t="shared" si="11"/>
        <v>32413.752</v>
      </c>
      <c r="H97">
        <f t="shared" si="7"/>
        <v>19.03479759384102</v>
      </c>
      <c r="I97">
        <f t="shared" si="8"/>
        <v>17.730800910999999</v>
      </c>
      <c r="J97">
        <f t="shared" si="10"/>
        <v>17727.734911</v>
      </c>
      <c r="M97">
        <f t="shared" si="9"/>
        <v>13006</v>
      </c>
    </row>
    <row r="98" spans="1:13" x14ac:dyDescent="0.2">
      <c r="A98">
        <v>12</v>
      </c>
      <c r="B98">
        <v>7</v>
      </c>
      <c r="C98">
        <v>19</v>
      </c>
      <c r="D98" s="51" t="s">
        <v>5</v>
      </c>
      <c r="E98">
        <f>VLOOKUP(M98,'MASS - 2016'!$A$1:$G$3418,6,FALSE)</f>
        <v>15856.281999999999</v>
      </c>
      <c r="F98">
        <f>VLOOKUP(M98,'MASS - 2016'!$A$1:$G$3418,7,FALSE)</f>
        <v>16.404</v>
      </c>
      <c r="G98">
        <f t="shared" si="11"/>
        <v>15856.281999999999</v>
      </c>
      <c r="H98">
        <f t="shared" si="7"/>
        <v>19.017022418782766</v>
      </c>
      <c r="I98">
        <f t="shared" si="8"/>
        <v>17.714243441000001</v>
      </c>
      <c r="J98">
        <f t="shared" si="10"/>
        <v>17710.666441000001</v>
      </c>
      <c r="M98">
        <f t="shared" si="9"/>
        <v>12007</v>
      </c>
    </row>
    <row r="99" spans="1:13" x14ac:dyDescent="0.2">
      <c r="A99">
        <v>11</v>
      </c>
      <c r="B99">
        <v>8</v>
      </c>
      <c r="C99">
        <v>19</v>
      </c>
      <c r="D99" s="51" t="s">
        <v>6</v>
      </c>
      <c r="E99">
        <f>VLOOKUP(M99,'MASS - 2016'!$A$1:$G$3418,6,FALSE)</f>
        <v>3332.8580000000002</v>
      </c>
      <c r="F99">
        <f>VLOOKUP(M99,'MASS - 2016'!$A$1:$G$3418,7,FALSE)</f>
        <v>2.637</v>
      </c>
      <c r="G99">
        <f t="shared" si="11"/>
        <v>3332.8580000000002</v>
      </c>
      <c r="H99">
        <f t="shared" si="7"/>
        <v>19.003577970208873</v>
      </c>
      <c r="I99">
        <f t="shared" si="8"/>
        <v>17.701720017</v>
      </c>
      <c r="J99">
        <f t="shared" si="10"/>
        <v>17697.632017</v>
      </c>
      <c r="M99">
        <f t="shared" si="9"/>
        <v>11008</v>
      </c>
    </row>
    <row r="100" spans="1:13" x14ac:dyDescent="0.2">
      <c r="A100">
        <v>10</v>
      </c>
      <c r="B100">
        <v>9</v>
      </c>
      <c r="C100">
        <v>19</v>
      </c>
      <c r="D100" s="51" t="s">
        <v>7</v>
      </c>
      <c r="E100">
        <f>VLOOKUP(M100,'MASS - 2016'!$A$1:$G$3418,6,FALSE)</f>
        <v>-1487.4441999999999</v>
      </c>
      <c r="F100">
        <f>VLOOKUP(M100,'MASS - 2016'!$A$1:$G$3418,7,FALSE)</f>
        <v>8.5999999999999998E-4</v>
      </c>
      <c r="G100">
        <f t="shared" si="11"/>
        <v>-1487.4441999999999</v>
      </c>
      <c r="H100">
        <f t="shared" si="7"/>
        <v>18.998403162980555</v>
      </c>
      <c r="I100">
        <f t="shared" si="8"/>
        <v>17.696899714800001</v>
      </c>
      <c r="J100">
        <f t="shared" si="10"/>
        <v>17692.300714800003</v>
      </c>
      <c r="M100">
        <f t="shared" si="9"/>
        <v>10009</v>
      </c>
    </row>
    <row r="101" spans="1:13" x14ac:dyDescent="0.2">
      <c r="A101">
        <v>9</v>
      </c>
      <c r="B101">
        <v>10</v>
      </c>
      <c r="C101">
        <v>19</v>
      </c>
      <c r="D101" s="51" t="s">
        <v>8</v>
      </c>
      <c r="E101">
        <f>VLOOKUP(M101,'MASS - 2016'!$A$1:$G$3418,6,FALSE)</f>
        <v>1752.05</v>
      </c>
      <c r="F101">
        <f>VLOOKUP(M101,'MASS - 2016'!$A$1:$G$3418,7,FALSE)</f>
        <v>0.16</v>
      </c>
      <c r="G101">
        <f t="shared" si="11"/>
        <v>1752.05</v>
      </c>
      <c r="H101">
        <f t="shared" si="7"/>
        <v>19.001880903028109</v>
      </c>
      <c r="I101">
        <f t="shared" si="8"/>
        <v>17.700139209</v>
      </c>
      <c r="J101">
        <f t="shared" si="10"/>
        <v>17695.029209</v>
      </c>
      <c r="M101">
        <f t="shared" si="9"/>
        <v>9010</v>
      </c>
    </row>
    <row r="102" spans="1:13" x14ac:dyDescent="0.2">
      <c r="A102">
        <v>8</v>
      </c>
      <c r="B102">
        <v>11</v>
      </c>
      <c r="C102">
        <v>19</v>
      </c>
      <c r="D102" s="51" t="s">
        <v>9</v>
      </c>
      <c r="E102">
        <f>VLOOKUP(M102,'MASS - 2016'!$A$1:$G$3418,6,FALSE)</f>
        <v>12929.39</v>
      </c>
      <c r="F102">
        <f>VLOOKUP(M102,'MASS - 2016'!$A$1:$G$3418,7,FALSE)</f>
        <v>10.535</v>
      </c>
      <c r="G102">
        <f t="shared" si="11"/>
        <v>12929.39</v>
      </c>
      <c r="H102">
        <f t="shared" si="7"/>
        <v>19.013880270998314</v>
      </c>
      <c r="I102">
        <f t="shared" si="8"/>
        <v>17.711316548999999</v>
      </c>
      <c r="J102">
        <f t="shared" si="10"/>
        <v>17705.695549</v>
      </c>
      <c r="M102">
        <f t="shared" si="9"/>
        <v>8011</v>
      </c>
    </row>
    <row r="103" spans="1:13" x14ac:dyDescent="0.2">
      <c r="A103">
        <v>14</v>
      </c>
      <c r="B103">
        <v>6</v>
      </c>
      <c r="C103">
        <v>20</v>
      </c>
      <c r="D103" s="51" t="s">
        <v>4</v>
      </c>
      <c r="E103">
        <f>VLOOKUP(M103,'MASS - 2016'!$A$1:$G$3418,6,FALSE)</f>
        <v>37503.563000000002</v>
      </c>
      <c r="F103">
        <f>VLOOKUP(M103,'MASS - 2016'!$A$1:$G$3418,7,FALSE)</f>
        <v>230.625</v>
      </c>
      <c r="G103">
        <f t="shared" si="11"/>
        <v>37503.563000000002</v>
      </c>
      <c r="H103">
        <f t="shared" si="7"/>
        <v>20.040261730664973</v>
      </c>
      <c r="I103">
        <f t="shared" si="8"/>
        <v>18.667384783000003</v>
      </c>
      <c r="J103">
        <f t="shared" si="10"/>
        <v>18664.318783000002</v>
      </c>
      <c r="M103">
        <f t="shared" si="9"/>
        <v>14006</v>
      </c>
    </row>
    <row r="104" spans="1:13" x14ac:dyDescent="0.2">
      <c r="A104">
        <v>13</v>
      </c>
      <c r="B104">
        <v>7</v>
      </c>
      <c r="C104">
        <v>20</v>
      </c>
      <c r="D104" s="51" t="s">
        <v>5</v>
      </c>
      <c r="E104">
        <f>VLOOKUP(M104,'MASS - 2016'!$A$1:$G$3418,6,FALSE)</f>
        <v>21766.495999999999</v>
      </c>
      <c r="F104">
        <f>VLOOKUP(M104,'MASS - 2016'!$A$1:$G$3418,7,FALSE)</f>
        <v>78.894000000000005</v>
      </c>
      <c r="G104">
        <f t="shared" si="11"/>
        <v>21766.495999999999</v>
      </c>
      <c r="H104">
        <f t="shared" si="7"/>
        <v>20.023367294448057</v>
      </c>
      <c r="I104">
        <f t="shared" si="8"/>
        <v>18.651647716000003</v>
      </c>
      <c r="J104">
        <f t="shared" si="10"/>
        <v>18648.070716000002</v>
      </c>
      <c r="M104">
        <f t="shared" si="9"/>
        <v>13007</v>
      </c>
    </row>
    <row r="105" spans="1:13" x14ac:dyDescent="0.2">
      <c r="A105">
        <v>12</v>
      </c>
      <c r="B105">
        <v>8</v>
      </c>
      <c r="C105">
        <v>20</v>
      </c>
      <c r="D105" s="51" t="s">
        <v>6</v>
      </c>
      <c r="E105">
        <f>VLOOKUP(M105,'MASS - 2016'!$A$1:$G$3418,6,FALSE)</f>
        <v>3796.172</v>
      </c>
      <c r="F105">
        <f>VLOOKUP(M105,'MASS - 2016'!$A$1:$G$3418,7,FALSE)</f>
        <v>0.88500000000000001</v>
      </c>
      <c r="G105">
        <f t="shared" si="11"/>
        <v>3796.172</v>
      </c>
      <c r="H105">
        <f t="shared" si="7"/>
        <v>20.004075358243217</v>
      </c>
      <c r="I105">
        <f t="shared" si="8"/>
        <v>18.633677392000003</v>
      </c>
      <c r="J105">
        <f t="shared" si="10"/>
        <v>18629.589392000002</v>
      </c>
      <c r="M105">
        <f t="shared" si="9"/>
        <v>12008</v>
      </c>
    </row>
    <row r="106" spans="1:13" x14ac:dyDescent="0.2">
      <c r="A106">
        <v>11</v>
      </c>
      <c r="B106">
        <v>9</v>
      </c>
      <c r="C106">
        <v>20</v>
      </c>
      <c r="D106" s="51" t="s">
        <v>7</v>
      </c>
      <c r="E106">
        <f>VLOOKUP(M106,'MASS - 2016'!$A$1:$G$3418,6,FALSE)</f>
        <v>-17.463000000000001</v>
      </c>
      <c r="F106">
        <f>VLOOKUP(M106,'MASS - 2016'!$A$1:$G$3418,7,FALSE)</f>
        <v>0.03</v>
      </c>
      <c r="G106">
        <f t="shared" si="11"/>
        <v>-17.463000000000001</v>
      </c>
      <c r="H106">
        <f t="shared" si="7"/>
        <v>19.999981252698511</v>
      </c>
      <c r="I106">
        <f t="shared" si="8"/>
        <v>18.629863757000003</v>
      </c>
      <c r="J106">
        <f t="shared" si="10"/>
        <v>18625.264757000004</v>
      </c>
      <c r="M106">
        <f t="shared" si="9"/>
        <v>11009</v>
      </c>
    </row>
    <row r="107" spans="1:13" x14ac:dyDescent="0.2">
      <c r="A107">
        <v>10</v>
      </c>
      <c r="B107">
        <v>10</v>
      </c>
      <c r="C107">
        <v>20</v>
      </c>
      <c r="D107" s="51" t="s">
        <v>8</v>
      </c>
      <c r="E107">
        <f>VLOOKUP(M107,'MASS - 2016'!$A$1:$G$3418,6,FALSE)</f>
        <v>-7041.93055</v>
      </c>
      <c r="F107">
        <f>VLOOKUP(M107,'MASS - 2016'!$A$1:$G$3418,7,FALSE)</f>
        <v>1.57E-3</v>
      </c>
      <c r="G107">
        <f t="shared" si="11"/>
        <v>-7041.93055</v>
      </c>
      <c r="H107">
        <f t="shared" si="7"/>
        <v>19.992440176652938</v>
      </c>
      <c r="I107">
        <f t="shared" si="8"/>
        <v>18.622839289450003</v>
      </c>
      <c r="J107">
        <f t="shared" si="10"/>
        <v>18617.729289450002</v>
      </c>
      <c r="M107">
        <f t="shared" si="9"/>
        <v>10010</v>
      </c>
    </row>
    <row r="108" spans="1:13" x14ac:dyDescent="0.2">
      <c r="A108">
        <v>9</v>
      </c>
      <c r="B108">
        <v>11</v>
      </c>
      <c r="C108">
        <v>20</v>
      </c>
      <c r="D108" s="51" t="s">
        <v>9</v>
      </c>
      <c r="E108">
        <f>VLOOKUP(M108,'MASS - 2016'!$A$1:$G$3418,6,FALSE)</f>
        <v>6850.6040000000003</v>
      </c>
      <c r="F108">
        <f>VLOOKUP(M108,'MASS - 2016'!$A$1:$G$3418,7,FALSE)</f>
        <v>1.1140000000000001</v>
      </c>
      <c r="G108">
        <f t="shared" si="11"/>
        <v>6850.6040000000003</v>
      </c>
      <c r="H108">
        <f t="shared" si="7"/>
        <v>20.007354425848565</v>
      </c>
      <c r="I108">
        <f t="shared" si="8"/>
        <v>18.636731824000002</v>
      </c>
      <c r="J108">
        <f t="shared" si="10"/>
        <v>18631.110824000003</v>
      </c>
      <c r="M108">
        <f t="shared" si="9"/>
        <v>9011</v>
      </c>
    </row>
    <row r="109" spans="1:13" x14ac:dyDescent="0.2">
      <c r="A109">
        <v>8</v>
      </c>
      <c r="B109">
        <v>12</v>
      </c>
      <c r="C109">
        <v>20</v>
      </c>
      <c r="D109" s="51" t="s">
        <v>10</v>
      </c>
      <c r="E109">
        <f>VLOOKUP(M109,'MASS - 2016'!$A$1:$G$3418,6,FALSE)</f>
        <v>17477.691999999999</v>
      </c>
      <c r="F109">
        <f>VLOOKUP(M109,'MASS - 2016'!$A$1:$G$3418,7,FALSE)</f>
        <v>1.863</v>
      </c>
      <c r="G109">
        <f t="shared" si="11"/>
        <v>17477.691999999999</v>
      </c>
      <c r="H109">
        <f t="shared" si="7"/>
        <v>20.018763074003111</v>
      </c>
      <c r="I109">
        <f t="shared" si="8"/>
        <v>18.647358912000001</v>
      </c>
      <c r="J109">
        <f t="shared" si="10"/>
        <v>18641.226911999998</v>
      </c>
      <c r="M109">
        <f t="shared" si="9"/>
        <v>8012</v>
      </c>
    </row>
    <row r="110" spans="1:13" x14ac:dyDescent="0.2">
      <c r="A110">
        <v>15</v>
      </c>
      <c r="B110">
        <v>6</v>
      </c>
      <c r="C110">
        <v>21</v>
      </c>
      <c r="D110" s="51" t="s">
        <v>4</v>
      </c>
      <c r="E110" t="str">
        <f>VLOOKUP(M110,'MASS - 2016'!$A$1:$G$3418,6,FALSE)</f>
        <v>45643#</v>
      </c>
      <c r="F110" t="str">
        <f>VLOOKUP(M110,'MASS - 2016'!$A$1:$G$3418,7,FALSE)</f>
        <v>596#</v>
      </c>
      <c r="G110">
        <f t="shared" si="11"/>
        <v>45643.01</v>
      </c>
      <c r="H110">
        <f t="shared" si="7"/>
        <v>21.048999786376523</v>
      </c>
      <c r="I110">
        <f t="shared" si="8"/>
        <v>19.607018290999999</v>
      </c>
      <c r="J110">
        <f t="shared" si="10"/>
        <v>19603.952291000001</v>
      </c>
      <c r="M110">
        <f t="shared" si="9"/>
        <v>15006</v>
      </c>
    </row>
    <row r="111" spans="1:13" x14ac:dyDescent="0.2">
      <c r="A111">
        <v>14</v>
      </c>
      <c r="B111">
        <v>7</v>
      </c>
      <c r="C111">
        <v>21</v>
      </c>
      <c r="D111" s="51" t="s">
        <v>5</v>
      </c>
      <c r="E111">
        <f>VLOOKUP(M111,'MASS - 2016'!$A$1:$G$3418,6,FALSE)</f>
        <v>25231.913</v>
      </c>
      <c r="F111">
        <f>VLOOKUP(M111,'MASS - 2016'!$A$1:$G$3418,7,FALSE)</f>
        <v>134.048</v>
      </c>
      <c r="G111">
        <f t="shared" si="11"/>
        <v>25231.913</v>
      </c>
      <c r="H111">
        <f t="shared" si="7"/>
        <v>21.027087572595914</v>
      </c>
      <c r="I111">
        <f t="shared" si="8"/>
        <v>19.586607193999999</v>
      </c>
      <c r="J111">
        <f t="shared" si="10"/>
        <v>19583.030193999999</v>
      </c>
      <c r="M111">
        <f t="shared" si="9"/>
        <v>14007</v>
      </c>
    </row>
    <row r="112" spans="1:13" x14ac:dyDescent="0.2">
      <c r="A112">
        <v>13</v>
      </c>
      <c r="B112">
        <v>8</v>
      </c>
      <c r="C112">
        <v>21</v>
      </c>
      <c r="D112" s="51" t="s">
        <v>6</v>
      </c>
      <c r="E112">
        <f>VLOOKUP(M112,'MASS - 2016'!$A$1:$G$3418,6,FALSE)</f>
        <v>8062.0349999999999</v>
      </c>
      <c r="F112">
        <f>VLOOKUP(M112,'MASS - 2016'!$A$1:$G$3418,7,FALSE)</f>
        <v>12</v>
      </c>
      <c r="G112">
        <f t="shared" si="11"/>
        <v>8062.0349999999999</v>
      </c>
      <c r="H112">
        <f t="shared" si="7"/>
        <v>21.008654950511808</v>
      </c>
      <c r="I112">
        <f t="shared" si="8"/>
        <v>19.569437315999998</v>
      </c>
      <c r="J112">
        <f t="shared" si="10"/>
        <v>19565.349316</v>
      </c>
      <c r="M112">
        <f t="shared" si="9"/>
        <v>13008</v>
      </c>
    </row>
    <row r="113" spans="1:13" x14ac:dyDescent="0.2">
      <c r="A113">
        <v>12</v>
      </c>
      <c r="B113">
        <v>9</v>
      </c>
      <c r="C113">
        <v>21</v>
      </c>
      <c r="D113" s="51" t="s">
        <v>7</v>
      </c>
      <c r="E113">
        <f>VLOOKUP(M113,'MASS - 2016'!$A$1:$G$3418,6,FALSE)</f>
        <v>-47.604999999999997</v>
      </c>
      <c r="F113">
        <f>VLOOKUP(M113,'MASS - 2016'!$A$1:$G$3418,7,FALSE)</f>
        <v>1.8</v>
      </c>
      <c r="G113">
        <f t="shared" si="11"/>
        <v>-47.604999999999997</v>
      </c>
      <c r="H113">
        <f t="shared" si="7"/>
        <v>20.999948893930739</v>
      </c>
      <c r="I113">
        <f t="shared" si="8"/>
        <v>19.561327676000001</v>
      </c>
      <c r="J113">
        <f t="shared" si="10"/>
        <v>19556.728676000002</v>
      </c>
      <c r="M113">
        <f t="shared" si="9"/>
        <v>12009</v>
      </c>
    </row>
    <row r="114" spans="1:13" x14ac:dyDescent="0.2">
      <c r="A114">
        <v>11</v>
      </c>
      <c r="B114">
        <v>10</v>
      </c>
      <c r="C114">
        <v>21</v>
      </c>
      <c r="D114" s="51" t="s">
        <v>8</v>
      </c>
      <c r="E114">
        <f>VLOOKUP(M114,'MASS - 2016'!$A$1:$G$3418,6,FALSE)</f>
        <v>-5731.7759999999998</v>
      </c>
      <c r="F114">
        <f>VLOOKUP(M114,'MASS - 2016'!$A$1:$G$3418,7,FALSE)</f>
        <v>3.7999999999999999E-2</v>
      </c>
      <c r="G114">
        <f t="shared" si="11"/>
        <v>-5731.7759999999998</v>
      </c>
      <c r="H114">
        <f t="shared" si="7"/>
        <v>20.99384668540576</v>
      </c>
      <c r="I114">
        <f t="shared" si="8"/>
        <v>19.555643504999999</v>
      </c>
      <c r="J114">
        <f t="shared" si="10"/>
        <v>19550.533504999999</v>
      </c>
      <c r="M114">
        <f t="shared" si="9"/>
        <v>11010</v>
      </c>
    </row>
    <row r="115" spans="1:13" x14ac:dyDescent="0.2">
      <c r="A115">
        <v>10</v>
      </c>
      <c r="B115">
        <v>11</v>
      </c>
      <c r="C115">
        <v>21</v>
      </c>
      <c r="D115" s="51" t="s">
        <v>9</v>
      </c>
      <c r="E115">
        <f>VLOOKUP(M115,'MASS - 2016'!$A$1:$G$3418,6,FALSE)</f>
        <v>-2184.6309999999999</v>
      </c>
      <c r="F115">
        <f>VLOOKUP(M115,'MASS - 2016'!$A$1:$G$3418,7,FALSE)</f>
        <v>9.8000000000000004E-2</v>
      </c>
      <c r="G115">
        <f t="shared" si="11"/>
        <v>-2184.6309999999999</v>
      </c>
      <c r="H115">
        <f t="shared" si="7"/>
        <v>20.997654702169918</v>
      </c>
      <c r="I115">
        <f t="shared" si="8"/>
        <v>19.559190650000001</v>
      </c>
      <c r="J115">
        <f t="shared" si="10"/>
        <v>19553.569650000001</v>
      </c>
      <c r="M115">
        <f t="shared" si="9"/>
        <v>10011</v>
      </c>
    </row>
    <row r="116" spans="1:13" x14ac:dyDescent="0.2">
      <c r="A116">
        <v>9</v>
      </c>
      <c r="B116">
        <v>12</v>
      </c>
      <c r="C116">
        <v>21</v>
      </c>
      <c r="D116" s="51" t="s">
        <v>10</v>
      </c>
      <c r="E116">
        <f>VLOOKUP(M116,'MASS - 2016'!$A$1:$G$3418,6,FALSE)</f>
        <v>10903.85</v>
      </c>
      <c r="F116">
        <f>VLOOKUP(M116,'MASS - 2016'!$A$1:$G$3418,7,FALSE)</f>
        <v>0.755</v>
      </c>
      <c r="G116">
        <f t="shared" si="11"/>
        <v>10903.85</v>
      </c>
      <c r="H116">
        <f t="shared" si="7"/>
        <v>21.011705764380604</v>
      </c>
      <c r="I116">
        <f t="shared" si="8"/>
        <v>19.572279130999998</v>
      </c>
      <c r="J116">
        <f t="shared" si="10"/>
        <v>19566.147130999998</v>
      </c>
      <c r="M116">
        <f t="shared" si="9"/>
        <v>9012</v>
      </c>
    </row>
    <row r="117" spans="1:13" x14ac:dyDescent="0.2">
      <c r="A117">
        <v>8</v>
      </c>
      <c r="B117">
        <v>13</v>
      </c>
      <c r="C117">
        <v>21</v>
      </c>
      <c r="D117" s="51" t="s">
        <v>11</v>
      </c>
      <c r="E117" t="str">
        <f>VLOOKUP(M117,'MASS - 2016'!$A$1:$G$3418,6,FALSE)</f>
        <v>26990#</v>
      </c>
      <c r="F117" t="str">
        <f>VLOOKUP(M117,'MASS - 2016'!$A$1:$G$3418,7,FALSE)</f>
        <v>596#</v>
      </c>
      <c r="G117">
        <f t="shared" si="11"/>
        <v>26990.01</v>
      </c>
      <c r="H117">
        <f t="shared" si="7"/>
        <v>21.028974967345498</v>
      </c>
      <c r="I117">
        <f t="shared" si="8"/>
        <v>19.588365290999999</v>
      </c>
      <c r="J117">
        <f t="shared" si="10"/>
        <v>19581.722290999998</v>
      </c>
      <c r="M117">
        <f t="shared" si="9"/>
        <v>8013</v>
      </c>
    </row>
    <row r="118" spans="1:13" x14ac:dyDescent="0.2">
      <c r="A118">
        <v>16</v>
      </c>
      <c r="B118">
        <v>6</v>
      </c>
      <c r="C118">
        <v>22</v>
      </c>
      <c r="D118" s="51" t="s">
        <v>4</v>
      </c>
      <c r="E118">
        <f>VLOOKUP(M118,'MASS - 2016'!$A$1:$G$3418,6,FALSE)</f>
        <v>53611.197</v>
      </c>
      <c r="F118">
        <f>VLOOKUP(M118,'MASS - 2016'!$A$1:$G$3418,7,FALSE)</f>
        <v>231.49</v>
      </c>
      <c r="G118">
        <f t="shared" si="11"/>
        <v>53611.197</v>
      </c>
      <c r="H118">
        <f t="shared" si="7"/>
        <v>22.057553986916936</v>
      </c>
      <c r="I118">
        <f t="shared" si="8"/>
        <v>20.546480538999997</v>
      </c>
      <c r="J118">
        <f t="shared" si="10"/>
        <v>20543.414538999998</v>
      </c>
      <c r="M118">
        <f t="shared" si="9"/>
        <v>16006</v>
      </c>
    </row>
    <row r="119" spans="1:13" x14ac:dyDescent="0.2">
      <c r="A119">
        <v>15</v>
      </c>
      <c r="B119">
        <v>7</v>
      </c>
      <c r="C119">
        <v>22</v>
      </c>
      <c r="D119" s="51" t="s">
        <v>5</v>
      </c>
      <c r="E119">
        <f>VLOOKUP(M119,'MASS - 2016'!$A$1:$G$3418,6,FALSE)</f>
        <v>31764.800999999999</v>
      </c>
      <c r="F119">
        <f>VLOOKUP(M119,'MASS - 2016'!$A$1:$G$3418,7,FALSE)</f>
        <v>207.779</v>
      </c>
      <c r="G119">
        <f t="shared" si="11"/>
        <v>31764.800999999999</v>
      </c>
      <c r="H119">
        <f t="shared" si="7"/>
        <v>22.034100916291298</v>
      </c>
      <c r="I119">
        <f t="shared" si="8"/>
        <v>20.524634143</v>
      </c>
      <c r="J119">
        <f t="shared" si="10"/>
        <v>20521.057142999998</v>
      </c>
      <c r="M119">
        <f t="shared" si="9"/>
        <v>15007</v>
      </c>
    </row>
    <row r="120" spans="1:13" x14ac:dyDescent="0.2">
      <c r="A120">
        <v>14</v>
      </c>
      <c r="B120">
        <v>8</v>
      </c>
      <c r="C120">
        <v>22</v>
      </c>
      <c r="D120" s="51" t="s">
        <v>6</v>
      </c>
      <c r="E120">
        <f>VLOOKUP(M120,'MASS - 2016'!$A$1:$G$3418,6,FALSE)</f>
        <v>9283.0329999999994</v>
      </c>
      <c r="F120">
        <f>VLOOKUP(M120,'MASS - 2016'!$A$1:$G$3418,7,FALSE)</f>
        <v>56.920999999999999</v>
      </c>
      <c r="G120">
        <f t="shared" si="11"/>
        <v>9283.0329999999994</v>
      </c>
      <c r="H120">
        <f t="shared" si="7"/>
        <v>22.00996574577194</v>
      </c>
      <c r="I120">
        <f t="shared" si="8"/>
        <v>20.502152374999998</v>
      </c>
      <c r="J120">
        <f t="shared" si="10"/>
        <v>20498.064374999998</v>
      </c>
      <c r="M120">
        <f t="shared" si="9"/>
        <v>14008</v>
      </c>
    </row>
    <row r="121" spans="1:13" x14ac:dyDescent="0.2">
      <c r="A121">
        <v>13</v>
      </c>
      <c r="B121">
        <v>9</v>
      </c>
      <c r="C121">
        <v>22</v>
      </c>
      <c r="D121" s="51" t="s">
        <v>7</v>
      </c>
      <c r="E121">
        <f>VLOOKUP(M121,'MASS - 2016'!$A$1:$G$3418,6,FALSE)</f>
        <v>2793.373</v>
      </c>
      <c r="F121">
        <f>VLOOKUP(M121,'MASS - 2016'!$A$1:$G$3418,7,FALSE)</f>
        <v>12.398999999999999</v>
      </c>
      <c r="G121">
        <f t="shared" si="11"/>
        <v>2793.373</v>
      </c>
      <c r="H121">
        <f t="shared" si="7"/>
        <v>22.002998809243078</v>
      </c>
      <c r="I121">
        <f t="shared" si="8"/>
        <v>20.495662714999998</v>
      </c>
      <c r="J121">
        <f t="shared" si="10"/>
        <v>20491.063715</v>
      </c>
      <c r="M121">
        <f t="shared" si="9"/>
        <v>13009</v>
      </c>
    </row>
    <row r="122" spans="1:13" x14ac:dyDescent="0.2">
      <c r="A122">
        <v>12</v>
      </c>
      <c r="B122">
        <v>10</v>
      </c>
      <c r="C122">
        <v>22</v>
      </c>
      <c r="D122" s="51" t="s">
        <v>8</v>
      </c>
      <c r="E122">
        <f>VLOOKUP(M122,'MASS - 2016'!$A$1:$G$3418,6,FALSE)</f>
        <v>-8024.7190000000001</v>
      </c>
      <c r="F122">
        <f>VLOOKUP(M122,'MASS - 2016'!$A$1:$G$3418,7,FALSE)</f>
        <v>1.7999999999999999E-2</v>
      </c>
      <c r="G122">
        <f t="shared" si="11"/>
        <v>-8024.7190000000001</v>
      </c>
      <c r="H122">
        <f t="shared" si="7"/>
        <v>21.991385109861692</v>
      </c>
      <c r="I122">
        <f t="shared" si="8"/>
        <v>20.484844622999997</v>
      </c>
      <c r="J122">
        <f t="shared" si="10"/>
        <v>20479.734622999997</v>
      </c>
      <c r="M122">
        <f t="shared" si="9"/>
        <v>12010</v>
      </c>
    </row>
    <row r="123" spans="1:13" x14ac:dyDescent="0.2">
      <c r="A123">
        <v>11</v>
      </c>
      <c r="B123">
        <v>11</v>
      </c>
      <c r="C123">
        <v>22</v>
      </c>
      <c r="D123" s="51" t="s">
        <v>9</v>
      </c>
      <c r="E123">
        <f>VLOOKUP(M123,'MASS - 2016'!$A$1:$G$3418,6,FALSE)</f>
        <v>-5181.5110000000004</v>
      </c>
      <c r="F123">
        <f>VLOOKUP(M123,'MASS - 2016'!$A$1:$G$3418,7,FALSE)</f>
        <v>0.17100000000000001</v>
      </c>
      <c r="G123">
        <f t="shared" si="11"/>
        <v>-5181.5110000000004</v>
      </c>
      <c r="H123">
        <f t="shared" si="7"/>
        <v>21.994437419177491</v>
      </c>
      <c r="I123">
        <f t="shared" si="8"/>
        <v>20.487687830999999</v>
      </c>
      <c r="J123">
        <f t="shared" si="10"/>
        <v>20482.066831</v>
      </c>
      <c r="M123">
        <f t="shared" si="9"/>
        <v>11011</v>
      </c>
    </row>
    <row r="124" spans="1:13" x14ac:dyDescent="0.2">
      <c r="A124">
        <v>10</v>
      </c>
      <c r="B124">
        <v>12</v>
      </c>
      <c r="C124">
        <v>22</v>
      </c>
      <c r="D124" s="51" t="s">
        <v>10</v>
      </c>
      <c r="E124">
        <f>VLOOKUP(M124,'MASS - 2016'!$A$1:$G$3418,6,FALSE)</f>
        <v>-399.93299999999999</v>
      </c>
      <c r="F124">
        <f>VLOOKUP(M124,'MASS - 2016'!$A$1:$G$3418,7,FALSE)</f>
        <v>0.313</v>
      </c>
      <c r="G124">
        <f t="shared" si="11"/>
        <v>-399.93299999999999</v>
      </c>
      <c r="H124">
        <f t="shared" si="7"/>
        <v>21.999570654267433</v>
      </c>
      <c r="I124">
        <f t="shared" si="8"/>
        <v>20.492469408999998</v>
      </c>
      <c r="J124">
        <f t="shared" si="10"/>
        <v>20486.337408999996</v>
      </c>
      <c r="M124">
        <f t="shared" si="9"/>
        <v>10012</v>
      </c>
    </row>
    <row r="125" spans="1:13" x14ac:dyDescent="0.2">
      <c r="A125">
        <v>9</v>
      </c>
      <c r="B125">
        <v>13</v>
      </c>
      <c r="C125">
        <v>22</v>
      </c>
      <c r="D125" s="51" t="s">
        <v>11</v>
      </c>
      <c r="E125" t="str">
        <f>VLOOKUP(M125,'MASS - 2016'!$A$1:$G$3418,6,FALSE)</f>
        <v>18201#</v>
      </c>
      <c r="F125" t="str">
        <f>VLOOKUP(M125,'MASS - 2016'!$A$1:$G$3418,7,FALSE)</f>
        <v>401#</v>
      </c>
      <c r="G125">
        <f t="shared" si="11"/>
        <v>18201.009999999998</v>
      </c>
      <c r="H125">
        <f t="shared" si="7"/>
        <v>22.019539587810637</v>
      </c>
      <c r="I125">
        <f t="shared" si="8"/>
        <v>20.511070351999997</v>
      </c>
      <c r="J125">
        <f t="shared" si="10"/>
        <v>20504.427351999999</v>
      </c>
      <c r="M125">
        <f t="shared" si="9"/>
        <v>9013</v>
      </c>
    </row>
    <row r="126" spans="1:13" x14ac:dyDescent="0.2">
      <c r="A126">
        <v>8</v>
      </c>
      <c r="B126">
        <v>14</v>
      </c>
      <c r="C126">
        <v>22</v>
      </c>
      <c r="D126" s="51" t="s">
        <v>12</v>
      </c>
      <c r="E126" t="str">
        <f>VLOOKUP(M126,'MASS - 2016'!$A$1:$G$3418,6,FALSE)</f>
        <v>33338#</v>
      </c>
      <c r="F126" t="str">
        <f>VLOOKUP(M126,'MASS - 2016'!$A$1:$G$3418,7,FALSE)</f>
        <v>503#</v>
      </c>
      <c r="G126">
        <f t="shared" si="11"/>
        <v>33338.01</v>
      </c>
      <c r="H126">
        <f t="shared" si="7"/>
        <v>22.035789825610063</v>
      </c>
      <c r="I126">
        <f t="shared" si="8"/>
        <v>20.526207352</v>
      </c>
      <c r="J126">
        <f t="shared" si="10"/>
        <v>20519.053352000003</v>
      </c>
      <c r="M126">
        <f t="shared" si="9"/>
        <v>8014</v>
      </c>
    </row>
    <row r="127" spans="1:13" x14ac:dyDescent="0.2">
      <c r="A127">
        <v>16</v>
      </c>
      <c r="B127">
        <v>7</v>
      </c>
      <c r="C127">
        <v>23</v>
      </c>
      <c r="D127" s="51" t="s">
        <v>5</v>
      </c>
      <c r="E127">
        <f>VLOOKUP(M127,'MASS - 2016'!$A$1:$G$3418,6,FALSE)</f>
        <v>36720.425000000003</v>
      </c>
      <c r="F127">
        <f>VLOOKUP(M127,'MASS - 2016'!$A$1:$G$3418,7,FALSE)</f>
        <v>420.57</v>
      </c>
      <c r="G127">
        <f t="shared" si="11"/>
        <v>36720.425000000003</v>
      </c>
      <c r="H127">
        <f t="shared" si="7"/>
        <v>23.039420997446381</v>
      </c>
      <c r="I127">
        <f t="shared" si="8"/>
        <v>21.461083828</v>
      </c>
      <c r="J127">
        <f t="shared" si="10"/>
        <v>21457.506827999998</v>
      </c>
      <c r="M127">
        <f t="shared" si="9"/>
        <v>16007</v>
      </c>
    </row>
    <row r="128" spans="1:13" x14ac:dyDescent="0.2">
      <c r="A128">
        <v>15</v>
      </c>
      <c r="B128">
        <v>8</v>
      </c>
      <c r="C128">
        <v>23</v>
      </c>
      <c r="D128" s="51" t="s">
        <v>6</v>
      </c>
      <c r="E128">
        <f>VLOOKUP(M128,'MASS - 2016'!$A$1:$G$3418,6,FALSE)</f>
        <v>14621.369000000001</v>
      </c>
      <c r="F128">
        <f>VLOOKUP(M128,'MASS - 2016'!$A$1:$G$3418,7,FALSE)</f>
        <v>121.712</v>
      </c>
      <c r="G128">
        <f t="shared" si="11"/>
        <v>14621.369000000001</v>
      </c>
      <c r="H128">
        <f t="shared" si="7"/>
        <v>23.015696685155785</v>
      </c>
      <c r="I128">
        <f t="shared" si="8"/>
        <v>21.438984772000001</v>
      </c>
      <c r="J128">
        <f t="shared" si="10"/>
        <v>21434.896772</v>
      </c>
      <c r="M128">
        <f t="shared" si="9"/>
        <v>15008</v>
      </c>
    </row>
    <row r="129" spans="1:13" x14ac:dyDescent="0.2">
      <c r="A129">
        <v>14</v>
      </c>
      <c r="B129">
        <v>9</v>
      </c>
      <c r="C129">
        <v>23</v>
      </c>
      <c r="D129" s="51" t="s">
        <v>7</v>
      </c>
      <c r="E129">
        <f>VLOOKUP(M129,'MASS - 2016'!$A$1:$G$3418,6,FALSE)</f>
        <v>3285.2629999999999</v>
      </c>
      <c r="F129">
        <f>VLOOKUP(M129,'MASS - 2016'!$A$1:$G$3418,7,FALSE)</f>
        <v>33.32</v>
      </c>
      <c r="G129">
        <f t="shared" si="11"/>
        <v>3285.2629999999999</v>
      </c>
      <c r="H129">
        <f t="shared" si="7"/>
        <v>23.00352687487505</v>
      </c>
      <c r="I129">
        <f t="shared" si="8"/>
        <v>21.427648666</v>
      </c>
      <c r="J129">
        <f t="shared" si="10"/>
        <v>21423.049666000003</v>
      </c>
      <c r="M129">
        <f t="shared" si="9"/>
        <v>14009</v>
      </c>
    </row>
    <row r="130" spans="1:13" x14ac:dyDescent="0.2">
      <c r="A130">
        <v>13</v>
      </c>
      <c r="B130">
        <v>10</v>
      </c>
      <c r="C130">
        <v>23</v>
      </c>
      <c r="D130" s="51" t="s">
        <v>8</v>
      </c>
      <c r="E130">
        <f>VLOOKUP(M130,'MASS - 2016'!$A$1:$G$3418,6,FALSE)</f>
        <v>-5154.049</v>
      </c>
      <c r="F130">
        <f>VLOOKUP(M130,'MASS - 2016'!$A$1:$G$3418,7,FALSE)</f>
        <v>0.104</v>
      </c>
      <c r="G130">
        <f t="shared" si="11"/>
        <v>-5154.049</v>
      </c>
      <c r="H130">
        <f t="shared" si="7"/>
        <v>22.994466900846938</v>
      </c>
      <c r="I130">
        <f t="shared" si="8"/>
        <v>21.419209353999999</v>
      </c>
      <c r="J130">
        <f t="shared" si="10"/>
        <v>21414.099353999998</v>
      </c>
      <c r="M130">
        <f t="shared" si="9"/>
        <v>13010</v>
      </c>
    </row>
    <row r="131" spans="1:13" x14ac:dyDescent="0.2">
      <c r="A131">
        <v>12</v>
      </c>
      <c r="B131">
        <v>11</v>
      </c>
      <c r="C131">
        <v>23</v>
      </c>
      <c r="D131" s="51" t="s">
        <v>9</v>
      </c>
      <c r="E131">
        <f>VLOOKUP(M131,'MASS - 2016'!$A$1:$G$3418,6,FALSE)</f>
        <v>-9529.8524799999996</v>
      </c>
      <c r="F131">
        <f>VLOOKUP(M131,'MASS - 2016'!$A$1:$G$3418,7,FALSE)</f>
        <v>1.81E-3</v>
      </c>
      <c r="G131">
        <f t="shared" si="11"/>
        <v>-9529.8524799999996</v>
      </c>
      <c r="H131">
        <f t="shared" si="7"/>
        <v>22.989769282619186</v>
      </c>
      <c r="I131">
        <f t="shared" si="8"/>
        <v>21.414833550520001</v>
      </c>
      <c r="J131">
        <f t="shared" si="10"/>
        <v>21409.212550520002</v>
      </c>
      <c r="M131">
        <f t="shared" si="9"/>
        <v>12011</v>
      </c>
    </row>
    <row r="132" spans="1:13" x14ac:dyDescent="0.2">
      <c r="A132">
        <v>11</v>
      </c>
      <c r="B132">
        <v>12</v>
      </c>
      <c r="C132">
        <v>23</v>
      </c>
      <c r="D132" s="51" t="s">
        <v>10</v>
      </c>
      <c r="E132">
        <f>VLOOKUP(M132,'MASS - 2016'!$A$1:$G$3418,6,FALSE)</f>
        <v>-5473.5129999999999</v>
      </c>
      <c r="F132">
        <f>VLOOKUP(M132,'MASS - 2016'!$A$1:$G$3418,7,FALSE)</f>
        <v>0.158</v>
      </c>
      <c r="G132">
        <f t="shared" si="11"/>
        <v>-5473.5129999999999</v>
      </c>
      <c r="H132">
        <f t="shared" si="7"/>
        <v>22.994123942138589</v>
      </c>
      <c r="I132">
        <f t="shared" si="8"/>
        <v>21.418889890000003</v>
      </c>
      <c r="J132">
        <f t="shared" si="10"/>
        <v>21412.757890000001</v>
      </c>
      <c r="M132">
        <f t="shared" si="9"/>
        <v>11012</v>
      </c>
    </row>
    <row r="133" spans="1:13" x14ac:dyDescent="0.2">
      <c r="A133">
        <v>10</v>
      </c>
      <c r="B133">
        <v>13</v>
      </c>
      <c r="C133">
        <v>23</v>
      </c>
      <c r="D133" s="51" t="s">
        <v>11</v>
      </c>
      <c r="E133">
        <f>VLOOKUP(M133,'MASS - 2016'!$A$1:$G$3418,6,FALSE)</f>
        <v>6748.07</v>
      </c>
      <c r="F133">
        <f>VLOOKUP(M133,'MASS - 2016'!$A$1:$G$3418,7,FALSE)</f>
        <v>0.34499999999999997</v>
      </c>
      <c r="G133">
        <f t="shared" si="11"/>
        <v>6748.07</v>
      </c>
      <c r="H133">
        <f t="shared" si="7"/>
        <v>23.007244351072682</v>
      </c>
      <c r="I133">
        <f t="shared" si="8"/>
        <v>21.431111473000001</v>
      </c>
      <c r="J133">
        <f t="shared" si="10"/>
        <v>21424.468473000001</v>
      </c>
      <c r="M133">
        <f t="shared" si="9"/>
        <v>10013</v>
      </c>
    </row>
    <row r="134" spans="1:13" x14ac:dyDescent="0.2">
      <c r="A134">
        <v>9</v>
      </c>
      <c r="B134">
        <v>14</v>
      </c>
      <c r="C134">
        <v>23</v>
      </c>
      <c r="D134" s="51" t="s">
        <v>12</v>
      </c>
      <c r="E134" t="str">
        <f>VLOOKUP(M134,'MASS - 2016'!$A$1:$G$3418,6,FALSE)</f>
        <v>23697#</v>
      </c>
      <c r="F134" t="str">
        <f>VLOOKUP(M134,'MASS - 2016'!$A$1:$G$3418,7,FALSE)</f>
        <v>503#</v>
      </c>
      <c r="G134">
        <f t="shared" si="11"/>
        <v>23697.01</v>
      </c>
      <c r="H134">
        <f t="shared" si="7"/>
        <v>23.025439786459359</v>
      </c>
      <c r="I134">
        <f t="shared" si="8"/>
        <v>21.448060413</v>
      </c>
      <c r="J134">
        <f t="shared" si="10"/>
        <v>21440.906413000001</v>
      </c>
      <c r="M134">
        <f t="shared" si="9"/>
        <v>9014</v>
      </c>
    </row>
    <row r="135" spans="1:13" x14ac:dyDescent="0.2">
      <c r="A135">
        <v>17</v>
      </c>
      <c r="B135">
        <v>7</v>
      </c>
      <c r="C135">
        <v>24</v>
      </c>
      <c r="D135" s="51" t="s">
        <v>5</v>
      </c>
      <c r="E135" t="str">
        <f>VLOOKUP(M135,'MASS - 2016'!$A$1:$G$3418,6,FALSE)</f>
        <v>46938#</v>
      </c>
      <c r="F135" t="str">
        <f>VLOOKUP(M135,'MASS - 2016'!$A$1:$G$3418,7,FALSE)</f>
        <v>401#</v>
      </c>
      <c r="G135">
        <f t="shared" si="11"/>
        <v>46938.01</v>
      </c>
      <c r="H135">
        <f t="shared" si="7"/>
        <v>24.050390026050849</v>
      </c>
      <c r="I135">
        <f t="shared" si="8"/>
        <v>22.402795474000001</v>
      </c>
      <c r="J135">
        <f t="shared" si="10"/>
        <v>22399.218474000001</v>
      </c>
      <c r="M135">
        <f t="shared" si="9"/>
        <v>17007</v>
      </c>
    </row>
    <row r="136" spans="1:13" x14ac:dyDescent="0.2">
      <c r="A136">
        <v>16</v>
      </c>
      <c r="B136">
        <v>8</v>
      </c>
      <c r="C136">
        <v>24</v>
      </c>
      <c r="D136" s="51" t="s">
        <v>6</v>
      </c>
      <c r="E136">
        <f>VLOOKUP(M136,'MASS - 2016'!$A$1:$G$3418,6,FALSE)</f>
        <v>18500.401999999998</v>
      </c>
      <c r="F136">
        <f>VLOOKUP(M136,'MASS - 2016'!$A$1:$G$3418,7,FALSE)</f>
        <v>164.874</v>
      </c>
      <c r="G136">
        <f t="shared" si="11"/>
        <v>18500.401999999998</v>
      </c>
      <c r="H136">
        <f t="shared" si="7"/>
        <v>24.019860998340818</v>
      </c>
      <c r="I136">
        <f t="shared" si="8"/>
        <v>22.374357866</v>
      </c>
      <c r="J136">
        <f t="shared" si="10"/>
        <v>22370.269866000002</v>
      </c>
      <c r="M136">
        <f t="shared" si="9"/>
        <v>16008</v>
      </c>
    </row>
    <row r="137" spans="1:13" x14ac:dyDescent="0.2">
      <c r="A137">
        <v>15</v>
      </c>
      <c r="B137">
        <v>9</v>
      </c>
      <c r="C137">
        <v>24</v>
      </c>
      <c r="D137" s="51" t="s">
        <v>7</v>
      </c>
      <c r="E137">
        <f>VLOOKUP(M137,'MASS - 2016'!$A$1:$G$3418,6,FALSE)</f>
        <v>7544.5150000000003</v>
      </c>
      <c r="F137">
        <f>VLOOKUP(M137,'MASS - 2016'!$A$1:$G$3418,7,FALSE)</f>
        <v>97.67</v>
      </c>
      <c r="G137">
        <f t="shared" si="11"/>
        <v>7544.5150000000003</v>
      </c>
      <c r="H137">
        <f t="shared" ref="H137:H200" si="12">(C137*$A$3+G137/1000000)/$A$3</f>
        <v>24.00809936994327</v>
      </c>
      <c r="I137">
        <f t="shared" ref="I137:I200" si="13">H137*$A$3</f>
        <v>22.363401978999999</v>
      </c>
      <c r="J137">
        <f t="shared" si="10"/>
        <v>22358.802979</v>
      </c>
      <c r="M137">
        <f t="shared" ref="M137:M200" si="14">1000*A137+B137</f>
        <v>15009</v>
      </c>
    </row>
    <row r="138" spans="1:13" x14ac:dyDescent="0.2">
      <c r="A138">
        <v>14</v>
      </c>
      <c r="B138">
        <v>10</v>
      </c>
      <c r="C138">
        <v>24</v>
      </c>
      <c r="D138" s="51" t="s">
        <v>8</v>
      </c>
      <c r="E138">
        <f>VLOOKUP(M138,'MASS - 2016'!$A$1:$G$3418,6,FALSE)</f>
        <v>-5951.6459999999997</v>
      </c>
      <c r="F138">
        <f>VLOOKUP(M138,'MASS - 2016'!$A$1:$G$3418,7,FALSE)</f>
        <v>0.51300000000000001</v>
      </c>
      <c r="G138">
        <f t="shared" si="11"/>
        <v>-5951.6459999999997</v>
      </c>
      <c r="H138">
        <f t="shared" si="12"/>
        <v>23.993610645253487</v>
      </c>
      <c r="I138">
        <f t="shared" si="13"/>
        <v>22.349905818</v>
      </c>
      <c r="J138">
        <f t="shared" si="10"/>
        <v>22344.795817999999</v>
      </c>
      <c r="M138">
        <f t="shared" si="14"/>
        <v>14010</v>
      </c>
    </row>
    <row r="139" spans="1:13" x14ac:dyDescent="0.2">
      <c r="A139">
        <v>13</v>
      </c>
      <c r="B139">
        <v>11</v>
      </c>
      <c r="C139">
        <v>24</v>
      </c>
      <c r="D139" s="51" t="s">
        <v>9</v>
      </c>
      <c r="E139">
        <f>VLOOKUP(M139,'MASS - 2016'!$A$1:$G$3418,6,FALSE)</f>
        <v>-8417.9009999999998</v>
      </c>
      <c r="F139">
        <f>VLOOKUP(M139,'MASS - 2016'!$A$1:$G$3418,7,FALSE)</f>
        <v>1.7000000000000001E-2</v>
      </c>
      <c r="G139">
        <f t="shared" si="11"/>
        <v>-8417.9009999999998</v>
      </c>
      <c r="H139">
        <f t="shared" si="12"/>
        <v>23.990963011625684</v>
      </c>
      <c r="I139">
        <f t="shared" si="13"/>
        <v>22.347439562999998</v>
      </c>
      <c r="J139">
        <f t="shared" si="10"/>
        <v>22341.818563000001</v>
      </c>
      <c r="M139">
        <f t="shared" si="14"/>
        <v>13011</v>
      </c>
    </row>
    <row r="140" spans="1:13" x14ac:dyDescent="0.2">
      <c r="A140">
        <v>12</v>
      </c>
      <c r="B140">
        <v>12</v>
      </c>
      <c r="C140">
        <v>24</v>
      </c>
      <c r="D140" s="51" t="s">
        <v>10</v>
      </c>
      <c r="E140">
        <f>VLOOKUP(M140,'MASS - 2016'!$A$1:$G$3418,6,FALSE)</f>
        <v>-13933.569</v>
      </c>
      <c r="F140">
        <f>VLOOKUP(M140,'MASS - 2016'!$A$1:$G$3418,7,FALSE)</f>
        <v>1.2999999999999999E-2</v>
      </c>
      <c r="G140">
        <f t="shared" si="11"/>
        <v>-13933.569</v>
      </c>
      <c r="H140">
        <f t="shared" si="12"/>
        <v>23.985041698510628</v>
      </c>
      <c r="I140">
        <f t="shared" si="13"/>
        <v>22.341923895000001</v>
      </c>
      <c r="J140">
        <f t="shared" ref="J140:J203" si="15">1000*I140-B140*0.511</f>
        <v>22335.791894999998</v>
      </c>
      <c r="M140">
        <f t="shared" si="14"/>
        <v>12012</v>
      </c>
    </row>
    <row r="141" spans="1:13" x14ac:dyDescent="0.2">
      <c r="A141">
        <v>11</v>
      </c>
      <c r="B141">
        <v>13</v>
      </c>
      <c r="C141">
        <v>24</v>
      </c>
      <c r="D141" s="51" t="s">
        <v>11</v>
      </c>
      <c r="E141">
        <f>VLOOKUP(M141,'MASS - 2016'!$A$1:$G$3418,6,FALSE)</f>
        <v>-48.865000000000002</v>
      </c>
      <c r="F141">
        <f>VLOOKUP(M141,'MASS - 2016'!$A$1:$G$3418,7,FALSE)</f>
        <v>0.23300000000000001</v>
      </c>
      <c r="G141">
        <f t="shared" si="11"/>
        <v>-48.865000000000002</v>
      </c>
      <c r="H141">
        <f t="shared" si="12"/>
        <v>23.999947541265108</v>
      </c>
      <c r="I141">
        <f t="shared" si="13"/>
        <v>22.355808599</v>
      </c>
      <c r="J141">
        <f t="shared" si="15"/>
        <v>22349.165599</v>
      </c>
      <c r="M141">
        <f t="shared" si="14"/>
        <v>11013</v>
      </c>
    </row>
    <row r="142" spans="1:13" x14ac:dyDescent="0.2">
      <c r="A142">
        <v>10</v>
      </c>
      <c r="B142">
        <v>14</v>
      </c>
      <c r="C142">
        <v>24</v>
      </c>
      <c r="D142" s="51" t="s">
        <v>12</v>
      </c>
      <c r="E142">
        <f>VLOOKUP(M142,'MASS - 2016'!$A$1:$G$3418,6,FALSE)</f>
        <v>10745.195</v>
      </c>
      <c r="F142">
        <f>VLOOKUP(M142,'MASS - 2016'!$A$1:$G$3418,7,FALSE)</f>
        <v>19.472000000000001</v>
      </c>
      <c r="G142">
        <f t="shared" si="11"/>
        <v>10745.195</v>
      </c>
      <c r="H142">
        <f t="shared" si="12"/>
        <v>24.011535441233477</v>
      </c>
      <c r="I142">
        <f t="shared" si="13"/>
        <v>22.366602658999998</v>
      </c>
      <c r="J142">
        <f t="shared" si="15"/>
        <v>22359.448658999998</v>
      </c>
      <c r="M142">
        <f t="shared" si="14"/>
        <v>10014</v>
      </c>
    </row>
    <row r="143" spans="1:13" x14ac:dyDescent="0.2">
      <c r="A143">
        <v>9</v>
      </c>
      <c r="B143">
        <v>15</v>
      </c>
      <c r="C143">
        <v>24</v>
      </c>
      <c r="D143" s="51" t="s">
        <v>13</v>
      </c>
      <c r="E143" t="str">
        <f>VLOOKUP(M143,'MASS - 2016'!$A$1:$G$3418,6,FALSE)</f>
        <v>33320#</v>
      </c>
      <c r="F143" t="str">
        <f>VLOOKUP(M143,'MASS - 2016'!$A$1:$G$3418,7,FALSE)</f>
        <v>503#</v>
      </c>
      <c r="G143">
        <f t="shared" ref="G143:G206" si="16">IF(ISNUMBER(E143),E143,VALUE(SUBSTITUTE(E143,"#",".01")))</f>
        <v>33320.01</v>
      </c>
      <c r="H143">
        <f t="shared" si="12"/>
        <v>24.035770501815364</v>
      </c>
      <c r="I143">
        <f t="shared" si="13"/>
        <v>22.389177474</v>
      </c>
      <c r="J143">
        <f t="shared" si="15"/>
        <v>22381.512473999999</v>
      </c>
      <c r="M143">
        <f t="shared" si="14"/>
        <v>9015</v>
      </c>
    </row>
    <row r="144" spans="1:13" x14ac:dyDescent="0.2">
      <c r="A144">
        <v>17</v>
      </c>
      <c r="B144">
        <v>8</v>
      </c>
      <c r="C144">
        <v>25</v>
      </c>
      <c r="D144" s="51" t="s">
        <v>6</v>
      </c>
      <c r="E144">
        <f>VLOOKUP(M144,'MASS - 2016'!$A$1:$G$3418,6,FALSE)</f>
        <v>27329.026999999998</v>
      </c>
      <c r="F144">
        <f>VLOOKUP(M144,'MASS - 2016'!$A$1:$G$3418,7,FALSE)</f>
        <v>165.084</v>
      </c>
      <c r="G144">
        <f t="shared" si="16"/>
        <v>27329.026999999998</v>
      </c>
      <c r="H144">
        <f t="shared" si="12"/>
        <v>25.029338917062617</v>
      </c>
      <c r="I144">
        <f t="shared" si="13"/>
        <v>23.314680551999999</v>
      </c>
      <c r="J144">
        <f t="shared" si="15"/>
        <v>23310.592551999998</v>
      </c>
      <c r="M144">
        <f t="shared" si="14"/>
        <v>17008</v>
      </c>
    </row>
    <row r="145" spans="1:13" x14ac:dyDescent="0.2">
      <c r="A145">
        <v>16</v>
      </c>
      <c r="B145">
        <v>9</v>
      </c>
      <c r="C145">
        <v>25</v>
      </c>
      <c r="D145" s="51" t="s">
        <v>7</v>
      </c>
      <c r="E145">
        <f>VLOOKUP(M145,'MASS - 2016'!$A$1:$G$3418,6,FALSE)</f>
        <v>11334.165999999999</v>
      </c>
      <c r="F145">
        <f>VLOOKUP(M145,'MASS - 2016'!$A$1:$G$3418,7,FALSE)</f>
        <v>96.441999999999993</v>
      </c>
      <c r="G145">
        <f t="shared" si="16"/>
        <v>11334.165999999999</v>
      </c>
      <c r="H145">
        <f t="shared" si="12"/>
        <v>25.012167727605082</v>
      </c>
      <c r="I145">
        <f t="shared" si="13"/>
        <v>23.298685690999999</v>
      </c>
      <c r="J145">
        <f t="shared" si="15"/>
        <v>23294.086691</v>
      </c>
      <c r="M145">
        <f t="shared" si="14"/>
        <v>16009</v>
      </c>
    </row>
    <row r="146" spans="1:13" x14ac:dyDescent="0.2">
      <c r="A146">
        <v>15</v>
      </c>
      <c r="B146">
        <v>10</v>
      </c>
      <c r="C146">
        <v>25</v>
      </c>
      <c r="D146" s="51" t="s">
        <v>8</v>
      </c>
      <c r="E146">
        <f>VLOOKUP(M146,'MASS - 2016'!$A$1:$G$3418,6,FALSE)</f>
        <v>-2035.502</v>
      </c>
      <c r="F146">
        <f>VLOOKUP(M146,'MASS - 2016'!$A$1:$G$3418,7,FALSE)</f>
        <v>29.045000000000002</v>
      </c>
      <c r="G146">
        <f t="shared" si="16"/>
        <v>-2035.502</v>
      </c>
      <c r="H146">
        <f t="shared" si="12"/>
        <v>24.997814798735469</v>
      </c>
      <c r="I146">
        <f t="shared" si="13"/>
        <v>23.285316023</v>
      </c>
      <c r="J146">
        <f t="shared" si="15"/>
        <v>23280.206022999999</v>
      </c>
      <c r="M146">
        <f t="shared" si="14"/>
        <v>15010</v>
      </c>
    </row>
    <row r="147" spans="1:13" x14ac:dyDescent="0.2">
      <c r="A147">
        <v>14</v>
      </c>
      <c r="B147">
        <v>11</v>
      </c>
      <c r="C147">
        <v>25</v>
      </c>
      <c r="D147" s="51" t="s">
        <v>9</v>
      </c>
      <c r="E147">
        <f>VLOOKUP(M147,'MASS - 2016'!$A$1:$G$3418,6,FALSE)</f>
        <v>-9357.8130000000001</v>
      </c>
      <c r="F147">
        <f>VLOOKUP(M147,'MASS - 2016'!$A$1:$G$3418,7,FALSE)</f>
        <v>1.2</v>
      </c>
      <c r="G147">
        <f t="shared" si="16"/>
        <v>-9357.8130000000001</v>
      </c>
      <c r="H147">
        <f t="shared" si="12"/>
        <v>24.989953974596514</v>
      </c>
      <c r="I147">
        <f t="shared" si="13"/>
        <v>23.277993711999997</v>
      </c>
      <c r="J147">
        <f t="shared" si="15"/>
        <v>23272.372711999997</v>
      </c>
      <c r="M147">
        <f t="shared" si="14"/>
        <v>14011</v>
      </c>
    </row>
    <row r="148" spans="1:13" x14ac:dyDescent="0.2">
      <c r="A148">
        <v>13</v>
      </c>
      <c r="B148">
        <v>12</v>
      </c>
      <c r="C148">
        <v>25</v>
      </c>
      <c r="D148" s="51" t="s">
        <v>10</v>
      </c>
      <c r="E148">
        <f>VLOOKUP(M148,'MASS - 2016'!$A$1:$G$3418,6,FALSE)</f>
        <v>-13192.782999999999</v>
      </c>
      <c r="F148">
        <f>VLOOKUP(M148,'MASS - 2016'!$A$1:$G$3418,7,FALSE)</f>
        <v>4.7E-2</v>
      </c>
      <c r="G148">
        <f t="shared" si="16"/>
        <v>-13192.782999999999</v>
      </c>
      <c r="H148">
        <f t="shared" si="12"/>
        <v>24.985836964987367</v>
      </c>
      <c r="I148">
        <f t="shared" si="13"/>
        <v>23.274158741999997</v>
      </c>
      <c r="J148">
        <f t="shared" si="15"/>
        <v>23268.026741999995</v>
      </c>
      <c r="M148">
        <f t="shared" si="14"/>
        <v>13012</v>
      </c>
    </row>
    <row r="149" spans="1:13" x14ac:dyDescent="0.2">
      <c r="A149">
        <v>12</v>
      </c>
      <c r="B149">
        <v>13</v>
      </c>
      <c r="C149">
        <v>25</v>
      </c>
      <c r="D149" s="51" t="s">
        <v>11</v>
      </c>
      <c r="E149">
        <f>VLOOKUP(M149,'MASS - 2016'!$A$1:$G$3418,6,FALSE)</f>
        <v>-8915.9750000000004</v>
      </c>
      <c r="F149">
        <f>VLOOKUP(M149,'MASS - 2016'!$A$1:$G$3418,7,FALSE)</f>
        <v>6.5000000000000002E-2</v>
      </c>
      <c r="G149">
        <f t="shared" si="16"/>
        <v>-8915.9750000000004</v>
      </c>
      <c r="H149">
        <f t="shared" si="12"/>
        <v>24.990428307196687</v>
      </c>
      <c r="I149">
        <f t="shared" si="13"/>
        <v>23.278435549999998</v>
      </c>
      <c r="J149">
        <f t="shared" si="15"/>
        <v>23271.792549999998</v>
      </c>
      <c r="M149">
        <f t="shared" si="14"/>
        <v>12013</v>
      </c>
    </row>
    <row r="150" spans="1:13" x14ac:dyDescent="0.2">
      <c r="A150">
        <v>11</v>
      </c>
      <c r="B150">
        <v>14</v>
      </c>
      <c r="C150">
        <v>25</v>
      </c>
      <c r="D150" s="51" t="s">
        <v>12</v>
      </c>
      <c r="E150">
        <f>VLOOKUP(M150,'MASS - 2016'!$A$1:$G$3418,6,FALSE)</f>
        <v>3827.3240000000001</v>
      </c>
      <c r="F150">
        <f>VLOOKUP(M150,'MASS - 2016'!$A$1:$G$3418,7,FALSE)</f>
        <v>10</v>
      </c>
      <c r="G150">
        <f t="shared" si="16"/>
        <v>3827.3240000000001</v>
      </c>
      <c r="H150">
        <f t="shared" si="12"/>
        <v>25.004108801290574</v>
      </c>
      <c r="I150">
        <f t="shared" si="13"/>
        <v>23.291178848999998</v>
      </c>
      <c r="J150">
        <f t="shared" si="15"/>
        <v>23284.024848999998</v>
      </c>
      <c r="M150">
        <f t="shared" si="14"/>
        <v>11014</v>
      </c>
    </row>
    <row r="151" spans="1:13" x14ac:dyDescent="0.2">
      <c r="A151">
        <v>10</v>
      </c>
      <c r="B151">
        <v>15</v>
      </c>
      <c r="C151">
        <v>25</v>
      </c>
      <c r="D151" s="51" t="s">
        <v>13</v>
      </c>
      <c r="E151" t="str">
        <f>VLOOKUP(M151,'MASS - 2016'!$A$1:$G$3418,6,FALSE)</f>
        <v>19738#</v>
      </c>
      <c r="F151" t="str">
        <f>VLOOKUP(M151,'MASS - 2016'!$A$1:$G$3418,7,FALSE)</f>
        <v>401#</v>
      </c>
      <c r="G151">
        <f t="shared" si="16"/>
        <v>19738.009999999998</v>
      </c>
      <c r="H151">
        <f t="shared" si="12"/>
        <v>25.021189625169278</v>
      </c>
      <c r="I151">
        <f t="shared" si="13"/>
        <v>23.307089534999999</v>
      </c>
      <c r="J151">
        <f t="shared" si="15"/>
        <v>23299.424534999998</v>
      </c>
      <c r="M151">
        <f t="shared" si="14"/>
        <v>10015</v>
      </c>
    </row>
    <row r="152" spans="1:13" x14ac:dyDescent="0.2">
      <c r="A152">
        <v>18</v>
      </c>
      <c r="B152">
        <v>8</v>
      </c>
      <c r="C152">
        <v>26</v>
      </c>
      <c r="D152" s="51" t="s">
        <v>6</v>
      </c>
      <c r="E152">
        <f>VLOOKUP(M152,'MASS - 2016'!$A$1:$G$3418,6,FALSE)</f>
        <v>34661.036999999997</v>
      </c>
      <c r="F152">
        <f>VLOOKUP(M152,'MASS - 2016'!$A$1:$G$3418,7,FALSE)</f>
        <v>164.95</v>
      </c>
      <c r="G152">
        <f t="shared" si="16"/>
        <v>34661.036999999997</v>
      </c>
      <c r="H152">
        <f t="shared" si="12"/>
        <v>26.037210153506283</v>
      </c>
      <c r="I152">
        <f t="shared" si="13"/>
        <v>24.253506623</v>
      </c>
      <c r="J152">
        <f t="shared" si="15"/>
        <v>24249.418623000001</v>
      </c>
      <c r="M152">
        <f t="shared" si="14"/>
        <v>18008</v>
      </c>
    </row>
    <row r="153" spans="1:13" x14ac:dyDescent="0.2">
      <c r="A153">
        <v>17</v>
      </c>
      <c r="B153">
        <v>9</v>
      </c>
      <c r="C153">
        <v>26</v>
      </c>
      <c r="D153" s="51" t="s">
        <v>7</v>
      </c>
      <c r="E153">
        <f>VLOOKUP(M153,'MASS - 2016'!$A$1:$G$3418,6,FALSE)</f>
        <v>18648.875</v>
      </c>
      <c r="F153">
        <f>VLOOKUP(M153,'MASS - 2016'!$A$1:$G$3418,7,FALSE)</f>
        <v>111.199</v>
      </c>
      <c r="G153">
        <f t="shared" si="16"/>
        <v>18648.875</v>
      </c>
      <c r="H153">
        <f t="shared" si="12"/>
        <v>26.020020390661408</v>
      </c>
      <c r="I153">
        <f t="shared" si="13"/>
        <v>24.237494461000001</v>
      </c>
      <c r="J153">
        <f t="shared" si="15"/>
        <v>24232.895461000004</v>
      </c>
      <c r="M153">
        <f t="shared" si="14"/>
        <v>17009</v>
      </c>
    </row>
    <row r="154" spans="1:13" x14ac:dyDescent="0.2">
      <c r="A154">
        <v>16</v>
      </c>
      <c r="B154">
        <v>10</v>
      </c>
      <c r="C154">
        <v>26</v>
      </c>
      <c r="D154" s="51" t="s">
        <v>8</v>
      </c>
      <c r="E154">
        <f>VLOOKUP(M154,'MASS - 2016'!$A$1:$G$3418,6,FALSE)</f>
        <v>481.11399999999998</v>
      </c>
      <c r="F154">
        <f>VLOOKUP(M154,'MASS - 2016'!$A$1:$G$3418,7,FALSE)</f>
        <v>18.428999999999998</v>
      </c>
      <c r="G154">
        <f t="shared" si="16"/>
        <v>481.11399999999998</v>
      </c>
      <c r="H154">
        <f t="shared" si="12"/>
        <v>26.000516497120213</v>
      </c>
      <c r="I154">
        <f t="shared" si="13"/>
        <v>24.2193267</v>
      </c>
      <c r="J154">
        <f t="shared" si="15"/>
        <v>24214.216700000001</v>
      </c>
      <c r="M154">
        <f t="shared" si="14"/>
        <v>16010</v>
      </c>
    </row>
    <row r="155" spans="1:13" x14ac:dyDescent="0.2">
      <c r="A155">
        <v>15</v>
      </c>
      <c r="B155">
        <v>11</v>
      </c>
      <c r="C155">
        <v>26</v>
      </c>
      <c r="D155" s="51" t="s">
        <v>9</v>
      </c>
      <c r="E155">
        <f>VLOOKUP(M155,'MASS - 2016'!$A$1:$G$3418,6,FALSE)</f>
        <v>-6860.78</v>
      </c>
      <c r="F155">
        <f>VLOOKUP(M155,'MASS - 2016'!$A$1:$G$3418,7,FALSE)</f>
        <v>3.5019999999999998</v>
      </c>
      <c r="G155">
        <f t="shared" si="16"/>
        <v>-6860.78</v>
      </c>
      <c r="H155">
        <f t="shared" si="12"/>
        <v>25.992634649766167</v>
      </c>
      <c r="I155">
        <f t="shared" si="13"/>
        <v>24.211984806</v>
      </c>
      <c r="J155">
        <f t="shared" si="15"/>
        <v>24206.363806000001</v>
      </c>
      <c r="M155">
        <f t="shared" si="14"/>
        <v>15011</v>
      </c>
    </row>
    <row r="156" spans="1:13" x14ac:dyDescent="0.2">
      <c r="A156">
        <v>14</v>
      </c>
      <c r="B156">
        <v>12</v>
      </c>
      <c r="C156">
        <v>26</v>
      </c>
      <c r="D156" s="51" t="s">
        <v>10</v>
      </c>
      <c r="E156">
        <f>VLOOKUP(M156,'MASS - 2016'!$A$1:$G$3418,6,FALSE)</f>
        <v>-16214.541999999999</v>
      </c>
      <c r="F156">
        <f>VLOOKUP(M156,'MASS - 2016'!$A$1:$G$3418,7,FALSE)</f>
        <v>0.03</v>
      </c>
      <c r="G156">
        <f t="shared" si="16"/>
        <v>-16214.541999999999</v>
      </c>
      <c r="H156">
        <f t="shared" si="12"/>
        <v>25.982592973290036</v>
      </c>
      <c r="I156">
        <f t="shared" si="13"/>
        <v>24.202631044</v>
      </c>
      <c r="J156">
        <f t="shared" si="15"/>
        <v>24196.499044</v>
      </c>
      <c r="M156">
        <f t="shared" si="14"/>
        <v>14012</v>
      </c>
    </row>
    <row r="157" spans="1:13" x14ac:dyDescent="0.2">
      <c r="A157">
        <v>13</v>
      </c>
      <c r="B157">
        <v>13</v>
      </c>
      <c r="C157">
        <v>26</v>
      </c>
      <c r="D157" s="51" t="s">
        <v>11</v>
      </c>
      <c r="E157">
        <f>VLOOKUP(M157,'MASS - 2016'!$A$1:$G$3418,6,FALSE)</f>
        <v>-12210.151</v>
      </c>
      <c r="F157">
        <f>VLOOKUP(M157,'MASS - 2016'!$A$1:$G$3418,7,FALSE)</f>
        <v>6.7000000000000004E-2</v>
      </c>
      <c r="G157">
        <f t="shared" si="16"/>
        <v>-12210.151</v>
      </c>
      <c r="H157">
        <f t="shared" si="12"/>
        <v>25.986891863822628</v>
      </c>
      <c r="I157">
        <f t="shared" si="13"/>
        <v>24.206635434999999</v>
      </c>
      <c r="J157">
        <f t="shared" si="15"/>
        <v>24199.992435</v>
      </c>
      <c r="M157">
        <f t="shared" si="14"/>
        <v>13013</v>
      </c>
    </row>
    <row r="158" spans="1:13" x14ac:dyDescent="0.2">
      <c r="A158">
        <v>12</v>
      </c>
      <c r="B158">
        <v>14</v>
      </c>
      <c r="C158">
        <v>26</v>
      </c>
      <c r="D158" s="51" t="s">
        <v>12</v>
      </c>
      <c r="E158">
        <f>VLOOKUP(M158,'MASS - 2016'!$A$1:$G$3418,6,FALSE)</f>
        <v>-7141.0150000000003</v>
      </c>
      <c r="F158">
        <f>VLOOKUP(M158,'MASS - 2016'!$A$1:$G$3418,7,FALSE)</f>
        <v>0.108</v>
      </c>
      <c r="G158">
        <f t="shared" si="16"/>
        <v>-7141.0150000000003</v>
      </c>
      <c r="H158">
        <f t="shared" si="12"/>
        <v>25.99233380512128</v>
      </c>
      <c r="I158">
        <f t="shared" si="13"/>
        <v>24.211704571000002</v>
      </c>
      <c r="J158">
        <f t="shared" si="15"/>
        <v>24204.550571000003</v>
      </c>
      <c r="M158">
        <f t="shared" si="14"/>
        <v>12014</v>
      </c>
    </row>
    <row r="159" spans="1:13" x14ac:dyDescent="0.2">
      <c r="A159">
        <v>11</v>
      </c>
      <c r="B159">
        <v>15</v>
      </c>
      <c r="C159">
        <v>26</v>
      </c>
      <c r="D159" s="51" t="s">
        <v>13</v>
      </c>
      <c r="E159" t="str">
        <f>VLOOKUP(M159,'MASS - 2016'!$A$1:$G$3418,6,FALSE)</f>
        <v>10973#</v>
      </c>
      <c r="F159" t="str">
        <f>VLOOKUP(M159,'MASS - 2016'!$A$1:$G$3418,7,FALSE)</f>
        <v>196#</v>
      </c>
      <c r="G159">
        <f t="shared" si="16"/>
        <v>10973.01</v>
      </c>
      <c r="H159">
        <f t="shared" si="12"/>
        <v>26.011780010694025</v>
      </c>
      <c r="I159">
        <f t="shared" si="13"/>
        <v>24.229818596000001</v>
      </c>
      <c r="J159">
        <f t="shared" si="15"/>
        <v>24222.153596</v>
      </c>
      <c r="M159">
        <f t="shared" si="14"/>
        <v>11015</v>
      </c>
    </row>
    <row r="160" spans="1:13" x14ac:dyDescent="0.2">
      <c r="A160">
        <v>10</v>
      </c>
      <c r="B160">
        <v>16</v>
      </c>
      <c r="C160">
        <v>26</v>
      </c>
      <c r="D160" s="51" t="s">
        <v>14</v>
      </c>
      <c r="E160" t="str">
        <f>VLOOKUP(M160,'MASS - 2016'!$A$1:$G$3418,6,FALSE)</f>
        <v>27079#</v>
      </c>
      <c r="F160" t="str">
        <f>VLOOKUP(M160,'MASS - 2016'!$A$1:$G$3418,7,FALSE)</f>
        <v>596#</v>
      </c>
      <c r="G160">
        <f t="shared" si="16"/>
        <v>27079.01</v>
      </c>
      <c r="H160">
        <f t="shared" si="12"/>
        <v>26.029070512774855</v>
      </c>
      <c r="I160">
        <f t="shared" si="13"/>
        <v>24.245924596000002</v>
      </c>
      <c r="J160">
        <f t="shared" si="15"/>
        <v>24237.748596000001</v>
      </c>
      <c r="M160">
        <f t="shared" si="14"/>
        <v>10016</v>
      </c>
    </row>
    <row r="161" spans="1:13" x14ac:dyDescent="0.2">
      <c r="A161">
        <v>18</v>
      </c>
      <c r="B161">
        <v>9</v>
      </c>
      <c r="C161">
        <v>27</v>
      </c>
      <c r="D161" s="51" t="s">
        <v>7</v>
      </c>
      <c r="E161">
        <f>VLOOKUP(M161,'MASS - 2016'!$A$1:$G$3418,6,FALSE)</f>
        <v>25450.278999999999</v>
      </c>
      <c r="F161">
        <f>VLOOKUP(M161,'MASS - 2016'!$A$1:$G$3418,7,FALSE)</f>
        <v>389.83</v>
      </c>
      <c r="G161">
        <f t="shared" si="16"/>
        <v>25450.278999999999</v>
      </c>
      <c r="H161">
        <f t="shared" si="12"/>
        <v>27.027321998137786</v>
      </c>
      <c r="I161">
        <f t="shared" si="13"/>
        <v>25.175789926</v>
      </c>
      <c r="J161">
        <f t="shared" si="15"/>
        <v>25171.190926000003</v>
      </c>
      <c r="M161">
        <f t="shared" si="14"/>
        <v>18009</v>
      </c>
    </row>
    <row r="162" spans="1:13" x14ac:dyDescent="0.2">
      <c r="A162">
        <v>17</v>
      </c>
      <c r="B162">
        <v>10</v>
      </c>
      <c r="C162">
        <v>27</v>
      </c>
      <c r="D162" s="51" t="s">
        <v>8</v>
      </c>
      <c r="E162">
        <f>VLOOKUP(M162,'MASS - 2016'!$A$1:$G$3418,6,FALSE)</f>
        <v>7050.9089999999997</v>
      </c>
      <c r="F162">
        <f>VLOOKUP(M162,'MASS - 2016'!$A$1:$G$3418,7,FALSE)</f>
        <v>90.77</v>
      </c>
      <c r="G162">
        <f t="shared" si="16"/>
        <v>7050.9089999999997</v>
      </c>
      <c r="H162">
        <f t="shared" si="12"/>
        <v>27.00756946210954</v>
      </c>
      <c r="I162">
        <f t="shared" si="13"/>
        <v>25.157390555999999</v>
      </c>
      <c r="J162">
        <f t="shared" si="15"/>
        <v>25152.280555999998</v>
      </c>
      <c r="M162">
        <f t="shared" si="14"/>
        <v>17010</v>
      </c>
    </row>
    <row r="163" spans="1:13" x14ac:dyDescent="0.2">
      <c r="A163">
        <v>16</v>
      </c>
      <c r="B163">
        <v>11</v>
      </c>
      <c r="C163">
        <v>27</v>
      </c>
      <c r="D163" s="51" t="s">
        <v>9</v>
      </c>
      <c r="E163">
        <f>VLOOKUP(M163,'MASS - 2016'!$A$1:$G$3418,6,FALSE)</f>
        <v>-5517.79</v>
      </c>
      <c r="F163">
        <f>VLOOKUP(M163,'MASS - 2016'!$A$1:$G$3418,7,FALSE)</f>
        <v>3.726</v>
      </c>
      <c r="G163">
        <f t="shared" si="16"/>
        <v>-5517.79</v>
      </c>
      <c r="H163">
        <f t="shared" si="12"/>
        <v>26.994076408824252</v>
      </c>
      <c r="I163">
        <f t="shared" si="13"/>
        <v>25.144821857</v>
      </c>
      <c r="J163">
        <f t="shared" si="15"/>
        <v>25139.200857</v>
      </c>
      <c r="M163">
        <f t="shared" si="14"/>
        <v>16011</v>
      </c>
    </row>
    <row r="164" spans="1:13" x14ac:dyDescent="0.2">
      <c r="A164">
        <v>15</v>
      </c>
      <c r="B164">
        <v>12</v>
      </c>
      <c r="C164">
        <v>27</v>
      </c>
      <c r="D164" s="51" t="s">
        <v>10</v>
      </c>
      <c r="E164">
        <f>VLOOKUP(M164,'MASS - 2016'!$A$1:$G$3418,6,FALSE)</f>
        <v>-14586.611000000001</v>
      </c>
      <c r="F164">
        <f>VLOOKUP(M164,'MASS - 2016'!$A$1:$G$3418,7,FALSE)</f>
        <v>0.05</v>
      </c>
      <c r="G164">
        <f t="shared" si="16"/>
        <v>-14586.611000000001</v>
      </c>
      <c r="H164">
        <f t="shared" si="12"/>
        <v>26.984340629091783</v>
      </c>
      <c r="I164">
        <f t="shared" si="13"/>
        <v>25.135753036000001</v>
      </c>
      <c r="J164">
        <f t="shared" si="15"/>
        <v>25129.621036</v>
      </c>
      <c r="M164">
        <f t="shared" si="14"/>
        <v>15012</v>
      </c>
    </row>
    <row r="165" spans="1:13" x14ac:dyDescent="0.2">
      <c r="A165">
        <v>14</v>
      </c>
      <c r="B165">
        <v>13</v>
      </c>
      <c r="C165">
        <v>27</v>
      </c>
      <c r="D165" s="51" t="s">
        <v>11</v>
      </c>
      <c r="E165">
        <f>VLOOKUP(M165,'MASS - 2016'!$A$1:$G$3418,6,FALSE)</f>
        <v>-17196.861000000001</v>
      </c>
      <c r="F165">
        <f>VLOOKUP(M165,'MASS - 2016'!$A$1:$G$3418,7,FALSE)</f>
        <v>4.7E-2</v>
      </c>
      <c r="G165">
        <f t="shared" si="16"/>
        <v>-17196.861000000001</v>
      </c>
      <c r="H165">
        <f t="shared" si="12"/>
        <v>26.981538410474098</v>
      </c>
      <c r="I165">
        <f t="shared" si="13"/>
        <v>25.133142786000001</v>
      </c>
      <c r="J165">
        <f t="shared" si="15"/>
        <v>25126.499786</v>
      </c>
      <c r="M165">
        <f t="shared" si="14"/>
        <v>14013</v>
      </c>
    </row>
    <row r="166" spans="1:13" x14ac:dyDescent="0.2">
      <c r="A166">
        <v>13</v>
      </c>
      <c r="B166">
        <v>14</v>
      </c>
      <c r="C166">
        <v>27</v>
      </c>
      <c r="D166" s="51" t="s">
        <v>12</v>
      </c>
      <c r="E166">
        <f>VLOOKUP(M166,'MASS - 2016'!$A$1:$G$3418,6,FALSE)</f>
        <v>-12384.503000000001</v>
      </c>
      <c r="F166">
        <f>VLOOKUP(M166,'MASS - 2016'!$A$1:$G$3418,7,FALSE)</f>
        <v>0.107</v>
      </c>
      <c r="G166">
        <f t="shared" si="16"/>
        <v>-12384.503000000001</v>
      </c>
      <c r="H166">
        <f t="shared" si="12"/>
        <v>26.986704689252978</v>
      </c>
      <c r="I166">
        <f t="shared" si="13"/>
        <v>25.137955143999999</v>
      </c>
      <c r="J166">
        <f t="shared" si="15"/>
        <v>25130.801144000001</v>
      </c>
      <c r="M166">
        <f t="shared" si="14"/>
        <v>13014</v>
      </c>
    </row>
    <row r="167" spans="1:13" x14ac:dyDescent="0.2">
      <c r="A167">
        <v>12</v>
      </c>
      <c r="B167">
        <v>15</v>
      </c>
      <c r="C167">
        <v>27</v>
      </c>
      <c r="D167" s="51" t="s">
        <v>13</v>
      </c>
      <c r="E167">
        <f>VLOOKUP(M167,'MASS - 2016'!$A$1:$G$3418,6,FALSE)</f>
        <v>-722.45799999999997</v>
      </c>
      <c r="F167">
        <f>VLOOKUP(M167,'MASS - 2016'!$A$1:$G$3418,7,FALSE)</f>
        <v>26.34</v>
      </c>
      <c r="G167">
        <f t="shared" si="16"/>
        <v>-722.45799999999997</v>
      </c>
      <c r="H167">
        <f t="shared" si="12"/>
        <v>26.999224409440441</v>
      </c>
      <c r="I167">
        <f t="shared" si="13"/>
        <v>25.149617189000001</v>
      </c>
      <c r="J167">
        <f t="shared" si="15"/>
        <v>25141.952189</v>
      </c>
      <c r="M167">
        <f t="shared" si="14"/>
        <v>12015</v>
      </c>
    </row>
    <row r="168" spans="1:13" x14ac:dyDescent="0.2">
      <c r="A168">
        <v>11</v>
      </c>
      <c r="B168">
        <v>16</v>
      </c>
      <c r="C168">
        <v>27</v>
      </c>
      <c r="D168" s="51" t="s">
        <v>14</v>
      </c>
      <c r="E168" t="str">
        <f>VLOOKUP(M168,'MASS - 2016'!$A$1:$G$3418,6,FALSE)</f>
        <v>17028#</v>
      </c>
      <c r="F168" t="str">
        <f>VLOOKUP(M168,'MASS - 2016'!$A$1:$G$3418,7,FALSE)</f>
        <v>401#</v>
      </c>
      <c r="G168">
        <f t="shared" si="16"/>
        <v>17028.009999999998</v>
      </c>
      <c r="H168">
        <f t="shared" si="12"/>
        <v>27.018280320522624</v>
      </c>
      <c r="I168">
        <f t="shared" si="13"/>
        <v>25.167367657</v>
      </c>
      <c r="J168">
        <f t="shared" si="15"/>
        <v>25159.191656999999</v>
      </c>
      <c r="M168">
        <f t="shared" si="14"/>
        <v>11016</v>
      </c>
    </row>
    <row r="169" spans="1:13" x14ac:dyDescent="0.2">
      <c r="A169">
        <v>19</v>
      </c>
      <c r="B169">
        <v>9</v>
      </c>
      <c r="C169">
        <v>28</v>
      </c>
      <c r="D169" s="51" t="s">
        <v>7</v>
      </c>
      <c r="E169">
        <f>VLOOKUP(M169,'MASS - 2016'!$A$1:$G$3418,6,FALSE)</f>
        <v>33741.595999999998</v>
      </c>
      <c r="F169">
        <f>VLOOKUP(M169,'MASS - 2016'!$A$1:$G$3418,7,FALSE)</f>
        <v>393.024</v>
      </c>
      <c r="G169">
        <f t="shared" si="16"/>
        <v>33741.595999999998</v>
      </c>
      <c r="H169">
        <f t="shared" si="12"/>
        <v>28.036223092999407</v>
      </c>
      <c r="I169">
        <f t="shared" si="13"/>
        <v>26.115575303999996</v>
      </c>
      <c r="J169">
        <f t="shared" si="15"/>
        <v>26110.976304</v>
      </c>
      <c r="M169">
        <f t="shared" si="14"/>
        <v>19009</v>
      </c>
    </row>
    <row r="170" spans="1:13" x14ac:dyDescent="0.2">
      <c r="A170">
        <v>18</v>
      </c>
      <c r="B170">
        <v>10</v>
      </c>
      <c r="C170">
        <v>28</v>
      </c>
      <c r="D170" s="51" t="s">
        <v>8</v>
      </c>
      <c r="E170">
        <f>VLOOKUP(M170,'MASS - 2016'!$A$1:$G$3418,6,FALSE)</f>
        <v>11299.736999999999</v>
      </c>
      <c r="F170">
        <f>VLOOKUP(M170,'MASS - 2016'!$A$1:$G$3418,7,FALSE)</f>
        <v>126.068</v>
      </c>
      <c r="G170">
        <f t="shared" si="16"/>
        <v>11299.736999999999</v>
      </c>
      <c r="H170">
        <f t="shared" si="12"/>
        <v>28.01213076655354</v>
      </c>
      <c r="I170">
        <f t="shared" si="13"/>
        <v>26.093133444999999</v>
      </c>
      <c r="J170">
        <f t="shared" si="15"/>
        <v>26088.023444999999</v>
      </c>
      <c r="M170">
        <f t="shared" si="14"/>
        <v>18010</v>
      </c>
    </row>
    <row r="171" spans="1:13" x14ac:dyDescent="0.2">
      <c r="A171">
        <v>17</v>
      </c>
      <c r="B171">
        <v>11</v>
      </c>
      <c r="C171">
        <v>28</v>
      </c>
      <c r="D171" s="51" t="s">
        <v>9</v>
      </c>
      <c r="E171">
        <f>VLOOKUP(M171,'MASS - 2016'!$A$1:$G$3418,6,FALSE)</f>
        <v>-988.31500000000005</v>
      </c>
      <c r="F171">
        <f>VLOOKUP(M171,'MASS - 2016'!$A$1:$G$3418,7,FALSE)</f>
        <v>10.246</v>
      </c>
      <c r="G171">
        <f t="shared" si="16"/>
        <v>-988.31500000000005</v>
      </c>
      <c r="H171">
        <f t="shared" si="12"/>
        <v>27.998939000213333</v>
      </c>
      <c r="I171">
        <f t="shared" si="13"/>
        <v>26.080845392999997</v>
      </c>
      <c r="J171">
        <f t="shared" si="15"/>
        <v>26075.224392999997</v>
      </c>
      <c r="M171">
        <f t="shared" si="14"/>
        <v>17011</v>
      </c>
    </row>
    <row r="172" spans="1:13" x14ac:dyDescent="0.2">
      <c r="A172">
        <v>16</v>
      </c>
      <c r="B172">
        <v>12</v>
      </c>
      <c r="C172">
        <v>28</v>
      </c>
      <c r="D172" s="51" t="s">
        <v>10</v>
      </c>
      <c r="E172">
        <f>VLOOKUP(M172,'MASS - 2016'!$A$1:$G$3418,6,FALSE)</f>
        <v>-15018.844999999999</v>
      </c>
      <c r="F172">
        <f>VLOOKUP(M172,'MASS - 2016'!$A$1:$G$3418,7,FALSE)</f>
        <v>2.0009999999999999</v>
      </c>
      <c r="G172">
        <f t="shared" si="16"/>
        <v>-15018.844999999999</v>
      </c>
      <c r="H172">
        <f t="shared" si="12"/>
        <v>27.983876606809627</v>
      </c>
      <c r="I172">
        <f t="shared" si="13"/>
        <v>26.066814862999998</v>
      </c>
      <c r="J172">
        <f t="shared" si="15"/>
        <v>26060.682862999995</v>
      </c>
      <c r="M172">
        <f t="shared" si="14"/>
        <v>16012</v>
      </c>
    </row>
    <row r="173" spans="1:13" x14ac:dyDescent="0.2">
      <c r="A173">
        <v>15</v>
      </c>
      <c r="B173">
        <v>13</v>
      </c>
      <c r="C173">
        <v>28</v>
      </c>
      <c r="D173" s="51" t="s">
        <v>11</v>
      </c>
      <c r="E173">
        <f>VLOOKUP(M173,'MASS - 2016'!$A$1:$G$3418,6,FALSE)</f>
        <v>-16850.645</v>
      </c>
      <c r="F173">
        <f>VLOOKUP(M173,'MASS - 2016'!$A$1:$G$3418,7,FALSE)</f>
        <v>7.6999999999999999E-2</v>
      </c>
      <c r="G173">
        <f t="shared" si="16"/>
        <v>-16850.645</v>
      </c>
      <c r="H173">
        <f t="shared" si="12"/>
        <v>27.981910088635548</v>
      </c>
      <c r="I173">
        <f t="shared" si="13"/>
        <v>26.064983062999996</v>
      </c>
      <c r="J173">
        <f t="shared" si="15"/>
        <v>26058.340062999996</v>
      </c>
      <c r="M173">
        <f t="shared" si="14"/>
        <v>15013</v>
      </c>
    </row>
    <row r="174" spans="1:13" x14ac:dyDescent="0.2">
      <c r="A174">
        <v>14</v>
      </c>
      <c r="B174">
        <v>14</v>
      </c>
      <c r="C174">
        <v>28</v>
      </c>
      <c r="D174" s="51" t="s">
        <v>12</v>
      </c>
      <c r="E174">
        <f>VLOOKUP(M174,'MASS - 2016'!$A$1:$G$3418,6,FALSE)</f>
        <v>-21492.794300000001</v>
      </c>
      <c r="F174">
        <f>VLOOKUP(M174,'MASS - 2016'!$A$1:$G$3418,7,FALSE)</f>
        <v>4.8999999999999998E-4</v>
      </c>
      <c r="G174">
        <f t="shared" si="16"/>
        <v>-21492.794300000001</v>
      </c>
      <c r="H174">
        <f t="shared" si="12"/>
        <v>27.976926536410843</v>
      </c>
      <c r="I174">
        <f t="shared" si="13"/>
        <v>26.060340913699999</v>
      </c>
      <c r="J174">
        <f t="shared" si="15"/>
        <v>26053.186913699999</v>
      </c>
      <c r="M174">
        <f t="shared" si="14"/>
        <v>14014</v>
      </c>
    </row>
    <row r="175" spans="1:13" x14ac:dyDescent="0.2">
      <c r="A175">
        <v>13</v>
      </c>
      <c r="B175">
        <v>15</v>
      </c>
      <c r="C175">
        <v>28</v>
      </c>
      <c r="D175" s="51" t="s">
        <v>13</v>
      </c>
      <c r="E175">
        <f>VLOOKUP(M175,'MASS - 2016'!$A$1:$G$3418,6,FALSE)</f>
        <v>-7147.74</v>
      </c>
      <c r="F175">
        <f>VLOOKUP(M175,'MASS - 2016'!$A$1:$G$3418,7,FALSE)</f>
        <v>1.1519999999999999</v>
      </c>
      <c r="G175">
        <f t="shared" si="16"/>
        <v>-7147.74</v>
      </c>
      <c r="H175">
        <f t="shared" si="12"/>
        <v>27.992326585536865</v>
      </c>
      <c r="I175">
        <f t="shared" si="13"/>
        <v>26.074685967999997</v>
      </c>
      <c r="J175">
        <f t="shared" si="15"/>
        <v>26067.020967999997</v>
      </c>
      <c r="M175">
        <f t="shared" si="14"/>
        <v>13015</v>
      </c>
    </row>
    <row r="176" spans="1:13" x14ac:dyDescent="0.2">
      <c r="A176">
        <v>12</v>
      </c>
      <c r="B176">
        <v>16</v>
      </c>
      <c r="C176">
        <v>28</v>
      </c>
      <c r="D176" s="51" t="s">
        <v>14</v>
      </c>
      <c r="E176">
        <f>VLOOKUP(M176,'MASS - 2016'!$A$1:$G$3418,6,FALSE)</f>
        <v>4073.2060000000001</v>
      </c>
      <c r="F176">
        <f>VLOOKUP(M176,'MASS - 2016'!$A$1:$G$3418,7,FALSE)</f>
        <v>160</v>
      </c>
      <c r="G176">
        <f t="shared" si="16"/>
        <v>4073.2060000000001</v>
      </c>
      <c r="H176">
        <f t="shared" si="12"/>
        <v>28.004372766473278</v>
      </c>
      <c r="I176">
        <f t="shared" si="13"/>
        <v>26.085906913999999</v>
      </c>
      <c r="J176">
        <f t="shared" si="15"/>
        <v>26077.730914</v>
      </c>
      <c r="M176">
        <f t="shared" si="14"/>
        <v>12016</v>
      </c>
    </row>
    <row r="177" spans="1:13" x14ac:dyDescent="0.2">
      <c r="A177">
        <v>11</v>
      </c>
      <c r="B177">
        <v>17</v>
      </c>
      <c r="C177">
        <v>28</v>
      </c>
      <c r="D177" s="51" t="s">
        <v>15</v>
      </c>
      <c r="E177" t="str">
        <f>VLOOKUP(M177,'MASS - 2016'!$A$1:$G$3418,6,FALSE)</f>
        <v>27516#</v>
      </c>
      <c r="F177" t="str">
        <f>VLOOKUP(M177,'MASS - 2016'!$A$1:$G$3418,7,FALSE)</f>
        <v>596#</v>
      </c>
      <c r="G177">
        <f t="shared" si="16"/>
        <v>27516.01</v>
      </c>
      <c r="H177">
        <f t="shared" si="12"/>
        <v>28.029539651568424</v>
      </c>
      <c r="I177">
        <f t="shared" si="13"/>
        <v>26.109349717999997</v>
      </c>
      <c r="J177">
        <f t="shared" si="15"/>
        <v>26100.662717999996</v>
      </c>
      <c r="M177">
        <f t="shared" si="14"/>
        <v>11017</v>
      </c>
    </row>
    <row r="178" spans="1:13" x14ac:dyDescent="0.2">
      <c r="A178">
        <v>20</v>
      </c>
      <c r="B178">
        <v>9</v>
      </c>
      <c r="C178">
        <v>29</v>
      </c>
      <c r="D178" s="51" t="s">
        <v>7</v>
      </c>
      <c r="E178">
        <f>VLOOKUP(M178,'MASS - 2016'!$A$1:$G$3418,6,FALSE)</f>
        <v>40150.186000000002</v>
      </c>
      <c r="F178">
        <f>VLOOKUP(M178,'MASS - 2016'!$A$1:$G$3418,7,FALSE)</f>
        <v>525.36300000000006</v>
      </c>
      <c r="G178">
        <f t="shared" si="16"/>
        <v>40150.186000000002</v>
      </c>
      <c r="H178">
        <f t="shared" si="12"/>
        <v>29.043102997304029</v>
      </c>
      <c r="I178">
        <f t="shared" si="13"/>
        <v>27.053477955000002</v>
      </c>
      <c r="J178">
        <f t="shared" si="15"/>
        <v>27048.878955000004</v>
      </c>
      <c r="M178">
        <f t="shared" si="14"/>
        <v>20009</v>
      </c>
    </row>
    <row r="179" spans="1:13" x14ac:dyDescent="0.2">
      <c r="A179">
        <v>19</v>
      </c>
      <c r="B179">
        <v>10</v>
      </c>
      <c r="C179">
        <v>29</v>
      </c>
      <c r="D179" s="51" t="s">
        <v>8</v>
      </c>
      <c r="E179">
        <f>VLOOKUP(M179,'MASS - 2016'!$A$1:$G$3418,6,FALSE)</f>
        <v>18399.800999999999</v>
      </c>
      <c r="F179">
        <f>VLOOKUP(M179,'MASS - 2016'!$A$1:$G$3418,7,FALSE)</f>
        <v>149.505</v>
      </c>
      <c r="G179">
        <f t="shared" si="16"/>
        <v>18399.800999999999</v>
      </c>
      <c r="H179">
        <f t="shared" si="12"/>
        <v>29.019752998725778</v>
      </c>
      <c r="I179">
        <f t="shared" si="13"/>
        <v>27.031727570000001</v>
      </c>
      <c r="J179">
        <f t="shared" si="15"/>
        <v>27026.617570000002</v>
      </c>
      <c r="M179">
        <f t="shared" si="14"/>
        <v>19010</v>
      </c>
    </row>
    <row r="180" spans="1:13" x14ac:dyDescent="0.2">
      <c r="A180">
        <v>18</v>
      </c>
      <c r="B180">
        <v>11</v>
      </c>
      <c r="C180">
        <v>29</v>
      </c>
      <c r="D180" s="51" t="s">
        <v>9</v>
      </c>
      <c r="E180">
        <f>VLOOKUP(M180,'MASS - 2016'!$A$1:$G$3418,6,FALSE)</f>
        <v>2679.9940000000001</v>
      </c>
      <c r="F180">
        <f>VLOOKUP(M180,'MASS - 2016'!$A$1:$G$3418,7,FALSE)</f>
        <v>7.3369999999999997</v>
      </c>
      <c r="G180">
        <f t="shared" si="16"/>
        <v>2679.9940000000001</v>
      </c>
      <c r="H180">
        <f t="shared" si="12"/>
        <v>29.00287709188089</v>
      </c>
      <c r="I180">
        <f t="shared" si="13"/>
        <v>27.016007763000001</v>
      </c>
      <c r="J180">
        <f t="shared" si="15"/>
        <v>27010.386763000002</v>
      </c>
      <c r="M180">
        <f t="shared" si="14"/>
        <v>18011</v>
      </c>
    </row>
    <row r="181" spans="1:13" x14ac:dyDescent="0.2">
      <c r="A181">
        <v>17</v>
      </c>
      <c r="B181">
        <v>12</v>
      </c>
      <c r="C181">
        <v>29</v>
      </c>
      <c r="D181" s="51" t="s">
        <v>10</v>
      </c>
      <c r="E181">
        <f>VLOOKUP(M181,'MASS - 2016'!$A$1:$G$3418,6,FALSE)</f>
        <v>-10602.829</v>
      </c>
      <c r="F181">
        <f>VLOOKUP(M181,'MASS - 2016'!$A$1:$G$3418,7,FALSE)</f>
        <v>11.4</v>
      </c>
      <c r="G181">
        <f t="shared" si="16"/>
        <v>-10602.829</v>
      </c>
      <c r="H181">
        <f t="shared" si="12"/>
        <v>28.988617394952989</v>
      </c>
      <c r="I181">
        <f t="shared" si="13"/>
        <v>27.00272494</v>
      </c>
      <c r="J181">
        <f t="shared" si="15"/>
        <v>26996.592939999999</v>
      </c>
      <c r="M181">
        <f t="shared" si="14"/>
        <v>17012</v>
      </c>
    </row>
    <row r="182" spans="1:13" x14ac:dyDescent="0.2">
      <c r="A182">
        <v>16</v>
      </c>
      <c r="B182">
        <v>13</v>
      </c>
      <c r="C182">
        <v>29</v>
      </c>
      <c r="D182" s="51" t="s">
        <v>11</v>
      </c>
      <c r="E182">
        <f>VLOOKUP(M182,'MASS - 2016'!$A$1:$G$3418,6,FALSE)</f>
        <v>-18207.759999999998</v>
      </c>
      <c r="F182">
        <f>VLOOKUP(M182,'MASS - 2016'!$A$1:$G$3418,7,FALSE)</f>
        <v>0.34499999999999997</v>
      </c>
      <c r="G182">
        <f t="shared" si="16"/>
        <v>-18207.759999999998</v>
      </c>
      <c r="H182">
        <f t="shared" si="12"/>
        <v>28.980453165766349</v>
      </c>
      <c r="I182">
        <f t="shared" si="13"/>
        <v>26.995120009000001</v>
      </c>
      <c r="J182">
        <f t="shared" si="15"/>
        <v>26988.477009000002</v>
      </c>
      <c r="M182">
        <f t="shared" si="14"/>
        <v>16013</v>
      </c>
    </row>
    <row r="183" spans="1:13" x14ac:dyDescent="0.2">
      <c r="A183">
        <v>15</v>
      </c>
      <c r="B183">
        <v>14</v>
      </c>
      <c r="C183">
        <v>29</v>
      </c>
      <c r="D183" s="51" t="s">
        <v>12</v>
      </c>
      <c r="E183">
        <f>VLOOKUP(M183,'MASS - 2016'!$A$1:$G$3418,6,FALSE)</f>
        <v>-21895.078379999999</v>
      </c>
      <c r="F183">
        <f>VLOOKUP(M183,'MASS - 2016'!$A$1:$G$3418,7,FALSE)</f>
        <v>5.5999999999999995E-4</v>
      </c>
      <c r="G183">
        <f t="shared" si="16"/>
        <v>-21895.078379999999</v>
      </c>
      <c r="H183">
        <f t="shared" si="12"/>
        <v>28.976494666690101</v>
      </c>
      <c r="I183">
        <f t="shared" si="13"/>
        <v>26.991432690620002</v>
      </c>
      <c r="J183">
        <f t="shared" si="15"/>
        <v>26984.278690620002</v>
      </c>
      <c r="M183">
        <f t="shared" si="14"/>
        <v>15014</v>
      </c>
    </row>
    <row r="184" spans="1:13" x14ac:dyDescent="0.2">
      <c r="A184">
        <v>14</v>
      </c>
      <c r="B184">
        <v>15</v>
      </c>
      <c r="C184">
        <v>29</v>
      </c>
      <c r="D184" s="51" t="s">
        <v>13</v>
      </c>
      <c r="E184">
        <f>VLOOKUP(M184,'MASS - 2016'!$A$1:$G$3418,6,FALSE)</f>
        <v>-16952.848000000002</v>
      </c>
      <c r="F184">
        <f>VLOOKUP(M184,'MASS - 2016'!$A$1:$G$3418,7,FALSE)</f>
        <v>0.35899999999999999</v>
      </c>
      <c r="G184">
        <f t="shared" si="16"/>
        <v>-16952.848000000002</v>
      </c>
      <c r="H184">
        <f t="shared" si="12"/>
        <v>28.981800369202784</v>
      </c>
      <c r="I184">
        <f t="shared" si="13"/>
        <v>26.996374921000001</v>
      </c>
      <c r="J184">
        <f t="shared" si="15"/>
        <v>26988.709921000001</v>
      </c>
      <c r="M184">
        <f t="shared" si="14"/>
        <v>14015</v>
      </c>
    </row>
    <row r="185" spans="1:13" x14ac:dyDescent="0.2">
      <c r="A185">
        <v>13</v>
      </c>
      <c r="B185">
        <v>16</v>
      </c>
      <c r="C185">
        <v>29</v>
      </c>
      <c r="D185" s="51" t="s">
        <v>14</v>
      </c>
      <c r="E185">
        <f>VLOOKUP(M185,'MASS - 2016'!$A$1:$G$3418,6,FALSE)</f>
        <v>-3156.4160000000002</v>
      </c>
      <c r="F185">
        <f>VLOOKUP(M185,'MASS - 2016'!$A$1:$G$3418,7,FALSE)</f>
        <v>50</v>
      </c>
      <c r="G185">
        <f t="shared" si="16"/>
        <v>-3156.4160000000002</v>
      </c>
      <c r="H185">
        <f t="shared" si="12"/>
        <v>28.996611448068052</v>
      </c>
      <c r="I185">
        <f t="shared" si="13"/>
        <v>27.010171353</v>
      </c>
      <c r="J185">
        <f t="shared" si="15"/>
        <v>27001.995353000002</v>
      </c>
      <c r="M185">
        <f t="shared" si="14"/>
        <v>13016</v>
      </c>
    </row>
    <row r="186" spans="1:13" x14ac:dyDescent="0.2">
      <c r="A186">
        <v>12</v>
      </c>
      <c r="B186">
        <v>17</v>
      </c>
      <c r="C186">
        <v>29</v>
      </c>
      <c r="D186" s="51" t="s">
        <v>15</v>
      </c>
      <c r="E186">
        <f>VLOOKUP(M186,'MASS - 2016'!$A$1:$G$3418,6,FALSE)</f>
        <v>13162.175999999999</v>
      </c>
      <c r="F186">
        <f>VLOOKUP(M186,'MASS - 2016'!$A$1:$G$3418,7,FALSE)</f>
        <v>188.68</v>
      </c>
      <c r="G186">
        <f t="shared" si="16"/>
        <v>13162.175999999999</v>
      </c>
      <c r="H186">
        <f t="shared" si="12"/>
        <v>29.01413017704683</v>
      </c>
      <c r="I186">
        <f t="shared" si="13"/>
        <v>27.026489945000002</v>
      </c>
      <c r="J186">
        <f t="shared" si="15"/>
        <v>27017.802944999999</v>
      </c>
      <c r="M186">
        <f t="shared" si="14"/>
        <v>12017</v>
      </c>
    </row>
    <row r="187" spans="1:13" x14ac:dyDescent="0.2">
      <c r="A187">
        <v>20</v>
      </c>
      <c r="B187">
        <v>10</v>
      </c>
      <c r="C187">
        <v>30</v>
      </c>
      <c r="D187" s="51" t="s">
        <v>8</v>
      </c>
      <c r="E187">
        <f>VLOOKUP(M187,'MASS - 2016'!$A$1:$G$3418,6,FALSE)</f>
        <v>23280.116999999998</v>
      </c>
      <c r="F187">
        <f>VLOOKUP(M187,'MASS - 2016'!$A$1:$G$3418,7,FALSE)</f>
        <v>253.25</v>
      </c>
      <c r="G187">
        <f t="shared" si="16"/>
        <v>23280.116999999998</v>
      </c>
      <c r="H187">
        <f t="shared" si="12"/>
        <v>30.024992233418004</v>
      </c>
      <c r="I187">
        <f t="shared" si="13"/>
        <v>27.968101946999997</v>
      </c>
      <c r="J187">
        <f t="shared" si="15"/>
        <v>27962.991946999999</v>
      </c>
      <c r="M187">
        <f t="shared" si="14"/>
        <v>20010</v>
      </c>
    </row>
    <row r="188" spans="1:13" x14ac:dyDescent="0.2">
      <c r="A188">
        <v>19</v>
      </c>
      <c r="B188">
        <v>11</v>
      </c>
      <c r="C188">
        <v>30</v>
      </c>
      <c r="D188" s="51" t="s">
        <v>9</v>
      </c>
      <c r="E188">
        <f>VLOOKUP(M188,'MASS - 2016'!$A$1:$G$3418,6,FALSE)</f>
        <v>8474.67</v>
      </c>
      <c r="F188">
        <f>VLOOKUP(M188,'MASS - 2016'!$A$1:$G$3418,7,FALSE)</f>
        <v>4.7270000000000003</v>
      </c>
      <c r="G188">
        <f t="shared" si="16"/>
        <v>8474.67</v>
      </c>
      <c r="H188">
        <f t="shared" si="12"/>
        <v>30.009097932402167</v>
      </c>
      <c r="I188">
        <f t="shared" si="13"/>
        <v>27.953296499999997</v>
      </c>
      <c r="J188">
        <f t="shared" si="15"/>
        <v>27947.675499999998</v>
      </c>
      <c r="M188">
        <f t="shared" si="14"/>
        <v>19011</v>
      </c>
    </row>
    <row r="189" spans="1:13" x14ac:dyDescent="0.2">
      <c r="A189">
        <v>18</v>
      </c>
      <c r="B189">
        <v>12</v>
      </c>
      <c r="C189">
        <v>30</v>
      </c>
      <c r="D189" s="51" t="s">
        <v>10</v>
      </c>
      <c r="E189">
        <f>VLOOKUP(M189,'MASS - 2016'!$A$1:$G$3418,6,FALSE)</f>
        <v>-8883.82</v>
      </c>
      <c r="F189">
        <f>VLOOKUP(M189,'MASS - 2016'!$A$1:$G$3418,7,FALSE)</f>
        <v>3.4470000000000001</v>
      </c>
      <c r="G189">
        <f t="shared" si="16"/>
        <v>-8883.82</v>
      </c>
      <c r="H189">
        <f t="shared" si="12"/>
        <v>29.990462827008834</v>
      </c>
      <c r="I189">
        <f t="shared" si="13"/>
        <v>27.935938009999997</v>
      </c>
      <c r="J189">
        <f t="shared" si="15"/>
        <v>27929.806009999997</v>
      </c>
      <c r="M189">
        <f t="shared" si="14"/>
        <v>18012</v>
      </c>
    </row>
    <row r="190" spans="1:13" x14ac:dyDescent="0.2">
      <c r="A190">
        <v>17</v>
      </c>
      <c r="B190">
        <v>13</v>
      </c>
      <c r="C190">
        <v>30</v>
      </c>
      <c r="D190" s="51" t="s">
        <v>11</v>
      </c>
      <c r="E190">
        <f>VLOOKUP(M190,'MASS - 2016'!$A$1:$G$3418,6,FALSE)</f>
        <v>-15864.843999999999</v>
      </c>
      <c r="F190">
        <f>VLOOKUP(M190,'MASS - 2016'!$A$1:$G$3418,7,FALSE)</f>
        <v>2.8879999999999999</v>
      </c>
      <c r="G190">
        <f t="shared" si="16"/>
        <v>-15864.843999999999</v>
      </c>
      <c r="H190">
        <f t="shared" si="12"/>
        <v>29.982968389532221</v>
      </c>
      <c r="I190">
        <f t="shared" si="13"/>
        <v>27.928956985999999</v>
      </c>
      <c r="J190">
        <f t="shared" si="15"/>
        <v>27922.313986000001</v>
      </c>
      <c r="M190">
        <f t="shared" si="14"/>
        <v>17013</v>
      </c>
    </row>
    <row r="191" spans="1:13" x14ac:dyDescent="0.2">
      <c r="A191">
        <v>16</v>
      </c>
      <c r="B191">
        <v>14</v>
      </c>
      <c r="C191">
        <v>30</v>
      </c>
      <c r="D191" s="51" t="s">
        <v>12</v>
      </c>
      <c r="E191">
        <f>VLOOKUP(M191,'MASS - 2016'!$A$1:$G$3418,6,FALSE)</f>
        <v>-24432.959999999999</v>
      </c>
      <c r="F191">
        <f>VLOOKUP(M191,'MASS - 2016'!$A$1:$G$3418,7,FALSE)</f>
        <v>2.1999999999999999E-2</v>
      </c>
      <c r="G191">
        <f t="shared" si="16"/>
        <v>-24432.959999999999</v>
      </c>
      <c r="H191">
        <f t="shared" si="12"/>
        <v>29.973770138723406</v>
      </c>
      <c r="I191">
        <f t="shared" si="13"/>
        <v>27.92038887</v>
      </c>
      <c r="J191">
        <f t="shared" si="15"/>
        <v>27913.23487</v>
      </c>
      <c r="M191">
        <f t="shared" si="14"/>
        <v>16014</v>
      </c>
    </row>
    <row r="192" spans="1:13" x14ac:dyDescent="0.2">
      <c r="A192">
        <v>15</v>
      </c>
      <c r="B192">
        <v>15</v>
      </c>
      <c r="C192">
        <v>30</v>
      </c>
      <c r="D192" s="51" t="s">
        <v>13</v>
      </c>
      <c r="E192">
        <f>VLOOKUP(M192,'MASS - 2016'!$A$1:$G$3418,6,FALSE)</f>
        <v>-20200.853999999999</v>
      </c>
      <c r="F192">
        <f>VLOOKUP(M192,'MASS - 2016'!$A$1:$G$3418,7,FALSE)</f>
        <v>6.5000000000000002E-2</v>
      </c>
      <c r="G192">
        <f t="shared" si="16"/>
        <v>-20200.853999999999</v>
      </c>
      <c r="H192">
        <f t="shared" si="12"/>
        <v>29.978313491362133</v>
      </c>
      <c r="I192">
        <f t="shared" si="13"/>
        <v>27.924620976</v>
      </c>
      <c r="J192">
        <f t="shared" si="15"/>
        <v>27916.955975999997</v>
      </c>
      <c r="M192">
        <f t="shared" si="14"/>
        <v>15015</v>
      </c>
    </row>
    <row r="193" spans="1:13" x14ac:dyDescent="0.2">
      <c r="A193">
        <v>14</v>
      </c>
      <c r="B193">
        <v>16</v>
      </c>
      <c r="C193">
        <v>30</v>
      </c>
      <c r="D193" s="51" t="s">
        <v>14</v>
      </c>
      <c r="E193">
        <f>VLOOKUP(M193,'MASS - 2016'!$A$1:$G$3418,6,FALSE)</f>
        <v>-14059.253000000001</v>
      </c>
      <c r="F193">
        <f>VLOOKUP(M193,'MASS - 2016'!$A$1:$G$3418,7,FALSE)</f>
        <v>0.20599999999999999</v>
      </c>
      <c r="G193">
        <f t="shared" si="16"/>
        <v>-14059.253000000001</v>
      </c>
      <c r="H193">
        <f t="shared" si="12"/>
        <v>29.984906771187671</v>
      </c>
      <c r="I193">
        <f t="shared" si="13"/>
        <v>27.930762576999999</v>
      </c>
      <c r="J193">
        <f t="shared" si="15"/>
        <v>27922.586576999998</v>
      </c>
      <c r="M193">
        <f t="shared" si="14"/>
        <v>14016</v>
      </c>
    </row>
    <row r="194" spans="1:13" x14ac:dyDescent="0.2">
      <c r="A194">
        <v>13</v>
      </c>
      <c r="B194">
        <v>17</v>
      </c>
      <c r="C194">
        <v>30</v>
      </c>
      <c r="D194" s="51" t="s">
        <v>15</v>
      </c>
      <c r="E194" t="str">
        <f>VLOOKUP(M194,'MASS - 2016'!$A$1:$G$3418,6,FALSE)</f>
        <v>4443#</v>
      </c>
      <c r="F194" t="str">
        <f>VLOOKUP(M194,'MASS - 2016'!$A$1:$G$3418,7,FALSE)</f>
        <v>196#</v>
      </c>
      <c r="G194">
        <f t="shared" si="16"/>
        <v>4443.01</v>
      </c>
      <c r="H194">
        <f t="shared" si="12"/>
        <v>30.004769767394144</v>
      </c>
      <c r="I194">
        <f t="shared" si="13"/>
        <v>27.949264839999998</v>
      </c>
      <c r="J194">
        <f t="shared" si="15"/>
        <v>27940.577839999994</v>
      </c>
      <c r="M194">
        <f t="shared" si="14"/>
        <v>13017</v>
      </c>
    </row>
    <row r="195" spans="1:13" x14ac:dyDescent="0.2">
      <c r="A195">
        <v>12</v>
      </c>
      <c r="B195">
        <v>18</v>
      </c>
      <c r="C195">
        <v>30</v>
      </c>
      <c r="D195" s="51" t="s">
        <v>16</v>
      </c>
      <c r="E195">
        <f>VLOOKUP(M195,'MASS - 2016'!$A$1:$G$3418,6,FALSE)</f>
        <v>20931.147000000001</v>
      </c>
      <c r="F195">
        <f>VLOOKUP(M195,'MASS - 2016'!$A$1:$G$3418,7,FALSE)</f>
        <v>206.155</v>
      </c>
      <c r="G195">
        <f t="shared" si="16"/>
        <v>20931.147000000001</v>
      </c>
      <c r="H195">
        <f t="shared" si="12"/>
        <v>30.022470510415843</v>
      </c>
      <c r="I195">
        <f t="shared" si="13"/>
        <v>27.965752976999998</v>
      </c>
      <c r="J195">
        <f t="shared" si="15"/>
        <v>27956.554976999996</v>
      </c>
      <c r="M195">
        <f t="shared" si="14"/>
        <v>12018</v>
      </c>
    </row>
    <row r="196" spans="1:13" x14ac:dyDescent="0.2">
      <c r="A196">
        <v>21</v>
      </c>
      <c r="B196">
        <v>10</v>
      </c>
      <c r="C196">
        <v>31</v>
      </c>
      <c r="D196" s="51" t="s">
        <v>8</v>
      </c>
      <c r="E196">
        <f>VLOOKUP(M196,'MASS - 2016'!$A$1:$G$3418,6,FALSE)</f>
        <v>31181.591</v>
      </c>
      <c r="F196">
        <f>VLOOKUP(M196,'MASS - 2016'!$A$1:$G$3418,7,FALSE)</f>
        <v>266.19499999999999</v>
      </c>
      <c r="G196">
        <f t="shared" si="16"/>
        <v>31181.591</v>
      </c>
      <c r="H196">
        <f t="shared" si="12"/>
        <v>31.033474814607541</v>
      </c>
      <c r="I196">
        <f t="shared" si="13"/>
        <v>28.907497482</v>
      </c>
      <c r="J196">
        <f t="shared" si="15"/>
        <v>28902.387481999998</v>
      </c>
      <c r="M196">
        <f t="shared" si="14"/>
        <v>21010</v>
      </c>
    </row>
    <row r="197" spans="1:13" x14ac:dyDescent="0.2">
      <c r="A197">
        <v>20</v>
      </c>
      <c r="B197">
        <v>11</v>
      </c>
      <c r="C197">
        <v>31</v>
      </c>
      <c r="D197" s="51" t="s">
        <v>9</v>
      </c>
      <c r="E197">
        <f>VLOOKUP(M197,'MASS - 2016'!$A$1:$G$3418,6,FALSE)</f>
        <v>12246.031000000001</v>
      </c>
      <c r="F197">
        <f>VLOOKUP(M197,'MASS - 2016'!$A$1:$G$3418,7,FALSE)</f>
        <v>13.972</v>
      </c>
      <c r="G197">
        <f t="shared" si="16"/>
        <v>12246.031000000001</v>
      </c>
      <c r="H197">
        <f t="shared" si="12"/>
        <v>31.013146654941476</v>
      </c>
      <c r="I197">
        <f t="shared" si="13"/>
        <v>28.888561922000001</v>
      </c>
      <c r="J197">
        <f t="shared" si="15"/>
        <v>28882.940922000002</v>
      </c>
      <c r="M197">
        <f t="shared" si="14"/>
        <v>20011</v>
      </c>
    </row>
    <row r="198" spans="1:13" x14ac:dyDescent="0.2">
      <c r="A198">
        <v>19</v>
      </c>
      <c r="B198">
        <v>12</v>
      </c>
      <c r="C198">
        <v>31</v>
      </c>
      <c r="D198" s="51" t="s">
        <v>10</v>
      </c>
      <c r="E198">
        <f>VLOOKUP(M198,'MASS - 2016'!$A$1:$G$3418,6,FALSE)</f>
        <v>-3122.1509999999998</v>
      </c>
      <c r="F198">
        <f>VLOOKUP(M198,'MASS - 2016'!$A$1:$G$3418,7,FALSE)</f>
        <v>3.0739999999999998</v>
      </c>
      <c r="G198">
        <f t="shared" si="16"/>
        <v>-3122.1509999999998</v>
      </c>
      <c r="H198">
        <f t="shared" si="12"/>
        <v>30.996648233058355</v>
      </c>
      <c r="I198">
        <f t="shared" si="13"/>
        <v>28.873193740000001</v>
      </c>
      <c r="J198">
        <f t="shared" si="15"/>
        <v>28867.061740000001</v>
      </c>
      <c r="M198">
        <f t="shared" si="14"/>
        <v>19012</v>
      </c>
    </row>
    <row r="199" spans="1:13" x14ac:dyDescent="0.2">
      <c r="A199">
        <v>18</v>
      </c>
      <c r="B199">
        <v>13</v>
      </c>
      <c r="C199">
        <v>31</v>
      </c>
      <c r="D199" s="51" t="s">
        <v>11</v>
      </c>
      <c r="E199">
        <f>VLOOKUP(M199,'MASS - 2016'!$A$1:$G$3418,6,FALSE)</f>
        <v>-14950.706</v>
      </c>
      <c r="F199">
        <f>VLOOKUP(M199,'MASS - 2016'!$A$1:$G$3418,7,FALSE)</f>
        <v>2.2360000000000002</v>
      </c>
      <c r="G199">
        <f t="shared" si="16"/>
        <v>-14950.706</v>
      </c>
      <c r="H199">
        <f t="shared" si="12"/>
        <v>30.98394975703447</v>
      </c>
      <c r="I199">
        <f t="shared" si="13"/>
        <v>28.861365185</v>
      </c>
      <c r="J199">
        <f t="shared" si="15"/>
        <v>28854.722184999999</v>
      </c>
      <c r="M199">
        <f t="shared" si="14"/>
        <v>18013</v>
      </c>
    </row>
    <row r="200" spans="1:13" x14ac:dyDescent="0.2">
      <c r="A200">
        <v>17</v>
      </c>
      <c r="B200">
        <v>14</v>
      </c>
      <c r="C200">
        <v>31</v>
      </c>
      <c r="D200" s="51" t="s">
        <v>12</v>
      </c>
      <c r="E200">
        <f>VLOOKUP(M200,'MASS - 2016'!$A$1:$G$3418,6,FALSE)</f>
        <v>-22949.036</v>
      </c>
      <c r="F200">
        <f>VLOOKUP(M200,'MASS - 2016'!$A$1:$G$3418,7,FALSE)</f>
        <v>4.2999999999999997E-2</v>
      </c>
      <c r="G200">
        <f t="shared" si="16"/>
        <v>-22949.036</v>
      </c>
      <c r="H200">
        <f t="shared" si="12"/>
        <v>30.97536319665274</v>
      </c>
      <c r="I200">
        <f t="shared" si="13"/>
        <v>28.853366855000001</v>
      </c>
      <c r="J200">
        <f t="shared" si="15"/>
        <v>28846.212855000002</v>
      </c>
      <c r="M200">
        <f t="shared" si="14"/>
        <v>17014</v>
      </c>
    </row>
    <row r="201" spans="1:13" x14ac:dyDescent="0.2">
      <c r="A201">
        <v>16</v>
      </c>
      <c r="B201">
        <v>15</v>
      </c>
      <c r="C201">
        <v>31</v>
      </c>
      <c r="D201" s="51" t="s">
        <v>13</v>
      </c>
      <c r="E201">
        <f>VLOOKUP(M201,'MASS - 2016'!$A$1:$G$3418,6,FALSE)</f>
        <v>-24440.540949999999</v>
      </c>
      <c r="F201">
        <f>VLOOKUP(M201,'MASS - 2016'!$A$1:$G$3418,7,FALSE)</f>
        <v>6.7000000000000002E-4</v>
      </c>
      <c r="G201">
        <f t="shared" si="16"/>
        <v>-24440.540949999999</v>
      </c>
      <c r="H201">
        <f t="shared" ref="H201:H264" si="17">(C201*$A$3+G201/1000000)/$A$3</f>
        <v>30.973762000238885</v>
      </c>
      <c r="I201">
        <f t="shared" ref="I201:I264" si="18">H201*$A$3</f>
        <v>28.851875350050001</v>
      </c>
      <c r="J201">
        <f t="shared" si="15"/>
        <v>28844.210350050002</v>
      </c>
      <c r="M201">
        <f t="shared" ref="M201:M264" si="19">1000*A201+B201</f>
        <v>16015</v>
      </c>
    </row>
    <row r="202" spans="1:13" x14ac:dyDescent="0.2">
      <c r="A202">
        <v>15</v>
      </c>
      <c r="B202">
        <v>16</v>
      </c>
      <c r="C202">
        <v>31</v>
      </c>
      <c r="D202" s="51" t="s">
        <v>14</v>
      </c>
      <c r="E202">
        <f>VLOOKUP(M202,'MASS - 2016'!$A$1:$G$3418,6,FALSE)</f>
        <v>-19042.525000000001</v>
      </c>
      <c r="F202">
        <f>VLOOKUP(M202,'MASS - 2016'!$A$1:$G$3418,7,FALSE)</f>
        <v>0.22900000000000001</v>
      </c>
      <c r="G202">
        <f t="shared" si="16"/>
        <v>-19042.525000000001</v>
      </c>
      <c r="H202">
        <f t="shared" si="17"/>
        <v>30.979557008683926</v>
      </c>
      <c r="I202">
        <f t="shared" si="18"/>
        <v>28.857273366000001</v>
      </c>
      <c r="J202">
        <f t="shared" si="15"/>
        <v>28849.097366000002</v>
      </c>
      <c r="M202">
        <f t="shared" si="19"/>
        <v>15016</v>
      </c>
    </row>
    <row r="203" spans="1:13" x14ac:dyDescent="0.2">
      <c r="A203">
        <v>14</v>
      </c>
      <c r="B203">
        <v>17</v>
      </c>
      <c r="C203">
        <v>31</v>
      </c>
      <c r="D203" s="51" t="s">
        <v>15</v>
      </c>
      <c r="E203">
        <f>VLOOKUP(M203,'MASS - 2016'!$A$1:$G$3418,6,FALSE)</f>
        <v>-7034.5510000000004</v>
      </c>
      <c r="F203">
        <f>VLOOKUP(M203,'MASS - 2016'!$A$1:$G$3418,7,FALSE)</f>
        <v>3.4470000000000001</v>
      </c>
      <c r="G203">
        <f t="shared" si="16"/>
        <v>-7034.5510000000004</v>
      </c>
      <c r="H203">
        <f t="shared" si="17"/>
        <v>30.992448098925667</v>
      </c>
      <c r="I203">
        <f t="shared" si="18"/>
        <v>28.869281340000001</v>
      </c>
      <c r="J203">
        <f t="shared" si="15"/>
        <v>28860.59434</v>
      </c>
      <c r="M203">
        <f t="shared" si="19"/>
        <v>14017</v>
      </c>
    </row>
    <row r="204" spans="1:13" x14ac:dyDescent="0.2">
      <c r="A204">
        <v>13</v>
      </c>
      <c r="B204">
        <v>18</v>
      </c>
      <c r="C204">
        <v>31</v>
      </c>
      <c r="D204" s="51" t="s">
        <v>16</v>
      </c>
      <c r="E204" t="str">
        <f>VLOOKUP(M204,'MASS - 2016'!$A$1:$G$3418,6,FALSE)</f>
        <v>11325#</v>
      </c>
      <c r="F204" t="str">
        <f>VLOOKUP(M204,'MASS - 2016'!$A$1:$G$3418,7,FALSE)</f>
        <v>200#</v>
      </c>
      <c r="G204">
        <f t="shared" si="16"/>
        <v>11325.01</v>
      </c>
      <c r="H204">
        <f t="shared" si="17"/>
        <v>31.012157898234847</v>
      </c>
      <c r="I204">
        <f t="shared" si="18"/>
        <v>28.887640901000001</v>
      </c>
      <c r="J204">
        <f t="shared" ref="J204:J267" si="20">1000*I204-B204*0.511</f>
        <v>28878.442901000002</v>
      </c>
      <c r="M204">
        <f t="shared" si="19"/>
        <v>13018</v>
      </c>
    </row>
    <row r="205" spans="1:13" x14ac:dyDescent="0.2">
      <c r="A205">
        <v>22</v>
      </c>
      <c r="B205">
        <v>10</v>
      </c>
      <c r="C205">
        <v>32</v>
      </c>
      <c r="D205" s="51" t="s">
        <v>8</v>
      </c>
      <c r="E205" t="str">
        <f>VLOOKUP(M205,'MASS - 2016'!$A$1:$G$3418,6,FALSE)</f>
        <v>36999#</v>
      </c>
      <c r="F205" t="str">
        <f>VLOOKUP(M205,'MASS - 2016'!$A$1:$G$3418,7,FALSE)</f>
        <v>503#</v>
      </c>
      <c r="G205">
        <f t="shared" si="16"/>
        <v>36999.01</v>
      </c>
      <c r="H205">
        <f t="shared" si="17"/>
        <v>32.039720070743421</v>
      </c>
      <c r="I205">
        <f t="shared" si="18"/>
        <v>29.844808961999995</v>
      </c>
      <c r="J205">
        <f t="shared" si="20"/>
        <v>29839.698961999995</v>
      </c>
      <c r="M205">
        <f t="shared" si="19"/>
        <v>22010</v>
      </c>
    </row>
    <row r="206" spans="1:13" x14ac:dyDescent="0.2">
      <c r="A206">
        <v>21</v>
      </c>
      <c r="B206">
        <v>11</v>
      </c>
      <c r="C206">
        <v>32</v>
      </c>
      <c r="D206" s="51" t="s">
        <v>9</v>
      </c>
      <c r="E206">
        <f>VLOOKUP(M206,'MASS - 2016'!$A$1:$G$3418,6,FALSE)</f>
        <v>18640.151000000002</v>
      </c>
      <c r="F206">
        <f>VLOOKUP(M206,'MASS - 2016'!$A$1:$G$3418,7,FALSE)</f>
        <v>37.26</v>
      </c>
      <c r="G206">
        <f t="shared" si="16"/>
        <v>18640.151000000002</v>
      </c>
      <c r="H206">
        <f t="shared" si="17"/>
        <v>32.020011025062239</v>
      </c>
      <c r="I206">
        <f t="shared" si="18"/>
        <v>29.826450102999996</v>
      </c>
      <c r="J206">
        <f t="shared" si="20"/>
        <v>29820.829102999996</v>
      </c>
      <c r="M206">
        <f t="shared" si="19"/>
        <v>21011</v>
      </c>
    </row>
    <row r="207" spans="1:13" x14ac:dyDescent="0.2">
      <c r="A207">
        <v>20</v>
      </c>
      <c r="B207">
        <v>12</v>
      </c>
      <c r="C207">
        <v>32</v>
      </c>
      <c r="D207" s="51" t="s">
        <v>10</v>
      </c>
      <c r="E207">
        <f>VLOOKUP(M207,'MASS - 2016'!$A$1:$G$3418,6,FALSE)</f>
        <v>-828.9</v>
      </c>
      <c r="F207">
        <f>VLOOKUP(M207,'MASS - 2016'!$A$1:$G$3418,7,FALSE)</f>
        <v>3.26</v>
      </c>
      <c r="G207">
        <f t="shared" ref="G207:G270" si="21">IF(ISNUMBER(E207),E207,VALUE(SUBSTITUTE(E207,"#",".01")))</f>
        <v>-828.9</v>
      </c>
      <c r="H207">
        <f t="shared" si="17"/>
        <v>31.999110139254018</v>
      </c>
      <c r="I207">
        <f t="shared" si="18"/>
        <v>29.806981052000001</v>
      </c>
      <c r="J207">
        <f t="shared" si="20"/>
        <v>29800.849052000001</v>
      </c>
      <c r="M207">
        <f t="shared" si="19"/>
        <v>20012</v>
      </c>
    </row>
    <row r="208" spans="1:13" x14ac:dyDescent="0.2">
      <c r="A208">
        <v>19</v>
      </c>
      <c r="B208">
        <v>13</v>
      </c>
      <c r="C208">
        <v>32</v>
      </c>
      <c r="D208" s="51" t="s">
        <v>11</v>
      </c>
      <c r="E208">
        <f>VLOOKUP(M208,'MASS - 2016'!$A$1:$G$3418,6,FALSE)</f>
        <v>-11099.367</v>
      </c>
      <c r="F208">
        <f>VLOOKUP(M208,'MASS - 2016'!$A$1:$G$3418,7,FALSE)</f>
        <v>7.173</v>
      </c>
      <c r="G208">
        <f t="shared" si="21"/>
        <v>-11099.367</v>
      </c>
      <c r="H208">
        <f t="shared" si="17"/>
        <v>31.988084339487806</v>
      </c>
      <c r="I208">
        <f t="shared" si="18"/>
        <v>29.796710585</v>
      </c>
      <c r="J208">
        <f t="shared" si="20"/>
        <v>29790.067585000001</v>
      </c>
      <c r="M208">
        <f t="shared" si="19"/>
        <v>19013</v>
      </c>
    </row>
    <row r="209" spans="1:13" x14ac:dyDescent="0.2">
      <c r="A209">
        <v>18</v>
      </c>
      <c r="B209">
        <v>14</v>
      </c>
      <c r="C209">
        <v>32</v>
      </c>
      <c r="D209" s="51" t="s">
        <v>12</v>
      </c>
      <c r="E209">
        <f>VLOOKUP(M209,'MASS - 2016'!$A$1:$G$3418,6,FALSE)</f>
        <v>-24077.686000000002</v>
      </c>
      <c r="F209">
        <f>VLOOKUP(M209,'MASS - 2016'!$A$1:$G$3418,7,FALSE)</f>
        <v>0.29799999999999999</v>
      </c>
      <c r="G209">
        <f t="shared" si="21"/>
        <v>-24077.686000000002</v>
      </c>
      <c r="H209">
        <f t="shared" si="17"/>
        <v>31.974151541047778</v>
      </c>
      <c r="I209">
        <f t="shared" si="18"/>
        <v>29.783732266000001</v>
      </c>
      <c r="J209">
        <f t="shared" si="20"/>
        <v>29776.578266000004</v>
      </c>
      <c r="M209">
        <f t="shared" si="19"/>
        <v>18014</v>
      </c>
    </row>
    <row r="210" spans="1:13" x14ac:dyDescent="0.2">
      <c r="A210">
        <v>17</v>
      </c>
      <c r="B210">
        <v>15</v>
      </c>
      <c r="C210">
        <v>32</v>
      </c>
      <c r="D210" s="51" t="s">
        <v>13</v>
      </c>
      <c r="E210">
        <f>VLOOKUP(M210,'MASS - 2016'!$A$1:$G$3418,6,FALSE)</f>
        <v>-24304.874</v>
      </c>
      <c r="F210">
        <f>VLOOKUP(M210,'MASS - 2016'!$A$1:$G$3418,7,FALSE)</f>
        <v>0.04</v>
      </c>
      <c r="G210">
        <f t="shared" si="21"/>
        <v>-24304.874</v>
      </c>
      <c r="H210">
        <f t="shared" si="17"/>
        <v>31.973907644699413</v>
      </c>
      <c r="I210">
        <f t="shared" si="18"/>
        <v>29.783505078000001</v>
      </c>
      <c r="J210">
        <f t="shared" si="20"/>
        <v>29775.840078000001</v>
      </c>
      <c r="M210">
        <f t="shared" si="19"/>
        <v>17015</v>
      </c>
    </row>
    <row r="211" spans="1:13" x14ac:dyDescent="0.2">
      <c r="A211">
        <v>16</v>
      </c>
      <c r="B211">
        <v>16</v>
      </c>
      <c r="C211">
        <v>32</v>
      </c>
      <c r="D211" s="51" t="s">
        <v>14</v>
      </c>
      <c r="E211">
        <f>VLOOKUP(M211,'MASS - 2016'!$A$1:$G$3418,6,FALSE)</f>
        <v>-26015.53355</v>
      </c>
      <c r="F211">
        <f>VLOOKUP(M211,'MASS - 2016'!$A$1:$G$3418,7,FALSE)</f>
        <v>1.32E-3</v>
      </c>
      <c r="G211">
        <f t="shared" si="21"/>
        <v>-26015.53355</v>
      </c>
      <c r="H211">
        <f t="shared" si="17"/>
        <v>31.972071176146766</v>
      </c>
      <c r="I211">
        <f t="shared" si="18"/>
        <v>29.781794418449998</v>
      </c>
      <c r="J211">
        <f t="shared" si="20"/>
        <v>29773.618418449998</v>
      </c>
      <c r="M211">
        <f t="shared" si="19"/>
        <v>16016</v>
      </c>
    </row>
    <row r="212" spans="1:13" x14ac:dyDescent="0.2">
      <c r="A212">
        <v>15</v>
      </c>
      <c r="B212">
        <v>17</v>
      </c>
      <c r="C212">
        <v>32</v>
      </c>
      <c r="D212" s="51" t="s">
        <v>15</v>
      </c>
      <c r="E212">
        <f>VLOOKUP(M212,'MASS - 2016'!$A$1:$G$3418,6,FALSE)</f>
        <v>-13334.674000000001</v>
      </c>
      <c r="F212">
        <f>VLOOKUP(M212,'MASS - 2016'!$A$1:$G$3418,7,FALSE)</f>
        <v>0.56200000000000006</v>
      </c>
      <c r="G212">
        <f t="shared" si="21"/>
        <v>-13334.674000000001</v>
      </c>
      <c r="H212">
        <f t="shared" si="17"/>
        <v>31.985684638734377</v>
      </c>
      <c r="I212">
        <f t="shared" si="18"/>
        <v>29.794475278</v>
      </c>
      <c r="J212">
        <f t="shared" si="20"/>
        <v>29785.788278</v>
      </c>
      <c r="M212">
        <f t="shared" si="19"/>
        <v>15017</v>
      </c>
    </row>
    <row r="213" spans="1:13" x14ac:dyDescent="0.2">
      <c r="A213">
        <v>14</v>
      </c>
      <c r="B213">
        <v>18</v>
      </c>
      <c r="C213">
        <v>32</v>
      </c>
      <c r="D213" s="51" t="s">
        <v>16</v>
      </c>
      <c r="E213">
        <f>VLOOKUP(M213,'MASS - 2016'!$A$1:$G$3418,6,FALSE)</f>
        <v>-2200.3510000000001</v>
      </c>
      <c r="F213">
        <f>VLOOKUP(M213,'MASS - 2016'!$A$1:$G$3418,7,FALSE)</f>
        <v>1.77</v>
      </c>
      <c r="G213">
        <f t="shared" si="21"/>
        <v>-2200.3510000000001</v>
      </c>
      <c r="H213">
        <f t="shared" si="17"/>
        <v>31.997637826055879</v>
      </c>
      <c r="I213">
        <f t="shared" si="18"/>
        <v>29.805609601</v>
      </c>
      <c r="J213">
        <f t="shared" si="20"/>
        <v>29796.411601</v>
      </c>
      <c r="M213">
        <f t="shared" si="19"/>
        <v>14018</v>
      </c>
    </row>
    <row r="214" spans="1:13" x14ac:dyDescent="0.2">
      <c r="A214">
        <v>13</v>
      </c>
      <c r="B214">
        <v>19</v>
      </c>
      <c r="C214">
        <v>32</v>
      </c>
      <c r="D214" s="51" t="s">
        <v>17</v>
      </c>
      <c r="E214" t="str">
        <f>VLOOKUP(M214,'MASS - 2016'!$A$1:$G$3418,6,FALSE)</f>
        <v>21098#</v>
      </c>
      <c r="F214" t="str">
        <f>VLOOKUP(M214,'MASS - 2016'!$A$1:$G$3418,7,FALSE)</f>
        <v>401#</v>
      </c>
      <c r="G214">
        <f t="shared" si="21"/>
        <v>21098.01</v>
      </c>
      <c r="H214">
        <f t="shared" si="17"/>
        <v>32.022649645213356</v>
      </c>
      <c r="I214">
        <f t="shared" si="18"/>
        <v>29.828907961999999</v>
      </c>
      <c r="J214">
        <f t="shared" si="20"/>
        <v>29819.198961999999</v>
      </c>
      <c r="M214">
        <f t="shared" si="19"/>
        <v>13019</v>
      </c>
    </row>
    <row r="215" spans="1:13" x14ac:dyDescent="0.2">
      <c r="A215">
        <v>22</v>
      </c>
      <c r="B215">
        <v>11</v>
      </c>
      <c r="C215">
        <v>33</v>
      </c>
      <c r="D215" s="51" t="s">
        <v>9</v>
      </c>
      <c r="E215">
        <f>VLOOKUP(M215,'MASS - 2016'!$A$1:$G$3418,6,FALSE)</f>
        <v>23780.11</v>
      </c>
      <c r="F215">
        <f>VLOOKUP(M215,'MASS - 2016'!$A$1:$G$3418,7,FALSE)</f>
        <v>449.91199999999998</v>
      </c>
      <c r="G215">
        <f t="shared" si="21"/>
        <v>23780.11</v>
      </c>
      <c r="H215">
        <f t="shared" si="17"/>
        <v>33.025528997978228</v>
      </c>
      <c r="I215">
        <f t="shared" si="18"/>
        <v>30.763084122999999</v>
      </c>
      <c r="J215">
        <f t="shared" si="20"/>
        <v>30757.463123000001</v>
      </c>
      <c r="M215">
        <f t="shared" si="19"/>
        <v>22011</v>
      </c>
    </row>
    <row r="216" spans="1:13" x14ac:dyDescent="0.2">
      <c r="A216">
        <v>21</v>
      </c>
      <c r="B216">
        <v>12</v>
      </c>
      <c r="C216">
        <v>33</v>
      </c>
      <c r="D216" s="51" t="s">
        <v>10</v>
      </c>
      <c r="E216">
        <f>VLOOKUP(M216,'MASS - 2016'!$A$1:$G$3418,6,FALSE)</f>
        <v>4962.2969999999996</v>
      </c>
      <c r="F216">
        <f>VLOOKUP(M216,'MASS - 2016'!$A$1:$G$3418,7,FALSE)</f>
        <v>2.8879999999999999</v>
      </c>
      <c r="G216">
        <f t="shared" si="21"/>
        <v>4962.2969999999996</v>
      </c>
      <c r="H216">
        <f t="shared" si="17"/>
        <v>33.005327244915193</v>
      </c>
      <c r="I216">
        <f t="shared" si="18"/>
        <v>30.744266309999993</v>
      </c>
      <c r="J216">
        <f t="shared" si="20"/>
        <v>30738.13430999999</v>
      </c>
      <c r="M216">
        <f t="shared" si="19"/>
        <v>21012</v>
      </c>
    </row>
    <row r="217" spans="1:13" x14ac:dyDescent="0.2">
      <c r="A217">
        <v>20</v>
      </c>
      <c r="B217">
        <v>13</v>
      </c>
      <c r="C217">
        <v>33</v>
      </c>
      <c r="D217" s="51" t="s">
        <v>11</v>
      </c>
      <c r="E217">
        <f>VLOOKUP(M217,'MASS - 2016'!$A$1:$G$3418,6,FALSE)</f>
        <v>-8497.3799999999992</v>
      </c>
      <c r="F217">
        <f>VLOOKUP(M217,'MASS - 2016'!$A$1:$G$3418,7,FALSE)</f>
        <v>6.9859999999999998</v>
      </c>
      <c r="G217">
        <f t="shared" si="21"/>
        <v>-8497.3799999999992</v>
      </c>
      <c r="H217">
        <f t="shared" si="17"/>
        <v>32.990877687410183</v>
      </c>
      <c r="I217">
        <f t="shared" si="18"/>
        <v>30.730806633</v>
      </c>
      <c r="J217">
        <f t="shared" si="20"/>
        <v>30724.163633</v>
      </c>
      <c r="M217">
        <f t="shared" si="19"/>
        <v>20013</v>
      </c>
    </row>
    <row r="218" spans="1:13" x14ac:dyDescent="0.2">
      <c r="A218">
        <v>19</v>
      </c>
      <c r="B218">
        <v>14</v>
      </c>
      <c r="C218">
        <v>33</v>
      </c>
      <c r="D218" s="51" t="s">
        <v>12</v>
      </c>
      <c r="E218">
        <f>VLOOKUP(M218,'MASS - 2016'!$A$1:$G$3418,6,FALSE)</f>
        <v>-20514.325000000001</v>
      </c>
      <c r="F218">
        <f>VLOOKUP(M218,'MASS - 2016'!$A$1:$G$3418,7,FALSE)</f>
        <v>0.69899999999999995</v>
      </c>
      <c r="G218">
        <f t="shared" si="21"/>
        <v>-20514.325000000001</v>
      </c>
      <c r="H218">
        <f t="shared" si="17"/>
        <v>32.977976966403865</v>
      </c>
      <c r="I218">
        <f t="shared" si="18"/>
        <v>30.718789687999998</v>
      </c>
      <c r="J218">
        <f t="shared" si="20"/>
        <v>30711.635687999998</v>
      </c>
      <c r="M218">
        <f t="shared" si="19"/>
        <v>19014</v>
      </c>
    </row>
    <row r="219" spans="1:13" x14ac:dyDescent="0.2">
      <c r="A219">
        <v>18</v>
      </c>
      <c r="B219">
        <v>15</v>
      </c>
      <c r="C219">
        <v>33</v>
      </c>
      <c r="D219" s="51" t="s">
        <v>13</v>
      </c>
      <c r="E219">
        <f>VLOOKUP(M219,'MASS - 2016'!$A$1:$G$3418,6,FALSE)</f>
        <v>-26337.346000000001</v>
      </c>
      <c r="F219">
        <f>VLOOKUP(M219,'MASS - 2016'!$A$1:$G$3418,7,FALSE)</f>
        <v>1.0900000000000001</v>
      </c>
      <c r="G219">
        <f t="shared" si="21"/>
        <v>-26337.346000000001</v>
      </c>
      <c r="H219">
        <f t="shared" si="17"/>
        <v>32.971725696273658</v>
      </c>
      <c r="I219">
        <f t="shared" si="18"/>
        <v>30.712966667000003</v>
      </c>
      <c r="J219">
        <f t="shared" si="20"/>
        <v>30705.301667000003</v>
      </c>
      <c r="M219">
        <f t="shared" si="19"/>
        <v>18015</v>
      </c>
    </row>
    <row r="220" spans="1:13" x14ac:dyDescent="0.2">
      <c r="A220">
        <v>17</v>
      </c>
      <c r="B220">
        <v>16</v>
      </c>
      <c r="C220">
        <v>33</v>
      </c>
      <c r="D220" s="51" t="s">
        <v>14</v>
      </c>
      <c r="E220">
        <f>VLOOKUP(M220,'MASS - 2016'!$A$1:$G$3418,6,FALSE)</f>
        <v>-26585.854340000002</v>
      </c>
      <c r="F220">
        <f>VLOOKUP(M220,'MASS - 2016'!$A$1:$G$3418,7,FALSE)</f>
        <v>1.3500000000000001E-3</v>
      </c>
      <c r="G220">
        <f t="shared" si="21"/>
        <v>-26585.854340000002</v>
      </c>
      <c r="H220">
        <f t="shared" si="17"/>
        <v>32.971458911599008</v>
      </c>
      <c r="I220">
        <f t="shared" si="18"/>
        <v>30.71271815866</v>
      </c>
      <c r="J220">
        <f t="shared" si="20"/>
        <v>30704.542158659999</v>
      </c>
      <c r="M220">
        <f t="shared" si="19"/>
        <v>17016</v>
      </c>
    </row>
    <row r="221" spans="1:13" x14ac:dyDescent="0.2">
      <c r="A221">
        <v>16</v>
      </c>
      <c r="B221">
        <v>17</v>
      </c>
      <c r="C221">
        <v>33</v>
      </c>
      <c r="D221" s="51" t="s">
        <v>15</v>
      </c>
      <c r="E221">
        <f>VLOOKUP(M221,'MASS - 2016'!$A$1:$G$3418,6,FALSE)</f>
        <v>-21003.337</v>
      </c>
      <c r="F221">
        <f>VLOOKUP(M221,'MASS - 2016'!$A$1:$G$3418,7,FALSE)</f>
        <v>0.39100000000000001</v>
      </c>
      <c r="G221">
        <f t="shared" si="21"/>
        <v>-21003.337</v>
      </c>
      <c r="H221">
        <f t="shared" si="17"/>
        <v>32.977451990431959</v>
      </c>
      <c r="I221">
        <f t="shared" si="18"/>
        <v>30.718300675999998</v>
      </c>
      <c r="J221">
        <f t="shared" si="20"/>
        <v>30709.613675999997</v>
      </c>
      <c r="M221">
        <f t="shared" si="19"/>
        <v>16017</v>
      </c>
    </row>
    <row r="222" spans="1:13" x14ac:dyDescent="0.2">
      <c r="A222">
        <v>15</v>
      </c>
      <c r="B222">
        <v>18</v>
      </c>
      <c r="C222">
        <v>33</v>
      </c>
      <c r="D222" s="51" t="s">
        <v>16</v>
      </c>
      <c r="E222">
        <f>VLOOKUP(M222,'MASS - 2016'!$A$1:$G$3418,6,FALSE)</f>
        <v>-9384.2919999999995</v>
      </c>
      <c r="F222">
        <f>VLOOKUP(M222,'MASS - 2016'!$A$1:$G$3418,7,FALSE)</f>
        <v>0.40100000000000002</v>
      </c>
      <c r="G222">
        <f t="shared" si="21"/>
        <v>-9384.2919999999995</v>
      </c>
      <c r="H222">
        <f t="shared" si="17"/>
        <v>32.989925548220967</v>
      </c>
      <c r="I222">
        <f t="shared" si="18"/>
        <v>30.729919720999998</v>
      </c>
      <c r="J222">
        <f t="shared" si="20"/>
        <v>30720.721720999998</v>
      </c>
      <c r="M222">
        <f t="shared" si="19"/>
        <v>15018</v>
      </c>
    </row>
    <row r="223" spans="1:13" x14ac:dyDescent="0.2">
      <c r="A223">
        <v>14</v>
      </c>
      <c r="B223">
        <v>19</v>
      </c>
      <c r="C223">
        <v>33</v>
      </c>
      <c r="D223" s="51" t="s">
        <v>17</v>
      </c>
      <c r="E223" t="str">
        <f>VLOOKUP(M223,'MASS - 2016'!$A$1:$G$3418,6,FALSE)</f>
        <v>7042#</v>
      </c>
      <c r="F223" t="str">
        <f>VLOOKUP(M223,'MASS - 2016'!$A$1:$G$3418,7,FALSE)</f>
        <v>196#</v>
      </c>
      <c r="G223">
        <f t="shared" si="21"/>
        <v>7042.01</v>
      </c>
      <c r="H223">
        <f t="shared" si="17"/>
        <v>33.007559908640147</v>
      </c>
      <c r="I223">
        <f t="shared" si="18"/>
        <v>30.746346022999997</v>
      </c>
      <c r="J223">
        <f t="shared" si="20"/>
        <v>30736.637022999999</v>
      </c>
      <c r="M223">
        <f t="shared" si="19"/>
        <v>14019</v>
      </c>
    </row>
    <row r="224" spans="1:13" x14ac:dyDescent="0.2">
      <c r="A224">
        <v>23</v>
      </c>
      <c r="B224">
        <v>11</v>
      </c>
      <c r="C224">
        <v>34</v>
      </c>
      <c r="D224" s="51" t="s">
        <v>9</v>
      </c>
      <c r="E224">
        <f>VLOOKUP(M224,'MASS - 2016'!$A$1:$G$3418,6,FALSE)</f>
        <v>31680.111000000001</v>
      </c>
      <c r="F224">
        <f>VLOOKUP(M224,'MASS - 2016'!$A$1:$G$3418,7,FALSE)</f>
        <v>599.41600000000005</v>
      </c>
      <c r="G224">
        <f t="shared" si="21"/>
        <v>31680.111000000001</v>
      </c>
      <c r="H224">
        <f t="shared" si="17"/>
        <v>34.034009997837231</v>
      </c>
      <c r="I224">
        <f t="shared" si="18"/>
        <v>31.702478185000004</v>
      </c>
      <c r="J224">
        <f t="shared" si="20"/>
        <v>31696.857185000004</v>
      </c>
      <c r="M224">
        <f t="shared" si="19"/>
        <v>23011</v>
      </c>
    </row>
    <row r="225" spans="1:13" x14ac:dyDescent="0.2">
      <c r="A225">
        <v>22</v>
      </c>
      <c r="B225">
        <v>12</v>
      </c>
      <c r="C225">
        <v>34</v>
      </c>
      <c r="D225" s="51" t="s">
        <v>10</v>
      </c>
      <c r="E225">
        <f>VLOOKUP(M225,'MASS - 2016'!$A$1:$G$3418,6,FALSE)</f>
        <v>8323.348</v>
      </c>
      <c r="F225">
        <f>VLOOKUP(M225,'MASS - 2016'!$A$1:$G$3418,7,FALSE)</f>
        <v>28.876000000000001</v>
      </c>
      <c r="G225">
        <f t="shared" si="21"/>
        <v>8323.348</v>
      </c>
      <c r="H225">
        <f t="shared" si="17"/>
        <v>34.008935481554296</v>
      </c>
      <c r="I225">
        <f t="shared" si="18"/>
        <v>31.679121422000001</v>
      </c>
      <c r="J225">
        <f t="shared" si="20"/>
        <v>31672.989421999999</v>
      </c>
      <c r="M225">
        <f t="shared" si="19"/>
        <v>22012</v>
      </c>
    </row>
    <row r="226" spans="1:13" x14ac:dyDescent="0.2">
      <c r="A226">
        <v>21</v>
      </c>
      <c r="B226">
        <v>13</v>
      </c>
      <c r="C226">
        <v>34</v>
      </c>
      <c r="D226" s="51" t="s">
        <v>11</v>
      </c>
      <c r="E226">
        <f>VLOOKUP(M226,'MASS - 2016'!$A$1:$G$3418,6,FALSE)</f>
        <v>-3000.2890000000002</v>
      </c>
      <c r="F226">
        <f>VLOOKUP(M226,'MASS - 2016'!$A$1:$G$3418,7,FALSE)</f>
        <v>3.0739999999999998</v>
      </c>
      <c r="G226">
        <f t="shared" si="21"/>
        <v>-3000.2890000000002</v>
      </c>
      <c r="H226">
        <f t="shared" si="17"/>
        <v>33.996779057295569</v>
      </c>
      <c r="I226">
        <f t="shared" si="18"/>
        <v>31.667797785000001</v>
      </c>
      <c r="J226">
        <f t="shared" si="20"/>
        <v>31661.154785000002</v>
      </c>
      <c r="M226">
        <f t="shared" si="19"/>
        <v>21013</v>
      </c>
    </row>
    <row r="227" spans="1:13" x14ac:dyDescent="0.2">
      <c r="A227">
        <v>20</v>
      </c>
      <c r="B227">
        <v>14</v>
      </c>
      <c r="C227">
        <v>34</v>
      </c>
      <c r="D227" s="51" t="s">
        <v>12</v>
      </c>
      <c r="E227">
        <f>VLOOKUP(M227,'MASS - 2016'!$A$1:$G$3418,6,FALSE)</f>
        <v>-19956.851999999999</v>
      </c>
      <c r="F227">
        <f>VLOOKUP(M227,'MASS - 2016'!$A$1:$G$3418,7,FALSE)</f>
        <v>14.118</v>
      </c>
      <c r="G227">
        <f t="shared" si="21"/>
        <v>-19956.851999999999</v>
      </c>
      <c r="H227">
        <f t="shared" si="17"/>
        <v>33.978575438281837</v>
      </c>
      <c r="I227">
        <f t="shared" si="18"/>
        <v>31.650841222000004</v>
      </c>
      <c r="J227">
        <f t="shared" si="20"/>
        <v>31643.687222000004</v>
      </c>
      <c r="M227">
        <f t="shared" si="19"/>
        <v>20014</v>
      </c>
    </row>
    <row r="228" spans="1:13" x14ac:dyDescent="0.2">
      <c r="A228">
        <v>19</v>
      </c>
      <c r="B228">
        <v>15</v>
      </c>
      <c r="C228">
        <v>34</v>
      </c>
      <c r="D228" s="51" t="s">
        <v>13</v>
      </c>
      <c r="E228">
        <f>VLOOKUP(M228,'MASS - 2016'!$A$1:$G$3418,6,FALSE)</f>
        <v>-24548.698</v>
      </c>
      <c r="F228">
        <f>VLOOKUP(M228,'MASS - 2016'!$A$1:$G$3418,7,FALSE)</f>
        <v>0.81</v>
      </c>
      <c r="G228">
        <f t="shared" si="21"/>
        <v>-24548.698</v>
      </c>
      <c r="H228">
        <f t="shared" si="17"/>
        <v>33.973645888870571</v>
      </c>
      <c r="I228">
        <f t="shared" si="18"/>
        <v>31.646249376000004</v>
      </c>
      <c r="J228">
        <f t="shared" si="20"/>
        <v>31638.584376000003</v>
      </c>
      <c r="M228">
        <f t="shared" si="19"/>
        <v>19015</v>
      </c>
    </row>
    <row r="229" spans="1:13" x14ac:dyDescent="0.2">
      <c r="A229">
        <v>18</v>
      </c>
      <c r="B229">
        <v>16</v>
      </c>
      <c r="C229">
        <v>34</v>
      </c>
      <c r="D229" s="51" t="s">
        <v>14</v>
      </c>
      <c r="E229">
        <f>VLOOKUP(M229,'MASS - 2016'!$A$1:$G$3418,6,FALSE)</f>
        <v>-29931.685000000001</v>
      </c>
      <c r="F229">
        <f>VLOOKUP(M229,'MASS - 2016'!$A$1:$G$3418,7,FALSE)</f>
        <v>4.4999999999999998E-2</v>
      </c>
      <c r="G229">
        <f t="shared" si="21"/>
        <v>-29931.685000000001</v>
      </c>
      <c r="H229">
        <f t="shared" si="17"/>
        <v>33.967867014666879</v>
      </c>
      <c r="I229">
        <f t="shared" si="18"/>
        <v>31.640866388999996</v>
      </c>
      <c r="J229">
        <f t="shared" si="20"/>
        <v>31632.690388999996</v>
      </c>
      <c r="M229">
        <f t="shared" si="19"/>
        <v>18016</v>
      </c>
    </row>
    <row r="230" spans="1:13" x14ac:dyDescent="0.2">
      <c r="A230">
        <v>17</v>
      </c>
      <c r="B230">
        <v>17</v>
      </c>
      <c r="C230">
        <v>34</v>
      </c>
      <c r="D230" s="51" t="s">
        <v>15</v>
      </c>
      <c r="E230">
        <f>VLOOKUP(M230,'MASS - 2016'!$A$1:$G$3418,6,FALSE)</f>
        <v>-24440.081999999999</v>
      </c>
      <c r="F230">
        <f>VLOOKUP(M230,'MASS - 2016'!$A$1:$G$3418,7,FALSE)</f>
        <v>4.9000000000000002E-2</v>
      </c>
      <c r="G230">
        <f t="shared" si="21"/>
        <v>-24440.081999999999</v>
      </c>
      <c r="H230">
        <f t="shared" si="17"/>
        <v>33.973762492941972</v>
      </c>
      <c r="I230">
        <f t="shared" si="18"/>
        <v>31.646357992000002</v>
      </c>
      <c r="J230">
        <f t="shared" si="20"/>
        <v>31637.670991999999</v>
      </c>
      <c r="M230">
        <f t="shared" si="19"/>
        <v>17017</v>
      </c>
    </row>
    <row r="231" spans="1:13" x14ac:dyDescent="0.2">
      <c r="A231">
        <v>16</v>
      </c>
      <c r="B231">
        <v>18</v>
      </c>
      <c r="C231">
        <v>34</v>
      </c>
      <c r="D231" s="51" t="s">
        <v>16</v>
      </c>
      <c r="E231">
        <f>VLOOKUP(M231,'MASS - 2016'!$A$1:$G$3418,6,FALSE)</f>
        <v>-18378.29</v>
      </c>
      <c r="F231">
        <f>VLOOKUP(M231,'MASS - 2016'!$A$1:$G$3418,7,FALSE)</f>
        <v>7.8E-2</v>
      </c>
      <c r="G231">
        <f t="shared" si="21"/>
        <v>-18378.29</v>
      </c>
      <c r="H231">
        <f t="shared" si="17"/>
        <v>33.980270094282439</v>
      </c>
      <c r="I231">
        <f t="shared" si="18"/>
        <v>31.652419784000003</v>
      </c>
      <c r="J231">
        <f t="shared" si="20"/>
        <v>31643.221784000001</v>
      </c>
      <c r="M231">
        <f t="shared" si="19"/>
        <v>16018</v>
      </c>
    </row>
    <row r="232" spans="1:13" x14ac:dyDescent="0.2">
      <c r="A232">
        <v>15</v>
      </c>
      <c r="B232">
        <v>19</v>
      </c>
      <c r="C232">
        <v>34</v>
      </c>
      <c r="D232" s="51" t="s">
        <v>17</v>
      </c>
      <c r="E232" t="str">
        <f>VLOOKUP(M232,'MASS - 2016'!$A$1:$G$3418,6,FALSE)</f>
        <v>-1220#</v>
      </c>
      <c r="F232" t="str">
        <f>VLOOKUP(M232,'MASS - 2016'!$A$1:$G$3418,7,FALSE)</f>
        <v>196#</v>
      </c>
      <c r="G232">
        <f t="shared" si="21"/>
        <v>-1220.01</v>
      </c>
      <c r="H232">
        <f t="shared" si="17"/>
        <v>33.998690265401486</v>
      </c>
      <c r="I232">
        <f t="shared" si="18"/>
        <v>31.669578063999996</v>
      </c>
      <c r="J232">
        <f t="shared" si="20"/>
        <v>31659.869063999999</v>
      </c>
      <c r="M232">
        <f t="shared" si="19"/>
        <v>15019</v>
      </c>
    </row>
    <row r="233" spans="1:13" x14ac:dyDescent="0.2">
      <c r="A233">
        <v>14</v>
      </c>
      <c r="B233">
        <v>20</v>
      </c>
      <c r="C233">
        <v>34</v>
      </c>
      <c r="D233" s="51" t="s">
        <v>18</v>
      </c>
      <c r="E233" t="str">
        <f>VLOOKUP(M233,'MASS - 2016'!$A$1:$G$3418,6,FALSE)</f>
        <v>13851#</v>
      </c>
      <c r="F233" t="str">
        <f>VLOOKUP(M233,'MASS - 2016'!$A$1:$G$3418,7,FALSE)</f>
        <v>298#</v>
      </c>
      <c r="G233">
        <f t="shared" si="21"/>
        <v>13851.01</v>
      </c>
      <c r="H233">
        <f t="shared" si="17"/>
        <v>34.014869670757889</v>
      </c>
      <c r="I233">
        <f t="shared" si="18"/>
        <v>31.684649084</v>
      </c>
      <c r="J233">
        <f t="shared" si="20"/>
        <v>31674.429083999999</v>
      </c>
      <c r="M233">
        <f t="shared" si="19"/>
        <v>14020</v>
      </c>
    </row>
    <row r="234" spans="1:13" x14ac:dyDescent="0.2">
      <c r="A234">
        <v>24</v>
      </c>
      <c r="B234">
        <v>11</v>
      </c>
      <c r="C234">
        <v>35</v>
      </c>
      <c r="D234" s="51" t="s">
        <v>9</v>
      </c>
      <c r="E234" t="str">
        <f>VLOOKUP(M234,'MASS - 2016'!$A$1:$G$3418,6,FALSE)</f>
        <v>38231#</v>
      </c>
      <c r="F234" t="str">
        <f>VLOOKUP(M234,'MASS - 2016'!$A$1:$G$3418,7,FALSE)</f>
        <v>670#</v>
      </c>
      <c r="G234">
        <f t="shared" si="21"/>
        <v>38231.01</v>
      </c>
      <c r="H234">
        <f t="shared" si="17"/>
        <v>35.041042677136289</v>
      </c>
      <c r="I234">
        <f t="shared" si="18"/>
        <v>32.640523144999996</v>
      </c>
      <c r="J234">
        <f t="shared" si="20"/>
        <v>32634.902144999996</v>
      </c>
      <c r="M234">
        <f t="shared" si="19"/>
        <v>24011</v>
      </c>
    </row>
    <row r="235" spans="1:13" x14ac:dyDescent="0.2">
      <c r="A235">
        <v>23</v>
      </c>
      <c r="B235">
        <v>12</v>
      </c>
      <c r="C235">
        <v>35</v>
      </c>
      <c r="D235" s="51" t="s">
        <v>10</v>
      </c>
      <c r="E235">
        <f>VLOOKUP(M235,'MASS - 2016'!$A$1:$G$3418,6,FALSE)</f>
        <v>15639.784</v>
      </c>
      <c r="F235">
        <f>VLOOKUP(M235,'MASS - 2016'!$A$1:$G$3418,7,FALSE)</f>
        <v>269.66800000000001</v>
      </c>
      <c r="G235">
        <f t="shared" si="21"/>
        <v>15639.784</v>
      </c>
      <c r="H235">
        <f t="shared" si="17"/>
        <v>35.016789998621363</v>
      </c>
      <c r="I235">
        <f t="shared" si="18"/>
        <v>32.617931919</v>
      </c>
      <c r="J235">
        <f t="shared" si="20"/>
        <v>32611.799918999997</v>
      </c>
      <c r="M235">
        <f t="shared" si="19"/>
        <v>23012</v>
      </c>
    </row>
    <row r="236" spans="1:13" x14ac:dyDescent="0.2">
      <c r="A236">
        <v>22</v>
      </c>
      <c r="B236">
        <v>13</v>
      </c>
      <c r="C236">
        <v>35</v>
      </c>
      <c r="D236" s="51" t="s">
        <v>11</v>
      </c>
      <c r="E236">
        <f>VLOOKUP(M236,'MASS - 2016'!$A$1:$G$3418,6,FALSE)</f>
        <v>-223.72800000000001</v>
      </c>
      <c r="F236">
        <f>VLOOKUP(M236,'MASS - 2016'!$A$1:$G$3418,7,FALSE)</f>
        <v>7.359</v>
      </c>
      <c r="G236">
        <f t="shared" si="21"/>
        <v>-223.72800000000001</v>
      </c>
      <c r="H236">
        <f t="shared" si="17"/>
        <v>34.999759818114391</v>
      </c>
      <c r="I236">
        <f t="shared" si="18"/>
        <v>32.602068406999997</v>
      </c>
      <c r="J236">
        <f t="shared" si="20"/>
        <v>32595.425406999999</v>
      </c>
      <c r="M236">
        <f t="shared" si="19"/>
        <v>22013</v>
      </c>
    </row>
    <row r="237" spans="1:13" x14ac:dyDescent="0.2">
      <c r="A237">
        <v>21</v>
      </c>
      <c r="B237">
        <v>14</v>
      </c>
      <c r="C237">
        <v>35</v>
      </c>
      <c r="D237" s="51" t="s">
        <v>12</v>
      </c>
      <c r="E237">
        <f>VLOOKUP(M237,'MASS - 2016'!$A$1:$G$3418,6,FALSE)</f>
        <v>-14391.457</v>
      </c>
      <c r="F237">
        <f>VLOOKUP(M237,'MASS - 2016'!$A$1:$G$3418,7,FALSE)</f>
        <v>35.856999999999999</v>
      </c>
      <c r="G237">
        <f t="shared" si="21"/>
        <v>-14391.457</v>
      </c>
      <c r="H237">
        <f t="shared" si="17"/>
        <v>34.984550135526838</v>
      </c>
      <c r="I237">
        <f t="shared" si="18"/>
        <v>32.587900677999997</v>
      </c>
      <c r="J237">
        <f t="shared" si="20"/>
        <v>32580.746678</v>
      </c>
      <c r="M237">
        <f t="shared" si="19"/>
        <v>21014</v>
      </c>
    </row>
    <row r="238" spans="1:13" x14ac:dyDescent="0.2">
      <c r="A238">
        <v>20</v>
      </c>
      <c r="B238">
        <v>15</v>
      </c>
      <c r="C238">
        <v>35</v>
      </c>
      <c r="D238" s="51" t="s">
        <v>13</v>
      </c>
      <c r="E238">
        <f>VLOOKUP(M238,'MASS - 2016'!$A$1:$G$3418,6,FALSE)</f>
        <v>-24857.798999999999</v>
      </c>
      <c r="F238">
        <f>VLOOKUP(M238,'MASS - 2016'!$A$1:$G$3418,7,FALSE)</f>
        <v>1.8660000000000001</v>
      </c>
      <c r="G238">
        <f t="shared" si="21"/>
        <v>-24857.798999999999</v>
      </c>
      <c r="H238">
        <f t="shared" si="17"/>
        <v>34.973314055300236</v>
      </c>
      <c r="I238">
        <f t="shared" si="18"/>
        <v>32.577434335999996</v>
      </c>
      <c r="J238">
        <f t="shared" si="20"/>
        <v>32569.769335999994</v>
      </c>
      <c r="M238">
        <f t="shared" si="19"/>
        <v>20015</v>
      </c>
    </row>
    <row r="239" spans="1:13" x14ac:dyDescent="0.2">
      <c r="A239">
        <v>19</v>
      </c>
      <c r="B239">
        <v>16</v>
      </c>
      <c r="C239">
        <v>35</v>
      </c>
      <c r="D239" s="51" t="s">
        <v>14</v>
      </c>
      <c r="E239">
        <f>VLOOKUP(M239,'MASS - 2016'!$A$1:$G$3418,6,FALSE)</f>
        <v>-28846.205999999998</v>
      </c>
      <c r="F239">
        <f>VLOOKUP(M239,'MASS - 2016'!$A$1:$G$3418,7,FALSE)</f>
        <v>0.04</v>
      </c>
      <c r="G239">
        <f t="shared" si="21"/>
        <v>-28846.205999999998</v>
      </c>
      <c r="H239">
        <f t="shared" si="17"/>
        <v>34.969032324297345</v>
      </c>
      <c r="I239">
        <f t="shared" si="18"/>
        <v>32.573445929000002</v>
      </c>
      <c r="J239">
        <f t="shared" si="20"/>
        <v>32565.269929000002</v>
      </c>
      <c r="M239">
        <f t="shared" si="19"/>
        <v>19016</v>
      </c>
    </row>
    <row r="240" spans="1:13" x14ac:dyDescent="0.2">
      <c r="A240">
        <v>18</v>
      </c>
      <c r="B240">
        <v>17</v>
      </c>
      <c r="C240">
        <v>35</v>
      </c>
      <c r="D240" s="51" t="s">
        <v>15</v>
      </c>
      <c r="E240">
        <f>VLOOKUP(M240,'MASS - 2016'!$A$1:$G$3418,6,FALSE)</f>
        <v>-29013.527999999998</v>
      </c>
      <c r="F240">
        <f>VLOOKUP(M240,'MASS - 2016'!$A$1:$G$3418,7,FALSE)</f>
        <v>3.5000000000000003E-2</v>
      </c>
      <c r="G240">
        <f t="shared" si="21"/>
        <v>-29013.527999999998</v>
      </c>
      <c r="H240">
        <f t="shared" si="17"/>
        <v>34.968852696743063</v>
      </c>
      <c r="I240">
        <f t="shared" si="18"/>
        <v>32.573278606999999</v>
      </c>
      <c r="J240">
        <f t="shared" si="20"/>
        <v>32564.591606999998</v>
      </c>
      <c r="M240">
        <f t="shared" si="19"/>
        <v>18017</v>
      </c>
    </row>
    <row r="241" spans="1:13" x14ac:dyDescent="0.2">
      <c r="A241">
        <v>17</v>
      </c>
      <c r="B241">
        <v>18</v>
      </c>
      <c r="C241">
        <v>35</v>
      </c>
      <c r="D241" s="51" t="s">
        <v>16</v>
      </c>
      <c r="E241">
        <f>VLOOKUP(M241,'MASS - 2016'!$A$1:$G$3418,6,FALSE)</f>
        <v>-23047.284</v>
      </c>
      <c r="F241">
        <f>VLOOKUP(M241,'MASS - 2016'!$A$1:$G$3418,7,FALSE)</f>
        <v>0.68</v>
      </c>
      <c r="G241">
        <f t="shared" si="21"/>
        <v>-23047.284</v>
      </c>
      <c r="H241">
        <f t="shared" si="17"/>
        <v>34.975257723087083</v>
      </c>
      <c r="I241">
        <f t="shared" si="18"/>
        <v>32.579244850999999</v>
      </c>
      <c r="J241">
        <f t="shared" si="20"/>
        <v>32570.046850999999</v>
      </c>
      <c r="M241">
        <f t="shared" si="19"/>
        <v>17018</v>
      </c>
    </row>
    <row r="242" spans="1:13" x14ac:dyDescent="0.2">
      <c r="A242">
        <v>16</v>
      </c>
      <c r="B242">
        <v>19</v>
      </c>
      <c r="C242">
        <v>35</v>
      </c>
      <c r="D242" s="51" t="s">
        <v>17</v>
      </c>
      <c r="E242">
        <f>VLOOKUP(M242,'MASS - 2016'!$A$1:$G$3418,6,FALSE)</f>
        <v>-11172.891</v>
      </c>
      <c r="F242">
        <f>VLOOKUP(M242,'MASS - 2016'!$A$1:$G$3418,7,FALSE)</f>
        <v>0.51200000000000001</v>
      </c>
      <c r="G242">
        <f t="shared" si="21"/>
        <v>-11172.891</v>
      </c>
      <c r="H242">
        <f t="shared" si="17"/>
        <v>34.988005408227714</v>
      </c>
      <c r="I242">
        <f t="shared" si="18"/>
        <v>32.591119243999998</v>
      </c>
      <c r="J242">
        <f t="shared" si="20"/>
        <v>32581.410243999999</v>
      </c>
      <c r="M242">
        <f t="shared" si="19"/>
        <v>16019</v>
      </c>
    </row>
    <row r="243" spans="1:13" x14ac:dyDescent="0.2">
      <c r="A243">
        <v>15</v>
      </c>
      <c r="B243">
        <v>20</v>
      </c>
      <c r="C243">
        <v>35</v>
      </c>
      <c r="D243" s="51" t="s">
        <v>18</v>
      </c>
      <c r="E243" t="str">
        <f>VLOOKUP(M243,'MASS - 2016'!$A$1:$G$3418,6,FALSE)</f>
        <v>4788#</v>
      </c>
      <c r="F243" t="str">
        <f>VLOOKUP(M243,'MASS - 2016'!$A$1:$G$3418,7,FALSE)</f>
        <v>196#</v>
      </c>
      <c r="G243">
        <f t="shared" si="21"/>
        <v>4788.01</v>
      </c>
      <c r="H243">
        <f t="shared" si="17"/>
        <v>35.005140140125917</v>
      </c>
      <c r="I243">
        <f t="shared" si="18"/>
        <v>32.607080144999998</v>
      </c>
      <c r="J243">
        <f t="shared" si="20"/>
        <v>32596.860144999995</v>
      </c>
      <c r="M243">
        <f t="shared" si="19"/>
        <v>15020</v>
      </c>
    </row>
    <row r="244" spans="1:13" x14ac:dyDescent="0.2">
      <c r="A244">
        <v>24</v>
      </c>
      <c r="B244">
        <v>12</v>
      </c>
      <c r="C244">
        <v>36</v>
      </c>
      <c r="D244" s="51" t="s">
        <v>10</v>
      </c>
      <c r="E244">
        <f>VLOOKUP(M244,'MASS - 2016'!$A$1:$G$3418,6,FALSE)</f>
        <v>20380.156999999999</v>
      </c>
      <c r="F244">
        <f>VLOOKUP(M244,'MASS - 2016'!$A$1:$G$3418,7,FALSE)</f>
        <v>690.23699999999997</v>
      </c>
      <c r="G244">
        <f t="shared" si="21"/>
        <v>20380.156999999999</v>
      </c>
      <c r="H244">
        <f t="shared" si="17"/>
        <v>36.02187899832461</v>
      </c>
      <c r="I244">
        <f t="shared" si="18"/>
        <v>33.554166352999999</v>
      </c>
      <c r="J244">
        <f t="shared" si="20"/>
        <v>33548.034353000003</v>
      </c>
      <c r="M244">
        <f t="shared" si="19"/>
        <v>24012</v>
      </c>
    </row>
    <row r="245" spans="1:13" x14ac:dyDescent="0.2">
      <c r="A245">
        <v>23</v>
      </c>
      <c r="B245">
        <v>13</v>
      </c>
      <c r="C245">
        <v>36</v>
      </c>
      <c r="D245" s="51" t="s">
        <v>11</v>
      </c>
      <c r="E245">
        <f>VLOOKUP(M245,'MASS - 2016'!$A$1:$G$3418,6,FALSE)</f>
        <v>5950.384</v>
      </c>
      <c r="F245">
        <f>VLOOKUP(M245,'MASS - 2016'!$A$1:$G$3418,7,FALSE)</f>
        <v>149.505</v>
      </c>
      <c r="G245">
        <f t="shared" si="21"/>
        <v>5950.384</v>
      </c>
      <c r="H245">
        <f t="shared" si="17"/>
        <v>36.0063879999338</v>
      </c>
      <c r="I245">
        <f t="shared" si="18"/>
        <v>33.539736580000003</v>
      </c>
      <c r="J245">
        <f t="shared" si="20"/>
        <v>33533.093580000008</v>
      </c>
      <c r="M245">
        <f t="shared" si="19"/>
        <v>23013</v>
      </c>
    </row>
    <row r="246" spans="1:13" x14ac:dyDescent="0.2">
      <c r="A246">
        <v>22</v>
      </c>
      <c r="B246">
        <v>14</v>
      </c>
      <c r="C246">
        <v>36</v>
      </c>
      <c r="D246" s="51" t="s">
        <v>12</v>
      </c>
      <c r="E246">
        <f>VLOOKUP(M246,'MASS - 2016'!$A$1:$G$3418,6,FALSE)</f>
        <v>-12436.124</v>
      </c>
      <c r="F246">
        <f>VLOOKUP(M246,'MASS - 2016'!$A$1:$G$3418,7,FALSE)</f>
        <v>71.796999999999997</v>
      </c>
      <c r="G246">
        <f t="shared" si="21"/>
        <v>-12436.124</v>
      </c>
      <c r="H246">
        <f t="shared" si="17"/>
        <v>35.986649271830416</v>
      </c>
      <c r="I246">
        <f t="shared" si="18"/>
        <v>33.521350072000004</v>
      </c>
      <c r="J246">
        <f t="shared" si="20"/>
        <v>33514.196071999999</v>
      </c>
      <c r="M246">
        <f t="shared" si="19"/>
        <v>22014</v>
      </c>
    </row>
    <row r="247" spans="1:13" x14ac:dyDescent="0.2">
      <c r="A247">
        <v>21</v>
      </c>
      <c r="B247">
        <v>15</v>
      </c>
      <c r="C247">
        <v>36</v>
      </c>
      <c r="D247" s="51" t="s">
        <v>13</v>
      </c>
      <c r="E247">
        <f>VLOOKUP(M247,'MASS - 2016'!$A$1:$G$3418,6,FALSE)</f>
        <v>-20251.034</v>
      </c>
      <c r="F247">
        <f>VLOOKUP(M247,'MASS - 2016'!$A$1:$G$3418,7,FALSE)</f>
        <v>13.114000000000001</v>
      </c>
      <c r="G247">
        <f t="shared" si="21"/>
        <v>-20251.034</v>
      </c>
      <c r="H247">
        <f t="shared" si="17"/>
        <v>35.978259620916688</v>
      </c>
      <c r="I247">
        <f t="shared" si="18"/>
        <v>33.513535162000004</v>
      </c>
      <c r="J247">
        <f t="shared" si="20"/>
        <v>33505.870161999999</v>
      </c>
      <c r="M247">
        <f t="shared" si="19"/>
        <v>21015</v>
      </c>
    </row>
    <row r="248" spans="1:13" x14ac:dyDescent="0.2">
      <c r="A248">
        <v>20</v>
      </c>
      <c r="B248">
        <v>16</v>
      </c>
      <c r="C248">
        <v>36</v>
      </c>
      <c r="D248" s="51" t="s">
        <v>14</v>
      </c>
      <c r="E248">
        <f>VLOOKUP(M248,'MASS - 2016'!$A$1:$G$3418,6,FALSE)</f>
        <v>-30664.131000000001</v>
      </c>
      <c r="F248">
        <f>VLOOKUP(M248,'MASS - 2016'!$A$1:$G$3418,7,FALSE)</f>
        <v>0.188</v>
      </c>
      <c r="G248">
        <f t="shared" si="21"/>
        <v>-30664.131000000001</v>
      </c>
      <c r="H248">
        <f t="shared" si="17"/>
        <v>35.967080701548348</v>
      </c>
      <c r="I248">
        <f t="shared" si="18"/>
        <v>33.503122064999999</v>
      </c>
      <c r="J248">
        <f t="shared" si="20"/>
        <v>33494.946064999996</v>
      </c>
      <c r="M248">
        <f t="shared" si="19"/>
        <v>20016</v>
      </c>
    </row>
    <row r="249" spans="1:13" x14ac:dyDescent="0.2">
      <c r="A249">
        <v>19</v>
      </c>
      <c r="B249">
        <v>17</v>
      </c>
      <c r="C249">
        <v>36</v>
      </c>
      <c r="D249" s="51" t="s">
        <v>15</v>
      </c>
      <c r="E249">
        <f>VLOOKUP(M249,'MASS - 2016'!$A$1:$G$3418,6,FALSE)</f>
        <v>-29522.005000000001</v>
      </c>
      <c r="F249">
        <f>VLOOKUP(M249,'MASS - 2016'!$A$1:$G$3418,7,FALSE)</f>
        <v>3.5999999999999997E-2</v>
      </c>
      <c r="G249">
        <f t="shared" si="21"/>
        <v>-29522.005000000001</v>
      </c>
      <c r="H249">
        <f t="shared" si="17"/>
        <v>35.968306824234283</v>
      </c>
      <c r="I249">
        <f t="shared" si="18"/>
        <v>33.504264191000004</v>
      </c>
      <c r="J249">
        <f t="shared" si="20"/>
        <v>33495.577191000004</v>
      </c>
      <c r="M249">
        <f t="shared" si="19"/>
        <v>19017</v>
      </c>
    </row>
    <row r="250" spans="1:13" x14ac:dyDescent="0.2">
      <c r="A250">
        <v>18</v>
      </c>
      <c r="B250">
        <v>18</v>
      </c>
      <c r="C250">
        <v>36</v>
      </c>
      <c r="D250" s="51" t="s">
        <v>16</v>
      </c>
      <c r="E250">
        <f>VLOOKUP(M250,'MASS - 2016'!$A$1:$G$3418,6,FALSE)</f>
        <v>-30231.54</v>
      </c>
      <c r="F250">
        <f>VLOOKUP(M250,'MASS - 2016'!$A$1:$G$3418,7,FALSE)</f>
        <v>2.7E-2</v>
      </c>
      <c r="G250">
        <f t="shared" si="21"/>
        <v>-30231.54</v>
      </c>
      <c r="H250">
        <f t="shared" si="17"/>
        <v>35.967545107085762</v>
      </c>
      <c r="I250">
        <f t="shared" si="18"/>
        <v>33.503554655999999</v>
      </c>
      <c r="J250">
        <f t="shared" si="20"/>
        <v>33494.356656000004</v>
      </c>
      <c r="M250">
        <f t="shared" si="19"/>
        <v>18018</v>
      </c>
    </row>
    <row r="251" spans="1:13" x14ac:dyDescent="0.2">
      <c r="A251">
        <v>17</v>
      </c>
      <c r="B251">
        <v>19</v>
      </c>
      <c r="C251">
        <v>36</v>
      </c>
      <c r="D251" s="51" t="s">
        <v>17</v>
      </c>
      <c r="E251">
        <f>VLOOKUP(M251,'MASS - 2016'!$A$1:$G$3418,6,FALSE)</f>
        <v>-17417.064999999999</v>
      </c>
      <c r="F251">
        <f>VLOOKUP(M251,'MASS - 2016'!$A$1:$G$3418,7,FALSE)</f>
        <v>0.34100000000000003</v>
      </c>
      <c r="G251">
        <f t="shared" si="21"/>
        <v>-17417.064999999999</v>
      </c>
      <c r="H251">
        <f t="shared" si="17"/>
        <v>35.981302011758082</v>
      </c>
      <c r="I251">
        <f t="shared" si="18"/>
        <v>33.516369131000005</v>
      </c>
      <c r="J251">
        <f t="shared" si="20"/>
        <v>33506.660131000004</v>
      </c>
      <c r="M251">
        <f t="shared" si="19"/>
        <v>17019</v>
      </c>
    </row>
    <row r="252" spans="1:13" x14ac:dyDescent="0.2">
      <c r="A252">
        <v>16</v>
      </c>
      <c r="B252">
        <v>20</v>
      </c>
      <c r="C252">
        <v>36</v>
      </c>
      <c r="D252" s="51" t="s">
        <v>18</v>
      </c>
      <c r="E252">
        <f>VLOOKUP(M252,'MASS - 2016'!$A$1:$G$3418,6,FALSE)</f>
        <v>-6451.1490000000003</v>
      </c>
      <c r="F252">
        <f>VLOOKUP(M252,'MASS - 2016'!$A$1:$G$3418,7,FALSE)</f>
        <v>40</v>
      </c>
      <c r="G252">
        <f t="shared" si="21"/>
        <v>-6451.1490000000003</v>
      </c>
      <c r="H252">
        <f t="shared" si="17"/>
        <v>35.993074406729903</v>
      </c>
      <c r="I252">
        <f t="shared" si="18"/>
        <v>33.527335047000001</v>
      </c>
      <c r="J252">
        <f t="shared" si="20"/>
        <v>33517.115046999999</v>
      </c>
      <c r="M252">
        <f t="shared" si="19"/>
        <v>16020</v>
      </c>
    </row>
    <row r="253" spans="1:13" x14ac:dyDescent="0.2">
      <c r="A253">
        <v>15</v>
      </c>
      <c r="B253">
        <v>21</v>
      </c>
      <c r="C253">
        <v>36</v>
      </c>
      <c r="D253" s="51" t="s">
        <v>19</v>
      </c>
      <c r="E253" t="str">
        <f>VLOOKUP(M253,'MASS - 2016'!$A$1:$G$3418,6,FALSE)</f>
        <v>15351#</v>
      </c>
      <c r="F253" t="str">
        <f>VLOOKUP(M253,'MASS - 2016'!$A$1:$G$3418,7,FALSE)</f>
        <v>298#</v>
      </c>
      <c r="G253">
        <f t="shared" si="21"/>
        <v>15351.01</v>
      </c>
      <c r="H253">
        <f t="shared" si="17"/>
        <v>36.016479986982979</v>
      </c>
      <c r="I253">
        <f t="shared" si="18"/>
        <v>33.549137206000005</v>
      </c>
      <c r="J253">
        <f t="shared" si="20"/>
        <v>33538.406206000007</v>
      </c>
      <c r="M253">
        <f t="shared" si="19"/>
        <v>15021</v>
      </c>
    </row>
    <row r="254" spans="1:13" x14ac:dyDescent="0.2">
      <c r="A254">
        <v>25</v>
      </c>
      <c r="B254">
        <v>12</v>
      </c>
      <c r="C254">
        <v>37</v>
      </c>
      <c r="D254" s="51" t="s">
        <v>10</v>
      </c>
      <c r="E254">
        <f>VLOOKUP(M254,'MASS - 2016'!$A$1:$G$3418,6,FALSE)</f>
        <v>28211.473999999998</v>
      </c>
      <c r="F254">
        <f>VLOOKUP(M254,'MASS - 2016'!$A$1:$G$3418,7,FALSE)</f>
        <v>698.947</v>
      </c>
      <c r="G254">
        <f t="shared" si="21"/>
        <v>28211.473999999998</v>
      </c>
      <c r="H254">
        <f t="shared" si="17"/>
        <v>37.030286262877205</v>
      </c>
      <c r="I254">
        <f t="shared" si="18"/>
        <v>34.493491730999999</v>
      </c>
      <c r="J254">
        <f t="shared" si="20"/>
        <v>34487.359731000004</v>
      </c>
      <c r="M254">
        <f t="shared" si="19"/>
        <v>25012</v>
      </c>
    </row>
    <row r="255" spans="1:13" x14ac:dyDescent="0.2">
      <c r="A255">
        <v>24</v>
      </c>
      <c r="B255">
        <v>13</v>
      </c>
      <c r="C255">
        <v>37</v>
      </c>
      <c r="D255" s="51" t="s">
        <v>11</v>
      </c>
      <c r="E255">
        <f>VLOOKUP(M255,'MASS - 2016'!$A$1:$G$3418,6,FALSE)</f>
        <v>9809.5630000000001</v>
      </c>
      <c r="F255">
        <f>VLOOKUP(M255,'MASS - 2016'!$A$1:$G$3418,7,FALSE)</f>
        <v>180.244</v>
      </c>
      <c r="G255">
        <f t="shared" si="21"/>
        <v>9809.5630000000001</v>
      </c>
      <c r="H255">
        <f t="shared" si="17"/>
        <v>37.010530998973266</v>
      </c>
      <c r="I255">
        <f t="shared" si="18"/>
        <v>34.475089819999994</v>
      </c>
      <c r="J255">
        <f t="shared" si="20"/>
        <v>34468.446819999997</v>
      </c>
      <c r="M255">
        <f t="shared" si="19"/>
        <v>24013</v>
      </c>
    </row>
    <row r="256" spans="1:13" x14ac:dyDescent="0.2">
      <c r="A256">
        <v>23</v>
      </c>
      <c r="B256">
        <v>14</v>
      </c>
      <c r="C256">
        <v>37</v>
      </c>
      <c r="D256" s="51" t="s">
        <v>12</v>
      </c>
      <c r="E256">
        <f>VLOOKUP(M256,'MASS - 2016'!$A$1:$G$3418,6,FALSE)</f>
        <v>-6571.5110000000004</v>
      </c>
      <c r="F256">
        <f>VLOOKUP(M256,'MASS - 2016'!$A$1:$G$3418,7,FALSE)</f>
        <v>113.809</v>
      </c>
      <c r="G256">
        <f t="shared" si="21"/>
        <v>-6571.5110000000004</v>
      </c>
      <c r="H256">
        <f t="shared" si="17"/>
        <v>36.992945192808911</v>
      </c>
      <c r="I256">
        <f t="shared" si="18"/>
        <v>34.458708745999999</v>
      </c>
      <c r="J256">
        <f t="shared" si="20"/>
        <v>34451.554745999994</v>
      </c>
      <c r="M256">
        <f t="shared" si="19"/>
        <v>23014</v>
      </c>
    </row>
    <row r="257" spans="1:13" x14ac:dyDescent="0.2">
      <c r="A257">
        <v>22</v>
      </c>
      <c r="B257">
        <v>15</v>
      </c>
      <c r="C257">
        <v>37</v>
      </c>
      <c r="D257" s="51" t="s">
        <v>13</v>
      </c>
      <c r="E257">
        <f>VLOOKUP(M257,'MASS - 2016'!$A$1:$G$3418,6,FALSE)</f>
        <v>-18995.998</v>
      </c>
      <c r="F257">
        <f>VLOOKUP(M257,'MASS - 2016'!$A$1:$G$3418,7,FALSE)</f>
        <v>37.948</v>
      </c>
      <c r="G257">
        <f t="shared" si="21"/>
        <v>-18995.998</v>
      </c>
      <c r="H257">
        <f t="shared" si="17"/>
        <v>36.979606957472591</v>
      </c>
      <c r="I257">
        <f t="shared" si="18"/>
        <v>34.446284258999995</v>
      </c>
      <c r="J257">
        <f t="shared" si="20"/>
        <v>34438.619258999992</v>
      </c>
      <c r="M257">
        <f t="shared" si="19"/>
        <v>22015</v>
      </c>
    </row>
    <row r="258" spans="1:13" x14ac:dyDescent="0.2">
      <c r="A258">
        <v>21</v>
      </c>
      <c r="B258">
        <v>16</v>
      </c>
      <c r="C258">
        <v>37</v>
      </c>
      <c r="D258" s="51" t="s">
        <v>14</v>
      </c>
      <c r="E258">
        <f>VLOOKUP(M258,'MASS - 2016'!$A$1:$G$3418,6,FALSE)</f>
        <v>-26896.417000000001</v>
      </c>
      <c r="F258">
        <f>VLOOKUP(M258,'MASS - 2016'!$A$1:$G$3418,7,FALSE)</f>
        <v>0.19800000000000001</v>
      </c>
      <c r="G258">
        <f t="shared" si="21"/>
        <v>-26896.417000000001</v>
      </c>
      <c r="H258">
        <f t="shared" si="17"/>
        <v>36.971125508872134</v>
      </c>
      <c r="I258">
        <f t="shared" si="18"/>
        <v>34.438383839999993</v>
      </c>
      <c r="J258">
        <f t="shared" si="20"/>
        <v>34430.207839999995</v>
      </c>
      <c r="M258">
        <f t="shared" si="19"/>
        <v>21016</v>
      </c>
    </row>
    <row r="259" spans="1:13" x14ac:dyDescent="0.2">
      <c r="A259">
        <v>20</v>
      </c>
      <c r="B259">
        <v>17</v>
      </c>
      <c r="C259">
        <v>37</v>
      </c>
      <c r="D259" s="51" t="s">
        <v>15</v>
      </c>
      <c r="E259">
        <f>VLOOKUP(M259,'MASS - 2016'!$A$1:$G$3418,6,FALSE)</f>
        <v>-31761.538</v>
      </c>
      <c r="F259">
        <f>VLOOKUP(M259,'MASS - 2016'!$A$1:$G$3418,7,FALSE)</f>
        <v>5.1999999999999998E-2</v>
      </c>
      <c r="G259">
        <f t="shared" si="21"/>
        <v>-31761.538</v>
      </c>
      <c r="H259">
        <f t="shared" si="17"/>
        <v>36.965902586683264</v>
      </c>
      <c r="I259">
        <f t="shared" si="18"/>
        <v>34.433518718999998</v>
      </c>
      <c r="J259">
        <f t="shared" si="20"/>
        <v>34424.831719000002</v>
      </c>
      <c r="M259">
        <f t="shared" si="19"/>
        <v>20017</v>
      </c>
    </row>
    <row r="260" spans="1:13" x14ac:dyDescent="0.2">
      <c r="A260">
        <v>19</v>
      </c>
      <c r="B260">
        <v>18</v>
      </c>
      <c r="C260">
        <v>37</v>
      </c>
      <c r="D260" s="51" t="s">
        <v>16</v>
      </c>
      <c r="E260">
        <f>VLOOKUP(M260,'MASS - 2016'!$A$1:$G$3418,6,FALSE)</f>
        <v>-30947.664000000001</v>
      </c>
      <c r="F260">
        <f>VLOOKUP(M260,'MASS - 2016'!$A$1:$G$3418,7,FALSE)</f>
        <v>0.20699999999999999</v>
      </c>
      <c r="G260">
        <f t="shared" si="21"/>
        <v>-30947.664000000001</v>
      </c>
      <c r="H260">
        <f t="shared" si="17"/>
        <v>36.966776316354846</v>
      </c>
      <c r="I260">
        <f t="shared" si="18"/>
        <v>34.434332592999993</v>
      </c>
      <c r="J260">
        <f t="shared" si="20"/>
        <v>34425.134592999995</v>
      </c>
      <c r="M260">
        <f t="shared" si="19"/>
        <v>19018</v>
      </c>
    </row>
    <row r="261" spans="1:13" x14ac:dyDescent="0.2">
      <c r="A261">
        <v>18</v>
      </c>
      <c r="B261">
        <v>19</v>
      </c>
      <c r="C261">
        <v>37</v>
      </c>
      <c r="D261" s="51" t="s">
        <v>17</v>
      </c>
      <c r="E261">
        <f>VLOOKUP(M261,'MASS - 2016'!$A$1:$G$3418,6,FALSE)</f>
        <v>-24800.199000000001</v>
      </c>
      <c r="F261">
        <f>VLOOKUP(M261,'MASS - 2016'!$A$1:$G$3418,7,FALSE)</f>
        <v>9.4E-2</v>
      </c>
      <c r="G261">
        <f t="shared" si="21"/>
        <v>-24800.199000000001</v>
      </c>
      <c r="H261">
        <f t="shared" si="17"/>
        <v>36.973375891443283</v>
      </c>
      <c r="I261">
        <f t="shared" si="18"/>
        <v>34.440480057999999</v>
      </c>
      <c r="J261">
        <f t="shared" si="20"/>
        <v>34430.771057999998</v>
      </c>
      <c r="M261">
        <f t="shared" si="19"/>
        <v>18019</v>
      </c>
    </row>
    <row r="262" spans="1:13" x14ac:dyDescent="0.2">
      <c r="A262">
        <v>17</v>
      </c>
      <c r="B262">
        <v>20</v>
      </c>
      <c r="C262">
        <v>37</v>
      </c>
      <c r="D262" s="51" t="s">
        <v>18</v>
      </c>
      <c r="E262">
        <f>VLOOKUP(M262,'MASS - 2016'!$A$1:$G$3418,6,FALSE)</f>
        <v>-13136.066000000001</v>
      </c>
      <c r="F262">
        <f>VLOOKUP(M262,'MASS - 2016'!$A$1:$G$3418,7,FALSE)</f>
        <v>0.63400000000000001</v>
      </c>
      <c r="G262">
        <f t="shared" si="21"/>
        <v>-13136.066000000001</v>
      </c>
      <c r="H262">
        <f t="shared" si="17"/>
        <v>36.985897853190927</v>
      </c>
      <c r="I262">
        <f t="shared" si="18"/>
        <v>34.452144190999995</v>
      </c>
      <c r="J262">
        <f t="shared" si="20"/>
        <v>34441.924190999991</v>
      </c>
      <c r="M262">
        <f t="shared" si="19"/>
        <v>17020</v>
      </c>
    </row>
    <row r="263" spans="1:13" x14ac:dyDescent="0.2">
      <c r="A263">
        <v>16</v>
      </c>
      <c r="B263">
        <v>21</v>
      </c>
      <c r="C263">
        <v>37</v>
      </c>
      <c r="D263" s="51" t="s">
        <v>19</v>
      </c>
      <c r="E263" t="str">
        <f>VLOOKUP(M263,'MASS - 2016'!$A$1:$G$3418,6,FALSE)</f>
        <v>3520#</v>
      </c>
      <c r="F263" t="str">
        <f>VLOOKUP(M263,'MASS - 2016'!$A$1:$G$3418,7,FALSE)</f>
        <v>300#</v>
      </c>
      <c r="G263">
        <f t="shared" si="21"/>
        <v>3520.01</v>
      </c>
      <c r="H263">
        <f t="shared" si="17"/>
        <v>37.003778886143643</v>
      </c>
      <c r="I263">
        <f t="shared" si="18"/>
        <v>34.468800266999999</v>
      </c>
      <c r="J263">
        <f t="shared" si="20"/>
        <v>34458.069266999999</v>
      </c>
      <c r="M263">
        <f t="shared" si="19"/>
        <v>16021</v>
      </c>
    </row>
    <row r="264" spans="1:13" x14ac:dyDescent="0.2">
      <c r="A264">
        <v>25</v>
      </c>
      <c r="B264">
        <v>13</v>
      </c>
      <c r="C264">
        <v>38</v>
      </c>
      <c r="D264" s="51" t="s">
        <v>11</v>
      </c>
      <c r="E264">
        <f>VLOOKUP(M264,'MASS - 2016'!$A$1:$G$3418,6,FALSE)</f>
        <v>16209.859</v>
      </c>
      <c r="F264">
        <f>VLOOKUP(M264,'MASS - 2016'!$A$1:$G$3418,7,FALSE)</f>
        <v>374.46100000000001</v>
      </c>
      <c r="G264">
        <f t="shared" si="21"/>
        <v>16209.859</v>
      </c>
      <c r="H264">
        <f t="shared" si="17"/>
        <v>38.017401999302706</v>
      </c>
      <c r="I264">
        <f t="shared" si="18"/>
        <v>35.412984176999998</v>
      </c>
      <c r="J264">
        <f t="shared" si="20"/>
        <v>35406.341177000002</v>
      </c>
      <c r="M264">
        <f t="shared" si="19"/>
        <v>25013</v>
      </c>
    </row>
    <row r="265" spans="1:13" x14ac:dyDescent="0.2">
      <c r="A265">
        <v>24</v>
      </c>
      <c r="B265">
        <v>14</v>
      </c>
      <c r="C265">
        <v>38</v>
      </c>
      <c r="D265" s="51" t="s">
        <v>12</v>
      </c>
      <c r="E265">
        <f>VLOOKUP(M265,'MASS - 2016'!$A$1:$G$3418,6,FALSE)</f>
        <v>-4170.299</v>
      </c>
      <c r="F265">
        <f>VLOOKUP(M265,'MASS - 2016'!$A$1:$G$3418,7,FALSE)</f>
        <v>104.79300000000001</v>
      </c>
      <c r="G265">
        <f t="shared" si="21"/>
        <v>-4170.299</v>
      </c>
      <c r="H265">
        <f t="shared" ref="H265:H328" si="22">(C265*$A$3+G265/1000000)/$A$3</f>
        <v>37.995522999904559</v>
      </c>
      <c r="I265">
        <f t="shared" ref="I265:I328" si="23">H265*$A$3</f>
        <v>35.392604018999997</v>
      </c>
      <c r="J265">
        <f t="shared" si="20"/>
        <v>35385.450018999996</v>
      </c>
      <c r="M265">
        <f t="shared" ref="M265:M328" si="24">1000*A265+B265</f>
        <v>24014</v>
      </c>
    </row>
    <row r="266" spans="1:13" x14ac:dyDescent="0.2">
      <c r="A266">
        <v>23</v>
      </c>
      <c r="B266">
        <v>15</v>
      </c>
      <c r="C266">
        <v>38</v>
      </c>
      <c r="D266" s="51" t="s">
        <v>13</v>
      </c>
      <c r="E266">
        <f>VLOOKUP(M266,'MASS - 2016'!$A$1:$G$3418,6,FALSE)</f>
        <v>-14621.563</v>
      </c>
      <c r="F266">
        <f>VLOOKUP(M266,'MASS - 2016'!$A$1:$G$3418,7,FALSE)</f>
        <v>72.581000000000003</v>
      </c>
      <c r="G266">
        <f t="shared" si="21"/>
        <v>-14621.563</v>
      </c>
      <c r="H266">
        <f t="shared" si="22"/>
        <v>37.984303106576654</v>
      </c>
      <c r="I266">
        <f t="shared" si="23"/>
        <v>35.382152755</v>
      </c>
      <c r="J266">
        <f t="shared" si="20"/>
        <v>35374.487755000002</v>
      </c>
      <c r="M266">
        <f t="shared" si="24"/>
        <v>23015</v>
      </c>
    </row>
    <row r="267" spans="1:13" x14ac:dyDescent="0.2">
      <c r="A267">
        <v>22</v>
      </c>
      <c r="B267">
        <v>16</v>
      </c>
      <c r="C267">
        <v>38</v>
      </c>
      <c r="D267" s="51" t="s">
        <v>14</v>
      </c>
      <c r="E267">
        <f>VLOOKUP(M267,'MASS - 2016'!$A$1:$G$3418,6,FALSE)</f>
        <v>-26861.203000000001</v>
      </c>
      <c r="F267">
        <f>VLOOKUP(M267,'MASS - 2016'!$A$1:$G$3418,7,FALSE)</f>
        <v>7.1719999999999997</v>
      </c>
      <c r="G267">
        <f t="shared" si="21"/>
        <v>-26861.203000000001</v>
      </c>
      <c r="H267">
        <f t="shared" si="22"/>
        <v>37.971163312655833</v>
      </c>
      <c r="I267">
        <f t="shared" si="23"/>
        <v>35.369913114999996</v>
      </c>
      <c r="J267">
        <f t="shared" si="20"/>
        <v>35361.737114999996</v>
      </c>
      <c r="M267">
        <f t="shared" si="24"/>
        <v>22016</v>
      </c>
    </row>
    <row r="268" spans="1:13" x14ac:dyDescent="0.2">
      <c r="A268">
        <v>21</v>
      </c>
      <c r="B268">
        <v>17</v>
      </c>
      <c r="C268">
        <v>38</v>
      </c>
      <c r="D268" s="51" t="s">
        <v>15</v>
      </c>
      <c r="E268">
        <f>VLOOKUP(M268,'MASS - 2016'!$A$1:$G$3418,6,FALSE)</f>
        <v>-29798.102999999999</v>
      </c>
      <c r="F268">
        <f>VLOOKUP(M268,'MASS - 2016'!$A$1:$G$3418,7,FALSE)</f>
        <v>9.8000000000000004E-2</v>
      </c>
      <c r="G268">
        <f t="shared" si="21"/>
        <v>-29798.102999999999</v>
      </c>
      <c r="H268">
        <f t="shared" si="22"/>
        <v>37.968010420841537</v>
      </c>
      <c r="I268">
        <f t="shared" si="23"/>
        <v>35.366976215000001</v>
      </c>
      <c r="J268">
        <f t="shared" ref="J268:J331" si="25">1000*I268-B268*0.511</f>
        <v>35358.289215000004</v>
      </c>
      <c r="M268">
        <f t="shared" si="24"/>
        <v>21017</v>
      </c>
    </row>
    <row r="269" spans="1:13" x14ac:dyDescent="0.2">
      <c r="A269">
        <v>20</v>
      </c>
      <c r="B269">
        <v>18</v>
      </c>
      <c r="C269">
        <v>38</v>
      </c>
      <c r="D269" s="51" t="s">
        <v>16</v>
      </c>
      <c r="E269">
        <f>VLOOKUP(M269,'MASS - 2016'!$A$1:$G$3418,6,FALSE)</f>
        <v>-34714.821000000004</v>
      </c>
      <c r="F269">
        <f>VLOOKUP(M269,'MASS - 2016'!$A$1:$G$3418,7,FALSE)</f>
        <v>0.19500000000000001</v>
      </c>
      <c r="G269">
        <f t="shared" si="21"/>
        <v>-34714.821000000004</v>
      </c>
      <c r="H269">
        <f t="shared" si="22"/>
        <v>37.962732106995148</v>
      </c>
      <c r="I269">
        <f t="shared" si="23"/>
        <v>35.362059496999997</v>
      </c>
      <c r="J269">
        <f t="shared" si="25"/>
        <v>35352.861496999998</v>
      </c>
      <c r="M269">
        <f t="shared" si="24"/>
        <v>20018</v>
      </c>
    </row>
    <row r="270" spans="1:13" x14ac:dyDescent="0.2">
      <c r="A270">
        <v>19</v>
      </c>
      <c r="B270">
        <v>19</v>
      </c>
      <c r="C270">
        <v>38</v>
      </c>
      <c r="D270" s="51" t="s">
        <v>17</v>
      </c>
      <c r="E270">
        <f>VLOOKUP(M270,'MASS - 2016'!$A$1:$G$3418,6,FALSE)</f>
        <v>-28800.755000000001</v>
      </c>
      <c r="F270">
        <f>VLOOKUP(M270,'MASS - 2016'!$A$1:$G$3418,7,FALSE)</f>
        <v>0.19500000000000001</v>
      </c>
      <c r="G270">
        <f t="shared" si="21"/>
        <v>-28800.755000000001</v>
      </c>
      <c r="H270">
        <f t="shared" si="22"/>
        <v>37.969081117952506</v>
      </c>
      <c r="I270">
        <f t="shared" si="23"/>
        <v>35.367973563</v>
      </c>
      <c r="J270">
        <f t="shared" si="25"/>
        <v>35358.264562999997</v>
      </c>
      <c r="M270">
        <f t="shared" si="24"/>
        <v>19019</v>
      </c>
    </row>
    <row r="271" spans="1:13" x14ac:dyDescent="0.2">
      <c r="A271">
        <v>18</v>
      </c>
      <c r="B271">
        <v>20</v>
      </c>
      <c r="C271">
        <v>38</v>
      </c>
      <c r="D271" s="51" t="s">
        <v>18</v>
      </c>
      <c r="E271">
        <f>VLOOKUP(M271,'MASS - 2016'!$A$1:$G$3418,6,FALSE)</f>
        <v>-22058.499</v>
      </c>
      <c r="F271">
        <f>VLOOKUP(M271,'MASS - 2016'!$A$1:$G$3418,7,FALSE)</f>
        <v>0.19400000000000001</v>
      </c>
      <c r="G271">
        <f t="shared" ref="G271:G334" si="26">IF(ISNUMBER(E271),E271,VALUE(SUBSTITUTE(E271,"#",".01")))</f>
        <v>-22058.499</v>
      </c>
      <c r="H271">
        <f t="shared" si="22"/>
        <v>37.97631922743949</v>
      </c>
      <c r="I271">
        <f t="shared" si="23"/>
        <v>35.374715818999995</v>
      </c>
      <c r="J271">
        <f t="shared" si="25"/>
        <v>35364.495818999996</v>
      </c>
      <c r="M271">
        <f t="shared" si="24"/>
        <v>18020</v>
      </c>
    </row>
    <row r="272" spans="1:13" x14ac:dyDescent="0.2">
      <c r="A272">
        <v>17</v>
      </c>
      <c r="B272">
        <v>21</v>
      </c>
      <c r="C272">
        <v>38</v>
      </c>
      <c r="D272" s="51" t="s">
        <v>19</v>
      </c>
      <c r="E272" t="str">
        <f>VLOOKUP(M272,'MASS - 2016'!$A$1:$G$3418,6,FALSE)</f>
        <v>-4249#</v>
      </c>
      <c r="F272" t="str">
        <f>VLOOKUP(M272,'MASS - 2016'!$A$1:$G$3418,7,FALSE)</f>
        <v>200#</v>
      </c>
      <c r="G272">
        <f t="shared" si="26"/>
        <v>-4249.01</v>
      </c>
      <c r="H272">
        <f t="shared" si="22"/>
        <v>37.995438500170962</v>
      </c>
      <c r="I272">
        <f t="shared" si="23"/>
        <v>35.392525307999996</v>
      </c>
      <c r="J272">
        <f t="shared" si="25"/>
        <v>35381.794307999997</v>
      </c>
      <c r="M272">
        <f t="shared" si="24"/>
        <v>17021</v>
      </c>
    </row>
    <row r="273" spans="1:13" x14ac:dyDescent="0.2">
      <c r="A273">
        <v>16</v>
      </c>
      <c r="B273">
        <v>22</v>
      </c>
      <c r="C273">
        <v>38</v>
      </c>
      <c r="D273" s="51" t="s">
        <v>20</v>
      </c>
      <c r="E273" t="str">
        <f>VLOOKUP(M273,'MASS - 2016'!$A$1:$G$3418,6,FALSE)</f>
        <v>10870#</v>
      </c>
      <c r="F273" t="str">
        <f>VLOOKUP(M273,'MASS - 2016'!$A$1:$G$3418,7,FALSE)</f>
        <v>300#</v>
      </c>
      <c r="G273">
        <f t="shared" si="26"/>
        <v>10870.01</v>
      </c>
      <c r="H273">
        <f t="shared" si="22"/>
        <v>38.011669435646567</v>
      </c>
      <c r="I273">
        <f t="shared" si="23"/>
        <v>35.407644327999996</v>
      </c>
      <c r="J273">
        <f t="shared" si="25"/>
        <v>35396.402327999996</v>
      </c>
      <c r="M273">
        <f t="shared" si="24"/>
        <v>16022</v>
      </c>
    </row>
    <row r="274" spans="1:13" x14ac:dyDescent="0.2">
      <c r="A274">
        <v>26</v>
      </c>
      <c r="B274">
        <v>13</v>
      </c>
      <c r="C274">
        <v>39</v>
      </c>
      <c r="D274" s="51" t="s">
        <v>11</v>
      </c>
      <c r="E274" t="str">
        <f>VLOOKUP(M274,'MASS - 2016'!$A$1:$G$3418,6,FALSE)</f>
        <v>20650#</v>
      </c>
      <c r="F274" t="str">
        <f>VLOOKUP(M274,'MASS - 2016'!$A$1:$G$3418,7,FALSE)</f>
        <v>400#</v>
      </c>
      <c r="G274">
        <f t="shared" si="26"/>
        <v>20650.009999999998</v>
      </c>
      <c r="H274">
        <f t="shared" si="22"/>
        <v>39.022168697434132</v>
      </c>
      <c r="I274">
        <f t="shared" si="23"/>
        <v>36.348918388999998</v>
      </c>
      <c r="J274">
        <f t="shared" si="25"/>
        <v>36342.275389000002</v>
      </c>
      <c r="M274">
        <f t="shared" si="24"/>
        <v>26013</v>
      </c>
    </row>
    <row r="275" spans="1:13" x14ac:dyDescent="0.2">
      <c r="A275">
        <v>25</v>
      </c>
      <c r="B275">
        <v>14</v>
      </c>
      <c r="C275">
        <v>39</v>
      </c>
      <c r="D275" s="51" t="s">
        <v>12</v>
      </c>
      <c r="E275">
        <f>VLOOKUP(M275,'MASS - 2016'!$A$1:$G$3418,6,FALSE)</f>
        <v>2320.3519999999999</v>
      </c>
      <c r="F275">
        <f>VLOOKUP(M275,'MASS - 2016'!$A$1:$G$3418,7,FALSE)</f>
        <v>135.53200000000001</v>
      </c>
      <c r="G275">
        <f t="shared" si="26"/>
        <v>2320.3519999999999</v>
      </c>
      <c r="H275">
        <f t="shared" si="22"/>
        <v>39.002491000315672</v>
      </c>
      <c r="I275">
        <f t="shared" si="23"/>
        <v>36.330588730999999</v>
      </c>
      <c r="J275">
        <f t="shared" si="25"/>
        <v>36323.434730999994</v>
      </c>
      <c r="M275">
        <f t="shared" si="24"/>
        <v>25014</v>
      </c>
    </row>
    <row r="276" spans="1:13" x14ac:dyDescent="0.2">
      <c r="A276">
        <v>24</v>
      </c>
      <c r="B276">
        <v>15</v>
      </c>
      <c r="C276">
        <v>39</v>
      </c>
      <c r="D276" s="51" t="s">
        <v>13</v>
      </c>
      <c r="E276">
        <f>VLOOKUP(M276,'MASS - 2016'!$A$1:$G$3418,6,FALSE)</f>
        <v>-12774.634</v>
      </c>
      <c r="F276">
        <f>VLOOKUP(M276,'MASS - 2016'!$A$1:$G$3418,7,FALSE)</f>
        <v>112.645</v>
      </c>
      <c r="G276">
        <f t="shared" si="26"/>
        <v>-12774.634</v>
      </c>
      <c r="H276">
        <f t="shared" si="22"/>
        <v>38.986285866400173</v>
      </c>
      <c r="I276">
        <f t="shared" si="23"/>
        <v>36.315493744999998</v>
      </c>
      <c r="J276">
        <f t="shared" si="25"/>
        <v>36307.828744999999</v>
      </c>
      <c r="M276">
        <f t="shared" si="24"/>
        <v>24015</v>
      </c>
    </row>
    <row r="277" spans="1:13" x14ac:dyDescent="0.2">
      <c r="A277">
        <v>23</v>
      </c>
      <c r="B277">
        <v>16</v>
      </c>
      <c r="C277">
        <v>39</v>
      </c>
      <c r="D277" s="51" t="s">
        <v>14</v>
      </c>
      <c r="E277">
        <f>VLOOKUP(M277,'MASS - 2016'!$A$1:$G$3418,6,FALSE)</f>
        <v>-23162.667000000001</v>
      </c>
      <c r="F277">
        <f>VLOOKUP(M277,'MASS - 2016'!$A$1:$G$3418,7,FALSE)</f>
        <v>50</v>
      </c>
      <c r="G277">
        <f t="shared" si="26"/>
        <v>-23162.667000000001</v>
      </c>
      <c r="H277">
        <f t="shared" si="22"/>
        <v>38.975133854342417</v>
      </c>
      <c r="I277">
        <f t="shared" si="23"/>
        <v>36.305105712</v>
      </c>
      <c r="J277">
        <f t="shared" si="25"/>
        <v>36296.929711999997</v>
      </c>
      <c r="M277">
        <f t="shared" si="24"/>
        <v>23016</v>
      </c>
    </row>
    <row r="278" spans="1:13" x14ac:dyDescent="0.2">
      <c r="A278">
        <v>22</v>
      </c>
      <c r="B278">
        <v>17</v>
      </c>
      <c r="C278">
        <v>39</v>
      </c>
      <c r="D278" s="51" t="s">
        <v>15</v>
      </c>
      <c r="E278">
        <f>VLOOKUP(M278,'MASS - 2016'!$A$1:$G$3418,6,FALSE)</f>
        <v>-29800.205000000002</v>
      </c>
      <c r="F278">
        <f>VLOOKUP(M278,'MASS - 2016'!$A$1:$G$3418,7,FALSE)</f>
        <v>1.732</v>
      </c>
      <c r="G278">
        <f t="shared" si="26"/>
        <v>-29800.205000000002</v>
      </c>
      <c r="H278">
        <f t="shared" si="22"/>
        <v>38.968008164251735</v>
      </c>
      <c r="I278">
        <f t="shared" si="23"/>
        <v>36.298468174</v>
      </c>
      <c r="J278">
        <f t="shared" si="25"/>
        <v>36289.781174000003</v>
      </c>
      <c r="M278">
        <f t="shared" si="24"/>
        <v>22017</v>
      </c>
    </row>
    <row r="279" spans="1:13" x14ac:dyDescent="0.2">
      <c r="A279">
        <v>21</v>
      </c>
      <c r="B279">
        <v>18</v>
      </c>
      <c r="C279">
        <v>39</v>
      </c>
      <c r="D279" s="51" t="s">
        <v>16</v>
      </c>
      <c r="E279">
        <f>VLOOKUP(M279,'MASS - 2016'!$A$1:$G$3418,6,FALSE)</f>
        <v>-33242.19</v>
      </c>
      <c r="F279">
        <f>VLOOKUP(M279,'MASS - 2016'!$A$1:$G$3418,7,FALSE)</f>
        <v>5</v>
      </c>
      <c r="G279">
        <f t="shared" si="26"/>
        <v>-33242.19</v>
      </c>
      <c r="H279">
        <f t="shared" si="22"/>
        <v>38.96431304139039</v>
      </c>
      <c r="I279">
        <f t="shared" si="23"/>
        <v>36.295026188999998</v>
      </c>
      <c r="J279">
        <f t="shared" si="25"/>
        <v>36285.828189</v>
      </c>
      <c r="M279">
        <f t="shared" si="24"/>
        <v>21018</v>
      </c>
    </row>
    <row r="280" spans="1:13" x14ac:dyDescent="0.2">
      <c r="A280">
        <v>20</v>
      </c>
      <c r="B280">
        <v>19</v>
      </c>
      <c r="C280">
        <v>39</v>
      </c>
      <c r="D280" s="51" t="s">
        <v>17</v>
      </c>
      <c r="E280">
        <f>VLOOKUP(M280,'MASS - 2016'!$A$1:$G$3418,6,FALSE)</f>
        <v>-33807.1901</v>
      </c>
      <c r="F280">
        <f>VLOOKUP(M280,'MASS - 2016'!$A$1:$G$3418,7,FALSE)</f>
        <v>4.5799999999999999E-3</v>
      </c>
      <c r="G280">
        <f t="shared" si="26"/>
        <v>-33807.1901</v>
      </c>
      <c r="H280">
        <f t="shared" si="22"/>
        <v>38.963706488838262</v>
      </c>
      <c r="I280">
        <f t="shared" si="23"/>
        <v>36.294461188900002</v>
      </c>
      <c r="J280">
        <f t="shared" si="25"/>
        <v>36284.752188899998</v>
      </c>
      <c r="M280">
        <f t="shared" si="24"/>
        <v>20019</v>
      </c>
    </row>
    <row r="281" spans="1:13" x14ac:dyDescent="0.2">
      <c r="A281">
        <v>19</v>
      </c>
      <c r="B281">
        <v>20</v>
      </c>
      <c r="C281">
        <v>39</v>
      </c>
      <c r="D281" s="51" t="s">
        <v>18</v>
      </c>
      <c r="E281">
        <f>VLOOKUP(M281,'MASS - 2016'!$A$1:$G$3418,6,FALSE)</f>
        <v>-27282.702000000001</v>
      </c>
      <c r="F281">
        <f>VLOOKUP(M281,'MASS - 2016'!$A$1:$G$3418,7,FALSE)</f>
        <v>0.59599999999999997</v>
      </c>
      <c r="G281">
        <f t="shared" si="26"/>
        <v>-27282.702000000001</v>
      </c>
      <c r="H281">
        <f t="shared" si="22"/>
        <v>38.970710814870131</v>
      </c>
      <c r="I281">
        <f t="shared" si="23"/>
        <v>36.300985677</v>
      </c>
      <c r="J281">
        <f t="shared" si="25"/>
        <v>36290.765676999996</v>
      </c>
      <c r="M281">
        <f t="shared" si="24"/>
        <v>19020</v>
      </c>
    </row>
    <row r="282" spans="1:13" x14ac:dyDescent="0.2">
      <c r="A282">
        <v>18</v>
      </c>
      <c r="B282">
        <v>21</v>
      </c>
      <c r="C282">
        <v>39</v>
      </c>
      <c r="D282" s="51" t="s">
        <v>19</v>
      </c>
      <c r="E282">
        <f>VLOOKUP(M282,'MASS - 2016'!$A$1:$G$3418,6,FALSE)</f>
        <v>-14172.709000000001</v>
      </c>
      <c r="F282">
        <f>VLOOKUP(M282,'MASS - 2016'!$A$1:$G$3418,7,FALSE)</f>
        <v>24</v>
      </c>
      <c r="G282">
        <f t="shared" si="26"/>
        <v>-14172.709000000001</v>
      </c>
      <c r="H282">
        <f t="shared" si="22"/>
        <v>38.984784971162583</v>
      </c>
      <c r="I282">
        <f t="shared" si="23"/>
        <v>36.31409567</v>
      </c>
      <c r="J282">
        <f t="shared" si="25"/>
        <v>36303.364670000003</v>
      </c>
      <c r="M282">
        <f t="shared" si="24"/>
        <v>18021</v>
      </c>
    </row>
    <row r="283" spans="1:13" x14ac:dyDescent="0.2">
      <c r="A283">
        <v>17</v>
      </c>
      <c r="B283">
        <v>22</v>
      </c>
      <c r="C283">
        <v>39</v>
      </c>
      <c r="D283" s="51" t="s">
        <v>20</v>
      </c>
      <c r="E283" t="str">
        <f>VLOOKUP(M283,'MASS - 2016'!$A$1:$G$3418,6,FALSE)</f>
        <v>2200#</v>
      </c>
      <c r="F283" t="str">
        <f>VLOOKUP(M283,'MASS - 2016'!$A$1:$G$3418,7,FALSE)</f>
        <v>200#</v>
      </c>
      <c r="G283">
        <f t="shared" si="26"/>
        <v>2200.0100000000002</v>
      </c>
      <c r="H283">
        <f t="shared" si="22"/>
        <v>39.002361807865576</v>
      </c>
      <c r="I283">
        <f t="shared" si="23"/>
        <v>36.330468389000004</v>
      </c>
      <c r="J283">
        <f t="shared" si="25"/>
        <v>36319.226389000003</v>
      </c>
      <c r="M283">
        <f t="shared" si="24"/>
        <v>17022</v>
      </c>
    </row>
    <row r="284" spans="1:13" x14ac:dyDescent="0.2">
      <c r="A284">
        <v>26</v>
      </c>
      <c r="B284">
        <v>14</v>
      </c>
      <c r="C284">
        <v>40</v>
      </c>
      <c r="D284" s="51" t="s">
        <v>12</v>
      </c>
      <c r="E284">
        <f>VLOOKUP(M284,'MASS - 2016'!$A$1:$G$3418,6,FALSE)</f>
        <v>5429.6790000000001</v>
      </c>
      <c r="F284">
        <f>VLOOKUP(M284,'MASS - 2016'!$A$1:$G$3418,7,FALSE)</f>
        <v>345.11900000000003</v>
      </c>
      <c r="G284">
        <f t="shared" si="26"/>
        <v>5429.6790000000001</v>
      </c>
      <c r="H284">
        <f t="shared" si="22"/>
        <v>40.00582900012715</v>
      </c>
      <c r="I284">
        <f t="shared" si="23"/>
        <v>37.265192119000005</v>
      </c>
      <c r="J284">
        <f t="shared" si="25"/>
        <v>37258.038119000004</v>
      </c>
      <c r="M284">
        <f t="shared" si="24"/>
        <v>26014</v>
      </c>
    </row>
    <row r="285" spans="1:13" x14ac:dyDescent="0.2">
      <c r="A285">
        <v>25</v>
      </c>
      <c r="B285">
        <v>15</v>
      </c>
      <c r="C285">
        <v>40</v>
      </c>
      <c r="D285" s="51" t="s">
        <v>13</v>
      </c>
      <c r="E285">
        <f>VLOOKUP(M285,'MASS - 2016'!$A$1:$G$3418,6,FALSE)</f>
        <v>-8114.37</v>
      </c>
      <c r="F285">
        <f>VLOOKUP(M285,'MASS - 2016'!$A$1:$G$3418,7,FALSE)</f>
        <v>153.58199999999999</v>
      </c>
      <c r="G285">
        <f t="shared" si="26"/>
        <v>-8114.37</v>
      </c>
      <c r="H285">
        <f t="shared" si="22"/>
        <v>39.991288865555099</v>
      </c>
      <c r="I285">
        <f t="shared" si="23"/>
        <v>37.251648070000002</v>
      </c>
      <c r="J285">
        <f t="shared" si="25"/>
        <v>37243.983070000002</v>
      </c>
      <c r="M285">
        <f t="shared" si="24"/>
        <v>25015</v>
      </c>
    </row>
    <row r="286" spans="1:13" x14ac:dyDescent="0.2">
      <c r="A286">
        <v>24</v>
      </c>
      <c r="B286">
        <v>16</v>
      </c>
      <c r="C286">
        <v>40</v>
      </c>
      <c r="D286" s="51" t="s">
        <v>14</v>
      </c>
      <c r="E286">
        <f>VLOOKUP(M286,'MASS - 2016'!$A$1:$G$3418,6,FALSE)</f>
        <v>-22837.846000000001</v>
      </c>
      <c r="F286">
        <f>VLOOKUP(M286,'MASS - 2016'!$A$1:$G$3418,7,FALSE)</f>
        <v>3.9820000000000002</v>
      </c>
      <c r="G286">
        <f t="shared" si="26"/>
        <v>-22837.846000000001</v>
      </c>
      <c r="H286">
        <f t="shared" si="22"/>
        <v>39.975482564026784</v>
      </c>
      <c r="I286">
        <f t="shared" si="23"/>
        <v>37.236924594000001</v>
      </c>
      <c r="J286">
        <f t="shared" si="25"/>
        <v>37228.748594000004</v>
      </c>
      <c r="M286">
        <f t="shared" si="24"/>
        <v>24016</v>
      </c>
    </row>
    <row r="287" spans="1:13" x14ac:dyDescent="0.2">
      <c r="A287">
        <v>23</v>
      </c>
      <c r="B287">
        <v>17</v>
      </c>
      <c r="C287">
        <v>40</v>
      </c>
      <c r="D287" s="51" t="s">
        <v>15</v>
      </c>
      <c r="E287">
        <f>VLOOKUP(M287,'MASS - 2016'!$A$1:$G$3418,6,FALSE)</f>
        <v>-27557.812999999998</v>
      </c>
      <c r="F287">
        <f>VLOOKUP(M287,'MASS - 2016'!$A$1:$G$3418,7,FALSE)</f>
        <v>32.066000000000003</v>
      </c>
      <c r="G287">
        <f t="shared" si="26"/>
        <v>-27557.812999999998</v>
      </c>
      <c r="H287">
        <f t="shared" si="22"/>
        <v>39.970415471065472</v>
      </c>
      <c r="I287">
        <f t="shared" si="23"/>
        <v>37.232204627000002</v>
      </c>
      <c r="J287">
        <f t="shared" si="25"/>
        <v>37223.517627000001</v>
      </c>
      <c r="M287">
        <f t="shared" si="24"/>
        <v>23017</v>
      </c>
    </row>
    <row r="288" spans="1:13" x14ac:dyDescent="0.2">
      <c r="A288">
        <v>22</v>
      </c>
      <c r="B288">
        <v>18</v>
      </c>
      <c r="C288">
        <v>40</v>
      </c>
      <c r="D288" s="51" t="s">
        <v>16</v>
      </c>
      <c r="E288">
        <f>VLOOKUP(M288,'MASS - 2016'!$A$1:$G$3418,6,FALSE)</f>
        <v>-35039.894639999999</v>
      </c>
      <c r="F288">
        <f>VLOOKUP(M288,'MASS - 2016'!$A$1:$G$3418,7,FALSE)</f>
        <v>2.2399999999999998E-3</v>
      </c>
      <c r="G288">
        <f t="shared" si="26"/>
        <v>-35039.894639999999</v>
      </c>
      <c r="H288">
        <f t="shared" si="22"/>
        <v>39.962383126090593</v>
      </c>
      <c r="I288">
        <f t="shared" si="23"/>
        <v>37.224722545360002</v>
      </c>
      <c r="J288">
        <f t="shared" si="25"/>
        <v>37215.524545360007</v>
      </c>
      <c r="M288">
        <f t="shared" si="24"/>
        <v>22018</v>
      </c>
    </row>
    <row r="289" spans="1:13" x14ac:dyDescent="0.2">
      <c r="A289">
        <v>21</v>
      </c>
      <c r="B289">
        <v>19</v>
      </c>
      <c r="C289">
        <v>40</v>
      </c>
      <c r="D289" s="51" t="s">
        <v>17</v>
      </c>
      <c r="E289">
        <f>VLOOKUP(M289,'MASS - 2016'!$A$1:$G$3418,6,FALSE)</f>
        <v>-33535.491999999998</v>
      </c>
      <c r="F289">
        <f>VLOOKUP(M289,'MASS - 2016'!$A$1:$G$3418,7,FALSE)</f>
        <v>5.6000000000000001E-2</v>
      </c>
      <c r="G289">
        <f t="shared" si="26"/>
        <v>-33535.491999999998</v>
      </c>
      <c r="H289">
        <f t="shared" si="22"/>
        <v>39.963998168744098</v>
      </c>
      <c r="I289">
        <f t="shared" si="23"/>
        <v>37.226226948000004</v>
      </c>
      <c r="J289">
        <f t="shared" si="25"/>
        <v>37216.517948000001</v>
      </c>
      <c r="M289">
        <f t="shared" si="24"/>
        <v>21019</v>
      </c>
    </row>
    <row r="290" spans="1:13" x14ac:dyDescent="0.2">
      <c r="A290">
        <v>20</v>
      </c>
      <c r="B290">
        <v>20</v>
      </c>
      <c r="C290">
        <v>40</v>
      </c>
      <c r="D290" s="51" t="s">
        <v>18</v>
      </c>
      <c r="E290">
        <f>VLOOKUP(M290,'MASS - 2016'!$A$1:$G$3418,6,FALSE)</f>
        <v>-34846.383999999998</v>
      </c>
      <c r="F290">
        <f>VLOOKUP(M290,'MASS - 2016'!$A$1:$G$3418,7,FALSE)</f>
        <v>2.1000000000000001E-2</v>
      </c>
      <c r="G290">
        <f t="shared" si="26"/>
        <v>-34846.383999999998</v>
      </c>
      <c r="H290">
        <f t="shared" si="22"/>
        <v>39.962590868306144</v>
      </c>
      <c r="I290">
        <f t="shared" si="23"/>
        <v>37.224916056000005</v>
      </c>
      <c r="J290">
        <f t="shared" si="25"/>
        <v>37214.696056000001</v>
      </c>
      <c r="M290">
        <f t="shared" si="24"/>
        <v>20020</v>
      </c>
    </row>
    <row r="291" spans="1:13" x14ac:dyDescent="0.2">
      <c r="A291">
        <v>19</v>
      </c>
      <c r="B291">
        <v>21</v>
      </c>
      <c r="C291">
        <v>40</v>
      </c>
      <c r="D291" s="51" t="s">
        <v>19</v>
      </c>
      <c r="E291">
        <f>VLOOKUP(M291,'MASS - 2016'!$A$1:$G$3418,6,FALSE)</f>
        <v>-20523.334999999999</v>
      </c>
      <c r="F291">
        <f>VLOOKUP(M291,'MASS - 2016'!$A$1:$G$3418,7,FALSE)</f>
        <v>2.8279999999999998</v>
      </c>
      <c r="G291">
        <f t="shared" si="26"/>
        <v>-20523.334999999999</v>
      </c>
      <c r="H291">
        <f t="shared" si="22"/>
        <v>39.97796729377108</v>
      </c>
      <c r="I291">
        <f t="shared" si="23"/>
        <v>37.239239105000003</v>
      </c>
      <c r="J291">
        <f t="shared" si="25"/>
        <v>37228.508105000001</v>
      </c>
      <c r="M291">
        <f t="shared" si="24"/>
        <v>19021</v>
      </c>
    </row>
    <row r="292" spans="1:13" x14ac:dyDescent="0.2">
      <c r="A292">
        <v>18</v>
      </c>
      <c r="B292">
        <v>22</v>
      </c>
      <c r="C292">
        <v>40</v>
      </c>
      <c r="D292" s="51" t="s">
        <v>20</v>
      </c>
      <c r="E292">
        <f>VLOOKUP(M292,'MASS - 2016'!$A$1:$G$3418,6,FALSE)</f>
        <v>-8850.384</v>
      </c>
      <c r="F292">
        <f>VLOOKUP(M292,'MASS - 2016'!$A$1:$G$3418,7,FALSE)</f>
        <v>160</v>
      </c>
      <c r="G292">
        <f t="shared" si="26"/>
        <v>-8850.384</v>
      </c>
      <c r="H292">
        <f t="shared" si="22"/>
        <v>39.990498722031042</v>
      </c>
      <c r="I292">
        <f t="shared" si="23"/>
        <v>37.250912056000004</v>
      </c>
      <c r="J292">
        <f t="shared" si="25"/>
        <v>37239.670056000003</v>
      </c>
      <c r="M292">
        <f t="shared" si="24"/>
        <v>18022</v>
      </c>
    </row>
    <row r="293" spans="1:13" x14ac:dyDescent="0.2">
      <c r="A293">
        <v>17</v>
      </c>
      <c r="B293">
        <v>23</v>
      </c>
      <c r="C293">
        <v>40</v>
      </c>
      <c r="D293" s="51" t="s">
        <v>21</v>
      </c>
      <c r="E293" t="str">
        <f>VLOOKUP(M293,'MASS - 2016'!$A$1:$G$3418,6,FALSE)</f>
        <v>12170#</v>
      </c>
      <c r="F293" t="str">
        <f>VLOOKUP(M293,'MASS - 2016'!$A$1:$G$3418,7,FALSE)</f>
        <v>300#</v>
      </c>
      <c r="G293">
        <f t="shared" si="26"/>
        <v>12170.01</v>
      </c>
      <c r="H293">
        <f t="shared" si="22"/>
        <v>40.013065043041642</v>
      </c>
      <c r="I293">
        <f t="shared" si="23"/>
        <v>37.271932450000001</v>
      </c>
      <c r="J293">
        <f t="shared" si="25"/>
        <v>37260.179450000003</v>
      </c>
      <c r="M293">
        <f t="shared" si="24"/>
        <v>17023</v>
      </c>
    </row>
    <row r="294" spans="1:13" x14ac:dyDescent="0.2">
      <c r="A294">
        <v>27</v>
      </c>
      <c r="B294">
        <v>14</v>
      </c>
      <c r="C294">
        <v>41</v>
      </c>
      <c r="D294" s="51" t="s">
        <v>12</v>
      </c>
      <c r="E294">
        <f>VLOOKUP(M294,'MASS - 2016'!$A$1:$G$3418,6,FALSE)</f>
        <v>12119.668</v>
      </c>
      <c r="F294">
        <f>VLOOKUP(M294,'MASS - 2016'!$A$1:$G$3418,7,FALSE)</f>
        <v>554.70500000000004</v>
      </c>
      <c r="G294">
        <f t="shared" si="26"/>
        <v>12119.668</v>
      </c>
      <c r="H294">
        <f t="shared" si="22"/>
        <v>41.013010998682034</v>
      </c>
      <c r="I294">
        <f t="shared" si="23"/>
        <v>38.203376168999995</v>
      </c>
      <c r="J294">
        <f t="shared" si="25"/>
        <v>38196.222168999993</v>
      </c>
      <c r="M294">
        <f t="shared" si="24"/>
        <v>27014</v>
      </c>
    </row>
    <row r="295" spans="1:13" x14ac:dyDescent="0.2">
      <c r="A295">
        <v>26</v>
      </c>
      <c r="B295">
        <v>15</v>
      </c>
      <c r="C295">
        <v>41</v>
      </c>
      <c r="D295" s="51" t="s">
        <v>13</v>
      </c>
      <c r="E295">
        <f>VLOOKUP(M295,'MASS - 2016'!$A$1:$G$3418,6,FALSE)</f>
        <v>-4979.7669999999998</v>
      </c>
      <c r="F295">
        <f>VLOOKUP(M295,'MASS - 2016'!$A$1:$G$3418,7,FALSE)</f>
        <v>120.163</v>
      </c>
      <c r="G295">
        <f t="shared" si="26"/>
        <v>-4979.7669999999998</v>
      </c>
      <c r="H295">
        <f t="shared" si="22"/>
        <v>40.994654000268497</v>
      </c>
      <c r="I295">
        <f t="shared" si="23"/>
        <v>38.186276733999996</v>
      </c>
      <c r="J295">
        <f t="shared" si="25"/>
        <v>38178.611733999998</v>
      </c>
      <c r="M295">
        <f t="shared" si="24"/>
        <v>26015</v>
      </c>
    </row>
    <row r="296" spans="1:13" x14ac:dyDescent="0.2">
      <c r="A296">
        <v>25</v>
      </c>
      <c r="B296">
        <v>16</v>
      </c>
      <c r="C296">
        <v>41</v>
      </c>
      <c r="D296" s="51" t="s">
        <v>14</v>
      </c>
      <c r="E296">
        <f>VLOOKUP(M296,'MASS - 2016'!$A$1:$G$3418,6,FALSE)</f>
        <v>-19008.577000000001</v>
      </c>
      <c r="F296">
        <f>VLOOKUP(M296,'MASS - 2016'!$A$1:$G$3418,7,FALSE)</f>
        <v>4.0990000000000002</v>
      </c>
      <c r="G296">
        <f t="shared" si="26"/>
        <v>-19008.577000000001</v>
      </c>
      <c r="H296">
        <f t="shared" si="22"/>
        <v>40.979593453360728</v>
      </c>
      <c r="I296">
        <f t="shared" si="23"/>
        <v>38.172247923999997</v>
      </c>
      <c r="J296">
        <f t="shared" si="25"/>
        <v>38164.071923999996</v>
      </c>
      <c r="M296">
        <f t="shared" si="24"/>
        <v>25016</v>
      </c>
    </row>
    <row r="297" spans="1:13" x14ac:dyDescent="0.2">
      <c r="A297">
        <v>24</v>
      </c>
      <c r="B297">
        <v>17</v>
      </c>
      <c r="C297">
        <v>41</v>
      </c>
      <c r="D297" s="51" t="s">
        <v>15</v>
      </c>
      <c r="E297">
        <f>VLOOKUP(M297,'MASS - 2016'!$A$1:$G$3418,6,FALSE)</f>
        <v>-27307.188999999998</v>
      </c>
      <c r="F297">
        <f>VLOOKUP(M297,'MASS - 2016'!$A$1:$G$3418,7,FALSE)</f>
        <v>68.722999999999999</v>
      </c>
      <c r="G297">
        <f t="shared" si="26"/>
        <v>-27307.188999999998</v>
      </c>
      <c r="H297">
        <f t="shared" si="22"/>
        <v>40.970684526994532</v>
      </c>
      <c r="I297">
        <f t="shared" si="23"/>
        <v>38.163949312</v>
      </c>
      <c r="J297">
        <f t="shared" si="25"/>
        <v>38155.262311999999</v>
      </c>
      <c r="M297">
        <f t="shared" si="24"/>
        <v>24017</v>
      </c>
    </row>
    <row r="298" spans="1:13" x14ac:dyDescent="0.2">
      <c r="A298">
        <v>23</v>
      </c>
      <c r="B298">
        <v>18</v>
      </c>
      <c r="C298">
        <v>41</v>
      </c>
      <c r="D298" s="51" t="s">
        <v>16</v>
      </c>
      <c r="E298">
        <f>VLOOKUP(M298,'MASS - 2016'!$A$1:$G$3418,6,FALSE)</f>
        <v>-33067.504999999997</v>
      </c>
      <c r="F298">
        <f>VLOOKUP(M298,'MASS - 2016'!$A$1:$G$3418,7,FALSE)</f>
        <v>0.34699999999999998</v>
      </c>
      <c r="G298">
        <f t="shared" si="26"/>
        <v>-33067.504999999997</v>
      </c>
      <c r="H298">
        <f t="shared" si="22"/>
        <v>40.964500573450245</v>
      </c>
      <c r="I298">
        <f t="shared" si="23"/>
        <v>38.158188996</v>
      </c>
      <c r="J298">
        <f t="shared" si="25"/>
        <v>38148.990996</v>
      </c>
      <c r="M298">
        <f t="shared" si="24"/>
        <v>23018</v>
      </c>
    </row>
    <row r="299" spans="1:13" x14ac:dyDescent="0.2">
      <c r="A299">
        <v>22</v>
      </c>
      <c r="B299">
        <v>19</v>
      </c>
      <c r="C299">
        <v>41</v>
      </c>
      <c r="D299" s="51" t="s">
        <v>17</v>
      </c>
      <c r="E299">
        <f>VLOOKUP(M299,'MASS - 2016'!$A$1:$G$3418,6,FALSE)</f>
        <v>-35559.543310000001</v>
      </c>
      <c r="F299">
        <f>VLOOKUP(M299,'MASS - 2016'!$A$1:$G$3418,7,FALSE)</f>
        <v>3.8E-3</v>
      </c>
      <c r="G299">
        <f t="shared" si="26"/>
        <v>-35559.543310000001</v>
      </c>
      <c r="H299">
        <f t="shared" si="22"/>
        <v>40.961825260300827</v>
      </c>
      <c r="I299">
        <f t="shared" si="23"/>
        <v>38.155696957689997</v>
      </c>
      <c r="J299">
        <f t="shared" si="25"/>
        <v>38145.987957689998</v>
      </c>
      <c r="M299">
        <f t="shared" si="24"/>
        <v>22019</v>
      </c>
    </row>
    <row r="300" spans="1:13" x14ac:dyDescent="0.2">
      <c r="A300">
        <v>21</v>
      </c>
      <c r="B300">
        <v>20</v>
      </c>
      <c r="C300">
        <v>41</v>
      </c>
      <c r="D300" s="51" t="s">
        <v>18</v>
      </c>
      <c r="E300">
        <f>VLOOKUP(M300,'MASS - 2016'!$A$1:$G$3418,6,FALSE)</f>
        <v>-35137.89</v>
      </c>
      <c r="F300">
        <f>VLOOKUP(M300,'MASS - 2016'!$A$1:$G$3418,7,FALSE)</f>
        <v>0.13800000000000001</v>
      </c>
      <c r="G300">
        <f t="shared" si="26"/>
        <v>-35137.89</v>
      </c>
      <c r="H300">
        <f t="shared" si="22"/>
        <v>40.962277923745127</v>
      </c>
      <c r="I300">
        <f t="shared" si="23"/>
        <v>38.156118610999997</v>
      </c>
      <c r="J300">
        <f t="shared" si="25"/>
        <v>38145.898610999997</v>
      </c>
      <c r="M300">
        <f t="shared" si="24"/>
        <v>21020</v>
      </c>
    </row>
    <row r="301" spans="1:13" x14ac:dyDescent="0.2">
      <c r="A301">
        <v>20</v>
      </c>
      <c r="B301">
        <v>21</v>
      </c>
      <c r="C301">
        <v>41</v>
      </c>
      <c r="D301" s="51" t="s">
        <v>19</v>
      </c>
      <c r="E301">
        <f>VLOOKUP(M301,'MASS - 2016'!$A$1:$G$3418,6,FALSE)</f>
        <v>-28642.412</v>
      </c>
      <c r="F301">
        <f>VLOOKUP(M301,'MASS - 2016'!$A$1:$G$3418,7,FALSE)</f>
        <v>8.3000000000000004E-2</v>
      </c>
      <c r="G301">
        <f t="shared" si="26"/>
        <v>-28642.412</v>
      </c>
      <c r="H301">
        <f t="shared" si="22"/>
        <v>40.969251106153855</v>
      </c>
      <c r="I301">
        <f t="shared" si="23"/>
        <v>38.162614088999995</v>
      </c>
      <c r="J301">
        <f t="shared" si="25"/>
        <v>38151.883088999995</v>
      </c>
      <c r="M301">
        <f t="shared" si="24"/>
        <v>20021</v>
      </c>
    </row>
    <row r="302" spans="1:13" x14ac:dyDescent="0.2">
      <c r="A302">
        <v>19</v>
      </c>
      <c r="B302">
        <v>22</v>
      </c>
      <c r="C302">
        <v>41</v>
      </c>
      <c r="D302" s="51" t="s">
        <v>20</v>
      </c>
      <c r="E302">
        <f>VLOOKUP(M302,'MASS - 2016'!$A$1:$G$3418,6,FALSE)</f>
        <v>-15697.537</v>
      </c>
      <c r="F302">
        <f>VLOOKUP(M302,'MASS - 2016'!$A$1:$G$3418,7,FALSE)</f>
        <v>27.945</v>
      </c>
      <c r="G302">
        <f t="shared" si="26"/>
        <v>-15697.537</v>
      </c>
      <c r="H302">
        <f t="shared" si="22"/>
        <v>40.983148000983334</v>
      </c>
      <c r="I302">
        <f t="shared" si="23"/>
        <v>38.175558963999997</v>
      </c>
      <c r="J302">
        <f t="shared" si="25"/>
        <v>38164.316963999998</v>
      </c>
      <c r="M302">
        <f t="shared" si="24"/>
        <v>19022</v>
      </c>
    </row>
    <row r="303" spans="1:13" x14ac:dyDescent="0.2">
      <c r="A303">
        <v>18</v>
      </c>
      <c r="B303">
        <v>23</v>
      </c>
      <c r="C303">
        <v>41</v>
      </c>
      <c r="D303" s="51" t="s">
        <v>21</v>
      </c>
      <c r="E303" t="str">
        <f>VLOOKUP(M303,'MASS - 2016'!$A$1:$G$3418,6,FALSE)</f>
        <v>320#</v>
      </c>
      <c r="F303" t="str">
        <f>VLOOKUP(M303,'MASS - 2016'!$A$1:$G$3418,7,FALSE)</f>
        <v>200#</v>
      </c>
      <c r="G303">
        <f t="shared" si="26"/>
        <v>320.01</v>
      </c>
      <c r="H303">
        <f t="shared" si="22"/>
        <v>41.000343544863462</v>
      </c>
      <c r="I303">
        <f t="shared" si="23"/>
        <v>38.191576511000001</v>
      </c>
      <c r="J303">
        <f t="shared" si="25"/>
        <v>38179.823511000002</v>
      </c>
      <c r="M303">
        <f t="shared" si="24"/>
        <v>18023</v>
      </c>
    </row>
    <row r="304" spans="1:13" x14ac:dyDescent="0.2">
      <c r="A304">
        <v>28</v>
      </c>
      <c r="B304">
        <v>14</v>
      </c>
      <c r="C304">
        <v>42</v>
      </c>
      <c r="D304" s="51" t="s">
        <v>12</v>
      </c>
      <c r="E304" t="str">
        <f>VLOOKUP(M304,'MASS - 2016'!$A$1:$G$3418,6,FALSE)</f>
        <v>16470#</v>
      </c>
      <c r="F304" t="str">
        <f>VLOOKUP(M304,'MASS - 2016'!$A$1:$G$3418,7,FALSE)</f>
        <v>500#</v>
      </c>
      <c r="G304">
        <f t="shared" si="26"/>
        <v>16470.009999999998</v>
      </c>
      <c r="H304">
        <f t="shared" si="22"/>
        <v>42.01768128288689</v>
      </c>
      <c r="I304">
        <f t="shared" si="23"/>
        <v>39.139220571999999</v>
      </c>
      <c r="J304">
        <f t="shared" si="25"/>
        <v>39132.066571999996</v>
      </c>
      <c r="M304">
        <f t="shared" si="24"/>
        <v>28014</v>
      </c>
    </row>
    <row r="305" spans="1:13" x14ac:dyDescent="0.2">
      <c r="A305">
        <v>27</v>
      </c>
      <c r="B305">
        <v>15</v>
      </c>
      <c r="C305">
        <v>42</v>
      </c>
      <c r="D305" s="51" t="s">
        <v>13</v>
      </c>
      <c r="E305">
        <f>VLOOKUP(M305,'MASS - 2016'!$A$1:$G$3418,6,FALSE)</f>
        <v>1009.74</v>
      </c>
      <c r="F305">
        <f>VLOOKUP(M305,'MASS - 2016'!$A$1:$G$3418,7,FALSE)</f>
        <v>314.37900000000002</v>
      </c>
      <c r="G305">
        <f t="shared" si="26"/>
        <v>1009.74</v>
      </c>
      <c r="H305">
        <f t="shared" si="22"/>
        <v>42.00108400047008</v>
      </c>
      <c r="I305">
        <f t="shared" si="23"/>
        <v>39.123760302000001</v>
      </c>
      <c r="J305">
        <f t="shared" si="25"/>
        <v>39116.095302000002</v>
      </c>
      <c r="M305">
        <f t="shared" si="24"/>
        <v>27015</v>
      </c>
    </row>
    <row r="306" spans="1:13" x14ac:dyDescent="0.2">
      <c r="A306">
        <v>26</v>
      </c>
      <c r="B306">
        <v>16</v>
      </c>
      <c r="C306">
        <v>42</v>
      </c>
      <c r="D306" s="51" t="s">
        <v>14</v>
      </c>
      <c r="E306">
        <f>VLOOKUP(M306,'MASS - 2016'!$A$1:$G$3418,6,FALSE)</f>
        <v>-17637.745999999999</v>
      </c>
      <c r="F306">
        <f>VLOOKUP(M306,'MASS - 2016'!$A$1:$G$3418,7,FALSE)</f>
        <v>2.794</v>
      </c>
      <c r="G306">
        <f t="shared" si="26"/>
        <v>-17637.745999999999</v>
      </c>
      <c r="H306">
        <f t="shared" si="22"/>
        <v>41.981065100961501</v>
      </c>
      <c r="I306">
        <f t="shared" si="23"/>
        <v>39.105112816000002</v>
      </c>
      <c r="J306">
        <f t="shared" si="25"/>
        <v>39096.936816000001</v>
      </c>
      <c r="M306">
        <f t="shared" si="24"/>
        <v>26016</v>
      </c>
    </row>
    <row r="307" spans="1:13" x14ac:dyDescent="0.2">
      <c r="A307">
        <v>25</v>
      </c>
      <c r="B307">
        <v>17</v>
      </c>
      <c r="C307">
        <v>42</v>
      </c>
      <c r="D307" s="51" t="s">
        <v>15</v>
      </c>
      <c r="E307">
        <f>VLOOKUP(M307,'MASS - 2016'!$A$1:$G$3418,6,FALSE)</f>
        <v>-24831.767</v>
      </c>
      <c r="F307">
        <f>VLOOKUP(M307,'MASS - 2016'!$A$1:$G$3418,7,FALSE)</f>
        <v>59.616</v>
      </c>
      <c r="G307">
        <f t="shared" si="26"/>
        <v>-24831.767</v>
      </c>
      <c r="H307">
        <f t="shared" si="22"/>
        <v>41.973342001801555</v>
      </c>
      <c r="I307">
        <f t="shared" si="23"/>
        <v>39.097918794999998</v>
      </c>
      <c r="J307">
        <f t="shared" si="25"/>
        <v>39089.231795</v>
      </c>
      <c r="M307">
        <f t="shared" si="24"/>
        <v>25017</v>
      </c>
    </row>
    <row r="308" spans="1:13" x14ac:dyDescent="0.2">
      <c r="A308">
        <v>24</v>
      </c>
      <c r="B308">
        <v>18</v>
      </c>
      <c r="C308">
        <v>42</v>
      </c>
      <c r="D308" s="51" t="s">
        <v>16</v>
      </c>
      <c r="E308">
        <f>VLOOKUP(M308,'MASS - 2016'!$A$1:$G$3418,6,FALSE)</f>
        <v>-34422.675000000003</v>
      </c>
      <c r="F308">
        <f>VLOOKUP(M308,'MASS - 2016'!$A$1:$G$3418,7,FALSE)</f>
        <v>5.7750000000000004</v>
      </c>
      <c r="G308">
        <f t="shared" si="26"/>
        <v>-34422.675000000003</v>
      </c>
      <c r="H308">
        <f t="shared" si="22"/>
        <v>41.963045738624416</v>
      </c>
      <c r="I308">
        <f t="shared" si="23"/>
        <v>39.088327886999998</v>
      </c>
      <c r="J308">
        <f t="shared" si="25"/>
        <v>39079.129887000003</v>
      </c>
      <c r="M308">
        <f t="shared" si="24"/>
        <v>24018</v>
      </c>
    </row>
    <row r="309" spans="1:13" x14ac:dyDescent="0.2">
      <c r="A309">
        <v>23</v>
      </c>
      <c r="B309">
        <v>19</v>
      </c>
      <c r="C309">
        <v>42</v>
      </c>
      <c r="D309" s="51" t="s">
        <v>17</v>
      </c>
      <c r="E309">
        <f>VLOOKUP(M309,'MASS - 2016'!$A$1:$G$3418,6,FALSE)</f>
        <v>-35022.025999999998</v>
      </c>
      <c r="F309">
        <f>VLOOKUP(M309,'MASS - 2016'!$A$1:$G$3418,7,FALSE)</f>
        <v>0.106</v>
      </c>
      <c r="G309">
        <f t="shared" si="26"/>
        <v>-35022.025999999998</v>
      </c>
      <c r="H309">
        <f t="shared" si="22"/>
        <v>41.962402308864533</v>
      </c>
      <c r="I309">
        <f t="shared" si="23"/>
        <v>39.087728536</v>
      </c>
      <c r="J309">
        <f t="shared" si="25"/>
        <v>39078.019536</v>
      </c>
      <c r="M309">
        <f t="shared" si="24"/>
        <v>23019</v>
      </c>
    </row>
    <row r="310" spans="1:13" x14ac:dyDescent="0.2">
      <c r="A310">
        <v>22</v>
      </c>
      <c r="B310">
        <v>20</v>
      </c>
      <c r="C310">
        <v>42</v>
      </c>
      <c r="D310" s="51" t="s">
        <v>18</v>
      </c>
      <c r="E310">
        <f>VLOOKUP(M310,'MASS - 2016'!$A$1:$G$3418,6,FALSE)</f>
        <v>-38547.245000000003</v>
      </c>
      <c r="F310">
        <f>VLOOKUP(M310,'MASS - 2016'!$A$1:$G$3418,7,FALSE)</f>
        <v>0.14899999999999999</v>
      </c>
      <c r="G310">
        <f t="shared" si="26"/>
        <v>-38547.245000000003</v>
      </c>
      <c r="H310">
        <f t="shared" si="22"/>
        <v>41.958617830629414</v>
      </c>
      <c r="I310">
        <f t="shared" si="23"/>
        <v>39.084203317000004</v>
      </c>
      <c r="J310">
        <f t="shared" si="25"/>
        <v>39073.983317000006</v>
      </c>
      <c r="M310">
        <f t="shared" si="24"/>
        <v>22020</v>
      </c>
    </row>
    <row r="311" spans="1:13" x14ac:dyDescent="0.2">
      <c r="A311">
        <v>21</v>
      </c>
      <c r="B311">
        <v>21</v>
      </c>
      <c r="C311">
        <v>42</v>
      </c>
      <c r="D311" s="51" t="s">
        <v>19</v>
      </c>
      <c r="E311">
        <f>VLOOKUP(M311,'MASS - 2016'!$A$1:$G$3418,6,FALSE)</f>
        <v>-32121.152999999998</v>
      </c>
      <c r="F311">
        <f>VLOOKUP(M311,'MASS - 2016'!$A$1:$G$3418,7,FALSE)</f>
        <v>0.16900000000000001</v>
      </c>
      <c r="G311">
        <f t="shared" si="26"/>
        <v>-32121.152999999998</v>
      </c>
      <c r="H311">
        <f t="shared" si="22"/>
        <v>41.965516524103748</v>
      </c>
      <c r="I311">
        <f t="shared" si="23"/>
        <v>39.090629409000002</v>
      </c>
      <c r="J311">
        <f t="shared" si="25"/>
        <v>39079.898409000001</v>
      </c>
      <c r="M311">
        <f t="shared" si="24"/>
        <v>21021</v>
      </c>
    </row>
    <row r="312" spans="1:13" x14ac:dyDescent="0.2">
      <c r="A312">
        <v>20</v>
      </c>
      <c r="B312">
        <v>22</v>
      </c>
      <c r="C312">
        <v>42</v>
      </c>
      <c r="D312" s="51" t="s">
        <v>20</v>
      </c>
      <c r="E312">
        <f>VLOOKUP(M312,'MASS - 2016'!$A$1:$G$3418,6,FALSE)</f>
        <v>-25104.673999999999</v>
      </c>
      <c r="F312">
        <f>VLOOKUP(M312,'MASS - 2016'!$A$1:$G$3418,7,FALSE)</f>
        <v>0.27700000000000002</v>
      </c>
      <c r="G312">
        <f t="shared" si="26"/>
        <v>-25104.673999999999</v>
      </c>
      <c r="H312">
        <f t="shared" si="22"/>
        <v>41.973049024088198</v>
      </c>
      <c r="I312">
        <f t="shared" si="23"/>
        <v>39.097645888000002</v>
      </c>
      <c r="J312">
        <f t="shared" si="25"/>
        <v>39086.403888000001</v>
      </c>
      <c r="M312">
        <f t="shared" si="24"/>
        <v>20022</v>
      </c>
    </row>
    <row r="313" spans="1:13" x14ac:dyDescent="0.2">
      <c r="A313">
        <v>19</v>
      </c>
      <c r="B313">
        <v>23</v>
      </c>
      <c r="C313">
        <v>42</v>
      </c>
      <c r="D313" s="51" t="s">
        <v>21</v>
      </c>
      <c r="E313" t="str">
        <f>VLOOKUP(M313,'MASS - 2016'!$A$1:$G$3418,6,FALSE)</f>
        <v>-7620#</v>
      </c>
      <c r="F313" t="str">
        <f>VLOOKUP(M313,'MASS - 2016'!$A$1:$G$3418,7,FALSE)</f>
        <v>196#</v>
      </c>
      <c r="G313">
        <f t="shared" si="26"/>
        <v>-7620.01</v>
      </c>
      <c r="H313">
        <f t="shared" si="22"/>
        <v>41.991819582841124</v>
      </c>
      <c r="I313">
        <f t="shared" si="23"/>
        <v>39.115130552000004</v>
      </c>
      <c r="J313">
        <f t="shared" si="25"/>
        <v>39103.377552000005</v>
      </c>
      <c r="M313">
        <f t="shared" si="24"/>
        <v>19023</v>
      </c>
    </row>
    <row r="314" spans="1:13" x14ac:dyDescent="0.2">
      <c r="A314">
        <v>18</v>
      </c>
      <c r="B314">
        <v>24</v>
      </c>
      <c r="C314">
        <v>42</v>
      </c>
      <c r="D314" s="51" t="s">
        <v>22</v>
      </c>
      <c r="E314" t="str">
        <f>VLOOKUP(M314,'MASS - 2016'!$A$1:$G$3418,6,FALSE)</f>
        <v>6730#</v>
      </c>
      <c r="F314" t="str">
        <f>VLOOKUP(M314,'MASS - 2016'!$A$1:$G$3418,7,FALSE)</f>
        <v>400#</v>
      </c>
      <c r="G314">
        <f t="shared" si="26"/>
        <v>6730.01</v>
      </c>
      <c r="H314">
        <f t="shared" si="22"/>
        <v>42.00722496286533</v>
      </c>
      <c r="I314">
        <f t="shared" si="23"/>
        <v>39.129480571999999</v>
      </c>
      <c r="J314">
        <f t="shared" si="25"/>
        <v>39117.216571999998</v>
      </c>
      <c r="M314">
        <f t="shared" si="24"/>
        <v>18024</v>
      </c>
    </row>
    <row r="315" spans="1:13" x14ac:dyDescent="0.2">
      <c r="A315">
        <v>28</v>
      </c>
      <c r="B315">
        <v>15</v>
      </c>
      <c r="C315">
        <v>43</v>
      </c>
      <c r="D315" s="51" t="s">
        <v>13</v>
      </c>
      <c r="E315">
        <f>VLOOKUP(M315,'MASS - 2016'!$A$1:$G$3418,6,FALSE)</f>
        <v>4679.826</v>
      </c>
      <c r="F315">
        <f>VLOOKUP(M315,'MASS - 2016'!$A$1:$G$3418,7,FALSE)</f>
        <v>554.70500000000004</v>
      </c>
      <c r="G315">
        <f t="shared" si="26"/>
        <v>4679.826</v>
      </c>
      <c r="H315">
        <f t="shared" si="22"/>
        <v>43.005023999825589</v>
      </c>
      <c r="I315">
        <f t="shared" si="23"/>
        <v>40.058924449000003</v>
      </c>
      <c r="J315">
        <f t="shared" si="25"/>
        <v>40051.259449000005</v>
      </c>
      <c r="M315">
        <f t="shared" si="24"/>
        <v>28015</v>
      </c>
    </row>
    <row r="316" spans="1:13" x14ac:dyDescent="0.2">
      <c r="A316">
        <v>27</v>
      </c>
      <c r="B316">
        <v>16</v>
      </c>
      <c r="C316">
        <v>43</v>
      </c>
      <c r="D316" s="51" t="s">
        <v>14</v>
      </c>
      <c r="E316">
        <f>VLOOKUP(M316,'MASS - 2016'!$A$1:$G$3418,6,FALSE)</f>
        <v>-12195.459000000001</v>
      </c>
      <c r="F316">
        <f>VLOOKUP(M316,'MASS - 2016'!$A$1:$G$3418,7,FALSE)</f>
        <v>4.97</v>
      </c>
      <c r="G316">
        <f t="shared" si="26"/>
        <v>-12195.459000000001</v>
      </c>
      <c r="H316">
        <f t="shared" si="22"/>
        <v>42.986907636333285</v>
      </c>
      <c r="I316">
        <f t="shared" si="23"/>
        <v>40.042049164000005</v>
      </c>
      <c r="J316">
        <f t="shared" si="25"/>
        <v>40033.873164000004</v>
      </c>
      <c r="M316">
        <f t="shared" si="24"/>
        <v>27016</v>
      </c>
    </row>
    <row r="317" spans="1:13" x14ac:dyDescent="0.2">
      <c r="A317">
        <v>26</v>
      </c>
      <c r="B317">
        <v>17</v>
      </c>
      <c r="C317">
        <v>43</v>
      </c>
      <c r="D317" s="51" t="s">
        <v>15</v>
      </c>
      <c r="E317">
        <f>VLOOKUP(M317,'MASS - 2016'!$A$1:$G$3418,6,FALSE)</f>
        <v>-24159.508000000002</v>
      </c>
      <c r="F317">
        <f>VLOOKUP(M317,'MASS - 2016'!$A$1:$G$3418,7,FALSE)</f>
        <v>61.857999999999997</v>
      </c>
      <c r="G317">
        <f t="shared" si="26"/>
        <v>-24159.508000000002</v>
      </c>
      <c r="H317">
        <f t="shared" si="22"/>
        <v>42.974063701518332</v>
      </c>
      <c r="I317">
        <f t="shared" si="23"/>
        <v>40.030085115000006</v>
      </c>
      <c r="J317">
        <f t="shared" si="25"/>
        <v>40021.398115000011</v>
      </c>
      <c r="M317">
        <f t="shared" si="24"/>
        <v>26017</v>
      </c>
    </row>
    <row r="318" spans="1:13" x14ac:dyDescent="0.2">
      <c r="A318">
        <v>25</v>
      </c>
      <c r="B318">
        <v>18</v>
      </c>
      <c r="C318">
        <v>43</v>
      </c>
      <c r="D318" s="51" t="s">
        <v>16</v>
      </c>
      <c r="E318">
        <f>VLOOKUP(M318,'MASS - 2016'!$A$1:$G$3418,6,FALSE)</f>
        <v>-32009.808000000001</v>
      </c>
      <c r="F318">
        <f>VLOOKUP(M318,'MASS - 2016'!$A$1:$G$3418,7,FALSE)</f>
        <v>5.31</v>
      </c>
      <c r="G318">
        <f t="shared" si="26"/>
        <v>-32009.808000000001</v>
      </c>
      <c r="H318">
        <f t="shared" si="22"/>
        <v>42.965636057877134</v>
      </c>
      <c r="I318">
        <f t="shared" si="23"/>
        <v>40.022234815000004</v>
      </c>
      <c r="J318">
        <f t="shared" si="25"/>
        <v>40013.036815000007</v>
      </c>
      <c r="M318">
        <f t="shared" si="24"/>
        <v>25018</v>
      </c>
    </row>
    <row r="319" spans="1:13" x14ac:dyDescent="0.2">
      <c r="A319">
        <v>24</v>
      </c>
      <c r="B319">
        <v>19</v>
      </c>
      <c r="C319">
        <v>43</v>
      </c>
      <c r="D319" s="51" t="s">
        <v>17</v>
      </c>
      <c r="E319">
        <f>VLOOKUP(M319,'MASS - 2016'!$A$1:$G$3418,6,FALSE)</f>
        <v>-36575.389000000003</v>
      </c>
      <c r="F319">
        <f>VLOOKUP(M319,'MASS - 2016'!$A$1:$G$3418,7,FALSE)</f>
        <v>0.41</v>
      </c>
      <c r="G319">
        <f t="shared" si="26"/>
        <v>-36575.389000000003</v>
      </c>
      <c r="H319">
        <f t="shared" si="22"/>
        <v>42.960734705102972</v>
      </c>
      <c r="I319">
        <f t="shared" si="23"/>
        <v>40.017669234000003</v>
      </c>
      <c r="J319">
        <f t="shared" si="25"/>
        <v>40007.960233999998</v>
      </c>
      <c r="M319">
        <f t="shared" si="24"/>
        <v>24019</v>
      </c>
    </row>
    <row r="320" spans="1:13" x14ac:dyDescent="0.2">
      <c r="A320">
        <v>23</v>
      </c>
      <c r="B320">
        <v>20</v>
      </c>
      <c r="C320">
        <v>43</v>
      </c>
      <c r="D320" s="51" t="s">
        <v>18</v>
      </c>
      <c r="E320">
        <f>VLOOKUP(M320,'MASS - 2016'!$A$1:$G$3418,6,FALSE)</f>
        <v>-38408.822</v>
      </c>
      <c r="F320">
        <f>VLOOKUP(M320,'MASS - 2016'!$A$1:$G$3418,7,FALSE)</f>
        <v>0.22800000000000001</v>
      </c>
      <c r="G320">
        <f t="shared" si="26"/>
        <v>-38408.822</v>
      </c>
      <c r="H320">
        <f t="shared" si="22"/>
        <v>42.958766433831293</v>
      </c>
      <c r="I320">
        <f t="shared" si="23"/>
        <v>40.015835801000001</v>
      </c>
      <c r="J320">
        <f t="shared" si="25"/>
        <v>40005.615801</v>
      </c>
      <c r="M320">
        <f t="shared" si="24"/>
        <v>23020</v>
      </c>
    </row>
    <row r="321" spans="1:13" x14ac:dyDescent="0.2">
      <c r="A321">
        <v>22</v>
      </c>
      <c r="B321">
        <v>21</v>
      </c>
      <c r="C321">
        <v>43</v>
      </c>
      <c r="D321" s="51" t="s">
        <v>19</v>
      </c>
      <c r="E321">
        <f>VLOOKUP(M321,'MASS - 2016'!$A$1:$G$3418,6,FALSE)</f>
        <v>-36188.101999999999</v>
      </c>
      <c r="F321">
        <f>VLOOKUP(M321,'MASS - 2016'!$A$1:$G$3418,7,FALSE)</f>
        <v>1.863</v>
      </c>
      <c r="G321">
        <f t="shared" si="26"/>
        <v>-36188.101999999999</v>
      </c>
      <c r="H321">
        <f t="shared" si="22"/>
        <v>42.96115047479622</v>
      </c>
      <c r="I321">
        <f t="shared" si="23"/>
        <v>40.018056521000005</v>
      </c>
      <c r="J321">
        <f t="shared" si="25"/>
        <v>40007.325521000006</v>
      </c>
      <c r="M321">
        <f t="shared" si="24"/>
        <v>22021</v>
      </c>
    </row>
    <row r="322" spans="1:13" x14ac:dyDescent="0.2">
      <c r="A322">
        <v>21</v>
      </c>
      <c r="B322">
        <v>22</v>
      </c>
      <c r="C322">
        <v>43</v>
      </c>
      <c r="D322" s="51" t="s">
        <v>20</v>
      </c>
      <c r="E322">
        <f>VLOOKUP(M322,'MASS - 2016'!$A$1:$G$3418,6,FALSE)</f>
        <v>-29321.081999999999</v>
      </c>
      <c r="F322">
        <f>VLOOKUP(M322,'MASS - 2016'!$A$1:$G$3418,7,FALSE)</f>
        <v>7.2450000000000001</v>
      </c>
      <c r="G322">
        <f t="shared" si="26"/>
        <v>-29321.081999999999</v>
      </c>
      <c r="H322">
        <f t="shared" si="22"/>
        <v>42.968522523945538</v>
      </c>
      <c r="I322">
        <f t="shared" si="23"/>
        <v>40.024923541</v>
      </c>
      <c r="J322">
        <f t="shared" si="25"/>
        <v>40013.681540999998</v>
      </c>
      <c r="M322">
        <f t="shared" si="24"/>
        <v>21022</v>
      </c>
    </row>
    <row r="323" spans="1:13" x14ac:dyDescent="0.2">
      <c r="A323">
        <v>20</v>
      </c>
      <c r="B323">
        <v>23</v>
      </c>
      <c r="C323">
        <v>43</v>
      </c>
      <c r="D323" s="51" t="s">
        <v>21</v>
      </c>
      <c r="E323">
        <f>VLOOKUP(M323,'MASS - 2016'!$A$1:$G$3418,6,FALSE)</f>
        <v>-17916.356</v>
      </c>
      <c r="F323">
        <f>VLOOKUP(M323,'MASS - 2016'!$A$1:$G$3418,7,FALSE)</f>
        <v>42.848999999999997</v>
      </c>
      <c r="G323">
        <f t="shared" si="26"/>
        <v>-17916.356</v>
      </c>
      <c r="H323">
        <f t="shared" si="22"/>
        <v>42.980766000825852</v>
      </c>
      <c r="I323">
        <f t="shared" si="23"/>
        <v>40.036328267000002</v>
      </c>
      <c r="J323">
        <f t="shared" si="25"/>
        <v>40024.575267000007</v>
      </c>
      <c r="M323">
        <f t="shared" si="24"/>
        <v>20023</v>
      </c>
    </row>
    <row r="324" spans="1:13" x14ac:dyDescent="0.2">
      <c r="A324">
        <v>19</v>
      </c>
      <c r="B324">
        <v>24</v>
      </c>
      <c r="C324">
        <v>43</v>
      </c>
      <c r="D324" s="51" t="s">
        <v>22</v>
      </c>
      <c r="E324" t="str">
        <f>VLOOKUP(M324,'MASS - 2016'!$A$1:$G$3418,6,FALSE)</f>
        <v>-1970#</v>
      </c>
      <c r="F324" t="str">
        <f>VLOOKUP(M324,'MASS - 2016'!$A$1:$G$3418,7,FALSE)</f>
        <v>400#</v>
      </c>
      <c r="G324">
        <f t="shared" si="26"/>
        <v>-1970.01</v>
      </c>
      <c r="H324">
        <f t="shared" si="22"/>
        <v>42.997885107288944</v>
      </c>
      <c r="I324">
        <f t="shared" si="23"/>
        <v>40.052274613000002</v>
      </c>
      <c r="J324">
        <f t="shared" si="25"/>
        <v>40040.010612999999</v>
      </c>
      <c r="M324">
        <f t="shared" si="24"/>
        <v>19024</v>
      </c>
    </row>
    <row r="325" spans="1:13" x14ac:dyDescent="0.2">
      <c r="A325">
        <v>29</v>
      </c>
      <c r="B325">
        <v>15</v>
      </c>
      <c r="C325">
        <v>44</v>
      </c>
      <c r="D325" s="51" t="s">
        <v>13</v>
      </c>
      <c r="E325" t="str">
        <f>VLOOKUP(M325,'MASS - 2016'!$A$1:$G$3418,6,FALSE)</f>
        <v>10450#</v>
      </c>
      <c r="F325" t="str">
        <f>VLOOKUP(M325,'MASS - 2016'!$A$1:$G$3418,7,FALSE)</f>
        <v>500#</v>
      </c>
      <c r="G325">
        <f t="shared" si="26"/>
        <v>10450.01</v>
      </c>
      <c r="H325">
        <f t="shared" si="22"/>
        <v>44.011218547103539</v>
      </c>
      <c r="I325">
        <f t="shared" si="23"/>
        <v>40.996188693999997</v>
      </c>
      <c r="J325">
        <f t="shared" si="25"/>
        <v>40988.523693999996</v>
      </c>
      <c r="M325">
        <f t="shared" si="24"/>
        <v>29015</v>
      </c>
    </row>
    <row r="326" spans="1:13" x14ac:dyDescent="0.2">
      <c r="A326">
        <v>28</v>
      </c>
      <c r="B326">
        <v>16</v>
      </c>
      <c r="C326">
        <v>44</v>
      </c>
      <c r="D326" s="51" t="s">
        <v>14</v>
      </c>
      <c r="E326">
        <f>VLOOKUP(M326,'MASS - 2016'!$A$1:$G$3418,6,FALSE)</f>
        <v>-9204.2330000000002</v>
      </c>
      <c r="F326">
        <f>VLOOKUP(M326,'MASS - 2016'!$A$1:$G$3418,7,FALSE)</f>
        <v>5.2160000000000002</v>
      </c>
      <c r="G326">
        <f t="shared" si="26"/>
        <v>-9204.2330000000002</v>
      </c>
      <c r="H326">
        <f t="shared" si="22"/>
        <v>43.990118849507084</v>
      </c>
      <c r="I326">
        <f t="shared" si="23"/>
        <v>40.976534450999999</v>
      </c>
      <c r="J326">
        <f t="shared" si="25"/>
        <v>40968.358451</v>
      </c>
      <c r="M326">
        <f t="shared" si="24"/>
        <v>28016</v>
      </c>
    </row>
    <row r="327" spans="1:13" x14ac:dyDescent="0.2">
      <c r="A327">
        <v>27</v>
      </c>
      <c r="B327">
        <v>17</v>
      </c>
      <c r="C327">
        <v>44</v>
      </c>
      <c r="D327" s="51" t="s">
        <v>15</v>
      </c>
      <c r="E327">
        <f>VLOOKUP(M327,'MASS - 2016'!$A$1:$G$3418,6,FALSE)</f>
        <v>-20384.523000000001</v>
      </c>
      <c r="F327">
        <f>VLOOKUP(M327,'MASS - 2016'!$A$1:$G$3418,7,FALSE)</f>
        <v>136.321</v>
      </c>
      <c r="G327">
        <f t="shared" si="26"/>
        <v>-20384.523000000001</v>
      </c>
      <c r="H327">
        <f t="shared" si="22"/>
        <v>43.978116314581634</v>
      </c>
      <c r="I327">
        <f t="shared" si="23"/>
        <v>40.965354161</v>
      </c>
      <c r="J327">
        <f t="shared" si="25"/>
        <v>40956.667161000005</v>
      </c>
      <c r="M327">
        <f t="shared" si="24"/>
        <v>27017</v>
      </c>
    </row>
    <row r="328" spans="1:13" x14ac:dyDescent="0.2">
      <c r="A328">
        <v>26</v>
      </c>
      <c r="B328">
        <v>18</v>
      </c>
      <c r="C328">
        <v>44</v>
      </c>
      <c r="D328" s="51" t="s">
        <v>16</v>
      </c>
      <c r="E328">
        <f>VLOOKUP(M328,'MASS - 2016'!$A$1:$G$3418,6,FALSE)</f>
        <v>-32673.255000000001</v>
      </c>
      <c r="F328">
        <f>VLOOKUP(M328,'MASS - 2016'!$A$1:$G$3418,7,FALSE)</f>
        <v>1.5840000000000001</v>
      </c>
      <c r="G328">
        <f t="shared" si="26"/>
        <v>-32673.255000000001</v>
      </c>
      <c r="H328">
        <f t="shared" si="22"/>
        <v>43.964923818231405</v>
      </c>
      <c r="I328">
        <f t="shared" si="23"/>
        <v>40.953065428999999</v>
      </c>
      <c r="J328">
        <f t="shared" si="25"/>
        <v>40943.867429000005</v>
      </c>
      <c r="M328">
        <f t="shared" si="24"/>
        <v>26018</v>
      </c>
    </row>
    <row r="329" spans="1:13" x14ac:dyDescent="0.2">
      <c r="A329">
        <v>25</v>
      </c>
      <c r="B329">
        <v>19</v>
      </c>
      <c r="C329">
        <v>44</v>
      </c>
      <c r="D329" s="51" t="s">
        <v>17</v>
      </c>
      <c r="E329">
        <f>VLOOKUP(M329,'MASS - 2016'!$A$1:$G$3418,6,FALSE)</f>
        <v>-35781.491999999998</v>
      </c>
      <c r="F329">
        <f>VLOOKUP(M329,'MASS - 2016'!$A$1:$G$3418,7,FALSE)</f>
        <v>0.41899999999999998</v>
      </c>
      <c r="G329">
        <f t="shared" si="26"/>
        <v>-35781.491999999998</v>
      </c>
      <c r="H329">
        <f t="shared" ref="H329:H392" si="27">(C329*$A$3+G329/1000000)/$A$3</f>
        <v>43.961586988583065</v>
      </c>
      <c r="I329">
        <f t="shared" ref="I329:I392" si="28">H329*$A$3</f>
        <v>40.949957191999999</v>
      </c>
      <c r="J329">
        <f t="shared" si="25"/>
        <v>40940.248191999999</v>
      </c>
      <c r="M329">
        <f t="shared" ref="M329:M392" si="29">1000*A329+B329</f>
        <v>25019</v>
      </c>
    </row>
    <row r="330" spans="1:13" x14ac:dyDescent="0.2">
      <c r="A330">
        <v>24</v>
      </c>
      <c r="B330">
        <v>20</v>
      </c>
      <c r="C330">
        <v>44</v>
      </c>
      <c r="D330" s="51" t="s">
        <v>18</v>
      </c>
      <c r="E330">
        <f>VLOOKUP(M330,'MASS - 2016'!$A$1:$G$3418,6,FALSE)</f>
        <v>-41468.675000000003</v>
      </c>
      <c r="F330">
        <f>VLOOKUP(M330,'MASS - 2016'!$A$1:$G$3418,7,FALSE)</f>
        <v>0.32500000000000001</v>
      </c>
      <c r="G330">
        <f t="shared" si="26"/>
        <v>-41468.675000000003</v>
      </c>
      <c r="H330">
        <f t="shared" si="27"/>
        <v>43.955481546543112</v>
      </c>
      <c r="I330">
        <f t="shared" si="28"/>
        <v>40.944270009</v>
      </c>
      <c r="J330">
        <f t="shared" si="25"/>
        <v>40934.050008999999</v>
      </c>
      <c r="M330">
        <f t="shared" si="29"/>
        <v>24020</v>
      </c>
    </row>
    <row r="331" spans="1:13" x14ac:dyDescent="0.2">
      <c r="A331">
        <v>23</v>
      </c>
      <c r="B331">
        <v>21</v>
      </c>
      <c r="C331">
        <v>44</v>
      </c>
      <c r="D331" s="51" t="s">
        <v>19</v>
      </c>
      <c r="E331">
        <f>VLOOKUP(M331,'MASS - 2016'!$A$1:$G$3418,6,FALSE)</f>
        <v>-37815.985000000001</v>
      </c>
      <c r="F331">
        <f>VLOOKUP(M331,'MASS - 2016'!$A$1:$G$3418,7,FALSE)</f>
        <v>1.756</v>
      </c>
      <c r="G331">
        <f t="shared" si="26"/>
        <v>-37815.985000000001</v>
      </c>
      <c r="H331">
        <f t="shared" si="27"/>
        <v>43.959402870524578</v>
      </c>
      <c r="I331">
        <f t="shared" si="28"/>
        <v>40.947922698999996</v>
      </c>
      <c r="J331">
        <f t="shared" si="25"/>
        <v>40937.191698999995</v>
      </c>
      <c r="M331">
        <f t="shared" si="29"/>
        <v>23021</v>
      </c>
    </row>
    <row r="332" spans="1:13" x14ac:dyDescent="0.2">
      <c r="A332">
        <v>22</v>
      </c>
      <c r="B332">
        <v>22</v>
      </c>
      <c r="C332">
        <v>44</v>
      </c>
      <c r="D332" s="51" t="s">
        <v>20</v>
      </c>
      <c r="E332">
        <f>VLOOKUP(M332,'MASS - 2016'!$A$1:$G$3418,6,FALSE)</f>
        <v>-37548.569000000003</v>
      </c>
      <c r="F332">
        <f>VLOOKUP(M332,'MASS - 2016'!$A$1:$G$3418,7,FALSE)</f>
        <v>0.7</v>
      </c>
      <c r="G332">
        <f t="shared" si="26"/>
        <v>-37548.569000000003</v>
      </c>
      <c r="H332">
        <f t="shared" si="27"/>
        <v>43.959689953407008</v>
      </c>
      <c r="I332">
        <f t="shared" si="28"/>
        <v>40.948190114999996</v>
      </c>
      <c r="J332">
        <f t="shared" ref="J332:J395" si="30">1000*I332-B332*0.511</f>
        <v>40936.948114999999</v>
      </c>
      <c r="M332">
        <f t="shared" si="29"/>
        <v>22022</v>
      </c>
    </row>
    <row r="333" spans="1:13" x14ac:dyDescent="0.2">
      <c r="A333">
        <v>21</v>
      </c>
      <c r="B333">
        <v>23</v>
      </c>
      <c r="C333">
        <v>44</v>
      </c>
      <c r="D333" s="51" t="s">
        <v>21</v>
      </c>
      <c r="E333">
        <f>VLOOKUP(M333,'MASS - 2016'!$A$1:$G$3418,6,FALSE)</f>
        <v>-24116.38</v>
      </c>
      <c r="F333">
        <f>VLOOKUP(M333,'MASS - 2016'!$A$1:$G$3418,7,FALSE)</f>
        <v>181.64099999999999</v>
      </c>
      <c r="G333">
        <f t="shared" si="26"/>
        <v>-24116.38</v>
      </c>
      <c r="H333">
        <f t="shared" si="27"/>
        <v>43.97411000133043</v>
      </c>
      <c r="I333">
        <f t="shared" si="28"/>
        <v>40.961622303999995</v>
      </c>
      <c r="J333">
        <f t="shared" si="30"/>
        <v>40949.869304</v>
      </c>
      <c r="M333">
        <f t="shared" si="29"/>
        <v>21023</v>
      </c>
    </row>
    <row r="334" spans="1:13" x14ac:dyDescent="0.2">
      <c r="A334">
        <v>20</v>
      </c>
      <c r="B334">
        <v>24</v>
      </c>
      <c r="C334">
        <v>44</v>
      </c>
      <c r="D334" s="51" t="s">
        <v>22</v>
      </c>
      <c r="E334" t="str">
        <f>VLOOKUP(M334,'MASS - 2016'!$A$1:$G$3418,6,FALSE)</f>
        <v>-13360#</v>
      </c>
      <c r="F334" t="str">
        <f>VLOOKUP(M334,'MASS - 2016'!$A$1:$G$3418,7,FALSE)</f>
        <v>300#</v>
      </c>
      <c r="G334">
        <f t="shared" si="26"/>
        <v>-13360.01</v>
      </c>
      <c r="H334">
        <f t="shared" si="27"/>
        <v>43.985657439419789</v>
      </c>
      <c r="I334">
        <f t="shared" si="28"/>
        <v>40.972378673999998</v>
      </c>
      <c r="J334">
        <f t="shared" si="30"/>
        <v>40960.114673999997</v>
      </c>
      <c r="M334">
        <f t="shared" si="29"/>
        <v>20024</v>
      </c>
    </row>
    <row r="335" spans="1:13" x14ac:dyDescent="0.2">
      <c r="A335">
        <v>19</v>
      </c>
      <c r="B335">
        <v>25</v>
      </c>
      <c r="C335">
        <v>44</v>
      </c>
      <c r="D335" s="51" t="s">
        <v>23</v>
      </c>
      <c r="E335" t="str">
        <f>VLOOKUP(M335,'MASS - 2016'!$A$1:$G$3418,6,FALSE)</f>
        <v>7030#</v>
      </c>
      <c r="F335" t="str">
        <f>VLOOKUP(M335,'MASS - 2016'!$A$1:$G$3418,7,FALSE)</f>
        <v>500#</v>
      </c>
      <c r="G335">
        <f t="shared" ref="G335:G398" si="31">IF(ISNUMBER(E335),E335,VALUE(SUBSTITUTE(E335,"#",".01")))</f>
        <v>7030.01</v>
      </c>
      <c r="H335">
        <f t="shared" si="27"/>
        <v>44.007547026110345</v>
      </c>
      <c r="I335">
        <f t="shared" si="28"/>
        <v>40.992768693999999</v>
      </c>
      <c r="J335">
        <f t="shared" si="30"/>
        <v>40979.993693999997</v>
      </c>
      <c r="M335">
        <f t="shared" si="29"/>
        <v>19025</v>
      </c>
    </row>
    <row r="336" spans="1:13" x14ac:dyDescent="0.2">
      <c r="A336">
        <v>30</v>
      </c>
      <c r="B336">
        <v>15</v>
      </c>
      <c r="C336">
        <v>45</v>
      </c>
      <c r="D336" s="51" t="s">
        <v>13</v>
      </c>
      <c r="E336" t="str">
        <f>VLOOKUP(M336,'MASS - 2016'!$A$1:$G$3418,6,FALSE)</f>
        <v>15600#</v>
      </c>
      <c r="F336" t="str">
        <f>VLOOKUP(M336,'MASS - 2016'!$A$1:$G$3418,7,FALSE)</f>
        <v>500#</v>
      </c>
      <c r="G336">
        <f t="shared" si="31"/>
        <v>15600.01</v>
      </c>
      <c r="H336">
        <f t="shared" si="27"/>
        <v>45.016747299476343</v>
      </c>
      <c r="I336">
        <f t="shared" si="28"/>
        <v>41.932832755</v>
      </c>
      <c r="J336">
        <f t="shared" si="30"/>
        <v>41925.167755000002</v>
      </c>
      <c r="M336">
        <f t="shared" si="29"/>
        <v>30015</v>
      </c>
    </row>
    <row r="337" spans="1:13" x14ac:dyDescent="0.2">
      <c r="A337">
        <v>29</v>
      </c>
      <c r="B337">
        <v>16</v>
      </c>
      <c r="C337">
        <v>45</v>
      </c>
      <c r="D337" s="51" t="s">
        <v>14</v>
      </c>
      <c r="E337">
        <f>VLOOKUP(M337,'MASS - 2016'!$A$1:$G$3418,6,FALSE)</f>
        <v>-3989.5889999999999</v>
      </c>
      <c r="F337">
        <f>VLOOKUP(M337,'MASS - 2016'!$A$1:$G$3418,7,FALSE)</f>
        <v>1035.356</v>
      </c>
      <c r="G337">
        <f t="shared" si="31"/>
        <v>-3989.5889999999999</v>
      </c>
      <c r="H337">
        <f t="shared" si="27"/>
        <v>44.99571700006792</v>
      </c>
      <c r="I337">
        <f t="shared" si="28"/>
        <v>41.913243156</v>
      </c>
      <c r="J337">
        <f t="shared" si="30"/>
        <v>41905.067155999997</v>
      </c>
      <c r="M337">
        <f t="shared" si="29"/>
        <v>29016</v>
      </c>
    </row>
    <row r="338" spans="1:13" x14ac:dyDescent="0.2">
      <c r="A338">
        <v>28</v>
      </c>
      <c r="B338">
        <v>17</v>
      </c>
      <c r="C338">
        <v>45</v>
      </c>
      <c r="D338" s="51" t="s">
        <v>15</v>
      </c>
      <c r="E338">
        <f>VLOOKUP(M338,'MASS - 2016'!$A$1:$G$3418,6,FALSE)</f>
        <v>-18262.543000000001</v>
      </c>
      <c r="F338">
        <f>VLOOKUP(M338,'MASS - 2016'!$A$1:$G$3418,7,FALSE)</f>
        <v>136.16300000000001</v>
      </c>
      <c r="G338">
        <f t="shared" si="31"/>
        <v>-18262.543000000001</v>
      </c>
      <c r="H338">
        <f t="shared" si="27"/>
        <v>44.980394353797173</v>
      </c>
      <c r="I338">
        <f t="shared" si="28"/>
        <v>41.898970202000001</v>
      </c>
      <c r="J338">
        <f t="shared" si="30"/>
        <v>41890.283202000006</v>
      </c>
      <c r="M338">
        <f t="shared" si="29"/>
        <v>28017</v>
      </c>
    </row>
    <row r="339" spans="1:13" x14ac:dyDescent="0.2">
      <c r="A339">
        <v>27</v>
      </c>
      <c r="B339">
        <v>18</v>
      </c>
      <c r="C339">
        <v>45</v>
      </c>
      <c r="D339" s="51" t="s">
        <v>16</v>
      </c>
      <c r="E339">
        <f>VLOOKUP(M339,'MASS - 2016'!$A$1:$G$3418,6,FALSE)</f>
        <v>-29770.795999999998</v>
      </c>
      <c r="F339">
        <f>VLOOKUP(M339,'MASS - 2016'!$A$1:$G$3418,7,FALSE)</f>
        <v>0.51200000000000001</v>
      </c>
      <c r="G339">
        <f t="shared" si="31"/>
        <v>-29770.795999999998</v>
      </c>
      <c r="H339">
        <f t="shared" si="27"/>
        <v>44.968039736111642</v>
      </c>
      <c r="I339">
        <f t="shared" si="28"/>
        <v>41.887461948999999</v>
      </c>
      <c r="J339">
        <f t="shared" si="30"/>
        <v>41878.263949</v>
      </c>
      <c r="M339">
        <f t="shared" si="29"/>
        <v>27018</v>
      </c>
    </row>
    <row r="340" spans="1:13" x14ac:dyDescent="0.2">
      <c r="A340">
        <v>26</v>
      </c>
      <c r="B340">
        <v>19</v>
      </c>
      <c r="C340">
        <v>45</v>
      </c>
      <c r="D340" s="51" t="s">
        <v>17</v>
      </c>
      <c r="E340">
        <f>VLOOKUP(M340,'MASS - 2016'!$A$1:$G$3418,6,FALSE)</f>
        <v>-36615.637999999999</v>
      </c>
      <c r="F340">
        <f>VLOOKUP(M340,'MASS - 2016'!$A$1:$G$3418,7,FALSE)</f>
        <v>0.52200000000000002</v>
      </c>
      <c r="G340">
        <f t="shared" si="31"/>
        <v>-36615.637999999999</v>
      </c>
      <c r="H340">
        <f t="shared" si="27"/>
        <v>44.960691496024474</v>
      </c>
      <c r="I340">
        <f t="shared" si="28"/>
        <v>41.880617106999999</v>
      </c>
      <c r="J340">
        <f t="shared" si="30"/>
        <v>41870.908106999996</v>
      </c>
      <c r="M340">
        <f t="shared" si="29"/>
        <v>26019</v>
      </c>
    </row>
    <row r="341" spans="1:13" x14ac:dyDescent="0.2">
      <c r="A341">
        <v>25</v>
      </c>
      <c r="B341">
        <v>20</v>
      </c>
      <c r="C341">
        <v>45</v>
      </c>
      <c r="D341" s="51" t="s">
        <v>18</v>
      </c>
      <c r="E341">
        <f>VLOOKUP(M341,'MASS - 2016'!$A$1:$G$3418,6,FALSE)</f>
        <v>-40812.173999999999</v>
      </c>
      <c r="F341">
        <f>VLOOKUP(M341,'MASS - 2016'!$A$1:$G$3418,7,FALSE)</f>
        <v>0.36599999999999999</v>
      </c>
      <c r="G341">
        <f t="shared" si="31"/>
        <v>-40812.173999999999</v>
      </c>
      <c r="H341">
        <f t="shared" si="27"/>
        <v>44.956186329351162</v>
      </c>
      <c r="I341">
        <f t="shared" si="28"/>
        <v>41.876420570999997</v>
      </c>
      <c r="J341">
        <f t="shared" si="30"/>
        <v>41866.200570999994</v>
      </c>
      <c r="M341">
        <f t="shared" si="29"/>
        <v>25020</v>
      </c>
    </row>
    <row r="342" spans="1:13" x14ac:dyDescent="0.2">
      <c r="A342">
        <v>24</v>
      </c>
      <c r="B342">
        <v>21</v>
      </c>
      <c r="C342">
        <v>45</v>
      </c>
      <c r="D342" s="51" t="s">
        <v>19</v>
      </c>
      <c r="E342">
        <f>VLOOKUP(M342,'MASS - 2016'!$A$1:$G$3418,6,FALSE)</f>
        <v>-41071.896000000001</v>
      </c>
      <c r="F342">
        <f>VLOOKUP(M342,'MASS - 2016'!$A$1:$G$3418,7,FALSE)</f>
        <v>0.67500000000000004</v>
      </c>
      <c r="G342">
        <f t="shared" si="31"/>
        <v>-41071.896000000001</v>
      </c>
      <c r="H342">
        <f t="shared" si="27"/>
        <v>44.955907506317423</v>
      </c>
      <c r="I342">
        <f t="shared" si="28"/>
        <v>41.876160849000001</v>
      </c>
      <c r="J342">
        <f t="shared" si="30"/>
        <v>41865.429849</v>
      </c>
      <c r="M342">
        <f t="shared" si="29"/>
        <v>24021</v>
      </c>
    </row>
    <row r="343" spans="1:13" x14ac:dyDescent="0.2">
      <c r="A343">
        <v>23</v>
      </c>
      <c r="B343">
        <v>22</v>
      </c>
      <c r="C343">
        <v>45</v>
      </c>
      <c r="D343" s="51" t="s">
        <v>20</v>
      </c>
      <c r="E343">
        <f>VLOOKUP(M343,'MASS - 2016'!$A$1:$G$3418,6,FALSE)</f>
        <v>-39009.839999999997</v>
      </c>
      <c r="F343">
        <f>VLOOKUP(M343,'MASS - 2016'!$A$1:$G$3418,7,FALSE)</f>
        <v>0.84499999999999997</v>
      </c>
      <c r="G343">
        <f t="shared" si="31"/>
        <v>-39009.839999999997</v>
      </c>
      <c r="H343">
        <f t="shared" si="27"/>
        <v>44.958121214473316</v>
      </c>
      <c r="I343">
        <f t="shared" si="28"/>
        <v>41.878222905000001</v>
      </c>
      <c r="J343">
        <f t="shared" si="30"/>
        <v>41866.980905000004</v>
      </c>
      <c r="M343">
        <f t="shared" si="29"/>
        <v>23022</v>
      </c>
    </row>
    <row r="344" spans="1:13" x14ac:dyDescent="0.2">
      <c r="A344">
        <v>22</v>
      </c>
      <c r="B344">
        <v>23</v>
      </c>
      <c r="C344">
        <v>45</v>
      </c>
      <c r="D344" s="51" t="s">
        <v>21</v>
      </c>
      <c r="E344">
        <f>VLOOKUP(M344,'MASS - 2016'!$A$1:$G$3418,6,FALSE)</f>
        <v>-31886.016</v>
      </c>
      <c r="F344">
        <f>VLOOKUP(M344,'MASS - 2016'!$A$1:$G$3418,7,FALSE)</f>
        <v>0.872</v>
      </c>
      <c r="G344">
        <f t="shared" si="31"/>
        <v>-31886.016</v>
      </c>
      <c r="H344">
        <f t="shared" si="27"/>
        <v>44.965768954054553</v>
      </c>
      <c r="I344">
        <f t="shared" si="28"/>
        <v>41.885346728999998</v>
      </c>
      <c r="J344">
        <f t="shared" si="30"/>
        <v>41873.593729</v>
      </c>
      <c r="M344">
        <f t="shared" si="29"/>
        <v>22023</v>
      </c>
    </row>
    <row r="345" spans="1:13" x14ac:dyDescent="0.2">
      <c r="A345">
        <v>21</v>
      </c>
      <c r="B345">
        <v>24</v>
      </c>
      <c r="C345">
        <v>45</v>
      </c>
      <c r="D345" s="51" t="s">
        <v>22</v>
      </c>
      <c r="E345">
        <f>VLOOKUP(M345,'MASS - 2016'!$A$1:$G$3418,6,FALSE)</f>
        <v>-19514.798999999999</v>
      </c>
      <c r="F345">
        <f>VLOOKUP(M345,'MASS - 2016'!$A$1:$G$3418,7,FALSE)</f>
        <v>35.396999999999998</v>
      </c>
      <c r="G345">
        <f t="shared" si="31"/>
        <v>-19514.798999999999</v>
      </c>
      <c r="H345">
        <f t="shared" si="27"/>
        <v>44.979050001693999</v>
      </c>
      <c r="I345">
        <f t="shared" si="28"/>
        <v>41.897717946</v>
      </c>
      <c r="J345">
        <f t="shared" si="30"/>
        <v>41885.453945999994</v>
      </c>
      <c r="M345">
        <f t="shared" si="29"/>
        <v>21024</v>
      </c>
    </row>
    <row r="346" spans="1:13" x14ac:dyDescent="0.2">
      <c r="A346">
        <v>20</v>
      </c>
      <c r="B346">
        <v>25</v>
      </c>
      <c r="C346">
        <v>45</v>
      </c>
      <c r="D346" s="51" t="s">
        <v>23</v>
      </c>
      <c r="E346" t="str">
        <f>VLOOKUP(M346,'MASS - 2016'!$A$1:$G$3418,6,FALSE)</f>
        <v>-5250#</v>
      </c>
      <c r="F346" t="str">
        <f>VLOOKUP(M346,'MASS - 2016'!$A$1:$G$3418,7,FALSE)</f>
        <v>400#</v>
      </c>
      <c r="G346">
        <f t="shared" si="31"/>
        <v>-5250.01</v>
      </c>
      <c r="H346">
        <f t="shared" si="27"/>
        <v>44.994363882476762</v>
      </c>
      <c r="I346">
        <f t="shared" si="28"/>
        <v>41.911982735000002</v>
      </c>
      <c r="J346">
        <f t="shared" si="30"/>
        <v>41899.207735000004</v>
      </c>
      <c r="M346">
        <f t="shared" si="29"/>
        <v>20025</v>
      </c>
    </row>
    <row r="347" spans="1:13" x14ac:dyDescent="0.2">
      <c r="A347">
        <v>19</v>
      </c>
      <c r="B347">
        <v>26</v>
      </c>
      <c r="C347">
        <v>45</v>
      </c>
      <c r="D347" s="51" t="s">
        <v>24</v>
      </c>
      <c r="E347" t="str">
        <f>VLOOKUP(M347,'MASS - 2016'!$A$1:$G$3418,6,FALSE)</f>
        <v>13762#</v>
      </c>
      <c r="F347" t="str">
        <f>VLOOKUP(M347,'MASS - 2016'!$A$1:$G$3418,7,FALSE)</f>
        <v>400#</v>
      </c>
      <c r="G347">
        <f t="shared" si="31"/>
        <v>13762.01</v>
      </c>
      <c r="H347">
        <f t="shared" si="27"/>
        <v>45.014774125328536</v>
      </c>
      <c r="I347">
        <f t="shared" si="28"/>
        <v>41.930994755</v>
      </c>
      <c r="J347">
        <f t="shared" si="30"/>
        <v>41917.708755</v>
      </c>
      <c r="M347">
        <f t="shared" si="29"/>
        <v>19026</v>
      </c>
    </row>
    <row r="348" spans="1:13" x14ac:dyDescent="0.2">
      <c r="A348">
        <v>31</v>
      </c>
      <c r="B348">
        <v>15</v>
      </c>
      <c r="C348">
        <v>46</v>
      </c>
      <c r="D348" s="51" t="s">
        <v>13</v>
      </c>
      <c r="E348" t="str">
        <f>VLOOKUP(M348,'MASS - 2016'!$A$1:$G$3418,6,FALSE)</f>
        <v>22970#</v>
      </c>
      <c r="F348" t="str">
        <f>VLOOKUP(M348,'MASS - 2016'!$A$1:$G$3418,7,FALSE)</f>
        <v>700#</v>
      </c>
      <c r="G348">
        <f t="shared" si="31"/>
        <v>22970.01</v>
      </c>
      <c r="H348">
        <f t="shared" si="27"/>
        <v>46.024659319862273</v>
      </c>
      <c r="I348">
        <f t="shared" si="28"/>
        <v>42.871696816000004</v>
      </c>
      <c r="J348">
        <f t="shared" si="30"/>
        <v>42864.031816000002</v>
      </c>
      <c r="M348">
        <f t="shared" si="29"/>
        <v>31015</v>
      </c>
    </row>
    <row r="349" spans="1:13" x14ac:dyDescent="0.2">
      <c r="A349">
        <v>30</v>
      </c>
      <c r="B349">
        <v>16</v>
      </c>
      <c r="C349">
        <v>46</v>
      </c>
      <c r="D349" s="51" t="s">
        <v>14</v>
      </c>
      <c r="E349" t="str">
        <f>VLOOKUP(M349,'MASS - 2016'!$A$1:$G$3418,6,FALSE)</f>
        <v>340#</v>
      </c>
      <c r="F349" t="str">
        <f>VLOOKUP(M349,'MASS - 2016'!$A$1:$G$3418,7,FALSE)</f>
        <v>500#</v>
      </c>
      <c r="G349">
        <f t="shared" si="31"/>
        <v>340.01</v>
      </c>
      <c r="H349">
        <f t="shared" si="27"/>
        <v>46.000365015746468</v>
      </c>
      <c r="I349">
        <f t="shared" si="28"/>
        <v>42.849066816000004</v>
      </c>
      <c r="J349">
        <f t="shared" si="30"/>
        <v>42840.890816000006</v>
      </c>
      <c r="M349">
        <f t="shared" si="29"/>
        <v>30016</v>
      </c>
    </row>
    <row r="350" spans="1:13" x14ac:dyDescent="0.2">
      <c r="A350">
        <v>29</v>
      </c>
      <c r="B350">
        <v>17</v>
      </c>
      <c r="C350">
        <v>46</v>
      </c>
      <c r="D350" s="51" t="s">
        <v>15</v>
      </c>
      <c r="E350">
        <f>VLOOKUP(M350,'MASS - 2016'!$A$1:$G$3418,6,FALSE)</f>
        <v>-13859.397999999999</v>
      </c>
      <c r="F350">
        <f>VLOOKUP(M350,'MASS - 2016'!$A$1:$G$3418,7,FALSE)</f>
        <v>208.661</v>
      </c>
      <c r="G350">
        <f t="shared" si="31"/>
        <v>-13859.397999999999</v>
      </c>
      <c r="H350">
        <f t="shared" si="27"/>
        <v>45.985121324353784</v>
      </c>
      <c r="I350">
        <f t="shared" si="28"/>
        <v>42.834867408000001</v>
      </c>
      <c r="J350">
        <f t="shared" si="30"/>
        <v>42826.180408</v>
      </c>
      <c r="M350">
        <f t="shared" si="29"/>
        <v>29017</v>
      </c>
    </row>
    <row r="351" spans="1:13" x14ac:dyDescent="0.2">
      <c r="A351">
        <v>28</v>
      </c>
      <c r="B351">
        <v>18</v>
      </c>
      <c r="C351">
        <v>46</v>
      </c>
      <c r="D351" s="51" t="s">
        <v>16</v>
      </c>
      <c r="E351">
        <f>VLOOKUP(M351,'MASS - 2016'!$A$1:$G$3418,6,FALSE)</f>
        <v>-29772.925999999999</v>
      </c>
      <c r="F351">
        <f>VLOOKUP(M351,'MASS - 2016'!$A$1:$G$3418,7,FALSE)</f>
        <v>1.1180000000000001</v>
      </c>
      <c r="G351">
        <f t="shared" si="31"/>
        <v>-29772.925999999999</v>
      </c>
      <c r="H351">
        <f t="shared" si="27"/>
        <v>45.968037449462607</v>
      </c>
      <c r="I351">
        <f t="shared" si="28"/>
        <v>42.818953880000002</v>
      </c>
      <c r="J351">
        <f t="shared" si="30"/>
        <v>42809.755880000004</v>
      </c>
      <c r="M351">
        <f t="shared" si="29"/>
        <v>28018</v>
      </c>
    </row>
    <row r="352" spans="1:13" x14ac:dyDescent="0.2">
      <c r="A352">
        <v>27</v>
      </c>
      <c r="B352">
        <v>19</v>
      </c>
      <c r="C352">
        <v>46</v>
      </c>
      <c r="D352" s="51" t="s">
        <v>17</v>
      </c>
      <c r="E352">
        <f>VLOOKUP(M352,'MASS - 2016'!$A$1:$G$3418,6,FALSE)</f>
        <v>-35413.923999999999</v>
      </c>
      <c r="F352">
        <f>VLOOKUP(M352,'MASS - 2016'!$A$1:$G$3418,7,FALSE)</f>
        <v>0.72699999999999998</v>
      </c>
      <c r="G352">
        <f t="shared" si="31"/>
        <v>-35413.923999999999</v>
      </c>
      <c r="H352">
        <f t="shared" si="27"/>
        <v>45.961981589059221</v>
      </c>
      <c r="I352">
        <f t="shared" si="28"/>
        <v>42.813312882000005</v>
      </c>
      <c r="J352">
        <f t="shared" si="30"/>
        <v>42803.603882000003</v>
      </c>
      <c r="M352">
        <f t="shared" si="29"/>
        <v>27019</v>
      </c>
    </row>
    <row r="353" spans="1:13" x14ac:dyDescent="0.2">
      <c r="A353">
        <v>26</v>
      </c>
      <c r="B353">
        <v>20</v>
      </c>
      <c r="C353">
        <v>46</v>
      </c>
      <c r="D353" s="51" t="s">
        <v>18</v>
      </c>
      <c r="E353">
        <f>VLOOKUP(M353,'MASS - 2016'!$A$1:$G$3418,6,FALSE)</f>
        <v>-43139.360999999997</v>
      </c>
      <c r="F353">
        <f>VLOOKUP(M353,'MASS - 2016'!$A$1:$G$3418,7,FALSE)</f>
        <v>2.2349999999999999</v>
      </c>
      <c r="G353">
        <f t="shared" si="31"/>
        <v>-43139.360999999997</v>
      </c>
      <c r="H353">
        <f t="shared" si="27"/>
        <v>45.953687991361228</v>
      </c>
      <c r="I353">
        <f t="shared" si="28"/>
        <v>42.805587445</v>
      </c>
      <c r="J353">
        <f t="shared" si="30"/>
        <v>42795.367444999996</v>
      </c>
      <c r="M353">
        <f t="shared" si="29"/>
        <v>26020</v>
      </c>
    </row>
    <row r="354" spans="1:13" x14ac:dyDescent="0.2">
      <c r="A354">
        <v>25</v>
      </c>
      <c r="B354">
        <v>21</v>
      </c>
      <c r="C354">
        <v>46</v>
      </c>
      <c r="D354" s="51" t="s">
        <v>19</v>
      </c>
      <c r="E354">
        <f>VLOOKUP(M354,'MASS - 2016'!$A$1:$G$3418,6,FALSE)</f>
        <v>-41761.218999999997</v>
      </c>
      <c r="F354">
        <f>VLOOKUP(M354,'MASS - 2016'!$A$1:$G$3418,7,FALSE)</f>
        <v>0.68300000000000005</v>
      </c>
      <c r="G354">
        <f t="shared" si="31"/>
        <v>-41761.218999999997</v>
      </c>
      <c r="H354">
        <f t="shared" si="27"/>
        <v>45.955167487643273</v>
      </c>
      <c r="I354">
        <f t="shared" si="28"/>
        <v>42.806965587000001</v>
      </c>
      <c r="J354">
        <f t="shared" si="30"/>
        <v>42796.234586999999</v>
      </c>
      <c r="M354">
        <f t="shared" si="29"/>
        <v>25021</v>
      </c>
    </row>
    <row r="355" spans="1:13" x14ac:dyDescent="0.2">
      <c r="A355">
        <v>24</v>
      </c>
      <c r="B355">
        <v>22</v>
      </c>
      <c r="C355">
        <v>46</v>
      </c>
      <c r="D355" s="51" t="s">
        <v>20</v>
      </c>
      <c r="E355">
        <f>VLOOKUP(M355,'MASS - 2016'!$A$1:$G$3418,6,FALSE)</f>
        <v>-44127.798999999999</v>
      </c>
      <c r="F355">
        <f>VLOOKUP(M355,'MASS - 2016'!$A$1:$G$3418,7,FALSE)</f>
        <v>0.16500000000000001</v>
      </c>
      <c r="G355">
        <f t="shared" si="31"/>
        <v>-44127.798999999999</v>
      </c>
      <c r="H355">
        <f t="shared" si="27"/>
        <v>45.952626859528628</v>
      </c>
      <c r="I355">
        <f t="shared" si="28"/>
        <v>42.804599007</v>
      </c>
      <c r="J355">
        <f t="shared" si="30"/>
        <v>42793.357006999999</v>
      </c>
      <c r="M355">
        <f t="shared" si="29"/>
        <v>24022</v>
      </c>
    </row>
    <row r="356" spans="1:13" x14ac:dyDescent="0.2">
      <c r="A356">
        <v>23</v>
      </c>
      <c r="B356">
        <v>23</v>
      </c>
      <c r="C356">
        <v>46</v>
      </c>
      <c r="D356" s="51" t="s">
        <v>21</v>
      </c>
      <c r="E356">
        <f>VLOOKUP(M356,'MASS - 2016'!$A$1:$G$3418,6,FALSE)</f>
        <v>-37075.351000000002</v>
      </c>
      <c r="F356">
        <f>VLOOKUP(M356,'MASS - 2016'!$A$1:$G$3418,7,FALSE)</f>
        <v>0.20200000000000001</v>
      </c>
      <c r="G356">
        <f t="shared" si="31"/>
        <v>-37075.351000000002</v>
      </c>
      <c r="H356">
        <f t="shared" si="27"/>
        <v>45.960197973822623</v>
      </c>
      <c r="I356">
        <f t="shared" si="28"/>
        <v>42.811651455000003</v>
      </c>
      <c r="J356">
        <f t="shared" si="30"/>
        <v>42799.89845500001</v>
      </c>
      <c r="M356">
        <f t="shared" si="29"/>
        <v>23023</v>
      </c>
    </row>
    <row r="357" spans="1:13" x14ac:dyDescent="0.2">
      <c r="A357">
        <v>22</v>
      </c>
      <c r="B357">
        <v>24</v>
      </c>
      <c r="C357">
        <v>46</v>
      </c>
      <c r="D357" s="51" t="s">
        <v>22</v>
      </c>
      <c r="E357">
        <f>VLOOKUP(M357,'MASS - 2016'!$A$1:$G$3418,6,FALSE)</f>
        <v>-29471.566999999999</v>
      </c>
      <c r="F357">
        <f>VLOOKUP(M357,'MASS - 2016'!$A$1:$G$3418,7,FALSE)</f>
        <v>11.452999999999999</v>
      </c>
      <c r="G357">
        <f t="shared" si="31"/>
        <v>-29471.566999999999</v>
      </c>
      <c r="H357">
        <f t="shared" si="27"/>
        <v>45.968360971654121</v>
      </c>
      <c r="I357">
        <f t="shared" si="28"/>
        <v>42.819255239</v>
      </c>
      <c r="J357">
        <f t="shared" si="30"/>
        <v>42806.991238999995</v>
      </c>
      <c r="M357">
        <f t="shared" si="29"/>
        <v>22024</v>
      </c>
    </row>
    <row r="358" spans="1:13" x14ac:dyDescent="0.2">
      <c r="A358">
        <v>21</v>
      </c>
      <c r="B358">
        <v>25</v>
      </c>
      <c r="C358">
        <v>46</v>
      </c>
      <c r="D358" s="51" t="s">
        <v>23</v>
      </c>
      <c r="E358" t="str">
        <f>VLOOKUP(M358,'MASS - 2016'!$A$1:$G$3418,6,FALSE)</f>
        <v>-12570#</v>
      </c>
      <c r="F358" t="str">
        <f>VLOOKUP(M358,'MASS - 2016'!$A$1:$G$3418,7,FALSE)</f>
        <v>400#</v>
      </c>
      <c r="G358">
        <f t="shared" si="31"/>
        <v>-12570.01</v>
      </c>
      <c r="H358">
        <f t="shared" si="27"/>
        <v>45.986505539298342</v>
      </c>
      <c r="I358">
        <f t="shared" si="28"/>
        <v>42.836156796000004</v>
      </c>
      <c r="J358">
        <f t="shared" si="30"/>
        <v>42823.381796000001</v>
      </c>
      <c r="M358">
        <f t="shared" si="29"/>
        <v>21025</v>
      </c>
    </row>
    <row r="359" spans="1:13" x14ac:dyDescent="0.2">
      <c r="A359">
        <v>20</v>
      </c>
      <c r="B359">
        <v>26</v>
      </c>
      <c r="C359">
        <v>46</v>
      </c>
      <c r="D359" s="51" t="s">
        <v>24</v>
      </c>
      <c r="E359" t="str">
        <f>VLOOKUP(M359,'MASS - 2016'!$A$1:$G$3418,6,FALSE)</f>
        <v>910#</v>
      </c>
      <c r="F359" t="str">
        <f>VLOOKUP(M359,'MASS - 2016'!$A$1:$G$3418,7,FALSE)</f>
        <v>500#</v>
      </c>
      <c r="G359">
        <f t="shared" si="31"/>
        <v>910.01</v>
      </c>
      <c r="H359">
        <f t="shared" si="27"/>
        <v>46.000976935911993</v>
      </c>
      <c r="I359">
        <f t="shared" si="28"/>
        <v>42.849636816</v>
      </c>
      <c r="J359">
        <f t="shared" si="30"/>
        <v>42836.350815999998</v>
      </c>
      <c r="M359">
        <f t="shared" si="29"/>
        <v>20026</v>
      </c>
    </row>
    <row r="360" spans="1:13" x14ac:dyDescent="0.2">
      <c r="A360">
        <v>31</v>
      </c>
      <c r="B360">
        <v>16</v>
      </c>
      <c r="C360">
        <v>47</v>
      </c>
      <c r="D360" s="51" t="s">
        <v>14</v>
      </c>
      <c r="E360" t="str">
        <f>VLOOKUP(M360,'MASS - 2016'!$A$1:$G$3418,6,FALSE)</f>
        <v>7370#</v>
      </c>
      <c r="F360" t="str">
        <f>VLOOKUP(M360,'MASS - 2016'!$A$1:$G$3418,7,FALSE)</f>
        <v>500#</v>
      </c>
      <c r="G360">
        <f t="shared" si="31"/>
        <v>7370.01</v>
      </c>
      <c r="H360">
        <f t="shared" si="27"/>
        <v>47.007912031121364</v>
      </c>
      <c r="I360">
        <f t="shared" si="28"/>
        <v>43.787590877</v>
      </c>
      <c r="J360">
        <f t="shared" si="30"/>
        <v>43779.414877000003</v>
      </c>
      <c r="M360">
        <f t="shared" si="29"/>
        <v>31016</v>
      </c>
    </row>
    <row r="361" spans="1:13" x14ac:dyDescent="0.2">
      <c r="A361">
        <v>30</v>
      </c>
      <c r="B361">
        <v>17</v>
      </c>
      <c r="C361">
        <v>47</v>
      </c>
      <c r="D361" s="51" t="s">
        <v>15</v>
      </c>
      <c r="E361" t="str">
        <f>VLOOKUP(M361,'MASS - 2016'!$A$1:$G$3418,6,FALSE)</f>
        <v>-9780#</v>
      </c>
      <c r="F361" t="str">
        <f>VLOOKUP(M361,'MASS - 2016'!$A$1:$G$3418,7,FALSE)</f>
        <v>400#</v>
      </c>
      <c r="G361">
        <f t="shared" si="31"/>
        <v>-9780.01</v>
      </c>
      <c r="H361">
        <f t="shared" si="27"/>
        <v>46.989500727476994</v>
      </c>
      <c r="I361">
        <f t="shared" si="28"/>
        <v>43.770440856999997</v>
      </c>
      <c r="J361">
        <f t="shared" si="30"/>
        <v>43761.753856999996</v>
      </c>
      <c r="M361">
        <f t="shared" si="29"/>
        <v>30017</v>
      </c>
    </row>
    <row r="362" spans="1:13" x14ac:dyDescent="0.2">
      <c r="A362">
        <v>29</v>
      </c>
      <c r="B362">
        <v>18</v>
      </c>
      <c r="C362">
        <v>47</v>
      </c>
      <c r="D362" s="51" t="s">
        <v>16</v>
      </c>
      <c r="E362">
        <f>VLOOKUP(M362,'MASS - 2016'!$A$1:$G$3418,6,FALSE)</f>
        <v>-25366.338</v>
      </c>
      <c r="F362">
        <f>VLOOKUP(M362,'MASS - 2016'!$A$1:$G$3418,7,FALSE)</f>
        <v>1.1180000000000001</v>
      </c>
      <c r="G362">
        <f t="shared" si="31"/>
        <v>-25366.338</v>
      </c>
      <c r="H362">
        <f t="shared" si="27"/>
        <v>46.972768116231713</v>
      </c>
      <c r="I362">
        <f t="shared" si="28"/>
        <v>43.754854528999999</v>
      </c>
      <c r="J362">
        <f t="shared" si="30"/>
        <v>43745.656529</v>
      </c>
      <c r="M362">
        <f t="shared" si="29"/>
        <v>29018</v>
      </c>
    </row>
    <row r="363" spans="1:13" x14ac:dyDescent="0.2">
      <c r="A363">
        <v>28</v>
      </c>
      <c r="B363">
        <v>19</v>
      </c>
      <c r="C363">
        <v>47</v>
      </c>
      <c r="D363" s="51" t="s">
        <v>17</v>
      </c>
      <c r="E363">
        <f>VLOOKUP(M363,'MASS - 2016'!$A$1:$G$3418,6,FALSE)</f>
        <v>-35711.976000000002</v>
      </c>
      <c r="F363">
        <f>VLOOKUP(M363,'MASS - 2016'!$A$1:$G$3418,7,FALSE)</f>
        <v>1.397</v>
      </c>
      <c r="G363">
        <f t="shared" si="31"/>
        <v>-35711.976000000002</v>
      </c>
      <c r="H363">
        <f t="shared" si="27"/>
        <v>46.9616616170782</v>
      </c>
      <c r="I363">
        <f t="shared" si="28"/>
        <v>43.744508890999995</v>
      </c>
      <c r="J363">
        <f t="shared" si="30"/>
        <v>43734.799890999995</v>
      </c>
      <c r="M363">
        <f t="shared" si="29"/>
        <v>28019</v>
      </c>
    </row>
    <row r="364" spans="1:13" x14ac:dyDescent="0.2">
      <c r="A364">
        <v>27</v>
      </c>
      <c r="B364">
        <v>20</v>
      </c>
      <c r="C364">
        <v>47</v>
      </c>
      <c r="D364" s="51" t="s">
        <v>18</v>
      </c>
      <c r="E364">
        <f>VLOOKUP(M364,'MASS - 2016'!$A$1:$G$3418,6,FALSE)</f>
        <v>-42344.417999999998</v>
      </c>
      <c r="F364">
        <f>VLOOKUP(M364,'MASS - 2016'!$A$1:$G$3418,7,FALSE)</f>
        <v>2.222</v>
      </c>
      <c r="G364">
        <f t="shared" si="31"/>
        <v>-42344.417999999998</v>
      </c>
      <c r="H364">
        <f t="shared" si="27"/>
        <v>46.954541397768502</v>
      </c>
      <c r="I364">
        <f t="shared" si="28"/>
        <v>43.737876448999998</v>
      </c>
      <c r="J364">
        <f t="shared" si="30"/>
        <v>43727.656448999995</v>
      </c>
      <c r="M364">
        <f t="shared" si="29"/>
        <v>27020</v>
      </c>
    </row>
    <row r="365" spans="1:13" x14ac:dyDescent="0.2">
      <c r="A365">
        <v>26</v>
      </c>
      <c r="B365">
        <v>21</v>
      </c>
      <c r="C365">
        <v>47</v>
      </c>
      <c r="D365" s="51" t="s">
        <v>19</v>
      </c>
      <c r="E365">
        <f>VLOOKUP(M365,'MASS - 2016'!$A$1:$G$3418,6,FALSE)</f>
        <v>-44336.595000000001</v>
      </c>
      <c r="F365">
        <f>VLOOKUP(M365,'MASS - 2016'!$A$1:$G$3418,7,FALSE)</f>
        <v>1.9330000000000001</v>
      </c>
      <c r="G365">
        <f t="shared" si="31"/>
        <v>-44336.595000000001</v>
      </c>
      <c r="H365">
        <f t="shared" si="27"/>
        <v>46.952402707804275</v>
      </c>
      <c r="I365">
        <f t="shared" si="28"/>
        <v>43.735884272</v>
      </c>
      <c r="J365">
        <f t="shared" si="30"/>
        <v>43725.153272000003</v>
      </c>
      <c r="M365">
        <f t="shared" si="29"/>
        <v>26021</v>
      </c>
    </row>
    <row r="366" spans="1:13" x14ac:dyDescent="0.2">
      <c r="A366">
        <v>25</v>
      </c>
      <c r="B366">
        <v>22</v>
      </c>
      <c r="C366">
        <v>47</v>
      </c>
      <c r="D366" s="51" t="s">
        <v>20</v>
      </c>
      <c r="E366">
        <f>VLOOKUP(M366,'MASS - 2016'!$A$1:$G$3418,6,FALSE)</f>
        <v>-44937.364000000001</v>
      </c>
      <c r="F366">
        <f>VLOOKUP(M366,'MASS - 2016'!$A$1:$G$3418,7,FALSE)</f>
        <v>0.115</v>
      </c>
      <c r="G366">
        <f t="shared" si="31"/>
        <v>-44937.364000000001</v>
      </c>
      <c r="H366">
        <f t="shared" si="27"/>
        <v>46.951757755758784</v>
      </c>
      <c r="I366">
        <f t="shared" si="28"/>
        <v>43.735283502999998</v>
      </c>
      <c r="J366">
        <f t="shared" si="30"/>
        <v>43724.041503</v>
      </c>
      <c r="M366">
        <f t="shared" si="29"/>
        <v>25022</v>
      </c>
    </row>
    <row r="367" spans="1:13" x14ac:dyDescent="0.2">
      <c r="A367">
        <v>24</v>
      </c>
      <c r="B367">
        <v>23</v>
      </c>
      <c r="C367">
        <v>47</v>
      </c>
      <c r="D367" s="51" t="s">
        <v>21</v>
      </c>
      <c r="E367">
        <f>VLOOKUP(M367,'MASS - 2016'!$A$1:$G$3418,6,FALSE)</f>
        <v>-42006.618000000002</v>
      </c>
      <c r="F367">
        <f>VLOOKUP(M367,'MASS - 2016'!$A$1:$G$3418,7,FALSE)</f>
        <v>0.16900000000000001</v>
      </c>
      <c r="G367">
        <f t="shared" si="31"/>
        <v>-42006.618000000002</v>
      </c>
      <c r="H367">
        <f t="shared" si="27"/>
        <v>46.954904040982392</v>
      </c>
      <c r="I367">
        <f t="shared" si="28"/>
        <v>43.738214248999995</v>
      </c>
      <c r="J367">
        <f t="shared" si="30"/>
        <v>43726.461249</v>
      </c>
      <c r="M367">
        <f t="shared" si="29"/>
        <v>24023</v>
      </c>
    </row>
    <row r="368" spans="1:13" x14ac:dyDescent="0.2">
      <c r="A368">
        <v>23</v>
      </c>
      <c r="B368">
        <v>24</v>
      </c>
      <c r="C368">
        <v>47</v>
      </c>
      <c r="D368" s="51" t="s">
        <v>22</v>
      </c>
      <c r="E368">
        <f>VLOOKUP(M368,'MASS - 2016'!$A$1:$G$3418,6,FALSE)</f>
        <v>-34562.578000000001</v>
      </c>
      <c r="F368">
        <f>VLOOKUP(M368,'MASS - 2016'!$A$1:$G$3418,7,FALSE)</f>
        <v>6.03</v>
      </c>
      <c r="G368">
        <f t="shared" si="31"/>
        <v>-34562.578000000001</v>
      </c>
      <c r="H368">
        <f t="shared" si="27"/>
        <v>46.962895546577187</v>
      </c>
      <c r="I368">
        <f t="shared" si="28"/>
        <v>43.745658288999998</v>
      </c>
      <c r="J368">
        <f t="shared" si="30"/>
        <v>43733.394288999996</v>
      </c>
      <c r="M368">
        <f t="shared" si="29"/>
        <v>23024</v>
      </c>
    </row>
    <row r="369" spans="1:13" x14ac:dyDescent="0.2">
      <c r="A369">
        <v>22</v>
      </c>
      <c r="B369">
        <v>25</v>
      </c>
      <c r="C369">
        <v>47</v>
      </c>
      <c r="D369" s="51" t="s">
        <v>23</v>
      </c>
      <c r="E369">
        <f>VLOOKUP(M369,'MASS - 2016'!$A$1:$G$3418,6,FALSE)</f>
        <v>-22566.374</v>
      </c>
      <c r="F369">
        <f>VLOOKUP(M369,'MASS - 2016'!$A$1:$G$3418,7,FALSE)</f>
        <v>31.670999999999999</v>
      </c>
      <c r="G369">
        <f t="shared" si="31"/>
        <v>-22566.374</v>
      </c>
      <c r="H369">
        <f t="shared" si="27"/>
        <v>46.975774001204286</v>
      </c>
      <c r="I369">
        <f t="shared" si="28"/>
        <v>43.757654492999997</v>
      </c>
      <c r="J369">
        <f t="shared" si="30"/>
        <v>43744.879492999993</v>
      </c>
      <c r="M369">
        <f t="shared" si="29"/>
        <v>22025</v>
      </c>
    </row>
    <row r="370" spans="1:13" x14ac:dyDescent="0.2">
      <c r="A370">
        <v>21</v>
      </c>
      <c r="B370">
        <v>26</v>
      </c>
      <c r="C370">
        <v>47</v>
      </c>
      <c r="D370" s="51" t="s">
        <v>24</v>
      </c>
      <c r="E370" t="str">
        <f>VLOOKUP(M370,'MASS - 2016'!$A$1:$G$3418,6,FALSE)</f>
        <v>-6870#</v>
      </c>
      <c r="F370" t="str">
        <f>VLOOKUP(M370,'MASS - 2016'!$A$1:$G$3418,7,FALSE)</f>
        <v>500#</v>
      </c>
      <c r="G370">
        <f t="shared" si="31"/>
        <v>-6870.01</v>
      </c>
      <c r="H370">
        <f t="shared" si="27"/>
        <v>46.992624740953659</v>
      </c>
      <c r="I370">
        <f t="shared" si="28"/>
        <v>43.773350856999997</v>
      </c>
      <c r="J370">
        <f t="shared" si="30"/>
        <v>43760.064856999998</v>
      </c>
      <c r="M370">
        <f t="shared" si="29"/>
        <v>21026</v>
      </c>
    </row>
    <row r="371" spans="1:13" x14ac:dyDescent="0.2">
      <c r="A371">
        <v>32</v>
      </c>
      <c r="B371">
        <v>16</v>
      </c>
      <c r="C371">
        <v>48</v>
      </c>
      <c r="D371" s="51" t="s">
        <v>14</v>
      </c>
      <c r="E371" t="str">
        <f>VLOOKUP(M371,'MASS - 2016'!$A$1:$G$3418,6,FALSE)</f>
        <v>12761#</v>
      </c>
      <c r="F371" t="str">
        <f>VLOOKUP(M371,'MASS - 2016'!$A$1:$G$3418,7,FALSE)</f>
        <v>596#</v>
      </c>
      <c r="G371">
        <f t="shared" si="31"/>
        <v>12761.01</v>
      </c>
      <c r="H371">
        <f t="shared" si="27"/>
        <v>48.013699507634328</v>
      </c>
      <c r="I371">
        <f t="shared" si="28"/>
        <v>44.724475937999998</v>
      </c>
      <c r="J371">
        <f t="shared" si="30"/>
        <v>44716.299937999996</v>
      </c>
      <c r="M371">
        <f t="shared" si="29"/>
        <v>32016</v>
      </c>
    </row>
    <row r="372" spans="1:13" x14ac:dyDescent="0.2">
      <c r="A372">
        <v>31</v>
      </c>
      <c r="B372">
        <v>17</v>
      </c>
      <c r="C372">
        <v>48</v>
      </c>
      <c r="D372" s="51" t="s">
        <v>15</v>
      </c>
      <c r="E372" t="str">
        <f>VLOOKUP(M372,'MASS - 2016'!$A$1:$G$3418,6,FALSE)</f>
        <v>-4280#</v>
      </c>
      <c r="F372" t="str">
        <f>VLOOKUP(M372,'MASS - 2016'!$A$1:$G$3418,7,FALSE)</f>
        <v>500#</v>
      </c>
      <c r="G372">
        <f t="shared" si="31"/>
        <v>-4280.01</v>
      </c>
      <c r="H372">
        <f t="shared" si="27"/>
        <v>47.99540522030231</v>
      </c>
      <c r="I372">
        <f t="shared" si="28"/>
        <v>44.707434917999997</v>
      </c>
      <c r="J372">
        <f t="shared" si="30"/>
        <v>44698.747918000001</v>
      </c>
      <c r="M372">
        <f t="shared" si="29"/>
        <v>31017</v>
      </c>
    </row>
    <row r="373" spans="1:13" x14ac:dyDescent="0.2">
      <c r="A373">
        <v>30</v>
      </c>
      <c r="B373">
        <v>18</v>
      </c>
      <c r="C373">
        <v>48</v>
      </c>
      <c r="D373" s="51" t="s">
        <v>16</v>
      </c>
      <c r="E373">
        <f>VLOOKUP(M373,'MASS - 2016'!$A$1:$G$3418,6,FALSE)</f>
        <v>-22281.337</v>
      </c>
      <c r="F373">
        <f>VLOOKUP(M373,'MASS - 2016'!$A$1:$G$3418,7,FALSE)</f>
        <v>307.39299999999997</v>
      </c>
      <c r="G373">
        <f t="shared" si="31"/>
        <v>-22281.337</v>
      </c>
      <c r="H373">
        <f t="shared" si="27"/>
        <v>47.976080001008185</v>
      </c>
      <c r="I373">
        <f t="shared" si="28"/>
        <v>44.689433590999997</v>
      </c>
      <c r="J373">
        <f t="shared" si="30"/>
        <v>44680.235590999997</v>
      </c>
      <c r="M373">
        <f t="shared" si="29"/>
        <v>30018</v>
      </c>
    </row>
    <row r="374" spans="1:13" x14ac:dyDescent="0.2">
      <c r="A374">
        <v>29</v>
      </c>
      <c r="B374">
        <v>19</v>
      </c>
      <c r="C374">
        <v>48</v>
      </c>
      <c r="D374" s="51" t="s">
        <v>17</v>
      </c>
      <c r="E374">
        <f>VLOOKUP(M374,'MASS - 2016'!$A$1:$G$3418,6,FALSE)</f>
        <v>-32284.476999999999</v>
      </c>
      <c r="F374">
        <f>VLOOKUP(M374,'MASS - 2016'!$A$1:$G$3418,7,FALSE)</f>
        <v>0.77300000000000002</v>
      </c>
      <c r="G374">
        <f t="shared" si="31"/>
        <v>-32284.476999999999</v>
      </c>
      <c r="H374">
        <f t="shared" si="27"/>
        <v>47.965341188578982</v>
      </c>
      <c r="I374">
        <f t="shared" si="28"/>
        <v>44.679430451000002</v>
      </c>
      <c r="J374">
        <f t="shared" si="30"/>
        <v>44669.721450999998</v>
      </c>
      <c r="M374">
        <f t="shared" si="29"/>
        <v>29019</v>
      </c>
    </row>
    <row r="375" spans="1:13" x14ac:dyDescent="0.2">
      <c r="A375">
        <v>28</v>
      </c>
      <c r="B375">
        <v>20</v>
      </c>
      <c r="C375">
        <v>48</v>
      </c>
      <c r="D375" s="51" t="s">
        <v>18</v>
      </c>
      <c r="E375">
        <f>VLOOKUP(M375,'MASS - 2016'!$A$1:$G$3418,6,FALSE)</f>
        <v>-44224.629000000001</v>
      </c>
      <c r="F375">
        <f>VLOOKUP(M375,'MASS - 2016'!$A$1:$G$3418,7,FALSE)</f>
        <v>9.6000000000000002E-2</v>
      </c>
      <c r="G375">
        <f t="shared" si="31"/>
        <v>-44224.629000000001</v>
      </c>
      <c r="H375">
        <f t="shared" si="27"/>
        <v>47.952522908248582</v>
      </c>
      <c r="I375">
        <f t="shared" si="28"/>
        <v>44.667490299000001</v>
      </c>
      <c r="J375">
        <f t="shared" si="30"/>
        <v>44657.270298999996</v>
      </c>
      <c r="M375">
        <f t="shared" si="29"/>
        <v>28020</v>
      </c>
    </row>
    <row r="376" spans="1:13" x14ac:dyDescent="0.2">
      <c r="A376">
        <v>27</v>
      </c>
      <c r="B376">
        <v>21</v>
      </c>
      <c r="C376">
        <v>48</v>
      </c>
      <c r="D376" s="51" t="s">
        <v>19</v>
      </c>
      <c r="E376">
        <f>VLOOKUP(M376,'MASS - 2016'!$A$1:$G$3418,6,FALSE)</f>
        <v>-44503.841999999997</v>
      </c>
      <c r="F376">
        <f>VLOOKUP(M376,'MASS - 2016'!$A$1:$G$3418,7,FALSE)</f>
        <v>4.9509999999999996</v>
      </c>
      <c r="G376">
        <f t="shared" si="31"/>
        <v>-44503.841999999997</v>
      </c>
      <c r="H376">
        <f t="shared" si="27"/>
        <v>47.952223160765811</v>
      </c>
      <c r="I376">
        <f t="shared" si="28"/>
        <v>44.667211086000002</v>
      </c>
      <c r="J376">
        <f t="shared" si="30"/>
        <v>44656.480086000003</v>
      </c>
      <c r="M376">
        <f t="shared" si="29"/>
        <v>27021</v>
      </c>
    </row>
    <row r="377" spans="1:13" x14ac:dyDescent="0.2">
      <c r="A377">
        <v>26</v>
      </c>
      <c r="B377">
        <v>22</v>
      </c>
      <c r="C377">
        <v>48</v>
      </c>
      <c r="D377" s="51" t="s">
        <v>20</v>
      </c>
      <c r="E377">
        <f>VLOOKUP(M377,'MASS - 2016'!$A$1:$G$3418,6,FALSE)</f>
        <v>-48492.709000000003</v>
      </c>
      <c r="F377">
        <f>VLOOKUP(M377,'MASS - 2016'!$A$1:$G$3418,7,FALSE)</f>
        <v>0.109</v>
      </c>
      <c r="G377">
        <f t="shared" si="31"/>
        <v>-48492.709000000003</v>
      </c>
      <c r="H377">
        <f t="shared" si="27"/>
        <v>47.9479409359326</v>
      </c>
      <c r="I377">
        <f t="shared" si="28"/>
        <v>44.663222218999998</v>
      </c>
      <c r="J377">
        <f t="shared" si="30"/>
        <v>44651.980218999997</v>
      </c>
      <c r="M377">
        <f t="shared" si="29"/>
        <v>26022</v>
      </c>
    </row>
    <row r="378" spans="1:13" x14ac:dyDescent="0.2">
      <c r="A378">
        <v>25</v>
      </c>
      <c r="B378">
        <v>23</v>
      </c>
      <c r="C378">
        <v>48</v>
      </c>
      <c r="D378" s="51" t="s">
        <v>21</v>
      </c>
      <c r="E378">
        <f>VLOOKUP(M378,'MASS - 2016'!$A$1:$G$3418,6,FALSE)</f>
        <v>-44477.694000000003</v>
      </c>
      <c r="F378">
        <f>VLOOKUP(M378,'MASS - 2016'!$A$1:$G$3418,7,FALSE)</f>
        <v>0.97499999999999998</v>
      </c>
      <c r="G378">
        <f t="shared" si="31"/>
        <v>-44477.694000000003</v>
      </c>
      <c r="H378">
        <f t="shared" si="27"/>
        <v>47.952251231798243</v>
      </c>
      <c r="I378">
        <f t="shared" si="28"/>
        <v>44.667237233999998</v>
      </c>
      <c r="J378">
        <f t="shared" si="30"/>
        <v>44655.484234000003</v>
      </c>
      <c r="M378">
        <f t="shared" si="29"/>
        <v>25023</v>
      </c>
    </row>
    <row r="379" spans="1:13" x14ac:dyDescent="0.2">
      <c r="A379">
        <v>24</v>
      </c>
      <c r="B379">
        <v>24</v>
      </c>
      <c r="C379">
        <v>48</v>
      </c>
      <c r="D379" s="51" t="s">
        <v>22</v>
      </c>
      <c r="E379">
        <f>VLOOKUP(M379,'MASS - 2016'!$A$1:$G$3418,6,FALSE)</f>
        <v>-42822.02</v>
      </c>
      <c r="F379">
        <f>VLOOKUP(M379,'MASS - 2016'!$A$1:$G$3418,7,FALSE)</f>
        <v>7.3239999999999998</v>
      </c>
      <c r="G379">
        <f t="shared" si="31"/>
        <v>-42822.02</v>
      </c>
      <c r="H379">
        <f t="shared" si="27"/>
        <v>47.954028670935344</v>
      </c>
      <c r="I379">
        <f t="shared" si="28"/>
        <v>44.668892907999997</v>
      </c>
      <c r="J379">
        <f t="shared" si="30"/>
        <v>44656.628907999991</v>
      </c>
      <c r="M379">
        <f t="shared" si="29"/>
        <v>24024</v>
      </c>
    </row>
    <row r="380" spans="1:13" x14ac:dyDescent="0.2">
      <c r="A380">
        <v>23</v>
      </c>
      <c r="B380">
        <v>25</v>
      </c>
      <c r="C380">
        <v>48</v>
      </c>
      <c r="D380" s="51" t="s">
        <v>23</v>
      </c>
      <c r="E380">
        <f>VLOOKUP(M380,'MASS - 2016'!$A$1:$G$3418,6,FALSE)</f>
        <v>-29296.338</v>
      </c>
      <c r="F380">
        <f>VLOOKUP(M380,'MASS - 2016'!$A$1:$G$3418,7,FALSE)</f>
        <v>6.9390000000000001</v>
      </c>
      <c r="G380">
        <f t="shared" si="31"/>
        <v>-29296.338</v>
      </c>
      <c r="H380">
        <f t="shared" si="27"/>
        <v>47.968549087721989</v>
      </c>
      <c r="I380">
        <f t="shared" si="28"/>
        <v>44.682418589999997</v>
      </c>
      <c r="J380">
        <f t="shared" si="30"/>
        <v>44669.64359</v>
      </c>
      <c r="M380">
        <f t="shared" si="29"/>
        <v>23025</v>
      </c>
    </row>
    <row r="381" spans="1:13" x14ac:dyDescent="0.2">
      <c r="A381">
        <v>22</v>
      </c>
      <c r="B381">
        <v>26</v>
      </c>
      <c r="C381">
        <v>48</v>
      </c>
      <c r="D381" s="51" t="s">
        <v>24</v>
      </c>
      <c r="E381" t="str">
        <f>VLOOKUP(M381,'MASS - 2016'!$A$1:$G$3418,6,FALSE)</f>
        <v>-18000#</v>
      </c>
      <c r="F381" t="str">
        <f>VLOOKUP(M381,'MASS - 2016'!$A$1:$G$3418,7,FALSE)</f>
        <v>400#</v>
      </c>
      <c r="G381">
        <f t="shared" si="31"/>
        <v>-18000.009999999998</v>
      </c>
      <c r="H381">
        <f t="shared" si="27"/>
        <v>47.980676194563522</v>
      </c>
      <c r="I381">
        <f t="shared" si="28"/>
        <v>44.693714917999998</v>
      </c>
      <c r="J381">
        <f t="shared" si="30"/>
        <v>44680.428917999998</v>
      </c>
      <c r="M381">
        <f t="shared" si="29"/>
        <v>22026</v>
      </c>
    </row>
    <row r="382" spans="1:13" x14ac:dyDescent="0.2">
      <c r="A382">
        <v>21</v>
      </c>
      <c r="B382">
        <v>27</v>
      </c>
      <c r="C382">
        <v>48</v>
      </c>
      <c r="D382" s="51" t="s">
        <v>25</v>
      </c>
      <c r="E382" t="str">
        <f>VLOOKUP(M382,'MASS - 2016'!$A$1:$G$3418,6,FALSE)</f>
        <v>1500#</v>
      </c>
      <c r="F382" t="str">
        <f>VLOOKUP(M382,'MASS - 2016'!$A$1:$G$3418,7,FALSE)</f>
        <v>500#</v>
      </c>
      <c r="G382">
        <f t="shared" si="31"/>
        <v>1500.01</v>
      </c>
      <c r="H382">
        <f t="shared" si="27"/>
        <v>48.001610326960531</v>
      </c>
      <c r="I382">
        <f t="shared" si="28"/>
        <v>44.713214938</v>
      </c>
      <c r="J382">
        <f t="shared" si="30"/>
        <v>44699.417937999999</v>
      </c>
      <c r="M382">
        <f t="shared" si="29"/>
        <v>21027</v>
      </c>
    </row>
    <row r="383" spans="1:13" x14ac:dyDescent="0.2">
      <c r="A383">
        <v>33</v>
      </c>
      <c r="B383">
        <v>16</v>
      </c>
      <c r="C383">
        <v>49</v>
      </c>
      <c r="D383" s="51" t="s">
        <v>14</v>
      </c>
      <c r="E383" t="str">
        <f>VLOOKUP(M383,'MASS - 2016'!$A$1:$G$3418,6,FALSE)</f>
        <v>21093#</v>
      </c>
      <c r="F383" t="str">
        <f>VLOOKUP(M383,'MASS - 2016'!$A$1:$G$3418,7,FALSE)</f>
        <v>667#</v>
      </c>
      <c r="G383">
        <f t="shared" si="31"/>
        <v>21093.01</v>
      </c>
      <c r="H383">
        <f t="shared" si="27"/>
        <v>49.02264427749261</v>
      </c>
      <c r="I383">
        <f t="shared" si="28"/>
        <v>45.664301999000003</v>
      </c>
      <c r="J383">
        <f t="shared" si="30"/>
        <v>45656.125999000004</v>
      </c>
      <c r="M383">
        <f t="shared" si="29"/>
        <v>33016</v>
      </c>
    </row>
    <row r="384" spans="1:13" x14ac:dyDescent="0.2">
      <c r="A384">
        <v>32</v>
      </c>
      <c r="B384">
        <v>17</v>
      </c>
      <c r="C384">
        <v>49</v>
      </c>
      <c r="D384" s="51" t="s">
        <v>15</v>
      </c>
      <c r="E384" t="str">
        <f>VLOOKUP(M384,'MASS - 2016'!$A$1:$G$3418,6,FALSE)</f>
        <v>940#</v>
      </c>
      <c r="F384" t="str">
        <f>VLOOKUP(M384,'MASS - 2016'!$A$1:$G$3418,7,FALSE)</f>
        <v>600#</v>
      </c>
      <c r="G384">
        <f t="shared" si="31"/>
        <v>940.01</v>
      </c>
      <c r="H384">
        <f t="shared" si="27"/>
        <v>49.001009142236498</v>
      </c>
      <c r="I384">
        <f t="shared" si="28"/>
        <v>45.644148999000002</v>
      </c>
      <c r="J384">
        <f t="shared" si="30"/>
        <v>45635.461999000006</v>
      </c>
      <c r="M384">
        <f t="shared" si="29"/>
        <v>32017</v>
      </c>
    </row>
    <row r="385" spans="1:13" x14ac:dyDescent="0.2">
      <c r="A385">
        <v>31</v>
      </c>
      <c r="B385">
        <v>18</v>
      </c>
      <c r="C385">
        <v>49</v>
      </c>
      <c r="D385" s="51" t="s">
        <v>16</v>
      </c>
      <c r="E385" t="str">
        <f>VLOOKUP(M385,'MASS - 2016'!$A$1:$G$3418,6,FALSE)</f>
        <v>-17190#</v>
      </c>
      <c r="F385" t="str">
        <f>VLOOKUP(M385,'MASS - 2016'!$A$1:$G$3418,7,FALSE)</f>
        <v>400#</v>
      </c>
      <c r="G385">
        <f t="shared" si="31"/>
        <v>-17190.009999999998</v>
      </c>
      <c r="H385">
        <f t="shared" si="27"/>
        <v>48.981545765325066</v>
      </c>
      <c r="I385">
        <f t="shared" si="28"/>
        <v>45.626018979000001</v>
      </c>
      <c r="J385">
        <f t="shared" si="30"/>
        <v>45616.820979000004</v>
      </c>
      <c r="M385">
        <f t="shared" si="29"/>
        <v>31018</v>
      </c>
    </row>
    <row r="386" spans="1:13" x14ac:dyDescent="0.2">
      <c r="A386">
        <v>30</v>
      </c>
      <c r="B386">
        <v>19</v>
      </c>
      <c r="C386">
        <v>49</v>
      </c>
      <c r="D386" s="51" t="s">
        <v>17</v>
      </c>
      <c r="E386">
        <f>VLOOKUP(M386,'MASS - 2016'!$A$1:$G$3418,6,FALSE)</f>
        <v>-29611.49</v>
      </c>
      <c r="F386">
        <f>VLOOKUP(M386,'MASS - 2016'!$A$1:$G$3418,7,FALSE)</f>
        <v>0.80100000000000005</v>
      </c>
      <c r="G386">
        <f t="shared" si="31"/>
        <v>-29611.49</v>
      </c>
      <c r="H386">
        <f t="shared" si="27"/>
        <v>48.96821075813601</v>
      </c>
      <c r="I386">
        <f t="shared" si="28"/>
        <v>45.613597499000001</v>
      </c>
      <c r="J386">
        <f t="shared" si="30"/>
        <v>45603.888499000001</v>
      </c>
      <c r="M386">
        <f t="shared" si="29"/>
        <v>30019</v>
      </c>
    </row>
    <row r="387" spans="1:13" x14ac:dyDescent="0.2">
      <c r="A387">
        <v>29</v>
      </c>
      <c r="B387">
        <v>20</v>
      </c>
      <c r="C387">
        <v>49</v>
      </c>
      <c r="D387" s="51" t="s">
        <v>18</v>
      </c>
      <c r="E387">
        <f>VLOOKUP(M387,'MASS - 2016'!$A$1:$G$3418,6,FALSE)</f>
        <v>-41299.764999999999</v>
      </c>
      <c r="F387">
        <f>VLOOKUP(M387,'MASS - 2016'!$A$1:$G$3418,7,FALSE)</f>
        <v>0.20100000000000001</v>
      </c>
      <c r="G387">
        <f t="shared" si="31"/>
        <v>-41299.764999999999</v>
      </c>
      <c r="H387">
        <f t="shared" si="27"/>
        <v>48.955662878885498</v>
      </c>
      <c r="I387">
        <f t="shared" si="28"/>
        <v>45.601909224000003</v>
      </c>
      <c r="J387">
        <f t="shared" si="30"/>
        <v>45591.689224000002</v>
      </c>
      <c r="M387">
        <f t="shared" si="29"/>
        <v>29020</v>
      </c>
    </row>
    <row r="388" spans="1:13" x14ac:dyDescent="0.2">
      <c r="A388">
        <v>28</v>
      </c>
      <c r="B388">
        <v>21</v>
      </c>
      <c r="C388">
        <v>49</v>
      </c>
      <c r="D388" s="51" t="s">
        <v>19</v>
      </c>
      <c r="E388">
        <f>VLOOKUP(M388,'MASS - 2016'!$A$1:$G$3418,6,FALSE)</f>
        <v>-46561.264999999999</v>
      </c>
      <c r="F388">
        <f>VLOOKUP(M388,'MASS - 2016'!$A$1:$G$3418,7,FALSE)</f>
        <v>2.698</v>
      </c>
      <c r="G388">
        <f t="shared" si="31"/>
        <v>-46561.264999999999</v>
      </c>
      <c r="H388">
        <f t="shared" si="27"/>
        <v>48.950014426339969</v>
      </c>
      <c r="I388">
        <f t="shared" si="28"/>
        <v>45.596647724</v>
      </c>
      <c r="J388">
        <f t="shared" si="30"/>
        <v>45585.916724000002</v>
      </c>
      <c r="M388">
        <f t="shared" si="29"/>
        <v>28021</v>
      </c>
    </row>
    <row r="389" spans="1:13" x14ac:dyDescent="0.2">
      <c r="A389">
        <v>27</v>
      </c>
      <c r="B389">
        <v>22</v>
      </c>
      <c r="C389">
        <v>49</v>
      </c>
      <c r="D389" s="51" t="s">
        <v>20</v>
      </c>
      <c r="E389">
        <f>VLOOKUP(M389,'MASS - 2016'!$A$1:$G$3418,6,FALSE)</f>
        <v>-48563.786999999997</v>
      </c>
      <c r="F389">
        <f>VLOOKUP(M389,'MASS - 2016'!$A$1:$G$3418,7,FALSE)</f>
        <v>0.114</v>
      </c>
      <c r="G389">
        <f t="shared" si="31"/>
        <v>-48563.786999999997</v>
      </c>
      <c r="H389">
        <f t="shared" si="27"/>
        <v>48.947864630561504</v>
      </c>
      <c r="I389">
        <f t="shared" si="28"/>
        <v>45.594645202000002</v>
      </c>
      <c r="J389">
        <f t="shared" si="30"/>
        <v>45583.403202000001</v>
      </c>
      <c r="M389">
        <f t="shared" si="29"/>
        <v>27022</v>
      </c>
    </row>
    <row r="390" spans="1:13" x14ac:dyDescent="0.2">
      <c r="A390">
        <v>26</v>
      </c>
      <c r="B390">
        <v>23</v>
      </c>
      <c r="C390">
        <v>49</v>
      </c>
      <c r="D390" s="51" t="s">
        <v>21</v>
      </c>
      <c r="E390">
        <f>VLOOKUP(M390,'MASS - 2016'!$A$1:$G$3418,6,FALSE)</f>
        <v>-47961.930999999997</v>
      </c>
      <c r="F390">
        <f>VLOOKUP(M390,'MASS - 2016'!$A$1:$G$3418,7,FALSE)</f>
        <v>0.82799999999999996</v>
      </c>
      <c r="G390">
        <f t="shared" si="31"/>
        <v>-47961.930999999997</v>
      </c>
      <c r="H390">
        <f t="shared" si="27"/>
        <v>48.948510749549477</v>
      </c>
      <c r="I390">
        <f t="shared" si="28"/>
        <v>45.595247057999998</v>
      </c>
      <c r="J390">
        <f t="shared" si="30"/>
        <v>45583.494058000004</v>
      </c>
      <c r="M390">
        <f t="shared" si="29"/>
        <v>26023</v>
      </c>
    </row>
    <row r="391" spans="1:13" x14ac:dyDescent="0.2">
      <c r="A391">
        <v>25</v>
      </c>
      <c r="B391">
        <v>24</v>
      </c>
      <c r="C391">
        <v>49</v>
      </c>
      <c r="D391" s="51" t="s">
        <v>22</v>
      </c>
      <c r="E391">
        <f>VLOOKUP(M391,'MASS - 2016'!$A$1:$G$3418,6,FALSE)</f>
        <v>-45333.06</v>
      </c>
      <c r="F391">
        <f>VLOOKUP(M391,'MASS - 2016'!$A$1:$G$3418,7,FALSE)</f>
        <v>2.2429999999999999</v>
      </c>
      <c r="G391">
        <f t="shared" si="31"/>
        <v>-45333.06</v>
      </c>
      <c r="H391">
        <f t="shared" si="27"/>
        <v>48.95133295863279</v>
      </c>
      <c r="I391">
        <f t="shared" si="28"/>
        <v>45.597875929000004</v>
      </c>
      <c r="J391">
        <f t="shared" si="30"/>
        <v>45585.611928999999</v>
      </c>
      <c r="M391">
        <f t="shared" si="29"/>
        <v>25024</v>
      </c>
    </row>
    <row r="392" spans="1:13" x14ac:dyDescent="0.2">
      <c r="A392">
        <v>24</v>
      </c>
      <c r="B392">
        <v>25</v>
      </c>
      <c r="C392">
        <v>49</v>
      </c>
      <c r="D392" s="51" t="s">
        <v>23</v>
      </c>
      <c r="E392">
        <f>VLOOKUP(M392,'MASS - 2016'!$A$1:$G$3418,6,FALSE)</f>
        <v>-37620.633999999998</v>
      </c>
      <c r="F392">
        <f>VLOOKUP(M392,'MASS - 2016'!$A$1:$G$3418,7,FALSE)</f>
        <v>2.2549999999999999</v>
      </c>
      <c r="G392">
        <f t="shared" si="31"/>
        <v>-37620.633999999998</v>
      </c>
      <c r="H392">
        <f t="shared" si="27"/>
        <v>48.95961258844784</v>
      </c>
      <c r="I392">
        <f t="shared" si="28"/>
        <v>45.605588355000002</v>
      </c>
      <c r="J392">
        <f t="shared" si="30"/>
        <v>45592.813354999998</v>
      </c>
      <c r="M392">
        <f t="shared" si="29"/>
        <v>24025</v>
      </c>
    </row>
    <row r="393" spans="1:13" x14ac:dyDescent="0.2">
      <c r="A393">
        <v>23</v>
      </c>
      <c r="B393">
        <v>26</v>
      </c>
      <c r="C393">
        <v>49</v>
      </c>
      <c r="D393" s="51" t="s">
        <v>24</v>
      </c>
      <c r="E393">
        <f>VLOOKUP(M393,'MASS - 2016'!$A$1:$G$3418,6,FALSE)</f>
        <v>-24750.726999999999</v>
      </c>
      <c r="F393">
        <f>VLOOKUP(M393,'MASS - 2016'!$A$1:$G$3418,7,FALSE)</f>
        <v>24.219000000000001</v>
      </c>
      <c r="G393">
        <f t="shared" si="31"/>
        <v>-24750.726999999999</v>
      </c>
      <c r="H393">
        <f t="shared" ref="H393:H456" si="32">(C393*$A$3+G393/1000000)/$A$3</f>
        <v>48.973429001819483</v>
      </c>
      <c r="I393">
        <f t="shared" ref="I393:I456" si="33">H393*$A$3</f>
        <v>45.618458262000004</v>
      </c>
      <c r="J393">
        <f t="shared" si="30"/>
        <v>45605.172262000007</v>
      </c>
      <c r="M393">
        <f t="shared" ref="M393:M456" si="34">1000*A393+B393</f>
        <v>23026</v>
      </c>
    </row>
    <row r="394" spans="1:13" x14ac:dyDescent="0.2">
      <c r="A394">
        <v>22</v>
      </c>
      <c r="B394">
        <v>27</v>
      </c>
      <c r="C394">
        <v>49</v>
      </c>
      <c r="D394" s="51" t="s">
        <v>25</v>
      </c>
      <c r="E394" t="str">
        <f>VLOOKUP(M394,'MASS - 2016'!$A$1:$G$3418,6,FALSE)</f>
        <v>-9880#</v>
      </c>
      <c r="F394" t="str">
        <f>VLOOKUP(M394,'MASS - 2016'!$A$1:$G$3418,7,FALSE)</f>
        <v>500#</v>
      </c>
      <c r="G394">
        <f t="shared" si="31"/>
        <v>-9880.01</v>
      </c>
      <c r="H394">
        <f t="shared" si="32"/>
        <v>48.989393373061986</v>
      </c>
      <c r="I394">
        <f t="shared" si="33"/>
        <v>45.633328978999998</v>
      </c>
      <c r="J394">
        <f t="shared" si="30"/>
        <v>45619.531978999999</v>
      </c>
      <c r="M394">
        <f t="shared" si="34"/>
        <v>22027</v>
      </c>
    </row>
    <row r="395" spans="1:13" x14ac:dyDescent="0.2">
      <c r="A395">
        <v>33</v>
      </c>
      <c r="B395">
        <v>17</v>
      </c>
      <c r="C395">
        <v>50</v>
      </c>
      <c r="D395" s="51" t="s">
        <v>15</v>
      </c>
      <c r="E395" t="str">
        <f>VLOOKUP(M395,'MASS - 2016'!$A$1:$G$3418,6,FALSE)</f>
        <v>7740#</v>
      </c>
      <c r="F395" t="str">
        <f>VLOOKUP(M395,'MASS - 2016'!$A$1:$G$3418,7,FALSE)</f>
        <v>600#</v>
      </c>
      <c r="G395">
        <f t="shared" si="31"/>
        <v>7740.01</v>
      </c>
      <c r="H395">
        <f t="shared" si="32"/>
        <v>50.008309242456882</v>
      </c>
      <c r="I395">
        <f t="shared" si="33"/>
        <v>46.582443059999996</v>
      </c>
      <c r="J395">
        <f t="shared" si="30"/>
        <v>46573.75606</v>
      </c>
      <c r="M395">
        <f t="shared" si="34"/>
        <v>33017</v>
      </c>
    </row>
    <row r="396" spans="1:13" x14ac:dyDescent="0.2">
      <c r="A396">
        <v>32</v>
      </c>
      <c r="B396">
        <v>18</v>
      </c>
      <c r="C396">
        <v>50</v>
      </c>
      <c r="D396" s="51" t="s">
        <v>16</v>
      </c>
      <c r="E396" t="str">
        <f>VLOOKUP(M396,'MASS - 2016'!$A$1:$G$3418,6,FALSE)</f>
        <v>-13330#</v>
      </c>
      <c r="F396" t="str">
        <f>VLOOKUP(M396,'MASS - 2016'!$A$1:$G$3418,7,FALSE)</f>
        <v>500#</v>
      </c>
      <c r="G396">
        <f t="shared" si="31"/>
        <v>-13330.01</v>
      </c>
      <c r="H396">
        <f t="shared" si="32"/>
        <v>49.985689645744287</v>
      </c>
      <c r="I396">
        <f t="shared" si="33"/>
        <v>46.561373039999999</v>
      </c>
      <c r="J396">
        <f t="shared" ref="J396:J459" si="35">1000*I396-B396*0.511</f>
        <v>46552.175040000002</v>
      </c>
      <c r="M396">
        <f t="shared" si="34"/>
        <v>32018</v>
      </c>
    </row>
    <row r="397" spans="1:13" x14ac:dyDescent="0.2">
      <c r="A397">
        <v>31</v>
      </c>
      <c r="B397">
        <v>19</v>
      </c>
      <c r="C397">
        <v>50</v>
      </c>
      <c r="D397" s="51" t="s">
        <v>17</v>
      </c>
      <c r="E397">
        <f>VLOOKUP(M397,'MASS - 2016'!$A$1:$G$3418,6,FALSE)</f>
        <v>-25727.848000000002</v>
      </c>
      <c r="F397">
        <f>VLOOKUP(M397,'MASS - 2016'!$A$1:$G$3418,7,FALSE)</f>
        <v>7.7309999999999999</v>
      </c>
      <c r="G397">
        <f t="shared" si="31"/>
        <v>-25727.848000000002</v>
      </c>
      <c r="H397">
        <f t="shared" si="32"/>
        <v>49.972380019286021</v>
      </c>
      <c r="I397">
        <f t="shared" si="33"/>
        <v>46.548975201999994</v>
      </c>
      <c r="J397">
        <f t="shared" si="35"/>
        <v>46539.266201999992</v>
      </c>
      <c r="M397">
        <f t="shared" si="34"/>
        <v>31019</v>
      </c>
    </row>
    <row r="398" spans="1:13" x14ac:dyDescent="0.2">
      <c r="A398">
        <v>30</v>
      </c>
      <c r="B398">
        <v>20</v>
      </c>
      <c r="C398">
        <v>50</v>
      </c>
      <c r="D398" s="51" t="s">
        <v>18</v>
      </c>
      <c r="E398">
        <f>VLOOKUP(M398,'MASS - 2016'!$A$1:$G$3418,6,FALSE)</f>
        <v>-39589.224000000002</v>
      </c>
      <c r="F398">
        <f>VLOOKUP(M398,'MASS - 2016'!$A$1:$G$3418,7,FALSE)</f>
        <v>1.5840000000000001</v>
      </c>
      <c r="G398">
        <f t="shared" si="31"/>
        <v>-39589.224000000002</v>
      </c>
      <c r="H398">
        <f t="shared" si="32"/>
        <v>49.957499220169481</v>
      </c>
      <c r="I398">
        <f t="shared" si="33"/>
        <v>46.535113826</v>
      </c>
      <c r="J398">
        <f t="shared" si="35"/>
        <v>46524.893826</v>
      </c>
      <c r="M398">
        <f t="shared" si="34"/>
        <v>30020</v>
      </c>
    </row>
    <row r="399" spans="1:13" x14ac:dyDescent="0.2">
      <c r="A399">
        <v>29</v>
      </c>
      <c r="B399">
        <v>21</v>
      </c>
      <c r="C399">
        <v>50</v>
      </c>
      <c r="D399" s="51" t="s">
        <v>19</v>
      </c>
      <c r="E399">
        <f>VLOOKUP(M399,'MASS - 2016'!$A$1:$G$3418,6,FALSE)</f>
        <v>-44547.381999999998</v>
      </c>
      <c r="F399">
        <f>VLOOKUP(M399,'MASS - 2016'!$A$1:$G$3418,7,FALSE)</f>
        <v>15</v>
      </c>
      <c r="G399">
        <f t="shared" ref="G399:G462" si="36">IF(ISNUMBER(E399),E399,VALUE(SUBSTITUTE(E399,"#",".01")))</f>
        <v>-44547.381999999998</v>
      </c>
      <c r="H399">
        <f t="shared" si="32"/>
        <v>49.952176418653515</v>
      </c>
      <c r="I399">
        <f t="shared" si="33"/>
        <v>46.530155667999999</v>
      </c>
      <c r="J399">
        <f t="shared" si="35"/>
        <v>46519.424668</v>
      </c>
      <c r="M399">
        <f t="shared" si="34"/>
        <v>29021</v>
      </c>
    </row>
    <row r="400" spans="1:13" x14ac:dyDescent="0.2">
      <c r="A400">
        <v>28</v>
      </c>
      <c r="B400">
        <v>22</v>
      </c>
      <c r="C400">
        <v>50</v>
      </c>
      <c r="D400" s="51" t="s">
        <v>20</v>
      </c>
      <c r="E400">
        <f>VLOOKUP(M400,'MASS - 2016'!$A$1:$G$3418,6,FALSE)</f>
        <v>-51431.66</v>
      </c>
      <c r="F400">
        <f>VLOOKUP(M400,'MASS - 2016'!$A$1:$G$3418,7,FALSE)</f>
        <v>0.121</v>
      </c>
      <c r="G400">
        <f t="shared" si="36"/>
        <v>-51431.66</v>
      </c>
      <c r="H400">
        <f t="shared" si="32"/>
        <v>49.944785842279245</v>
      </c>
      <c r="I400">
        <f t="shared" si="33"/>
        <v>46.523271389999998</v>
      </c>
      <c r="J400">
        <f t="shared" si="35"/>
        <v>46512.029389999996</v>
      </c>
      <c r="M400">
        <f t="shared" si="34"/>
        <v>28022</v>
      </c>
    </row>
    <row r="401" spans="1:13" x14ac:dyDescent="0.2">
      <c r="A401">
        <v>27</v>
      </c>
      <c r="B401">
        <v>23</v>
      </c>
      <c r="C401">
        <v>50</v>
      </c>
      <c r="D401" s="51" t="s">
        <v>21</v>
      </c>
      <c r="E401">
        <f>VLOOKUP(M401,'MASS - 2016'!$A$1:$G$3418,6,FALSE)</f>
        <v>-49224.012999999999</v>
      </c>
      <c r="F401">
        <f>VLOOKUP(M401,'MASS - 2016'!$A$1:$G$3418,7,FALSE)</f>
        <v>0.40899999999999997</v>
      </c>
      <c r="G401">
        <f t="shared" si="36"/>
        <v>-49224.012999999999</v>
      </c>
      <c r="H401">
        <f t="shared" si="32"/>
        <v>49.947155848801486</v>
      </c>
      <c r="I401">
        <f t="shared" si="33"/>
        <v>46.525479036999997</v>
      </c>
      <c r="J401">
        <f t="shared" si="35"/>
        <v>46513.726037</v>
      </c>
      <c r="M401">
        <f t="shared" si="34"/>
        <v>27023</v>
      </c>
    </row>
    <row r="402" spans="1:13" x14ac:dyDescent="0.2">
      <c r="A402">
        <v>26</v>
      </c>
      <c r="B402">
        <v>24</v>
      </c>
      <c r="C402">
        <v>50</v>
      </c>
      <c r="D402" s="51" t="s">
        <v>22</v>
      </c>
      <c r="E402">
        <f>VLOOKUP(M402,'MASS - 2016'!$A$1:$G$3418,6,FALSE)</f>
        <v>-50262.072</v>
      </c>
      <c r="F402">
        <f>VLOOKUP(M402,'MASS - 2016'!$A$1:$G$3418,7,FALSE)</f>
        <v>0.437</v>
      </c>
      <c r="G402">
        <f t="shared" si="36"/>
        <v>-50262.072</v>
      </c>
      <c r="H402">
        <f t="shared" si="32"/>
        <v>49.946041446634617</v>
      </c>
      <c r="I402">
        <f t="shared" si="33"/>
        <v>46.524440977999994</v>
      </c>
      <c r="J402">
        <f t="shared" si="35"/>
        <v>46512.176977999989</v>
      </c>
      <c r="M402">
        <f t="shared" si="34"/>
        <v>26024</v>
      </c>
    </row>
    <row r="403" spans="1:13" x14ac:dyDescent="0.2">
      <c r="A403">
        <v>25</v>
      </c>
      <c r="B403">
        <v>25</v>
      </c>
      <c r="C403">
        <v>50</v>
      </c>
      <c r="D403" s="51" t="s">
        <v>23</v>
      </c>
      <c r="E403">
        <f>VLOOKUP(M403,'MASS - 2016'!$A$1:$G$3418,6,FALSE)</f>
        <v>-42627.595000000001</v>
      </c>
      <c r="F403">
        <f>VLOOKUP(M403,'MASS - 2016'!$A$1:$G$3418,7,FALSE)</f>
        <v>0.442</v>
      </c>
      <c r="G403">
        <f t="shared" si="36"/>
        <v>-42627.595000000001</v>
      </c>
      <c r="H403">
        <f t="shared" si="32"/>
        <v>49.954237394756724</v>
      </c>
      <c r="I403">
        <f t="shared" si="33"/>
        <v>46.532075454999998</v>
      </c>
      <c r="J403">
        <f t="shared" si="35"/>
        <v>46519.300454999997</v>
      </c>
      <c r="M403">
        <f t="shared" si="34"/>
        <v>25025</v>
      </c>
    </row>
    <row r="404" spans="1:13" x14ac:dyDescent="0.2">
      <c r="A404">
        <v>24</v>
      </c>
      <c r="B404">
        <v>26</v>
      </c>
      <c r="C404">
        <v>50</v>
      </c>
      <c r="D404" s="51" t="s">
        <v>24</v>
      </c>
      <c r="E404">
        <f>VLOOKUP(M404,'MASS - 2016'!$A$1:$G$3418,6,FALSE)</f>
        <v>-34476.455999999998</v>
      </c>
      <c r="F404">
        <f>VLOOKUP(M404,'MASS - 2016'!$A$1:$G$3418,7,FALSE)</f>
        <v>8.3829999999999991</v>
      </c>
      <c r="G404">
        <f t="shared" si="36"/>
        <v>-34476.455999999998</v>
      </c>
      <c r="H404">
        <f t="shared" si="32"/>
        <v>49.962988002346478</v>
      </c>
      <c r="I404">
        <f t="shared" si="33"/>
        <v>46.540226593999996</v>
      </c>
      <c r="J404">
        <f t="shared" si="35"/>
        <v>46526.940594</v>
      </c>
      <c r="M404">
        <f t="shared" si="34"/>
        <v>24026</v>
      </c>
    </row>
    <row r="405" spans="1:13" x14ac:dyDescent="0.2">
      <c r="A405">
        <v>23</v>
      </c>
      <c r="B405">
        <v>27</v>
      </c>
      <c r="C405">
        <v>50</v>
      </c>
      <c r="D405" s="51" t="s">
        <v>25</v>
      </c>
      <c r="E405" t="str">
        <f>VLOOKUP(M405,'MASS - 2016'!$A$1:$G$3418,6,FALSE)</f>
        <v>-17630#</v>
      </c>
      <c r="F405" t="str">
        <f>VLOOKUP(M405,'MASS - 2016'!$A$1:$G$3418,7,FALSE)</f>
        <v>400#</v>
      </c>
      <c r="G405">
        <f t="shared" si="36"/>
        <v>-17630.009999999998</v>
      </c>
      <c r="H405">
        <f t="shared" si="32"/>
        <v>49.981073405899039</v>
      </c>
      <c r="I405">
        <f t="shared" si="33"/>
        <v>46.557073039999999</v>
      </c>
      <c r="J405">
        <f t="shared" si="35"/>
        <v>46543.276039999997</v>
      </c>
      <c r="M405">
        <f t="shared" si="34"/>
        <v>23027</v>
      </c>
    </row>
    <row r="406" spans="1:13" x14ac:dyDescent="0.2">
      <c r="A406">
        <v>22</v>
      </c>
      <c r="B406">
        <v>28</v>
      </c>
      <c r="C406">
        <v>50</v>
      </c>
      <c r="D406" s="51" t="s">
        <v>26</v>
      </c>
      <c r="E406" t="str">
        <f>VLOOKUP(M406,'MASS - 2016'!$A$1:$G$3418,6,FALSE)</f>
        <v>-4120#</v>
      </c>
      <c r="F406" t="str">
        <f>VLOOKUP(M406,'MASS - 2016'!$A$1:$G$3418,7,FALSE)</f>
        <v>500#</v>
      </c>
      <c r="G406">
        <f t="shared" si="36"/>
        <v>-4120.01</v>
      </c>
      <c r="H406">
        <f t="shared" si="32"/>
        <v>49.99557698736632</v>
      </c>
      <c r="I406">
        <f t="shared" si="33"/>
        <v>46.570583039999995</v>
      </c>
      <c r="J406">
        <f t="shared" si="35"/>
        <v>46556.27504</v>
      </c>
      <c r="M406">
        <f t="shared" si="34"/>
        <v>22028</v>
      </c>
    </row>
    <row r="407" spans="1:13" x14ac:dyDescent="0.2">
      <c r="A407">
        <v>34</v>
      </c>
      <c r="B407">
        <v>17</v>
      </c>
      <c r="C407">
        <v>51</v>
      </c>
      <c r="D407" s="51" t="s">
        <v>15</v>
      </c>
      <c r="E407" t="str">
        <f>VLOOKUP(M407,'MASS - 2016'!$A$1:$G$3418,6,FALSE)</f>
        <v>14290#</v>
      </c>
      <c r="F407" t="str">
        <f>VLOOKUP(M407,'MASS - 2016'!$A$1:$G$3418,7,FALSE)</f>
        <v>700#</v>
      </c>
      <c r="G407">
        <f t="shared" si="36"/>
        <v>14290.01</v>
      </c>
      <c r="H407">
        <f t="shared" si="32"/>
        <v>51.015340956639768</v>
      </c>
      <c r="I407">
        <f t="shared" si="33"/>
        <v>47.520487121000002</v>
      </c>
      <c r="J407">
        <f t="shared" si="35"/>
        <v>47511.800121000007</v>
      </c>
      <c r="M407">
        <f t="shared" si="34"/>
        <v>34017</v>
      </c>
    </row>
    <row r="408" spans="1:13" x14ac:dyDescent="0.2">
      <c r="A408">
        <v>33</v>
      </c>
      <c r="B408">
        <v>18</v>
      </c>
      <c r="C408">
        <v>51</v>
      </c>
      <c r="D408" s="51" t="s">
        <v>16</v>
      </c>
      <c r="E408" t="str">
        <f>VLOOKUP(M408,'MASS - 2016'!$A$1:$G$3418,6,FALSE)</f>
        <v>-6690#</v>
      </c>
      <c r="F408" t="str">
        <f>VLOOKUP(M408,'MASS - 2016'!$A$1:$G$3418,7,FALSE)</f>
        <v>600#</v>
      </c>
      <c r="G408">
        <f t="shared" si="36"/>
        <v>-6690.01</v>
      </c>
      <c r="H408">
        <f t="shared" si="32"/>
        <v>50.992817978900675</v>
      </c>
      <c r="I408">
        <f t="shared" si="33"/>
        <v>47.499507100999999</v>
      </c>
      <c r="J408">
        <f t="shared" si="35"/>
        <v>47490.309100999999</v>
      </c>
      <c r="M408">
        <f t="shared" si="34"/>
        <v>33018</v>
      </c>
    </row>
    <row r="409" spans="1:13" x14ac:dyDescent="0.2">
      <c r="A409">
        <v>32</v>
      </c>
      <c r="B409">
        <v>19</v>
      </c>
      <c r="C409">
        <v>51</v>
      </c>
      <c r="D409" s="51" t="s">
        <v>17</v>
      </c>
      <c r="E409">
        <f>VLOOKUP(M409,'MASS - 2016'!$A$1:$G$3418,6,FALSE)</f>
        <v>-22516.196</v>
      </c>
      <c r="F409">
        <f>VLOOKUP(M409,'MASS - 2016'!$A$1:$G$3418,7,FALSE)</f>
        <v>13.047000000000001</v>
      </c>
      <c r="G409">
        <f t="shared" si="36"/>
        <v>-22516.196</v>
      </c>
      <c r="H409">
        <f t="shared" si="32"/>
        <v>50.975827869502652</v>
      </c>
      <c r="I409">
        <f t="shared" si="33"/>
        <v>47.483680915000001</v>
      </c>
      <c r="J409">
        <f t="shared" si="35"/>
        <v>47473.971914999995</v>
      </c>
      <c r="M409">
        <f t="shared" si="34"/>
        <v>32019</v>
      </c>
    </row>
    <row r="410" spans="1:13" x14ac:dyDescent="0.2">
      <c r="A410">
        <v>31</v>
      </c>
      <c r="B410">
        <v>20</v>
      </c>
      <c r="C410">
        <v>51</v>
      </c>
      <c r="D410" s="51" t="s">
        <v>18</v>
      </c>
      <c r="E410">
        <f>VLOOKUP(M410,'MASS - 2016'!$A$1:$G$3418,6,FALSE)</f>
        <v>-36332.303999999996</v>
      </c>
      <c r="F410">
        <f>VLOOKUP(M410,'MASS - 2016'!$A$1:$G$3418,7,FALSE)</f>
        <v>0.52200000000000002</v>
      </c>
      <c r="G410">
        <f t="shared" si="36"/>
        <v>-36332.303999999996</v>
      </c>
      <c r="H410">
        <f t="shared" si="32"/>
        <v>50.960995667582687</v>
      </c>
      <c r="I410">
        <f t="shared" si="33"/>
        <v>47.469864807</v>
      </c>
      <c r="J410">
        <f t="shared" si="35"/>
        <v>47459.644806999997</v>
      </c>
      <c r="M410">
        <f t="shared" si="34"/>
        <v>31020</v>
      </c>
    </row>
    <row r="411" spans="1:13" x14ac:dyDescent="0.2">
      <c r="A411">
        <v>30</v>
      </c>
      <c r="B411">
        <v>21</v>
      </c>
      <c r="C411">
        <v>51</v>
      </c>
      <c r="D411" s="51" t="s">
        <v>19</v>
      </c>
      <c r="E411">
        <f>VLOOKUP(M411,'MASS - 2016'!$A$1:$G$3418,6,FALSE)</f>
        <v>-43228.684000000001</v>
      </c>
      <c r="F411">
        <f>VLOOKUP(M411,'MASS - 2016'!$A$1:$G$3418,7,FALSE)</f>
        <v>20</v>
      </c>
      <c r="G411">
        <f t="shared" si="36"/>
        <v>-43228.684000000001</v>
      </c>
      <c r="H411">
        <f t="shared" si="32"/>
        <v>50.953592099177108</v>
      </c>
      <c r="I411">
        <f t="shared" si="33"/>
        <v>47.462968427</v>
      </c>
      <c r="J411">
        <f t="shared" si="35"/>
        <v>47452.237427</v>
      </c>
      <c r="M411">
        <f t="shared" si="34"/>
        <v>30021</v>
      </c>
    </row>
    <row r="412" spans="1:13" x14ac:dyDescent="0.2">
      <c r="A412">
        <v>29</v>
      </c>
      <c r="B412">
        <v>22</v>
      </c>
      <c r="C412">
        <v>51</v>
      </c>
      <c r="D412" s="51" t="s">
        <v>20</v>
      </c>
      <c r="E412">
        <f>VLOOKUP(M412,'MASS - 2016'!$A$1:$G$3418,6,FALSE)</f>
        <v>-49732.837</v>
      </c>
      <c r="F412">
        <f>VLOOKUP(M412,'MASS - 2016'!$A$1:$G$3418,7,FALSE)</f>
        <v>0.505</v>
      </c>
      <c r="G412">
        <f t="shared" si="36"/>
        <v>-49732.837</v>
      </c>
      <c r="H412">
        <f t="shared" si="32"/>
        <v>50.946609603772878</v>
      </c>
      <c r="I412">
        <f t="shared" si="33"/>
        <v>47.456464273999998</v>
      </c>
      <c r="J412">
        <f t="shared" si="35"/>
        <v>47445.222274</v>
      </c>
      <c r="M412">
        <f t="shared" si="34"/>
        <v>29022</v>
      </c>
    </row>
    <row r="413" spans="1:13" x14ac:dyDescent="0.2">
      <c r="A413">
        <v>28</v>
      </c>
      <c r="B413">
        <v>23</v>
      </c>
      <c r="C413">
        <v>51</v>
      </c>
      <c r="D413" s="51" t="s">
        <v>21</v>
      </c>
      <c r="E413">
        <f>VLOOKUP(M413,'MASS - 2016'!$A$1:$G$3418,6,FALSE)</f>
        <v>-52203.841999999997</v>
      </c>
      <c r="F413">
        <f>VLOOKUP(M413,'MASS - 2016'!$A$1:$G$3418,7,FALSE)</f>
        <v>0.40100000000000002</v>
      </c>
      <c r="G413">
        <f t="shared" si="36"/>
        <v>-52203.841999999997</v>
      </c>
      <c r="H413">
        <f t="shared" si="32"/>
        <v>50.943956870810368</v>
      </c>
      <c r="I413">
        <f t="shared" si="33"/>
        <v>47.453993269000001</v>
      </c>
      <c r="J413">
        <f t="shared" si="35"/>
        <v>47442.240269000002</v>
      </c>
      <c r="M413">
        <f t="shared" si="34"/>
        <v>28023</v>
      </c>
    </row>
    <row r="414" spans="1:13" x14ac:dyDescent="0.2">
      <c r="A414">
        <v>27</v>
      </c>
      <c r="B414">
        <v>24</v>
      </c>
      <c r="C414">
        <v>51</v>
      </c>
      <c r="D414" s="51" t="s">
        <v>22</v>
      </c>
      <c r="E414">
        <f>VLOOKUP(M414,'MASS - 2016'!$A$1:$G$3418,6,FALSE)</f>
        <v>-51451.394999999997</v>
      </c>
      <c r="F414">
        <f>VLOOKUP(M414,'MASS - 2016'!$A$1:$G$3418,7,FALSE)</f>
        <v>0.4</v>
      </c>
      <c r="G414">
        <f t="shared" si="36"/>
        <v>-51451.394999999997</v>
      </c>
      <c r="H414">
        <f t="shared" si="32"/>
        <v>50.944764655885443</v>
      </c>
      <c r="I414">
        <f t="shared" si="33"/>
        <v>47.454745715999998</v>
      </c>
      <c r="J414">
        <f t="shared" si="35"/>
        <v>47442.481715999995</v>
      </c>
      <c r="M414">
        <f t="shared" si="34"/>
        <v>27024</v>
      </c>
    </row>
    <row r="415" spans="1:13" x14ac:dyDescent="0.2">
      <c r="A415">
        <v>26</v>
      </c>
      <c r="B415">
        <v>25</v>
      </c>
      <c r="C415">
        <v>51</v>
      </c>
      <c r="D415" s="51" t="s">
        <v>23</v>
      </c>
      <c r="E415">
        <f>VLOOKUP(M415,'MASS - 2016'!$A$1:$G$3418,6,FALSE)</f>
        <v>-48243.877</v>
      </c>
      <c r="F415">
        <f>VLOOKUP(M415,'MASS - 2016'!$A$1:$G$3418,7,FALSE)</f>
        <v>0.502</v>
      </c>
      <c r="G415">
        <f t="shared" si="36"/>
        <v>-48243.877</v>
      </c>
      <c r="H415">
        <f t="shared" si="32"/>
        <v>50.948208068070549</v>
      </c>
      <c r="I415">
        <f t="shared" si="33"/>
        <v>47.457953234000001</v>
      </c>
      <c r="J415">
        <f t="shared" si="35"/>
        <v>47445.178233999999</v>
      </c>
      <c r="M415">
        <f t="shared" si="34"/>
        <v>26025</v>
      </c>
    </row>
    <row r="416" spans="1:13" x14ac:dyDescent="0.2">
      <c r="A416">
        <v>25</v>
      </c>
      <c r="B416">
        <v>26</v>
      </c>
      <c r="C416">
        <v>51</v>
      </c>
      <c r="D416" s="51" t="s">
        <v>24</v>
      </c>
      <c r="E416">
        <f>VLOOKUP(M416,'MASS - 2016'!$A$1:$G$3418,6,FALSE)</f>
        <v>-40202.555</v>
      </c>
      <c r="F416">
        <f>VLOOKUP(M416,'MASS - 2016'!$A$1:$G$3418,7,FALSE)</f>
        <v>8.9640000000000004</v>
      </c>
      <c r="G416">
        <f t="shared" si="36"/>
        <v>-40202.555</v>
      </c>
      <c r="H416">
        <f t="shared" si="32"/>
        <v>50.956840782262375</v>
      </c>
      <c r="I416">
        <f t="shared" si="33"/>
        <v>47.465994555999998</v>
      </c>
      <c r="J416">
        <f t="shared" si="35"/>
        <v>47452.708555999998</v>
      </c>
      <c r="M416">
        <f t="shared" si="34"/>
        <v>25026</v>
      </c>
    </row>
    <row r="417" spans="1:13" x14ac:dyDescent="0.2">
      <c r="A417">
        <v>24</v>
      </c>
      <c r="B417">
        <v>27</v>
      </c>
      <c r="C417">
        <v>51</v>
      </c>
      <c r="D417" s="51" t="s">
        <v>25</v>
      </c>
      <c r="E417">
        <f>VLOOKUP(M417,'MASS - 2016'!$A$1:$G$3418,6,FALSE)</f>
        <v>-27342.143</v>
      </c>
      <c r="F417">
        <f>VLOOKUP(M417,'MASS - 2016'!$A$1:$G$3418,7,FALSE)</f>
        <v>48.438000000000002</v>
      </c>
      <c r="G417">
        <f t="shared" si="36"/>
        <v>-27342.143</v>
      </c>
      <c r="H417">
        <f t="shared" si="32"/>
        <v>50.970647002332313</v>
      </c>
      <c r="I417">
        <f t="shared" si="33"/>
        <v>47.478854968</v>
      </c>
      <c r="J417">
        <f t="shared" si="35"/>
        <v>47465.057968000001</v>
      </c>
      <c r="M417">
        <f t="shared" si="34"/>
        <v>24027</v>
      </c>
    </row>
    <row r="418" spans="1:13" x14ac:dyDescent="0.2">
      <c r="A418">
        <v>23</v>
      </c>
      <c r="B418">
        <v>28</v>
      </c>
      <c r="C418">
        <v>51</v>
      </c>
      <c r="D418" s="51" t="s">
        <v>26</v>
      </c>
      <c r="E418" t="str">
        <f>VLOOKUP(M418,'MASS - 2016'!$A$1:$G$3418,6,FALSE)</f>
        <v>-11900#</v>
      </c>
      <c r="F418" t="str">
        <f>VLOOKUP(M418,'MASS - 2016'!$A$1:$G$3418,7,FALSE)</f>
        <v>500#</v>
      </c>
      <c r="G418">
        <f t="shared" si="36"/>
        <v>-11900.01</v>
      </c>
      <c r="H418">
        <f t="shared" si="32"/>
        <v>50.987224813878875</v>
      </c>
      <c r="I418">
        <f t="shared" si="33"/>
        <v>47.494297101000001</v>
      </c>
      <c r="J418">
        <f t="shared" si="35"/>
        <v>47479.989101000006</v>
      </c>
      <c r="M418">
        <f t="shared" si="34"/>
        <v>23028</v>
      </c>
    </row>
    <row r="419" spans="1:13" x14ac:dyDescent="0.2">
      <c r="A419">
        <v>34</v>
      </c>
      <c r="B419">
        <v>18</v>
      </c>
      <c r="C419">
        <v>52</v>
      </c>
      <c r="D419" s="51" t="s">
        <v>16</v>
      </c>
      <c r="E419" t="str">
        <f>VLOOKUP(M419,'MASS - 2016'!$A$1:$G$3418,6,FALSE)</f>
        <v>-1280#</v>
      </c>
      <c r="F419" t="str">
        <f>VLOOKUP(M419,'MASS - 2016'!$A$1:$G$3418,7,FALSE)</f>
        <v>600#</v>
      </c>
      <c r="G419">
        <f t="shared" si="36"/>
        <v>-1280.01</v>
      </c>
      <c r="H419">
        <f t="shared" si="32"/>
        <v>51.998625852752483</v>
      </c>
      <c r="I419">
        <f t="shared" si="33"/>
        <v>48.436411161999999</v>
      </c>
      <c r="J419">
        <f t="shared" si="35"/>
        <v>48427.213162</v>
      </c>
      <c r="M419">
        <f t="shared" si="34"/>
        <v>34018</v>
      </c>
    </row>
    <row r="420" spans="1:13" x14ac:dyDescent="0.2">
      <c r="A420">
        <v>33</v>
      </c>
      <c r="B420">
        <v>19</v>
      </c>
      <c r="C420">
        <v>52</v>
      </c>
      <c r="D420" s="51" t="s">
        <v>17</v>
      </c>
      <c r="E420">
        <f>VLOOKUP(M420,'MASS - 2016'!$A$1:$G$3418,6,FALSE)</f>
        <v>-17137.627</v>
      </c>
      <c r="F420">
        <f>VLOOKUP(M420,'MASS - 2016'!$A$1:$G$3418,7,FALSE)</f>
        <v>33.533999999999999</v>
      </c>
      <c r="G420">
        <f t="shared" si="36"/>
        <v>-17137.627</v>
      </c>
      <c r="H420">
        <f t="shared" si="32"/>
        <v>51.981602000788286</v>
      </c>
      <c r="I420">
        <f t="shared" si="33"/>
        <v>48.420553545000004</v>
      </c>
      <c r="J420">
        <f t="shared" si="35"/>
        <v>48410.844545</v>
      </c>
      <c r="M420">
        <f t="shared" si="34"/>
        <v>33019</v>
      </c>
    </row>
    <row r="421" spans="1:13" x14ac:dyDescent="0.2">
      <c r="A421">
        <v>32</v>
      </c>
      <c r="B421">
        <v>20</v>
      </c>
      <c r="C421">
        <v>52</v>
      </c>
      <c r="D421" s="51" t="s">
        <v>18</v>
      </c>
      <c r="E421">
        <f>VLOOKUP(M421,'MASS - 2016'!$A$1:$G$3418,6,FALSE)</f>
        <v>-34266.266000000003</v>
      </c>
      <c r="F421">
        <f>VLOOKUP(M421,'MASS - 2016'!$A$1:$G$3418,7,FALSE)</f>
        <v>0.67100000000000004</v>
      </c>
      <c r="G421">
        <f t="shared" si="36"/>
        <v>-34266.266000000003</v>
      </c>
      <c r="H421">
        <f t="shared" si="32"/>
        <v>51.963213650591378</v>
      </c>
      <c r="I421">
        <f t="shared" si="33"/>
        <v>48.403424905999998</v>
      </c>
      <c r="J421">
        <f t="shared" si="35"/>
        <v>48393.204905999999</v>
      </c>
      <c r="M421">
        <f t="shared" si="34"/>
        <v>32020</v>
      </c>
    </row>
    <row r="422" spans="1:13" x14ac:dyDescent="0.2">
      <c r="A422">
        <v>31</v>
      </c>
      <c r="B422">
        <v>21</v>
      </c>
      <c r="C422">
        <v>52</v>
      </c>
      <c r="D422" s="51" t="s">
        <v>19</v>
      </c>
      <c r="E422">
        <f>VLOOKUP(M422,'MASS - 2016'!$A$1:$G$3418,6,FALSE)</f>
        <v>-40443.279000000002</v>
      </c>
      <c r="F422">
        <f>VLOOKUP(M422,'MASS - 2016'!$A$1:$G$3418,7,FALSE)</f>
        <v>81.852000000000004</v>
      </c>
      <c r="G422">
        <f t="shared" si="36"/>
        <v>-40443.279000000002</v>
      </c>
      <c r="H422">
        <f t="shared" si="32"/>
        <v>51.956582354420398</v>
      </c>
      <c r="I422">
        <f t="shared" si="33"/>
        <v>48.397247892999999</v>
      </c>
      <c r="J422">
        <f t="shared" si="35"/>
        <v>48386.516893</v>
      </c>
      <c r="M422">
        <f t="shared" si="34"/>
        <v>31021</v>
      </c>
    </row>
    <row r="423" spans="1:13" x14ac:dyDescent="0.2">
      <c r="A423">
        <v>30</v>
      </c>
      <c r="B423">
        <v>22</v>
      </c>
      <c r="C423">
        <v>52</v>
      </c>
      <c r="D423" s="51" t="s">
        <v>20</v>
      </c>
      <c r="E423">
        <f>VLOOKUP(M423,'MASS - 2016'!$A$1:$G$3418,6,FALSE)</f>
        <v>-49469.82</v>
      </c>
      <c r="F423">
        <f>VLOOKUP(M423,'MASS - 2016'!$A$1:$G$3418,7,FALSE)</f>
        <v>7.0720000000000001</v>
      </c>
      <c r="G423">
        <f t="shared" si="36"/>
        <v>-49469.82</v>
      </c>
      <c r="H423">
        <f t="shared" si="32"/>
        <v>51.946891964134601</v>
      </c>
      <c r="I423">
        <f t="shared" si="33"/>
        <v>48.388221352000002</v>
      </c>
      <c r="J423">
        <f t="shared" si="35"/>
        <v>48376.979352000002</v>
      </c>
      <c r="M423">
        <f t="shared" si="34"/>
        <v>30022</v>
      </c>
    </row>
    <row r="424" spans="1:13" x14ac:dyDescent="0.2">
      <c r="A424">
        <v>29</v>
      </c>
      <c r="B424">
        <v>23</v>
      </c>
      <c r="C424">
        <v>52</v>
      </c>
      <c r="D424" s="51" t="s">
        <v>21</v>
      </c>
      <c r="E424">
        <f>VLOOKUP(M424,'MASS - 2016'!$A$1:$G$3418,6,FALSE)</f>
        <v>-51443.769</v>
      </c>
      <c r="F424">
        <f>VLOOKUP(M424,'MASS - 2016'!$A$1:$G$3418,7,FALSE)</f>
        <v>0.42</v>
      </c>
      <c r="G424">
        <f t="shared" si="36"/>
        <v>-51443.769</v>
      </c>
      <c r="H424">
        <f t="shared" si="32"/>
        <v>51.94477284273313</v>
      </c>
      <c r="I424">
        <f t="shared" si="33"/>
        <v>48.386247402999999</v>
      </c>
      <c r="J424">
        <f t="shared" si="35"/>
        <v>48374.494403000004</v>
      </c>
      <c r="M424">
        <f t="shared" si="34"/>
        <v>29023</v>
      </c>
    </row>
    <row r="425" spans="1:13" x14ac:dyDescent="0.2">
      <c r="A425">
        <v>28</v>
      </c>
      <c r="B425">
        <v>24</v>
      </c>
      <c r="C425">
        <v>52</v>
      </c>
      <c r="D425" s="51" t="s">
        <v>22</v>
      </c>
      <c r="E425">
        <f>VLOOKUP(M425,'MASS - 2016'!$A$1:$G$3418,6,FALSE)</f>
        <v>-55419.241999999998</v>
      </c>
      <c r="F425">
        <f>VLOOKUP(M425,'MASS - 2016'!$A$1:$G$3418,7,FALSE)</f>
        <v>0.34</v>
      </c>
      <c r="G425">
        <f t="shared" si="36"/>
        <v>-55419.241999999998</v>
      </c>
      <c r="H425">
        <f t="shared" si="32"/>
        <v>51.940504996950274</v>
      </c>
      <c r="I425">
        <f t="shared" si="33"/>
        <v>48.382271930000002</v>
      </c>
      <c r="J425">
        <f t="shared" si="35"/>
        <v>48370.00793</v>
      </c>
      <c r="M425">
        <f t="shared" si="34"/>
        <v>28024</v>
      </c>
    </row>
    <row r="426" spans="1:13" x14ac:dyDescent="0.2">
      <c r="A426">
        <v>27</v>
      </c>
      <c r="B426">
        <v>25</v>
      </c>
      <c r="C426">
        <v>52</v>
      </c>
      <c r="D426" s="51" t="s">
        <v>23</v>
      </c>
      <c r="E426">
        <f>VLOOKUP(M426,'MASS - 2016'!$A$1:$G$3418,6,FALSE)</f>
        <v>-50707.284</v>
      </c>
      <c r="F426">
        <f>VLOOKUP(M426,'MASS - 2016'!$A$1:$G$3418,7,FALSE)</f>
        <v>1.845</v>
      </c>
      <c r="G426">
        <f t="shared" si="36"/>
        <v>-50707.284</v>
      </c>
      <c r="H426">
        <f t="shared" si="32"/>
        <v>51.945563491896493</v>
      </c>
      <c r="I426">
        <f t="shared" si="33"/>
        <v>48.386983888000003</v>
      </c>
      <c r="J426">
        <f t="shared" si="35"/>
        <v>48374.208888000001</v>
      </c>
      <c r="M426">
        <f t="shared" si="34"/>
        <v>27025</v>
      </c>
    </row>
    <row r="427" spans="1:13" x14ac:dyDescent="0.2">
      <c r="A427">
        <v>26</v>
      </c>
      <c r="B427">
        <v>26</v>
      </c>
      <c r="C427">
        <v>52</v>
      </c>
      <c r="D427" s="51" t="s">
        <v>24</v>
      </c>
      <c r="E427">
        <f>VLOOKUP(M427,'MASS - 2016'!$A$1:$G$3418,6,FALSE)</f>
        <v>-48330.362999999998</v>
      </c>
      <c r="F427">
        <f>VLOOKUP(M427,'MASS - 2016'!$A$1:$G$3418,7,FALSE)</f>
        <v>5.117</v>
      </c>
      <c r="G427">
        <f t="shared" si="36"/>
        <v>-48330.362999999998</v>
      </c>
      <c r="H427">
        <f t="shared" si="32"/>
        <v>51.948115221531189</v>
      </c>
      <c r="I427">
        <f t="shared" si="33"/>
        <v>48.389360809000003</v>
      </c>
      <c r="J427">
        <f t="shared" si="35"/>
        <v>48376.074809000005</v>
      </c>
      <c r="M427">
        <f t="shared" si="34"/>
        <v>26026</v>
      </c>
    </row>
    <row r="428" spans="1:13" x14ac:dyDescent="0.2">
      <c r="A428">
        <v>25</v>
      </c>
      <c r="B428">
        <v>27</v>
      </c>
      <c r="C428">
        <v>52</v>
      </c>
      <c r="D428" s="51" t="s">
        <v>25</v>
      </c>
      <c r="E428">
        <f>VLOOKUP(M428,'MASS - 2016'!$A$1:$G$3418,6,FALSE)</f>
        <v>-34360.951000000001</v>
      </c>
      <c r="F428">
        <f>VLOOKUP(M428,'MASS - 2016'!$A$1:$G$3418,7,FALSE)</f>
        <v>8.3829999999999991</v>
      </c>
      <c r="G428">
        <f t="shared" si="36"/>
        <v>-34360.951000000001</v>
      </c>
      <c r="H428">
        <f t="shared" si="32"/>
        <v>51.963112002063539</v>
      </c>
      <c r="I428">
        <f t="shared" si="33"/>
        <v>48.403330221000004</v>
      </c>
      <c r="J428">
        <f t="shared" si="35"/>
        <v>48389.533221000005</v>
      </c>
      <c r="M428">
        <f t="shared" si="34"/>
        <v>25027</v>
      </c>
    </row>
    <row r="429" spans="1:13" x14ac:dyDescent="0.2">
      <c r="A429">
        <v>24</v>
      </c>
      <c r="B429">
        <v>28</v>
      </c>
      <c r="C429">
        <v>52</v>
      </c>
      <c r="D429" s="51" t="s">
        <v>26</v>
      </c>
      <c r="E429" t="str">
        <f>VLOOKUP(M429,'MASS - 2016'!$A$1:$G$3418,6,FALSE)</f>
        <v>-22330#</v>
      </c>
      <c r="F429" t="str">
        <f>VLOOKUP(M429,'MASS - 2016'!$A$1:$G$3418,7,FALSE)</f>
        <v>400#</v>
      </c>
      <c r="G429">
        <f t="shared" si="36"/>
        <v>-22330.01</v>
      </c>
      <c r="H429">
        <f t="shared" si="32"/>
        <v>51.976027748393776</v>
      </c>
      <c r="I429">
        <f t="shared" si="33"/>
        <v>48.415361162000004</v>
      </c>
      <c r="J429">
        <f t="shared" si="35"/>
        <v>48401.053162000004</v>
      </c>
      <c r="M429">
        <f t="shared" si="34"/>
        <v>24028</v>
      </c>
    </row>
    <row r="430" spans="1:13" x14ac:dyDescent="0.2">
      <c r="A430">
        <v>23</v>
      </c>
      <c r="B430">
        <v>29</v>
      </c>
      <c r="C430">
        <v>52</v>
      </c>
      <c r="D430" s="51" t="s">
        <v>27</v>
      </c>
      <c r="E430" t="str">
        <f>VLOOKUP(M430,'MASS - 2016'!$A$1:$G$3418,6,FALSE)</f>
        <v>-2280#</v>
      </c>
      <c r="F430" t="str">
        <f>VLOOKUP(M430,'MASS - 2016'!$A$1:$G$3418,7,FALSE)</f>
        <v>600#</v>
      </c>
      <c r="G430">
        <f t="shared" si="36"/>
        <v>-2280.0100000000002</v>
      </c>
      <c r="H430">
        <f t="shared" si="32"/>
        <v>51.99755230860243</v>
      </c>
      <c r="I430">
        <f t="shared" si="33"/>
        <v>48.435411162000001</v>
      </c>
      <c r="J430">
        <f t="shared" si="35"/>
        <v>48420.592162000001</v>
      </c>
      <c r="M430">
        <f t="shared" si="34"/>
        <v>23029</v>
      </c>
    </row>
    <row r="431" spans="1:13" x14ac:dyDescent="0.2">
      <c r="A431">
        <v>35</v>
      </c>
      <c r="B431">
        <v>18</v>
      </c>
      <c r="C431">
        <v>53</v>
      </c>
      <c r="D431" s="51" t="s">
        <v>16</v>
      </c>
      <c r="E431" t="str">
        <f>VLOOKUP(M431,'MASS - 2016'!$A$1:$G$3418,6,FALSE)</f>
        <v>6791#</v>
      </c>
      <c r="F431" t="str">
        <f>VLOOKUP(M431,'MASS - 2016'!$A$1:$G$3418,7,FALSE)</f>
        <v>699#</v>
      </c>
      <c r="G431">
        <f t="shared" si="36"/>
        <v>6791.01</v>
      </c>
      <c r="H431">
        <f t="shared" si="32"/>
        <v>53.00729044905848</v>
      </c>
      <c r="I431">
        <f t="shared" si="33"/>
        <v>49.375976242999997</v>
      </c>
      <c r="J431">
        <f t="shared" si="35"/>
        <v>49366.778243000001</v>
      </c>
      <c r="M431">
        <f t="shared" si="34"/>
        <v>35018</v>
      </c>
    </row>
    <row r="432" spans="1:13" x14ac:dyDescent="0.2">
      <c r="A432">
        <v>34</v>
      </c>
      <c r="B432">
        <v>19</v>
      </c>
      <c r="C432">
        <v>53</v>
      </c>
      <c r="D432" s="51" t="s">
        <v>17</v>
      </c>
      <c r="E432">
        <f>VLOOKUP(M432,'MASS - 2016'!$A$1:$G$3418,6,FALSE)</f>
        <v>-12295.721</v>
      </c>
      <c r="F432">
        <f>VLOOKUP(M432,'MASS - 2016'!$A$1:$G$3418,7,FALSE)</f>
        <v>111.779</v>
      </c>
      <c r="G432">
        <f t="shared" si="36"/>
        <v>-12295.721</v>
      </c>
      <c r="H432">
        <f t="shared" si="32"/>
        <v>52.986800000649701</v>
      </c>
      <c r="I432">
        <f t="shared" si="33"/>
        <v>49.356889511999995</v>
      </c>
      <c r="J432">
        <f t="shared" si="35"/>
        <v>49347.180511999992</v>
      </c>
      <c r="M432">
        <f t="shared" si="34"/>
        <v>34019</v>
      </c>
    </row>
    <row r="433" spans="1:13" x14ac:dyDescent="0.2">
      <c r="A433">
        <v>33</v>
      </c>
      <c r="B433">
        <v>20</v>
      </c>
      <c r="C433">
        <v>53</v>
      </c>
      <c r="D433" s="51" t="s">
        <v>18</v>
      </c>
      <c r="E433">
        <f>VLOOKUP(M433,'MASS - 2016'!$A$1:$G$3418,6,FALSE)</f>
        <v>-29387.704000000002</v>
      </c>
      <c r="F433">
        <f>VLOOKUP(M433,'MASS - 2016'!$A$1:$G$3418,7,FALSE)</f>
        <v>43.78</v>
      </c>
      <c r="G433">
        <f t="shared" si="36"/>
        <v>-29387.704000000002</v>
      </c>
      <c r="H433">
        <f t="shared" si="32"/>
        <v>52.968451002287168</v>
      </c>
      <c r="I433">
        <f t="shared" si="33"/>
        <v>49.339797528999995</v>
      </c>
      <c r="J433">
        <f t="shared" si="35"/>
        <v>49329.577528999995</v>
      </c>
      <c r="M433">
        <f t="shared" si="34"/>
        <v>33020</v>
      </c>
    </row>
    <row r="434" spans="1:13" x14ac:dyDescent="0.2">
      <c r="A434">
        <v>32</v>
      </c>
      <c r="B434">
        <v>21</v>
      </c>
      <c r="C434">
        <v>53</v>
      </c>
      <c r="D434" s="51" t="s">
        <v>19</v>
      </c>
      <c r="E434">
        <f>VLOOKUP(M434,'MASS - 2016'!$A$1:$G$3418,6,FALSE)</f>
        <v>-38906.807999999997</v>
      </c>
      <c r="F434">
        <f>VLOOKUP(M434,'MASS - 2016'!$A$1:$G$3418,7,FALSE)</f>
        <v>94.087000000000003</v>
      </c>
      <c r="G434">
        <f t="shared" si="36"/>
        <v>-38906.807999999997</v>
      </c>
      <c r="H434">
        <f t="shared" si="32"/>
        <v>52.958231823874179</v>
      </c>
      <c r="I434">
        <f t="shared" si="33"/>
        <v>49.330278424999996</v>
      </c>
      <c r="J434">
        <f t="shared" si="35"/>
        <v>49319.547424999997</v>
      </c>
      <c r="M434">
        <f t="shared" si="34"/>
        <v>32021</v>
      </c>
    </row>
    <row r="435" spans="1:13" x14ac:dyDescent="0.2">
      <c r="A435">
        <v>31</v>
      </c>
      <c r="B435">
        <v>22</v>
      </c>
      <c r="C435">
        <v>53</v>
      </c>
      <c r="D435" s="51" t="s">
        <v>20</v>
      </c>
      <c r="E435">
        <f>VLOOKUP(M435,'MASS - 2016'!$A$1:$G$3418,6,FALSE)</f>
        <v>-46831.061000000002</v>
      </c>
      <c r="F435">
        <f>VLOOKUP(M435,'MASS - 2016'!$A$1:$G$3418,7,FALSE)</f>
        <v>100.04900000000001</v>
      </c>
      <c r="G435">
        <f t="shared" si="36"/>
        <v>-46831.061000000002</v>
      </c>
      <c r="H435">
        <f t="shared" si="32"/>
        <v>52.949724788422458</v>
      </c>
      <c r="I435">
        <f t="shared" si="33"/>
        <v>49.322354171999997</v>
      </c>
      <c r="J435">
        <f t="shared" si="35"/>
        <v>49311.112172000001</v>
      </c>
      <c r="M435">
        <f t="shared" si="34"/>
        <v>31022</v>
      </c>
    </row>
    <row r="436" spans="1:13" x14ac:dyDescent="0.2">
      <c r="A436">
        <v>30</v>
      </c>
      <c r="B436">
        <v>23</v>
      </c>
      <c r="C436">
        <v>53</v>
      </c>
      <c r="D436" s="51" t="s">
        <v>21</v>
      </c>
      <c r="E436">
        <f>VLOOKUP(M436,'MASS - 2016'!$A$1:$G$3418,6,FALSE)</f>
        <v>-51851.061000000002</v>
      </c>
      <c r="F436">
        <f>VLOOKUP(M436,'MASS - 2016'!$A$1:$G$3418,7,FALSE)</f>
        <v>3.12</v>
      </c>
      <c r="G436">
        <f t="shared" si="36"/>
        <v>-51851.061000000002</v>
      </c>
      <c r="H436">
        <f t="shared" si="32"/>
        <v>52.944335596789166</v>
      </c>
      <c r="I436">
        <f t="shared" si="33"/>
        <v>49.317334171999995</v>
      </c>
      <c r="J436">
        <f t="shared" si="35"/>
        <v>49305.581171999998</v>
      </c>
      <c r="M436">
        <f t="shared" si="34"/>
        <v>30023</v>
      </c>
    </row>
    <row r="437" spans="1:13" x14ac:dyDescent="0.2">
      <c r="A437">
        <v>29</v>
      </c>
      <c r="B437">
        <v>24</v>
      </c>
      <c r="C437">
        <v>53</v>
      </c>
      <c r="D437" s="51" t="s">
        <v>22</v>
      </c>
      <c r="E437">
        <f>VLOOKUP(M437,'MASS - 2016'!$A$1:$G$3418,6,FALSE)</f>
        <v>-55286.999000000003</v>
      </c>
      <c r="F437">
        <f>VLOOKUP(M437,'MASS - 2016'!$A$1:$G$3418,7,FALSE)</f>
        <v>0.34799999999999998</v>
      </c>
      <c r="G437">
        <f t="shared" si="36"/>
        <v>-55286.999000000003</v>
      </c>
      <c r="H437">
        <f t="shared" si="32"/>
        <v>52.9406469656493</v>
      </c>
      <c r="I437">
        <f t="shared" si="33"/>
        <v>49.313898233999993</v>
      </c>
      <c r="J437">
        <f t="shared" si="35"/>
        <v>49301.63423399999</v>
      </c>
      <c r="M437">
        <f t="shared" si="34"/>
        <v>29024</v>
      </c>
    </row>
    <row r="438" spans="1:13" x14ac:dyDescent="0.2">
      <c r="A438">
        <v>28</v>
      </c>
      <c r="B438">
        <v>25</v>
      </c>
      <c r="C438">
        <v>53</v>
      </c>
      <c r="D438" s="51" t="s">
        <v>23</v>
      </c>
      <c r="E438">
        <f>VLOOKUP(M438,'MASS - 2016'!$A$1:$G$3418,6,FALSE)</f>
        <v>-54690.116000000002</v>
      </c>
      <c r="F438">
        <f>VLOOKUP(M438,'MASS - 2016'!$A$1:$G$3418,7,FALSE)</f>
        <v>0.45</v>
      </c>
      <c r="G438">
        <f t="shared" si="36"/>
        <v>-54690.116000000002</v>
      </c>
      <c r="H438">
        <f t="shared" si="32"/>
        <v>52.941287745902216</v>
      </c>
      <c r="I438">
        <f t="shared" si="33"/>
        <v>49.314495116999993</v>
      </c>
      <c r="J438">
        <f t="shared" si="35"/>
        <v>49301.72011699999</v>
      </c>
      <c r="M438">
        <f t="shared" si="34"/>
        <v>28025</v>
      </c>
    </row>
    <row r="439" spans="1:13" x14ac:dyDescent="0.2">
      <c r="A439">
        <v>27</v>
      </c>
      <c r="B439">
        <v>26</v>
      </c>
      <c r="C439">
        <v>53</v>
      </c>
      <c r="D439" s="51" t="s">
        <v>24</v>
      </c>
      <c r="E439">
        <f>VLOOKUP(M439,'MASS - 2016'!$A$1:$G$3418,6,FALSE)</f>
        <v>-50947.53</v>
      </c>
      <c r="F439">
        <f>VLOOKUP(M439,'MASS - 2016'!$A$1:$G$3418,7,FALSE)</f>
        <v>1.6559999999999999</v>
      </c>
      <c r="G439">
        <f t="shared" si="36"/>
        <v>-50947.53</v>
      </c>
      <c r="H439">
        <f t="shared" si="32"/>
        <v>52.945305577208607</v>
      </c>
      <c r="I439">
        <f t="shared" si="33"/>
        <v>49.318237702999994</v>
      </c>
      <c r="J439">
        <f t="shared" si="35"/>
        <v>49304.951702999992</v>
      </c>
      <c r="M439">
        <f t="shared" si="34"/>
        <v>27026</v>
      </c>
    </row>
    <row r="440" spans="1:13" x14ac:dyDescent="0.2">
      <c r="A440">
        <v>26</v>
      </c>
      <c r="B440">
        <v>27</v>
      </c>
      <c r="C440">
        <v>53</v>
      </c>
      <c r="D440" s="51" t="s">
        <v>25</v>
      </c>
      <c r="E440">
        <f>VLOOKUP(M440,'MASS - 2016'!$A$1:$G$3418,6,FALSE)</f>
        <v>-42659.428</v>
      </c>
      <c r="F440">
        <f>VLOOKUP(M440,'MASS - 2016'!$A$1:$G$3418,7,FALSE)</f>
        <v>1.7130000000000001</v>
      </c>
      <c r="G440">
        <f t="shared" si="36"/>
        <v>-42659.428</v>
      </c>
      <c r="H440">
        <f t="shared" si="32"/>
        <v>52.954203220625793</v>
      </c>
      <c r="I440">
        <f t="shared" si="33"/>
        <v>49.326525804999996</v>
      </c>
      <c r="J440">
        <f t="shared" si="35"/>
        <v>49312.728804999999</v>
      </c>
      <c r="M440">
        <f t="shared" si="34"/>
        <v>26027</v>
      </c>
    </row>
    <row r="441" spans="1:13" x14ac:dyDescent="0.2">
      <c r="A441">
        <v>25</v>
      </c>
      <c r="B441">
        <v>28</v>
      </c>
      <c r="C441">
        <v>53</v>
      </c>
      <c r="D441" s="51" t="s">
        <v>26</v>
      </c>
      <c r="E441">
        <f>VLOOKUP(M441,'MASS - 2016'!$A$1:$G$3418,6,FALSE)</f>
        <v>-29630.824000000001</v>
      </c>
      <c r="F441">
        <f>VLOOKUP(M441,'MASS - 2016'!$A$1:$G$3418,7,FALSE)</f>
        <v>25.15</v>
      </c>
      <c r="G441">
        <f t="shared" si="36"/>
        <v>-29630.824000000001</v>
      </c>
      <c r="H441">
        <f t="shared" si="32"/>
        <v>52.968190002233406</v>
      </c>
      <c r="I441">
        <f t="shared" si="33"/>
        <v>49.339554408999994</v>
      </c>
      <c r="J441">
        <f t="shared" si="35"/>
        <v>49325.246408999999</v>
      </c>
      <c r="M441">
        <f t="shared" si="34"/>
        <v>25028</v>
      </c>
    </row>
    <row r="442" spans="1:13" x14ac:dyDescent="0.2">
      <c r="A442">
        <v>24</v>
      </c>
      <c r="B442">
        <v>29</v>
      </c>
      <c r="C442">
        <v>53</v>
      </c>
      <c r="D442" s="51" t="s">
        <v>27</v>
      </c>
      <c r="E442" t="str">
        <f>VLOOKUP(M442,'MASS - 2016'!$A$1:$G$3418,6,FALSE)</f>
        <v>-13270#</v>
      </c>
      <c r="F442" t="str">
        <f>VLOOKUP(M442,'MASS - 2016'!$A$1:$G$3418,7,FALSE)</f>
        <v>500#</v>
      </c>
      <c r="G442">
        <f t="shared" si="36"/>
        <v>-13270.01</v>
      </c>
      <c r="H442">
        <f t="shared" si="32"/>
        <v>52.98575405839329</v>
      </c>
      <c r="I442">
        <f t="shared" si="33"/>
        <v>49.355915222999997</v>
      </c>
      <c r="J442">
        <f t="shared" si="35"/>
        <v>49341.096222999993</v>
      </c>
      <c r="M442">
        <f t="shared" si="34"/>
        <v>24029</v>
      </c>
    </row>
    <row r="443" spans="1:13" x14ac:dyDescent="0.2">
      <c r="A443">
        <v>35</v>
      </c>
      <c r="B443">
        <v>19</v>
      </c>
      <c r="C443">
        <v>54</v>
      </c>
      <c r="D443" s="51" t="s">
        <v>17</v>
      </c>
      <c r="E443" t="str">
        <f>VLOOKUP(M443,'MASS - 2016'!$A$1:$G$3418,6,FALSE)</f>
        <v>-5002#</v>
      </c>
      <c r="F443" t="str">
        <f>VLOOKUP(M443,'MASS - 2016'!$A$1:$G$3418,7,FALSE)</f>
        <v>596#</v>
      </c>
      <c r="G443">
        <f t="shared" si="36"/>
        <v>-5002.01</v>
      </c>
      <c r="H443">
        <f t="shared" si="32"/>
        <v>53.994630121425971</v>
      </c>
      <c r="I443">
        <f t="shared" si="33"/>
        <v>50.295677284</v>
      </c>
      <c r="J443">
        <f t="shared" si="35"/>
        <v>50285.968283999995</v>
      </c>
      <c r="M443">
        <f t="shared" si="34"/>
        <v>35019</v>
      </c>
    </row>
    <row r="444" spans="1:13" x14ac:dyDescent="0.2">
      <c r="A444">
        <v>34</v>
      </c>
      <c r="B444">
        <v>20</v>
      </c>
      <c r="C444">
        <v>54</v>
      </c>
      <c r="D444" s="51" t="s">
        <v>18</v>
      </c>
      <c r="E444">
        <f>VLOOKUP(M444,'MASS - 2016'!$A$1:$G$3418,6,FALSE)</f>
        <v>-25160.584999999999</v>
      </c>
      <c r="F444">
        <f>VLOOKUP(M444,'MASS - 2016'!$A$1:$G$3418,7,FALSE)</f>
        <v>48.438000000000002</v>
      </c>
      <c r="G444">
        <f t="shared" si="36"/>
        <v>-25160.584999999999</v>
      </c>
      <c r="H444">
        <f t="shared" si="32"/>
        <v>53.972989001161217</v>
      </c>
      <c r="I444">
        <f t="shared" si="33"/>
        <v>50.275518708999996</v>
      </c>
      <c r="J444">
        <f t="shared" si="35"/>
        <v>50265.298708999995</v>
      </c>
      <c r="M444">
        <f t="shared" si="34"/>
        <v>34020</v>
      </c>
    </row>
    <row r="445" spans="1:13" x14ac:dyDescent="0.2">
      <c r="A445">
        <v>33</v>
      </c>
      <c r="B445">
        <v>21</v>
      </c>
      <c r="C445">
        <v>54</v>
      </c>
      <c r="D445" s="51" t="s">
        <v>19</v>
      </c>
      <c r="E445">
        <f>VLOOKUP(M445,'MASS - 2016'!$A$1:$G$3418,6,FALSE)</f>
        <v>-33890.9</v>
      </c>
      <c r="F445">
        <f>VLOOKUP(M445,'MASS - 2016'!$A$1:$G$3418,7,FALSE)</f>
        <v>272.8</v>
      </c>
      <c r="G445">
        <f t="shared" si="36"/>
        <v>-33890.9</v>
      </c>
      <c r="H445">
        <f t="shared" si="32"/>
        <v>53.963616622564807</v>
      </c>
      <c r="I445">
        <f t="shared" si="33"/>
        <v>50.266788393999995</v>
      </c>
      <c r="J445">
        <f t="shared" si="35"/>
        <v>50256.057393999996</v>
      </c>
      <c r="M445">
        <f t="shared" si="34"/>
        <v>33021</v>
      </c>
    </row>
    <row r="446" spans="1:13" x14ac:dyDescent="0.2">
      <c r="A446">
        <v>32</v>
      </c>
      <c r="B446">
        <v>22</v>
      </c>
      <c r="C446">
        <v>54</v>
      </c>
      <c r="D446" s="51" t="s">
        <v>20</v>
      </c>
      <c r="E446">
        <f>VLOOKUP(M446,'MASS - 2016'!$A$1:$G$3418,6,FALSE)</f>
        <v>-45621.981</v>
      </c>
      <c r="F446">
        <f>VLOOKUP(M446,'MASS - 2016'!$A$1:$G$3418,7,FALSE)</f>
        <v>82.460999999999999</v>
      </c>
      <c r="G446">
        <f t="shared" si="36"/>
        <v>-45621.981</v>
      </c>
      <c r="H446">
        <f t="shared" si="32"/>
        <v>53.951022789183412</v>
      </c>
      <c r="I446">
        <f t="shared" si="33"/>
        <v>50.255057313000002</v>
      </c>
      <c r="J446">
        <f t="shared" si="35"/>
        <v>50243.815313000006</v>
      </c>
      <c r="M446">
        <f t="shared" si="34"/>
        <v>32022</v>
      </c>
    </row>
    <row r="447" spans="1:13" x14ac:dyDescent="0.2">
      <c r="A447">
        <v>31</v>
      </c>
      <c r="B447">
        <v>23</v>
      </c>
      <c r="C447">
        <v>54</v>
      </c>
      <c r="D447" s="51" t="s">
        <v>21</v>
      </c>
      <c r="E447">
        <f>VLOOKUP(M447,'MASS - 2016'!$A$1:$G$3418,6,FALSE)</f>
        <v>-49893.173000000003</v>
      </c>
      <c r="F447">
        <f>VLOOKUP(M447,'MASS - 2016'!$A$1:$G$3418,7,FALSE)</f>
        <v>15.004</v>
      </c>
      <c r="G447">
        <f t="shared" si="36"/>
        <v>-49893.173000000003</v>
      </c>
      <c r="H447">
        <f t="shared" si="32"/>
        <v>53.946437475998032</v>
      </c>
      <c r="I447">
        <f t="shared" si="33"/>
        <v>50.250786120999997</v>
      </c>
      <c r="J447">
        <f t="shared" si="35"/>
        <v>50239.033121</v>
      </c>
      <c r="M447">
        <f t="shared" si="34"/>
        <v>31023</v>
      </c>
    </row>
    <row r="448" spans="1:13" x14ac:dyDescent="0.2">
      <c r="A448">
        <v>30</v>
      </c>
      <c r="B448">
        <v>24</v>
      </c>
      <c r="C448">
        <v>54</v>
      </c>
      <c r="D448" s="51" t="s">
        <v>22</v>
      </c>
      <c r="E448">
        <f>VLOOKUP(M448,'MASS - 2016'!$A$1:$G$3418,6,FALSE)</f>
        <v>-56934.764999999999</v>
      </c>
      <c r="F448">
        <f>VLOOKUP(M448,'MASS - 2016'!$A$1:$G$3418,7,FALSE)</f>
        <v>0.35299999999999998</v>
      </c>
      <c r="G448">
        <f t="shared" si="36"/>
        <v>-56934.764999999999</v>
      </c>
      <c r="H448">
        <f t="shared" si="32"/>
        <v>53.938878016099338</v>
      </c>
      <c r="I448">
        <f t="shared" si="33"/>
        <v>50.243744528999997</v>
      </c>
      <c r="J448">
        <f t="shared" si="35"/>
        <v>50231.480528999993</v>
      </c>
      <c r="M448">
        <f t="shared" si="34"/>
        <v>30024</v>
      </c>
    </row>
    <row r="449" spans="1:13" x14ac:dyDescent="0.2">
      <c r="A449">
        <v>29</v>
      </c>
      <c r="B449">
        <v>25</v>
      </c>
      <c r="C449">
        <v>54</v>
      </c>
      <c r="D449" s="51" t="s">
        <v>23</v>
      </c>
      <c r="E449">
        <f>VLOOKUP(M449,'MASS - 2016'!$A$1:$G$3418,6,FALSE)</f>
        <v>-55557.629000000001</v>
      </c>
      <c r="F449">
        <f>VLOOKUP(M449,'MASS - 2016'!$A$1:$G$3418,7,FALSE)</f>
        <v>1.0589999999999999</v>
      </c>
      <c r="G449">
        <f t="shared" si="36"/>
        <v>-55557.629000000001</v>
      </c>
      <c r="H449">
        <f t="shared" si="32"/>
        <v>53.94035643239598</v>
      </c>
      <c r="I449">
        <f t="shared" si="33"/>
        <v>50.245121664999999</v>
      </c>
      <c r="J449">
        <f t="shared" si="35"/>
        <v>50232.346664999997</v>
      </c>
      <c r="M449">
        <f t="shared" si="34"/>
        <v>29025</v>
      </c>
    </row>
    <row r="450" spans="1:13" x14ac:dyDescent="0.2">
      <c r="A450">
        <v>28</v>
      </c>
      <c r="B450">
        <v>26</v>
      </c>
      <c r="C450">
        <v>54</v>
      </c>
      <c r="D450" s="51" t="s">
        <v>24</v>
      </c>
      <c r="E450">
        <f>VLOOKUP(M450,'MASS - 2016'!$A$1:$G$3418,6,FALSE)</f>
        <v>-56254.5</v>
      </c>
      <c r="F450">
        <f>VLOOKUP(M450,'MASS - 2016'!$A$1:$G$3418,7,FALSE)</f>
        <v>0.372</v>
      </c>
      <c r="G450">
        <f t="shared" si="36"/>
        <v>-56254.5</v>
      </c>
      <c r="H450">
        <f t="shared" si="32"/>
        <v>53.939608310610581</v>
      </c>
      <c r="I450">
        <f t="shared" si="33"/>
        <v>50.244424793999997</v>
      </c>
      <c r="J450">
        <f t="shared" si="35"/>
        <v>50231.138793999999</v>
      </c>
      <c r="M450">
        <f t="shared" si="34"/>
        <v>28026</v>
      </c>
    </row>
    <row r="451" spans="1:13" x14ac:dyDescent="0.2">
      <c r="A451">
        <v>27</v>
      </c>
      <c r="B451">
        <v>27</v>
      </c>
      <c r="C451">
        <v>54</v>
      </c>
      <c r="D451" s="51" t="s">
        <v>25</v>
      </c>
      <c r="E451">
        <f>VLOOKUP(M451,'MASS - 2016'!$A$1:$G$3418,6,FALSE)</f>
        <v>-48009.953000000001</v>
      </c>
      <c r="F451">
        <f>VLOOKUP(M451,'MASS - 2016'!$A$1:$G$3418,7,FALSE)</f>
        <v>0.38300000000000001</v>
      </c>
      <c r="G451">
        <f t="shared" si="36"/>
        <v>-48009.953000000001</v>
      </c>
      <c r="H451">
        <f t="shared" si="32"/>
        <v>53.948459195812312</v>
      </c>
      <c r="I451">
        <f t="shared" si="33"/>
        <v>50.252669341000001</v>
      </c>
      <c r="J451">
        <f t="shared" si="35"/>
        <v>50238.872341000002</v>
      </c>
      <c r="M451">
        <f t="shared" si="34"/>
        <v>27027</v>
      </c>
    </row>
    <row r="452" spans="1:13" x14ac:dyDescent="0.2">
      <c r="A452">
        <v>26</v>
      </c>
      <c r="B452">
        <v>28</v>
      </c>
      <c r="C452">
        <v>54</v>
      </c>
      <c r="D452" s="51" t="s">
        <v>26</v>
      </c>
      <c r="E452">
        <f>VLOOKUP(M452,'MASS - 2016'!$A$1:$G$3418,6,FALSE)</f>
        <v>-39278.307999999997</v>
      </c>
      <c r="F452">
        <f>VLOOKUP(M452,'MASS - 2016'!$A$1:$G$3418,7,FALSE)</f>
        <v>4.657</v>
      </c>
      <c r="G452">
        <f t="shared" si="36"/>
        <v>-39278.307999999997</v>
      </c>
      <c r="H452">
        <f t="shared" si="32"/>
        <v>53.957833002222436</v>
      </c>
      <c r="I452">
        <f t="shared" si="33"/>
        <v>50.261400985999998</v>
      </c>
      <c r="J452">
        <f t="shared" si="35"/>
        <v>50247.092986000003</v>
      </c>
      <c r="M452">
        <f t="shared" si="34"/>
        <v>26028</v>
      </c>
    </row>
    <row r="453" spans="1:13" x14ac:dyDescent="0.2">
      <c r="A453">
        <v>25</v>
      </c>
      <c r="B453">
        <v>29</v>
      </c>
      <c r="C453">
        <v>54</v>
      </c>
      <c r="D453" s="51" t="s">
        <v>27</v>
      </c>
      <c r="E453" t="str">
        <f>VLOOKUP(M453,'MASS - 2016'!$A$1:$G$3418,6,FALSE)</f>
        <v>-21410#</v>
      </c>
      <c r="F453" t="str">
        <f>VLOOKUP(M453,'MASS - 2016'!$A$1:$G$3418,7,FALSE)</f>
        <v>400#</v>
      </c>
      <c r="G453">
        <f t="shared" si="36"/>
        <v>-21410.01</v>
      </c>
      <c r="H453">
        <f t="shared" si="32"/>
        <v>53.977015409011827</v>
      </c>
      <c r="I453">
        <f t="shared" si="33"/>
        <v>50.279269284000002</v>
      </c>
      <c r="J453">
        <f t="shared" si="35"/>
        <v>50264.450283999999</v>
      </c>
      <c r="M453">
        <f t="shared" si="34"/>
        <v>25029</v>
      </c>
    </row>
    <row r="454" spans="1:13" x14ac:dyDescent="0.2">
      <c r="A454">
        <v>24</v>
      </c>
      <c r="B454">
        <v>30</v>
      </c>
      <c r="C454">
        <v>54</v>
      </c>
      <c r="D454" s="51" t="s">
        <v>28</v>
      </c>
      <c r="E454" t="str">
        <f>VLOOKUP(M454,'MASS - 2016'!$A$1:$G$3418,6,FALSE)</f>
        <v>-6272#</v>
      </c>
      <c r="F454" t="str">
        <f>VLOOKUP(M454,'MASS - 2016'!$A$1:$G$3418,7,FALSE)</f>
        <v>400#</v>
      </c>
      <c r="G454">
        <f t="shared" si="36"/>
        <v>-6272.01</v>
      </c>
      <c r="H454">
        <f t="shared" si="32"/>
        <v>53.993266720355393</v>
      </c>
      <c r="I454">
        <f t="shared" si="33"/>
        <v>50.294407283999995</v>
      </c>
      <c r="J454">
        <f t="shared" si="35"/>
        <v>50279.077283999992</v>
      </c>
      <c r="M454">
        <f t="shared" si="34"/>
        <v>24030</v>
      </c>
    </row>
    <row r="455" spans="1:13" x14ac:dyDescent="0.2">
      <c r="A455">
        <v>36</v>
      </c>
      <c r="B455">
        <v>19</v>
      </c>
      <c r="C455">
        <v>55</v>
      </c>
      <c r="D455" s="51" t="s">
        <v>17</v>
      </c>
      <c r="E455" t="str">
        <f>VLOOKUP(M455,'MASS - 2016'!$A$1:$G$3418,6,FALSE)</f>
        <v>708#</v>
      </c>
      <c r="F455" t="str">
        <f>VLOOKUP(M455,'MASS - 2016'!$A$1:$G$3418,7,FALSE)</f>
        <v>699#</v>
      </c>
      <c r="G455">
        <f t="shared" si="36"/>
        <v>708.01</v>
      </c>
      <c r="H455">
        <f t="shared" si="32"/>
        <v>55.000760079993682</v>
      </c>
      <c r="I455">
        <f t="shared" si="33"/>
        <v>51.232881364999997</v>
      </c>
      <c r="J455">
        <f t="shared" si="35"/>
        <v>51223.172364999991</v>
      </c>
      <c r="M455">
        <f t="shared" si="34"/>
        <v>36019</v>
      </c>
    </row>
    <row r="456" spans="1:13" x14ac:dyDescent="0.2">
      <c r="A456">
        <v>35</v>
      </c>
      <c r="B456">
        <v>20</v>
      </c>
      <c r="C456">
        <v>55</v>
      </c>
      <c r="D456" s="51" t="s">
        <v>18</v>
      </c>
      <c r="E456" t="str">
        <f>VLOOKUP(M456,'MASS - 2016'!$A$1:$G$3418,6,FALSE)</f>
        <v>-18350#</v>
      </c>
      <c r="F456" t="str">
        <f>VLOOKUP(M456,'MASS - 2016'!$A$1:$G$3418,7,FALSE)</f>
        <v>300#</v>
      </c>
      <c r="G456">
        <f t="shared" si="36"/>
        <v>-18350.009999999998</v>
      </c>
      <c r="H456">
        <f t="shared" si="32"/>
        <v>54.980300454111003</v>
      </c>
      <c r="I456">
        <f t="shared" si="33"/>
        <v>51.213823345000002</v>
      </c>
      <c r="J456">
        <f t="shared" si="35"/>
        <v>51203.603345000003</v>
      </c>
      <c r="M456">
        <f t="shared" si="34"/>
        <v>35020</v>
      </c>
    </row>
    <row r="457" spans="1:13" x14ac:dyDescent="0.2">
      <c r="A457">
        <v>34</v>
      </c>
      <c r="B457">
        <v>21</v>
      </c>
      <c r="C457">
        <v>55</v>
      </c>
      <c r="D457" s="51" t="s">
        <v>19</v>
      </c>
      <c r="E457">
        <f>VLOOKUP(M457,'MASS - 2016'!$A$1:$G$3418,6,FALSE)</f>
        <v>-30159.351999999999</v>
      </c>
      <c r="F457">
        <f>VLOOKUP(M457,'MASS - 2016'!$A$1:$G$3418,7,FALSE)</f>
        <v>454.34199999999998</v>
      </c>
      <c r="G457">
        <f t="shared" si="36"/>
        <v>-30159.351999999999</v>
      </c>
      <c r="H457">
        <f t="shared" ref="H457:H520" si="37">(C457*$A$3+G457/1000000)/$A$3</f>
        <v>54.96762260409087</v>
      </c>
      <c r="I457">
        <f t="shared" ref="I457:I520" si="38">H457*$A$3</f>
        <v>51.202014003000002</v>
      </c>
      <c r="J457">
        <f t="shared" si="35"/>
        <v>51191.283003000004</v>
      </c>
      <c r="M457">
        <f t="shared" ref="M457:M520" si="39">1000*A457+B457</f>
        <v>34021</v>
      </c>
    </row>
    <row r="458" spans="1:13" x14ac:dyDescent="0.2">
      <c r="A458">
        <v>33</v>
      </c>
      <c r="B458">
        <v>22</v>
      </c>
      <c r="C458">
        <v>55</v>
      </c>
      <c r="D458" s="51" t="s">
        <v>20</v>
      </c>
      <c r="E458">
        <f>VLOOKUP(M458,'MASS - 2016'!$A$1:$G$3418,6,FALSE)</f>
        <v>-41668.088000000003</v>
      </c>
      <c r="F458">
        <f>VLOOKUP(M458,'MASS - 2016'!$A$1:$G$3418,7,FALSE)</f>
        <v>161.602</v>
      </c>
      <c r="G458">
        <f t="shared" si="36"/>
        <v>-41668.088000000003</v>
      </c>
      <c r="H458">
        <f t="shared" si="37"/>
        <v>54.955267467883509</v>
      </c>
      <c r="I458">
        <f t="shared" si="38"/>
        <v>51.190505266999999</v>
      </c>
      <c r="J458">
        <f t="shared" si="35"/>
        <v>51179.263267000002</v>
      </c>
      <c r="M458">
        <f t="shared" si="39"/>
        <v>33022</v>
      </c>
    </row>
    <row r="459" spans="1:13" x14ac:dyDescent="0.2">
      <c r="A459">
        <v>32</v>
      </c>
      <c r="B459">
        <v>23</v>
      </c>
      <c r="C459">
        <v>55</v>
      </c>
      <c r="D459" s="51" t="s">
        <v>21</v>
      </c>
      <c r="E459">
        <f>VLOOKUP(M459,'MASS - 2016'!$A$1:$G$3418,6,FALSE)</f>
        <v>-49144.586000000003</v>
      </c>
      <c r="F459">
        <f>VLOOKUP(M459,'MASS - 2016'!$A$1:$G$3418,7,FALSE)</f>
        <v>95.103999999999999</v>
      </c>
      <c r="G459">
        <f t="shared" si="36"/>
        <v>-49144.586000000003</v>
      </c>
      <c r="H459">
        <f t="shared" si="37"/>
        <v>54.947241117192696</v>
      </c>
      <c r="I459">
        <f t="shared" si="38"/>
        <v>51.183028769000003</v>
      </c>
      <c r="J459">
        <f t="shared" si="35"/>
        <v>51171.275769000007</v>
      </c>
      <c r="M459">
        <f t="shared" si="39"/>
        <v>32023</v>
      </c>
    </row>
    <row r="460" spans="1:13" x14ac:dyDescent="0.2">
      <c r="A460">
        <v>31</v>
      </c>
      <c r="B460">
        <v>24</v>
      </c>
      <c r="C460">
        <v>55</v>
      </c>
      <c r="D460" s="51" t="s">
        <v>22</v>
      </c>
      <c r="E460">
        <f>VLOOKUP(M460,'MASS - 2016'!$A$1:$G$3418,6,FALSE)</f>
        <v>-55109.71</v>
      </c>
      <c r="F460">
        <f>VLOOKUP(M460,'MASS - 2016'!$A$1:$G$3418,7,FALSE)</f>
        <v>0.39900000000000002</v>
      </c>
      <c r="G460">
        <f t="shared" si="36"/>
        <v>-55109.71</v>
      </c>
      <c r="H460">
        <f t="shared" si="37"/>
        <v>54.940837293218124</v>
      </c>
      <c r="I460">
        <f t="shared" si="38"/>
        <v>51.177063644999997</v>
      </c>
      <c r="J460">
        <f t="shared" ref="J460:J523" si="40">1000*I460-B460*0.511</f>
        <v>51164.799644999992</v>
      </c>
      <c r="M460">
        <f t="shared" si="39"/>
        <v>31024</v>
      </c>
    </row>
    <row r="461" spans="1:13" x14ac:dyDescent="0.2">
      <c r="A461">
        <v>30</v>
      </c>
      <c r="B461">
        <v>25</v>
      </c>
      <c r="C461">
        <v>55</v>
      </c>
      <c r="D461" s="51" t="s">
        <v>23</v>
      </c>
      <c r="E461">
        <f>VLOOKUP(M461,'MASS - 2016'!$A$1:$G$3418,6,FALSE)</f>
        <v>-57712.413</v>
      </c>
      <c r="F461">
        <f>VLOOKUP(M461,'MASS - 2016'!$A$1:$G$3418,7,FALSE)</f>
        <v>0.30299999999999999</v>
      </c>
      <c r="G461">
        <f t="shared" si="36"/>
        <v>-57712.413</v>
      </c>
      <c r="H461">
        <f t="shared" si="37"/>
        <v>54.938043176638146</v>
      </c>
      <c r="I461">
        <f t="shared" si="38"/>
        <v>51.174460942000003</v>
      </c>
      <c r="J461">
        <f t="shared" si="40"/>
        <v>51161.685942000004</v>
      </c>
      <c r="M461">
        <f t="shared" si="39"/>
        <v>30025</v>
      </c>
    </row>
    <row r="462" spans="1:13" x14ac:dyDescent="0.2">
      <c r="A462">
        <v>29</v>
      </c>
      <c r="B462">
        <v>26</v>
      </c>
      <c r="C462">
        <v>55</v>
      </c>
      <c r="D462" s="51" t="s">
        <v>24</v>
      </c>
      <c r="E462">
        <f>VLOOKUP(M462,'MASS - 2016'!$A$1:$G$3418,6,FALSE)</f>
        <v>-57481.3</v>
      </c>
      <c r="F462">
        <f>VLOOKUP(M462,'MASS - 2016'!$A$1:$G$3418,7,FALSE)</f>
        <v>0.34200000000000003</v>
      </c>
      <c r="G462">
        <f t="shared" si="36"/>
        <v>-57481.3</v>
      </c>
      <c r="H462">
        <f t="shared" si="37"/>
        <v>54.938291286647292</v>
      </c>
      <c r="I462">
        <f t="shared" si="38"/>
        <v>51.174692055000001</v>
      </c>
      <c r="J462">
        <f t="shared" si="40"/>
        <v>51161.406054999999</v>
      </c>
      <c r="M462">
        <f t="shared" si="39"/>
        <v>29026</v>
      </c>
    </row>
    <row r="463" spans="1:13" x14ac:dyDescent="0.2">
      <c r="A463">
        <v>28</v>
      </c>
      <c r="B463">
        <v>27</v>
      </c>
      <c r="C463">
        <v>55</v>
      </c>
      <c r="D463" s="51" t="s">
        <v>25</v>
      </c>
      <c r="E463">
        <f>VLOOKUP(M463,'MASS - 2016'!$A$1:$G$3418,6,FALSE)</f>
        <v>-54029.883000000002</v>
      </c>
      <c r="F463">
        <f>VLOOKUP(M463,'MASS - 2016'!$A$1:$G$3418,7,FALSE)</f>
        <v>0.42799999999999999</v>
      </c>
      <c r="G463">
        <f t="shared" ref="G463:G526" si="41">IF(ISNUMBER(E463),E463,VALUE(SUBSTITUTE(E463,"#",".01")))</f>
        <v>-54029.883000000002</v>
      </c>
      <c r="H463">
        <f t="shared" si="37"/>
        <v>54.941996535177054</v>
      </c>
      <c r="I463">
        <f t="shared" si="38"/>
        <v>51.178143472000002</v>
      </c>
      <c r="J463">
        <f t="shared" si="40"/>
        <v>51164.346472000005</v>
      </c>
      <c r="M463">
        <f t="shared" si="39"/>
        <v>28027</v>
      </c>
    </row>
    <row r="464" spans="1:13" x14ac:dyDescent="0.2">
      <c r="A464">
        <v>27</v>
      </c>
      <c r="B464">
        <v>28</v>
      </c>
      <c r="C464">
        <v>55</v>
      </c>
      <c r="D464" s="51" t="s">
        <v>26</v>
      </c>
      <c r="E464">
        <f>VLOOKUP(M464,'MASS - 2016'!$A$1:$G$3418,6,FALSE)</f>
        <v>-45335.849000000002</v>
      </c>
      <c r="F464">
        <f>VLOOKUP(M464,'MASS - 2016'!$A$1:$G$3418,7,FALSE)</f>
        <v>0.71899999999999997</v>
      </c>
      <c r="G464">
        <f t="shared" si="41"/>
        <v>-45335.849000000002</v>
      </c>
      <c r="H464">
        <f t="shared" si="37"/>
        <v>54.951329964518159</v>
      </c>
      <c r="I464">
        <f t="shared" si="38"/>
        <v>51.186837506000003</v>
      </c>
      <c r="J464">
        <f t="shared" si="40"/>
        <v>51172.529506000006</v>
      </c>
      <c r="M464">
        <f t="shared" si="39"/>
        <v>27028</v>
      </c>
    </row>
    <row r="465" spans="1:13" x14ac:dyDescent="0.2">
      <c r="A465">
        <v>26</v>
      </c>
      <c r="B465">
        <v>29</v>
      </c>
      <c r="C465">
        <v>55</v>
      </c>
      <c r="D465" s="51" t="s">
        <v>27</v>
      </c>
      <c r="E465">
        <f>VLOOKUP(M465,'MASS - 2016'!$A$1:$G$3418,6,FALSE)</f>
        <v>-31635.399000000001</v>
      </c>
      <c r="F465">
        <f>VLOOKUP(M465,'MASS - 2016'!$A$1:$G$3418,7,FALSE)</f>
        <v>155.559</v>
      </c>
      <c r="G465">
        <f t="shared" si="41"/>
        <v>-31635.399000000001</v>
      </c>
      <c r="H465">
        <f t="shared" si="37"/>
        <v>54.966038002468807</v>
      </c>
      <c r="I465">
        <f t="shared" si="38"/>
        <v>51.200537955999998</v>
      </c>
      <c r="J465">
        <f t="shared" si="40"/>
        <v>51185.718955999997</v>
      </c>
      <c r="M465">
        <f t="shared" si="39"/>
        <v>26029</v>
      </c>
    </row>
    <row r="466" spans="1:13" x14ac:dyDescent="0.2">
      <c r="A466">
        <v>25</v>
      </c>
      <c r="B466">
        <v>30</v>
      </c>
      <c r="C466">
        <v>55</v>
      </c>
      <c r="D466" s="51" t="s">
        <v>28</v>
      </c>
      <c r="E466" t="str">
        <f>VLOOKUP(M466,'MASS - 2016'!$A$1:$G$3418,6,FALSE)</f>
        <v>-14570#</v>
      </c>
      <c r="F466" t="str">
        <f>VLOOKUP(M466,'MASS - 2016'!$A$1:$G$3418,7,FALSE)</f>
        <v>400#</v>
      </c>
      <c r="G466">
        <f t="shared" si="41"/>
        <v>-14570.01</v>
      </c>
      <c r="H466">
        <f t="shared" si="37"/>
        <v>54.984358450998222</v>
      </c>
      <c r="I466">
        <f t="shared" si="38"/>
        <v>51.217603345000001</v>
      </c>
      <c r="J466">
        <f t="shared" si="40"/>
        <v>51202.273345000001</v>
      </c>
      <c r="M466">
        <f t="shared" si="39"/>
        <v>25030</v>
      </c>
    </row>
    <row r="467" spans="1:13" x14ac:dyDescent="0.2">
      <c r="A467">
        <v>36</v>
      </c>
      <c r="B467">
        <v>20</v>
      </c>
      <c r="C467">
        <v>56</v>
      </c>
      <c r="D467" s="51" t="s">
        <v>18</v>
      </c>
      <c r="E467" t="str">
        <f>VLOOKUP(M467,'MASS - 2016'!$A$1:$G$3418,6,FALSE)</f>
        <v>-13898#</v>
      </c>
      <c r="F467" t="str">
        <f>VLOOKUP(M467,'MASS - 2016'!$A$1:$G$3418,7,FALSE)</f>
        <v>400#</v>
      </c>
      <c r="G467">
        <f t="shared" si="41"/>
        <v>-13898.01</v>
      </c>
      <c r="H467">
        <f t="shared" si="37"/>
        <v>55.985079872667058</v>
      </c>
      <c r="I467">
        <f t="shared" si="38"/>
        <v>52.149769405999997</v>
      </c>
      <c r="J467">
        <f t="shared" si="40"/>
        <v>52139.549405999998</v>
      </c>
      <c r="M467">
        <f t="shared" si="39"/>
        <v>36020</v>
      </c>
    </row>
    <row r="468" spans="1:13" x14ac:dyDescent="0.2">
      <c r="A468">
        <v>35</v>
      </c>
      <c r="B468">
        <v>21</v>
      </c>
      <c r="C468">
        <v>56</v>
      </c>
      <c r="D468" s="51" t="s">
        <v>19</v>
      </c>
      <c r="E468">
        <f>VLOOKUP(M468,'MASS - 2016'!$A$1:$G$3418,6,FALSE)</f>
        <v>-24852.26</v>
      </c>
      <c r="F468">
        <f>VLOOKUP(M468,'MASS - 2016'!$A$1:$G$3418,7,FALSE)</f>
        <v>586.84100000000001</v>
      </c>
      <c r="G468">
        <f t="shared" si="41"/>
        <v>-24852.26</v>
      </c>
      <c r="H468">
        <f t="shared" si="37"/>
        <v>55.973320001661278</v>
      </c>
      <c r="I468">
        <f t="shared" si="38"/>
        <v>52.138815155999993</v>
      </c>
      <c r="J468">
        <f t="shared" si="40"/>
        <v>52128.08415599999</v>
      </c>
      <c r="M468">
        <f t="shared" si="39"/>
        <v>35021</v>
      </c>
    </row>
    <row r="469" spans="1:13" x14ac:dyDescent="0.2">
      <c r="A469">
        <v>34</v>
      </c>
      <c r="B469">
        <v>22</v>
      </c>
      <c r="C469">
        <v>56</v>
      </c>
      <c r="D469" s="51" t="s">
        <v>20</v>
      </c>
      <c r="E469">
        <f>VLOOKUP(M469,'MASS - 2016'!$A$1:$G$3418,6,FALSE)</f>
        <v>-39320.048000000003</v>
      </c>
      <c r="F469">
        <f>VLOOKUP(M469,'MASS - 2016'!$A$1:$G$3418,7,FALSE)</f>
        <v>121.247</v>
      </c>
      <c r="G469">
        <f t="shared" si="41"/>
        <v>-39320.048000000003</v>
      </c>
      <c r="H469">
        <f t="shared" si="37"/>
        <v>55.957788192489609</v>
      </c>
      <c r="I469">
        <f t="shared" si="38"/>
        <v>52.124347367999995</v>
      </c>
      <c r="J469">
        <f t="shared" si="40"/>
        <v>52113.105367999997</v>
      </c>
      <c r="M469">
        <f t="shared" si="39"/>
        <v>34022</v>
      </c>
    </row>
    <row r="470" spans="1:13" x14ac:dyDescent="0.2">
      <c r="A470">
        <v>33</v>
      </c>
      <c r="B470">
        <v>23</v>
      </c>
      <c r="C470">
        <v>56</v>
      </c>
      <c r="D470" s="51" t="s">
        <v>21</v>
      </c>
      <c r="E470">
        <f>VLOOKUP(M470,'MASS - 2016'!$A$1:$G$3418,6,FALSE)</f>
        <v>-46154.881000000001</v>
      </c>
      <c r="F470">
        <f>VLOOKUP(M470,'MASS - 2016'!$A$1:$G$3418,7,FALSE)</f>
        <v>176.898</v>
      </c>
      <c r="G470">
        <f t="shared" si="41"/>
        <v>-46154.881000000001</v>
      </c>
      <c r="H470">
        <f t="shared" si="37"/>
        <v>55.950450697505836</v>
      </c>
      <c r="I470">
        <f t="shared" si="38"/>
        <v>52.117512534999996</v>
      </c>
      <c r="J470">
        <f t="shared" si="40"/>
        <v>52105.759534999997</v>
      </c>
      <c r="M470">
        <f t="shared" si="39"/>
        <v>33023</v>
      </c>
    </row>
    <row r="471" spans="1:13" x14ac:dyDescent="0.2">
      <c r="A471">
        <v>32</v>
      </c>
      <c r="B471">
        <v>24</v>
      </c>
      <c r="C471">
        <v>56</v>
      </c>
      <c r="D471" s="51" t="s">
        <v>22</v>
      </c>
      <c r="E471">
        <f>VLOOKUP(M471,'MASS - 2016'!$A$1:$G$3418,6,FALSE)</f>
        <v>-55285.000999999997</v>
      </c>
      <c r="F471">
        <f>VLOOKUP(M471,'MASS - 2016'!$A$1:$G$3418,7,FALSE)</f>
        <v>0.60299999999999998</v>
      </c>
      <c r="G471">
        <f t="shared" si="41"/>
        <v>-55285.000999999997</v>
      </c>
      <c r="H471">
        <f t="shared" si="37"/>
        <v>55.940649110590513</v>
      </c>
      <c r="I471">
        <f t="shared" si="38"/>
        <v>52.108382414999994</v>
      </c>
      <c r="J471">
        <f t="shared" si="40"/>
        <v>52096.11841499999</v>
      </c>
      <c r="M471">
        <f t="shared" si="39"/>
        <v>32024</v>
      </c>
    </row>
    <row r="472" spans="1:13" x14ac:dyDescent="0.2">
      <c r="A472">
        <v>31</v>
      </c>
      <c r="B472">
        <v>25</v>
      </c>
      <c r="C472">
        <v>56</v>
      </c>
      <c r="D472" s="51" t="s">
        <v>23</v>
      </c>
      <c r="E472">
        <f>VLOOKUP(M472,'MASS - 2016'!$A$1:$G$3418,6,FALSE)</f>
        <v>-56911.538</v>
      </c>
      <c r="F472">
        <f>VLOOKUP(M472,'MASS - 2016'!$A$1:$G$3418,7,FALSE)</f>
        <v>0.33100000000000002</v>
      </c>
      <c r="G472">
        <f t="shared" si="41"/>
        <v>-56911.538</v>
      </c>
      <c r="H472">
        <f t="shared" si="37"/>
        <v>55.938902951309309</v>
      </c>
      <c r="I472">
        <f t="shared" si="38"/>
        <v>52.106755877999994</v>
      </c>
      <c r="J472">
        <f t="shared" si="40"/>
        <v>52093.980877999995</v>
      </c>
      <c r="M472">
        <f t="shared" si="39"/>
        <v>31025</v>
      </c>
    </row>
    <row r="473" spans="1:13" x14ac:dyDescent="0.2">
      <c r="A473">
        <v>30</v>
      </c>
      <c r="B473">
        <v>26</v>
      </c>
      <c r="C473">
        <v>56</v>
      </c>
      <c r="D473" s="51" t="s">
        <v>24</v>
      </c>
      <c r="E473">
        <f>VLOOKUP(M473,'MASS - 2016'!$A$1:$G$3418,6,FALSE)</f>
        <v>-60607.082000000002</v>
      </c>
      <c r="F473">
        <f>VLOOKUP(M473,'MASS - 2016'!$A$1:$G$3418,7,FALSE)</f>
        <v>0.30199999999999999</v>
      </c>
      <c r="G473">
        <f t="shared" si="41"/>
        <v>-60607.082000000002</v>
      </c>
      <c r="H473">
        <f t="shared" si="37"/>
        <v>55.934935621666831</v>
      </c>
      <c r="I473">
        <f t="shared" si="38"/>
        <v>52.103060333999998</v>
      </c>
      <c r="J473">
        <f t="shared" si="40"/>
        <v>52089.774334000002</v>
      </c>
      <c r="M473">
        <f t="shared" si="39"/>
        <v>30026</v>
      </c>
    </row>
    <row r="474" spans="1:13" x14ac:dyDescent="0.2">
      <c r="A474">
        <v>29</v>
      </c>
      <c r="B474">
        <v>27</v>
      </c>
      <c r="C474">
        <v>56</v>
      </c>
      <c r="D474" s="51" t="s">
        <v>25</v>
      </c>
      <c r="E474">
        <f>VLOOKUP(M474,'MASS - 2016'!$A$1:$G$3418,6,FALSE)</f>
        <v>-56040.402000000002</v>
      </c>
      <c r="F474">
        <f>VLOOKUP(M474,'MASS - 2016'!$A$1:$G$3418,7,FALSE)</f>
        <v>0.49299999999999999</v>
      </c>
      <c r="G474">
        <f t="shared" si="41"/>
        <v>-56040.402000000002</v>
      </c>
      <c r="H474">
        <f t="shared" si="37"/>
        <v>55.939838154266013</v>
      </c>
      <c r="I474">
        <f t="shared" si="38"/>
        <v>52.107627013999995</v>
      </c>
      <c r="J474">
        <f t="shared" si="40"/>
        <v>52093.830013999999</v>
      </c>
      <c r="M474">
        <f t="shared" si="39"/>
        <v>29027</v>
      </c>
    </row>
    <row r="475" spans="1:13" x14ac:dyDescent="0.2">
      <c r="A475">
        <v>28</v>
      </c>
      <c r="B475">
        <v>28</v>
      </c>
      <c r="C475">
        <v>56</v>
      </c>
      <c r="D475" s="51" t="s">
        <v>26</v>
      </c>
      <c r="E475">
        <f>VLOOKUP(M475,'MASS - 2016'!$A$1:$G$3418,6,FALSE)</f>
        <v>-53907.538999999997</v>
      </c>
      <c r="F475">
        <f>VLOOKUP(M475,'MASS - 2016'!$A$1:$G$3418,7,FALSE)</f>
        <v>0.42199999999999999</v>
      </c>
      <c r="G475">
        <f t="shared" si="41"/>
        <v>-53907.538999999997</v>
      </c>
      <c r="H475">
        <f t="shared" si="37"/>
        <v>55.942127876862543</v>
      </c>
      <c r="I475">
        <f t="shared" si="38"/>
        <v>52.109759876999995</v>
      </c>
      <c r="J475">
        <f t="shared" si="40"/>
        <v>52095.451877</v>
      </c>
      <c r="M475">
        <f t="shared" si="39"/>
        <v>28028</v>
      </c>
    </row>
    <row r="476" spans="1:13" x14ac:dyDescent="0.2">
      <c r="A476">
        <v>27</v>
      </c>
      <c r="B476">
        <v>29</v>
      </c>
      <c r="C476">
        <v>56</v>
      </c>
      <c r="D476" s="51" t="s">
        <v>27</v>
      </c>
      <c r="E476">
        <f>VLOOKUP(M476,'MASS - 2016'!$A$1:$G$3418,6,FALSE)</f>
        <v>-38643.029000000002</v>
      </c>
      <c r="F476">
        <f>VLOOKUP(M476,'MASS - 2016'!$A$1:$G$3418,7,FALSE)</f>
        <v>14.904</v>
      </c>
      <c r="G476">
        <f t="shared" si="41"/>
        <v>-38643.029000000002</v>
      </c>
      <c r="H476">
        <f t="shared" si="37"/>
        <v>55.958515002276542</v>
      </c>
      <c r="I476">
        <f t="shared" si="38"/>
        <v>52.125024386999996</v>
      </c>
      <c r="J476">
        <f t="shared" si="40"/>
        <v>52110.205386999995</v>
      </c>
      <c r="M476">
        <f t="shared" si="39"/>
        <v>27029</v>
      </c>
    </row>
    <row r="477" spans="1:13" x14ac:dyDescent="0.2">
      <c r="A477">
        <v>26</v>
      </c>
      <c r="B477">
        <v>30</v>
      </c>
      <c r="C477">
        <v>56</v>
      </c>
      <c r="D477" s="51" t="s">
        <v>28</v>
      </c>
      <c r="E477" t="str">
        <f>VLOOKUP(M477,'MASS - 2016'!$A$1:$G$3418,6,FALSE)</f>
        <v>-25390#</v>
      </c>
      <c r="F477" t="str">
        <f>VLOOKUP(M477,'MASS - 2016'!$A$1:$G$3418,7,FALSE)</f>
        <v>400#</v>
      </c>
      <c r="G477">
        <f t="shared" si="41"/>
        <v>-25390.01</v>
      </c>
      <c r="H477">
        <f t="shared" si="37"/>
        <v>55.972742703294585</v>
      </c>
      <c r="I477">
        <f t="shared" si="38"/>
        <v>52.138277405999993</v>
      </c>
      <c r="J477">
        <f t="shared" si="40"/>
        <v>52122.947405999992</v>
      </c>
      <c r="M477">
        <f t="shared" si="39"/>
        <v>26030</v>
      </c>
    </row>
    <row r="478" spans="1:13" x14ac:dyDescent="0.2">
      <c r="A478">
        <v>25</v>
      </c>
      <c r="B478">
        <v>31</v>
      </c>
      <c r="C478">
        <v>56</v>
      </c>
      <c r="D478" s="51" t="s">
        <v>29</v>
      </c>
      <c r="E478" t="str">
        <f>VLOOKUP(M478,'MASS - 2016'!$A$1:$G$3418,6,FALSE)</f>
        <v>-3390#</v>
      </c>
      <c r="F478" t="str">
        <f>VLOOKUP(M478,'MASS - 2016'!$A$1:$G$3418,7,FALSE)</f>
        <v>500#</v>
      </c>
      <c r="G478">
        <f t="shared" si="41"/>
        <v>-3390.01</v>
      </c>
      <c r="H478">
        <f t="shared" si="37"/>
        <v>55.996360674595863</v>
      </c>
      <c r="I478">
        <f t="shared" si="38"/>
        <v>52.160277405999999</v>
      </c>
      <c r="J478">
        <f t="shared" si="40"/>
        <v>52144.436406000001</v>
      </c>
      <c r="M478">
        <f t="shared" si="39"/>
        <v>25031</v>
      </c>
    </row>
    <row r="479" spans="1:13" x14ac:dyDescent="0.2">
      <c r="A479">
        <v>37</v>
      </c>
      <c r="B479">
        <v>20</v>
      </c>
      <c r="C479">
        <v>57</v>
      </c>
      <c r="D479" s="51" t="s">
        <v>18</v>
      </c>
      <c r="E479" t="str">
        <f>VLOOKUP(M479,'MASS - 2016'!$A$1:$G$3418,6,FALSE)</f>
        <v>-6874#</v>
      </c>
      <c r="F479" t="str">
        <f>VLOOKUP(M479,'MASS - 2016'!$A$1:$G$3418,7,FALSE)</f>
        <v>400#</v>
      </c>
      <c r="G479">
        <f t="shared" si="41"/>
        <v>-6874.01</v>
      </c>
      <c r="H479">
        <f t="shared" si="37"/>
        <v>56.992620446777067</v>
      </c>
      <c r="I479">
        <f t="shared" si="38"/>
        <v>53.088287467000001</v>
      </c>
      <c r="J479">
        <f t="shared" si="40"/>
        <v>53078.067467000001</v>
      </c>
      <c r="M479">
        <f t="shared" si="39"/>
        <v>37020</v>
      </c>
    </row>
    <row r="480" spans="1:13" x14ac:dyDescent="0.2">
      <c r="A480">
        <v>36</v>
      </c>
      <c r="B480">
        <v>21</v>
      </c>
      <c r="C480">
        <v>57</v>
      </c>
      <c r="D480" s="51" t="s">
        <v>19</v>
      </c>
      <c r="E480">
        <f>VLOOKUP(M480,'MASS - 2016'!$A$1:$G$3418,6,FALSE)</f>
        <v>-20995.875</v>
      </c>
      <c r="F480">
        <f>VLOOKUP(M480,'MASS - 2016'!$A$1:$G$3418,7,FALSE)</f>
        <v>1304.0920000000001</v>
      </c>
      <c r="G480">
        <f t="shared" si="41"/>
        <v>-20995.875</v>
      </c>
      <c r="H480">
        <f t="shared" si="37"/>
        <v>56.977460001218411</v>
      </c>
      <c r="I480">
        <f t="shared" si="38"/>
        <v>53.074165602000001</v>
      </c>
      <c r="J480">
        <f t="shared" si="40"/>
        <v>53063.434602000001</v>
      </c>
      <c r="M480">
        <f t="shared" si="39"/>
        <v>36021</v>
      </c>
    </row>
    <row r="481" spans="1:13" x14ac:dyDescent="0.2">
      <c r="A481">
        <v>35</v>
      </c>
      <c r="B481">
        <v>22</v>
      </c>
      <c r="C481">
        <v>57</v>
      </c>
      <c r="D481" s="51" t="s">
        <v>20</v>
      </c>
      <c r="E481">
        <f>VLOOKUP(M481,'MASS - 2016'!$A$1:$G$3418,6,FALSE)</f>
        <v>-33915.633000000002</v>
      </c>
      <c r="F481">
        <f>VLOOKUP(M481,'MASS - 2016'!$A$1:$G$3418,7,FALSE)</f>
        <v>256.41699999999997</v>
      </c>
      <c r="G481">
        <f t="shared" si="41"/>
        <v>-33915.633000000002</v>
      </c>
      <c r="H481">
        <f t="shared" si="37"/>
        <v>56.963590070597348</v>
      </c>
      <c r="I481">
        <f t="shared" si="38"/>
        <v>53.061245843999998</v>
      </c>
      <c r="J481">
        <f t="shared" si="40"/>
        <v>53050.003843999999</v>
      </c>
      <c r="M481">
        <f t="shared" si="39"/>
        <v>35022</v>
      </c>
    </row>
    <row r="482" spans="1:13" x14ac:dyDescent="0.2">
      <c r="A482">
        <v>34</v>
      </c>
      <c r="B482">
        <v>23</v>
      </c>
      <c r="C482">
        <v>57</v>
      </c>
      <c r="D482" s="51" t="s">
        <v>21</v>
      </c>
      <c r="E482">
        <f>VLOOKUP(M482,'MASS - 2016'!$A$1:$G$3418,6,FALSE)</f>
        <v>-44413.45</v>
      </c>
      <c r="F482">
        <f>VLOOKUP(M482,'MASS - 2016'!$A$1:$G$3418,7,FALSE)</f>
        <v>80.478999999999999</v>
      </c>
      <c r="G482">
        <f t="shared" si="41"/>
        <v>-44413.45</v>
      </c>
      <c r="H482">
        <f t="shared" si="37"/>
        <v>56.952320200568622</v>
      </c>
      <c r="I482">
        <f t="shared" si="38"/>
        <v>53.050748026999997</v>
      </c>
      <c r="J482">
        <f t="shared" si="40"/>
        <v>53038.995026999997</v>
      </c>
      <c r="M482">
        <f t="shared" si="39"/>
        <v>34023</v>
      </c>
    </row>
    <row r="483" spans="1:13" x14ac:dyDescent="0.2">
      <c r="A483">
        <v>33</v>
      </c>
      <c r="B483">
        <v>24</v>
      </c>
      <c r="C483">
        <v>57</v>
      </c>
      <c r="D483" s="51" t="s">
        <v>22</v>
      </c>
      <c r="E483">
        <f>VLOOKUP(M483,'MASS - 2016'!$A$1:$G$3418,6,FALSE)</f>
        <v>-52524.701999999997</v>
      </c>
      <c r="F483">
        <f>VLOOKUP(M483,'MASS - 2016'!$A$1:$G$3418,7,FALSE)</f>
        <v>1.0680000000000001</v>
      </c>
      <c r="G483">
        <f t="shared" si="41"/>
        <v>-52524.701999999997</v>
      </c>
      <c r="H483">
        <f t="shared" si="37"/>
        <v>56.94361241343438</v>
      </c>
      <c r="I483">
        <f t="shared" si="38"/>
        <v>53.042636774999998</v>
      </c>
      <c r="J483">
        <f t="shared" si="40"/>
        <v>53030.372774999996</v>
      </c>
      <c r="M483">
        <f t="shared" si="39"/>
        <v>33024</v>
      </c>
    </row>
    <row r="484" spans="1:13" x14ac:dyDescent="0.2">
      <c r="A484">
        <v>32</v>
      </c>
      <c r="B484">
        <v>25</v>
      </c>
      <c r="C484">
        <v>57</v>
      </c>
      <c r="D484" s="51" t="s">
        <v>23</v>
      </c>
      <c r="E484">
        <f>VLOOKUP(M484,'MASS - 2016'!$A$1:$G$3418,6,FALSE)</f>
        <v>-57486.250999999997</v>
      </c>
      <c r="F484">
        <f>VLOOKUP(M484,'MASS - 2016'!$A$1:$G$3418,7,FALSE)</f>
        <v>1.5049999999999999</v>
      </c>
      <c r="G484">
        <f t="shared" si="41"/>
        <v>-57486.250999999997</v>
      </c>
      <c r="H484">
        <f t="shared" si="37"/>
        <v>56.938285971530199</v>
      </c>
      <c r="I484">
        <f t="shared" si="38"/>
        <v>53.037675225999998</v>
      </c>
      <c r="J484">
        <f t="shared" si="40"/>
        <v>53024.900225999998</v>
      </c>
      <c r="M484">
        <f t="shared" si="39"/>
        <v>32025</v>
      </c>
    </row>
    <row r="485" spans="1:13" x14ac:dyDescent="0.2">
      <c r="A485">
        <v>31</v>
      </c>
      <c r="B485">
        <v>26</v>
      </c>
      <c r="C485">
        <v>57</v>
      </c>
      <c r="D485" s="51" t="s">
        <v>24</v>
      </c>
      <c r="E485">
        <f>VLOOKUP(M485,'MASS - 2016'!$A$1:$G$3418,6,FALSE)</f>
        <v>-60181.839</v>
      </c>
      <c r="F485">
        <f>VLOOKUP(M485,'MASS - 2016'!$A$1:$G$3418,7,FALSE)</f>
        <v>0.30399999999999999</v>
      </c>
      <c r="G485">
        <f t="shared" si="41"/>
        <v>-60181.839</v>
      </c>
      <c r="H485">
        <f t="shared" si="37"/>
        <v>56.935392138801838</v>
      </c>
      <c r="I485">
        <f t="shared" si="38"/>
        <v>53.034979637999996</v>
      </c>
      <c r="J485">
        <f t="shared" si="40"/>
        <v>53021.693637999997</v>
      </c>
      <c r="M485">
        <f t="shared" si="39"/>
        <v>31026</v>
      </c>
    </row>
    <row r="486" spans="1:13" x14ac:dyDescent="0.2">
      <c r="A486">
        <v>30</v>
      </c>
      <c r="B486">
        <v>27</v>
      </c>
      <c r="C486">
        <v>57</v>
      </c>
      <c r="D486" s="51" t="s">
        <v>25</v>
      </c>
      <c r="E486">
        <f>VLOOKUP(M486,'MASS - 2016'!$A$1:$G$3418,6,FALSE)</f>
        <v>-59345.563999999998</v>
      </c>
      <c r="F486">
        <f>VLOOKUP(M486,'MASS - 2016'!$A$1:$G$3418,7,FALSE)</f>
        <v>0.53300000000000003</v>
      </c>
      <c r="G486">
        <f t="shared" si="41"/>
        <v>-59345.563999999998</v>
      </c>
      <c r="H486">
        <f t="shared" si="37"/>
        <v>56.936289916935927</v>
      </c>
      <c r="I486">
        <f t="shared" si="38"/>
        <v>53.035815913</v>
      </c>
      <c r="J486">
        <f t="shared" si="40"/>
        <v>53022.018913</v>
      </c>
      <c r="M486">
        <f t="shared" si="39"/>
        <v>30027</v>
      </c>
    </row>
    <row r="487" spans="1:13" x14ac:dyDescent="0.2">
      <c r="A487">
        <v>29</v>
      </c>
      <c r="B487">
        <v>28</v>
      </c>
      <c r="C487">
        <v>57</v>
      </c>
      <c r="D487" s="51" t="s">
        <v>26</v>
      </c>
      <c r="E487">
        <f>VLOOKUP(M487,'MASS - 2016'!$A$1:$G$3418,6,FALSE)</f>
        <v>-56083.832999999999</v>
      </c>
      <c r="F487">
        <f>VLOOKUP(M487,'MASS - 2016'!$A$1:$G$3418,7,FALSE)</f>
        <v>0.58199999999999996</v>
      </c>
      <c r="G487">
        <f t="shared" si="41"/>
        <v>-56083.832999999999</v>
      </c>
      <c r="H487">
        <f t="shared" si="37"/>
        <v>56.939791529170037</v>
      </c>
      <c r="I487">
        <f t="shared" si="38"/>
        <v>53.039077643999995</v>
      </c>
      <c r="J487">
        <f t="shared" si="40"/>
        <v>53024.769644</v>
      </c>
      <c r="M487">
        <f t="shared" si="39"/>
        <v>29028</v>
      </c>
    </row>
    <row r="488" spans="1:13" x14ac:dyDescent="0.2">
      <c r="A488">
        <v>28</v>
      </c>
      <c r="B488">
        <v>29</v>
      </c>
      <c r="C488">
        <v>57</v>
      </c>
      <c r="D488" s="51" t="s">
        <v>27</v>
      </c>
      <c r="E488">
        <f>VLOOKUP(M488,'MASS - 2016'!$A$1:$G$3418,6,FALSE)</f>
        <v>-47308.885999999999</v>
      </c>
      <c r="F488">
        <f>VLOOKUP(M488,'MASS - 2016'!$A$1:$G$3418,7,FALSE)</f>
        <v>0.51900000000000002</v>
      </c>
      <c r="G488">
        <f t="shared" si="41"/>
        <v>-47308.885999999999</v>
      </c>
      <c r="H488">
        <f t="shared" si="37"/>
        <v>56.94921182218895</v>
      </c>
      <c r="I488">
        <f t="shared" si="38"/>
        <v>53.047852590999995</v>
      </c>
      <c r="J488">
        <f t="shared" si="40"/>
        <v>53033.033590999992</v>
      </c>
      <c r="M488">
        <f t="shared" si="39"/>
        <v>28029</v>
      </c>
    </row>
    <row r="489" spans="1:13" x14ac:dyDescent="0.2">
      <c r="A489">
        <v>27</v>
      </c>
      <c r="B489">
        <v>30</v>
      </c>
      <c r="C489">
        <v>57</v>
      </c>
      <c r="D489" s="51" t="s">
        <v>28</v>
      </c>
      <c r="E489" t="str">
        <f>VLOOKUP(M489,'MASS - 2016'!$A$1:$G$3418,6,FALSE)</f>
        <v>-32550#</v>
      </c>
      <c r="F489" t="str">
        <f>VLOOKUP(M489,'MASS - 2016'!$A$1:$G$3418,7,FALSE)</f>
        <v>200#</v>
      </c>
      <c r="G489">
        <f t="shared" si="41"/>
        <v>-32550.01</v>
      </c>
      <c r="H489">
        <f t="shared" si="37"/>
        <v>56.965056127180176</v>
      </c>
      <c r="I489">
        <f t="shared" si="38"/>
        <v>53.062611466999996</v>
      </c>
      <c r="J489">
        <f t="shared" si="40"/>
        <v>53047.281466999993</v>
      </c>
      <c r="M489">
        <f t="shared" si="39"/>
        <v>27030</v>
      </c>
    </row>
    <row r="490" spans="1:13" x14ac:dyDescent="0.2">
      <c r="A490">
        <v>26</v>
      </c>
      <c r="B490">
        <v>31</v>
      </c>
      <c r="C490">
        <v>57</v>
      </c>
      <c r="D490" s="51" t="s">
        <v>29</v>
      </c>
      <c r="E490" t="str">
        <f>VLOOKUP(M490,'MASS - 2016'!$A$1:$G$3418,6,FALSE)</f>
        <v>-15010#</v>
      </c>
      <c r="F490" t="str">
        <f>VLOOKUP(M490,'MASS - 2016'!$A$1:$G$3418,7,FALSE)</f>
        <v>400#</v>
      </c>
      <c r="G490">
        <f t="shared" si="41"/>
        <v>-15010.01</v>
      </c>
      <c r="H490">
        <f t="shared" si="37"/>
        <v>56.983886091572195</v>
      </c>
      <c r="I490">
        <f t="shared" si="38"/>
        <v>53.080151467</v>
      </c>
      <c r="J490">
        <f t="shared" si="40"/>
        <v>53064.310467000003</v>
      </c>
      <c r="M490">
        <f t="shared" si="39"/>
        <v>26031</v>
      </c>
    </row>
    <row r="491" spans="1:13" x14ac:dyDescent="0.2">
      <c r="A491">
        <v>37</v>
      </c>
      <c r="B491">
        <v>21</v>
      </c>
      <c r="C491">
        <v>58</v>
      </c>
      <c r="D491" s="51" t="s">
        <v>19</v>
      </c>
      <c r="E491" t="str">
        <f>VLOOKUP(M491,'MASS - 2016'!$A$1:$G$3418,6,FALSE)</f>
        <v>-14876#</v>
      </c>
      <c r="F491" t="str">
        <f>VLOOKUP(M491,'MASS - 2016'!$A$1:$G$3418,7,FALSE)</f>
        <v>400#</v>
      </c>
      <c r="G491">
        <f t="shared" si="41"/>
        <v>-14876.01</v>
      </c>
      <c r="H491">
        <f t="shared" si="37"/>
        <v>57.984029946488299</v>
      </c>
      <c r="I491">
        <f t="shared" si="38"/>
        <v>54.011779527999998</v>
      </c>
      <c r="J491">
        <f t="shared" si="40"/>
        <v>54001.048527999999</v>
      </c>
      <c r="M491">
        <f t="shared" si="39"/>
        <v>37021</v>
      </c>
    </row>
    <row r="492" spans="1:13" x14ac:dyDescent="0.2">
      <c r="A492">
        <v>36</v>
      </c>
      <c r="B492">
        <v>22</v>
      </c>
      <c r="C492">
        <v>58</v>
      </c>
      <c r="D492" s="51" t="s">
        <v>20</v>
      </c>
      <c r="E492" t="str">
        <f>VLOOKUP(M492,'MASS - 2016'!$A$1:$G$3418,6,FALSE)</f>
        <v>-31110#</v>
      </c>
      <c r="F492" t="str">
        <f>VLOOKUP(M492,'MASS - 2016'!$A$1:$G$3418,7,FALSE)</f>
        <v>200#</v>
      </c>
      <c r="G492">
        <f t="shared" si="41"/>
        <v>-31110.01</v>
      </c>
      <c r="H492">
        <f t="shared" si="37"/>
        <v>57.966602030756263</v>
      </c>
      <c r="I492">
        <f t="shared" si="38"/>
        <v>53.995545528000001</v>
      </c>
      <c r="J492">
        <f t="shared" si="40"/>
        <v>53984.303528000004</v>
      </c>
      <c r="M492">
        <f t="shared" si="39"/>
        <v>36022</v>
      </c>
    </row>
    <row r="493" spans="1:13" x14ac:dyDescent="0.2">
      <c r="A493">
        <v>35</v>
      </c>
      <c r="B493">
        <v>23</v>
      </c>
      <c r="C493">
        <v>58</v>
      </c>
      <c r="D493" s="51" t="s">
        <v>21</v>
      </c>
      <c r="E493">
        <f>VLOOKUP(M493,'MASS - 2016'!$A$1:$G$3418,6,FALSE)</f>
        <v>-40401.752999999997</v>
      </c>
      <c r="F493">
        <f>VLOOKUP(M493,'MASS - 2016'!$A$1:$G$3418,7,FALSE)</f>
        <v>89.373999999999995</v>
      </c>
      <c r="G493">
        <f t="shared" si="41"/>
        <v>-40401.752999999997</v>
      </c>
      <c r="H493">
        <f t="shared" si="37"/>
        <v>57.956626934414778</v>
      </c>
      <c r="I493">
        <f t="shared" si="38"/>
        <v>53.986253785000002</v>
      </c>
      <c r="J493">
        <f t="shared" si="40"/>
        <v>53974.500785000004</v>
      </c>
      <c r="M493">
        <f t="shared" si="39"/>
        <v>35023</v>
      </c>
    </row>
    <row r="494" spans="1:13" x14ac:dyDescent="0.2">
      <c r="A494">
        <v>34</v>
      </c>
      <c r="B494">
        <v>24</v>
      </c>
      <c r="C494">
        <v>58</v>
      </c>
      <c r="D494" s="51" t="s">
        <v>22</v>
      </c>
      <c r="E494">
        <f>VLOOKUP(M494,'MASS - 2016'!$A$1:$G$3418,6,FALSE)</f>
        <v>-51991.800999999999</v>
      </c>
      <c r="F494">
        <f>VLOOKUP(M494,'MASS - 2016'!$A$1:$G$3418,7,FALSE)</f>
        <v>1.49</v>
      </c>
      <c r="G494">
        <f t="shared" si="41"/>
        <v>-51991.800999999999</v>
      </c>
      <c r="H494">
        <f t="shared" si="37"/>
        <v>57.944184506185486</v>
      </c>
      <c r="I494">
        <f t="shared" si="38"/>
        <v>53.974663737</v>
      </c>
      <c r="J494">
        <f t="shared" si="40"/>
        <v>53962.399737</v>
      </c>
      <c r="M494">
        <f t="shared" si="39"/>
        <v>34024</v>
      </c>
    </row>
    <row r="495" spans="1:13" x14ac:dyDescent="0.2">
      <c r="A495">
        <v>33</v>
      </c>
      <c r="B495">
        <v>25</v>
      </c>
      <c r="C495">
        <v>58</v>
      </c>
      <c r="D495" s="51" t="s">
        <v>23</v>
      </c>
      <c r="E495">
        <f>VLOOKUP(M495,'MASS - 2016'!$A$1:$G$3418,6,FALSE)</f>
        <v>-55827.56</v>
      </c>
      <c r="F495">
        <f>VLOOKUP(M495,'MASS - 2016'!$A$1:$G$3418,7,FALSE)</f>
        <v>2.7010000000000001</v>
      </c>
      <c r="G495">
        <f t="shared" si="41"/>
        <v>-55827.56</v>
      </c>
      <c r="H495">
        <f t="shared" si="37"/>
        <v>57.940066649550012</v>
      </c>
      <c r="I495">
        <f t="shared" si="38"/>
        <v>53.970827978000003</v>
      </c>
      <c r="J495">
        <f t="shared" si="40"/>
        <v>53958.052978</v>
      </c>
      <c r="M495">
        <f t="shared" si="39"/>
        <v>33025</v>
      </c>
    </row>
    <row r="496" spans="1:13" x14ac:dyDescent="0.2">
      <c r="A496">
        <v>32</v>
      </c>
      <c r="B496">
        <v>26</v>
      </c>
      <c r="C496">
        <v>58</v>
      </c>
      <c r="D496" s="51" t="s">
        <v>24</v>
      </c>
      <c r="E496">
        <f>VLOOKUP(M496,'MASS - 2016'!$A$1:$G$3418,6,FALSE)</f>
        <v>-62155.112999999998</v>
      </c>
      <c r="F496">
        <f>VLOOKUP(M496,'MASS - 2016'!$A$1:$G$3418,7,FALSE)</f>
        <v>0.34300000000000003</v>
      </c>
      <c r="G496">
        <f t="shared" si="41"/>
        <v>-62155.112999999998</v>
      </c>
      <c r="H496">
        <f t="shared" si="37"/>
        <v>57.933273742042672</v>
      </c>
      <c r="I496">
        <f t="shared" si="38"/>
        <v>53.964500424999997</v>
      </c>
      <c r="J496">
        <f t="shared" si="40"/>
        <v>53951.214424999998</v>
      </c>
      <c r="M496">
        <f t="shared" si="39"/>
        <v>32026</v>
      </c>
    </row>
    <row r="497" spans="1:13" x14ac:dyDescent="0.2">
      <c r="A497">
        <v>31</v>
      </c>
      <c r="B497">
        <v>27</v>
      </c>
      <c r="C497">
        <v>58</v>
      </c>
      <c r="D497" s="51" t="s">
        <v>25</v>
      </c>
      <c r="E497">
        <f>VLOOKUP(M497,'MASS - 2016'!$A$1:$G$3418,6,FALSE)</f>
        <v>-59847.158000000003</v>
      </c>
      <c r="F497">
        <f>VLOOKUP(M497,'MASS - 2016'!$A$1:$G$3418,7,FALSE)</f>
        <v>1.1599999999999999</v>
      </c>
      <c r="G497">
        <f t="shared" si="41"/>
        <v>-59847.158000000003</v>
      </c>
      <c r="H497">
        <f t="shared" si="37"/>
        <v>57.93575143363153</v>
      </c>
      <c r="I497">
        <f t="shared" si="38"/>
        <v>53.966808380000003</v>
      </c>
      <c r="J497">
        <f t="shared" si="40"/>
        <v>53953.011380000004</v>
      </c>
      <c r="M497">
        <f t="shared" si="39"/>
        <v>31027</v>
      </c>
    </row>
    <row r="498" spans="1:13" x14ac:dyDescent="0.2">
      <c r="A498">
        <v>30</v>
      </c>
      <c r="B498">
        <v>28</v>
      </c>
      <c r="C498">
        <v>58</v>
      </c>
      <c r="D498" s="51" t="s">
        <v>26</v>
      </c>
      <c r="E498">
        <f>VLOOKUP(M498,'MASS - 2016'!$A$1:$G$3418,6,FALSE)</f>
        <v>-60228.743999999999</v>
      </c>
      <c r="F498">
        <f>VLOOKUP(M498,'MASS - 2016'!$A$1:$G$3418,7,FALSE)</f>
        <v>0.373</v>
      </c>
      <c r="G498">
        <f t="shared" si="41"/>
        <v>-60228.743999999999</v>
      </c>
      <c r="H498">
        <f t="shared" si="37"/>
        <v>57.935341784213477</v>
      </c>
      <c r="I498">
        <f t="shared" si="38"/>
        <v>53.966426794</v>
      </c>
      <c r="J498">
        <f t="shared" si="40"/>
        <v>53952.118794000002</v>
      </c>
      <c r="M498">
        <f t="shared" si="39"/>
        <v>30028</v>
      </c>
    </row>
    <row r="499" spans="1:13" x14ac:dyDescent="0.2">
      <c r="A499">
        <v>29</v>
      </c>
      <c r="B499">
        <v>29</v>
      </c>
      <c r="C499">
        <v>58</v>
      </c>
      <c r="D499" s="51" t="s">
        <v>27</v>
      </c>
      <c r="E499">
        <f>VLOOKUP(M499,'MASS - 2016'!$A$1:$G$3418,6,FALSE)</f>
        <v>-51667.724999999999</v>
      </c>
      <c r="F499">
        <f>VLOOKUP(M499,'MASS - 2016'!$A$1:$G$3418,7,FALSE)</f>
        <v>0.57799999999999996</v>
      </c>
      <c r="G499">
        <f t="shared" si="41"/>
        <v>-51667.724999999999</v>
      </c>
      <c r="H499">
        <f t="shared" si="37"/>
        <v>57.944532416079461</v>
      </c>
      <c r="I499">
        <f t="shared" si="38"/>
        <v>53.974987812999998</v>
      </c>
      <c r="J499">
        <f t="shared" si="40"/>
        <v>53960.168812999997</v>
      </c>
      <c r="M499">
        <f t="shared" si="39"/>
        <v>29029</v>
      </c>
    </row>
    <row r="500" spans="1:13" x14ac:dyDescent="0.2">
      <c r="A500">
        <v>28</v>
      </c>
      <c r="B500">
        <v>30</v>
      </c>
      <c r="C500">
        <v>58</v>
      </c>
      <c r="D500" s="51" t="s">
        <v>28</v>
      </c>
      <c r="E500">
        <f>VLOOKUP(M500,'MASS - 2016'!$A$1:$G$3418,6,FALSE)</f>
        <v>-42298.743999999999</v>
      </c>
      <c r="F500">
        <f>VLOOKUP(M500,'MASS - 2016'!$A$1:$G$3418,7,FALSE)</f>
        <v>50.000999999999998</v>
      </c>
      <c r="G500">
        <f t="shared" si="41"/>
        <v>-42298.743999999999</v>
      </c>
      <c r="H500">
        <f t="shared" si="37"/>
        <v>57.954590430824013</v>
      </c>
      <c r="I500">
        <f t="shared" si="38"/>
        <v>53.984356794</v>
      </c>
      <c r="J500">
        <f t="shared" si="40"/>
        <v>53969.026793999998</v>
      </c>
      <c r="M500">
        <f t="shared" si="39"/>
        <v>28030</v>
      </c>
    </row>
    <row r="501" spans="1:13" x14ac:dyDescent="0.2">
      <c r="A501">
        <v>27</v>
      </c>
      <c r="B501">
        <v>31</v>
      </c>
      <c r="C501">
        <v>58</v>
      </c>
      <c r="D501" s="51" t="s">
        <v>29</v>
      </c>
      <c r="E501" t="str">
        <f>VLOOKUP(M501,'MASS - 2016'!$A$1:$G$3418,6,FALSE)</f>
        <v>-23540#</v>
      </c>
      <c r="F501" t="str">
        <f>VLOOKUP(M501,'MASS - 2016'!$A$1:$G$3418,7,FALSE)</f>
        <v>300#</v>
      </c>
      <c r="G501">
        <f t="shared" si="41"/>
        <v>-23540.01</v>
      </c>
      <c r="H501">
        <f t="shared" si="37"/>
        <v>57.974728759972201</v>
      </c>
      <c r="I501">
        <f t="shared" si="38"/>
        <v>54.003115528000002</v>
      </c>
      <c r="J501">
        <f t="shared" si="40"/>
        <v>53987.274528000002</v>
      </c>
      <c r="M501">
        <f t="shared" si="39"/>
        <v>27031</v>
      </c>
    </row>
    <row r="502" spans="1:13" x14ac:dyDescent="0.2">
      <c r="A502">
        <v>26</v>
      </c>
      <c r="B502">
        <v>32</v>
      </c>
      <c r="C502">
        <v>58</v>
      </c>
      <c r="D502" s="51" t="s">
        <v>30</v>
      </c>
      <c r="E502" t="str">
        <f>VLOOKUP(M502,'MASS - 2016'!$A$1:$G$3418,6,FALSE)</f>
        <v>-7080#</v>
      </c>
      <c r="F502" t="str">
        <f>VLOOKUP(M502,'MASS - 2016'!$A$1:$G$3418,7,FALSE)</f>
        <v>500#</v>
      </c>
      <c r="G502">
        <f t="shared" si="41"/>
        <v>-7080.01</v>
      </c>
      <c r="H502">
        <f t="shared" si="37"/>
        <v>57.992399296682152</v>
      </c>
      <c r="I502">
        <f t="shared" si="38"/>
        <v>54.019575527999997</v>
      </c>
      <c r="J502">
        <f t="shared" si="40"/>
        <v>54003.223527999995</v>
      </c>
      <c r="M502">
        <f t="shared" si="39"/>
        <v>26032</v>
      </c>
    </row>
    <row r="503" spans="1:13" x14ac:dyDescent="0.2">
      <c r="A503">
        <v>38</v>
      </c>
      <c r="B503">
        <v>21</v>
      </c>
      <c r="C503">
        <v>59</v>
      </c>
      <c r="D503" s="51" t="s">
        <v>19</v>
      </c>
      <c r="E503" t="str">
        <f>VLOOKUP(M503,'MASS - 2016'!$A$1:$G$3418,6,FALSE)</f>
        <v>-10302#</v>
      </c>
      <c r="F503" t="str">
        <f>VLOOKUP(M503,'MASS - 2016'!$A$1:$G$3418,7,FALSE)</f>
        <v>400#</v>
      </c>
      <c r="G503">
        <f t="shared" si="41"/>
        <v>-10302.01</v>
      </c>
      <c r="H503">
        <f t="shared" si="37"/>
        <v>58.98894033743067</v>
      </c>
      <c r="I503">
        <f t="shared" si="38"/>
        <v>54.947847589000006</v>
      </c>
      <c r="J503">
        <f t="shared" si="40"/>
        <v>54937.116589000005</v>
      </c>
      <c r="M503">
        <f t="shared" si="39"/>
        <v>38021</v>
      </c>
    </row>
    <row r="504" spans="1:13" x14ac:dyDescent="0.2">
      <c r="A504">
        <v>37</v>
      </c>
      <c r="B504">
        <v>22</v>
      </c>
      <c r="C504">
        <v>59</v>
      </c>
      <c r="D504" s="51" t="s">
        <v>20</v>
      </c>
      <c r="E504" t="str">
        <f>VLOOKUP(M504,'MASS - 2016'!$A$1:$G$3418,6,FALSE)</f>
        <v>-25510#</v>
      </c>
      <c r="F504" t="str">
        <f>VLOOKUP(M504,'MASS - 2016'!$A$1:$G$3418,7,FALSE)</f>
        <v>200#</v>
      </c>
      <c r="G504">
        <f t="shared" si="41"/>
        <v>-25510.01</v>
      </c>
      <c r="H504">
        <f t="shared" si="37"/>
        <v>58.972613877996594</v>
      </c>
      <c r="I504">
        <f t="shared" si="38"/>
        <v>54.932639589000004</v>
      </c>
      <c r="J504">
        <f t="shared" si="40"/>
        <v>54921.397589000007</v>
      </c>
      <c r="M504">
        <f t="shared" si="39"/>
        <v>37022</v>
      </c>
    </row>
    <row r="505" spans="1:13" x14ac:dyDescent="0.2">
      <c r="A505">
        <v>36</v>
      </c>
      <c r="B505">
        <v>23</v>
      </c>
      <c r="C505">
        <v>59</v>
      </c>
      <c r="D505" s="51" t="s">
        <v>21</v>
      </c>
      <c r="E505">
        <f>VLOOKUP(M505,'MASS - 2016'!$A$1:$G$3418,6,FALSE)</f>
        <v>-37832.014999999999</v>
      </c>
      <c r="F505">
        <f>VLOOKUP(M505,'MASS - 2016'!$A$1:$G$3418,7,FALSE)</f>
        <v>161.874</v>
      </c>
      <c r="G505">
        <f t="shared" si="41"/>
        <v>-37832.014999999999</v>
      </c>
      <c r="H505">
        <f t="shared" si="37"/>
        <v>58.959385661611861</v>
      </c>
      <c r="I505">
        <f t="shared" si="38"/>
        <v>54.920317584000003</v>
      </c>
      <c r="J505">
        <f t="shared" si="40"/>
        <v>54908.564584000007</v>
      </c>
      <c r="M505">
        <f t="shared" si="39"/>
        <v>36023</v>
      </c>
    </row>
    <row r="506" spans="1:13" x14ac:dyDescent="0.2">
      <c r="A506">
        <v>35</v>
      </c>
      <c r="B506">
        <v>24</v>
      </c>
      <c r="C506">
        <v>59</v>
      </c>
      <c r="D506" s="51" t="s">
        <v>22</v>
      </c>
      <c r="E506">
        <f>VLOOKUP(M506,'MASS - 2016'!$A$1:$G$3418,6,FALSE)</f>
        <v>-48085.760000000002</v>
      </c>
      <c r="F506">
        <f>VLOOKUP(M506,'MASS - 2016'!$A$1:$G$3418,7,FALSE)</f>
        <v>216.36699999999999</v>
      </c>
      <c r="G506">
        <f t="shared" si="41"/>
        <v>-48085.760000000002</v>
      </c>
      <c r="H506">
        <f t="shared" si="37"/>
        <v>58.948377813650929</v>
      </c>
      <c r="I506">
        <f t="shared" si="38"/>
        <v>54.910063839000003</v>
      </c>
      <c r="J506">
        <f t="shared" si="40"/>
        <v>54897.799838999999</v>
      </c>
      <c r="M506">
        <f t="shared" si="39"/>
        <v>35024</v>
      </c>
    </row>
    <row r="507" spans="1:13" x14ac:dyDescent="0.2">
      <c r="A507">
        <v>34</v>
      </c>
      <c r="B507">
        <v>25</v>
      </c>
      <c r="C507">
        <v>59</v>
      </c>
      <c r="D507" s="51" t="s">
        <v>23</v>
      </c>
      <c r="E507">
        <f>VLOOKUP(M507,'MASS - 2016'!$A$1:$G$3418,6,FALSE)</f>
        <v>-55525.32</v>
      </c>
      <c r="F507">
        <f>VLOOKUP(M507,'MASS - 2016'!$A$1:$G$3418,7,FALSE)</f>
        <v>2.3290000000000002</v>
      </c>
      <c r="G507">
        <f t="shared" si="41"/>
        <v>-55525.32</v>
      </c>
      <c r="H507">
        <f t="shared" si="37"/>
        <v>58.94039111753392</v>
      </c>
      <c r="I507">
        <f t="shared" si="38"/>
        <v>54.902624279000001</v>
      </c>
      <c r="J507">
        <f t="shared" si="40"/>
        <v>54889.849279000002</v>
      </c>
      <c r="M507">
        <f t="shared" si="39"/>
        <v>34025</v>
      </c>
    </row>
    <row r="508" spans="1:13" x14ac:dyDescent="0.2">
      <c r="A508">
        <v>33</v>
      </c>
      <c r="B508">
        <v>26</v>
      </c>
      <c r="C508">
        <v>59</v>
      </c>
      <c r="D508" s="51" t="s">
        <v>24</v>
      </c>
      <c r="E508">
        <f>VLOOKUP(M508,'MASS - 2016'!$A$1:$G$3418,6,FALSE)</f>
        <v>-60664.805</v>
      </c>
      <c r="F508">
        <f>VLOOKUP(M508,'MASS - 2016'!$A$1:$G$3418,7,FALSE)</f>
        <v>0.35499999999999998</v>
      </c>
      <c r="G508">
        <f t="shared" si="41"/>
        <v>-60664.805</v>
      </c>
      <c r="H508">
        <f t="shared" si="37"/>
        <v>58.934873653477865</v>
      </c>
      <c r="I508">
        <f t="shared" si="38"/>
        <v>54.897484794</v>
      </c>
      <c r="J508">
        <f t="shared" si="40"/>
        <v>54884.198794000004</v>
      </c>
      <c r="M508">
        <f t="shared" si="39"/>
        <v>33026</v>
      </c>
    </row>
    <row r="509" spans="1:13" x14ac:dyDescent="0.2">
      <c r="A509">
        <v>32</v>
      </c>
      <c r="B509">
        <v>27</v>
      </c>
      <c r="C509">
        <v>59</v>
      </c>
      <c r="D509" s="51" t="s">
        <v>25</v>
      </c>
      <c r="E509">
        <f>VLOOKUP(M509,'MASS - 2016'!$A$1:$G$3418,6,FALSE)</f>
        <v>-62229.709000000003</v>
      </c>
      <c r="F509">
        <f>VLOOKUP(M509,'MASS - 2016'!$A$1:$G$3418,7,FALSE)</f>
        <v>0.41799999999999998</v>
      </c>
      <c r="G509">
        <f t="shared" si="41"/>
        <v>-62229.709000000003</v>
      </c>
      <c r="H509">
        <f t="shared" si="37"/>
        <v>58.933193659943264</v>
      </c>
      <c r="I509">
        <f t="shared" si="38"/>
        <v>54.895919890000002</v>
      </c>
      <c r="J509">
        <f t="shared" si="40"/>
        <v>54882.122890000006</v>
      </c>
      <c r="M509">
        <f t="shared" si="39"/>
        <v>32027</v>
      </c>
    </row>
    <row r="510" spans="1:13" x14ac:dyDescent="0.2">
      <c r="A510">
        <v>31</v>
      </c>
      <c r="B510">
        <v>28</v>
      </c>
      <c r="C510">
        <v>59</v>
      </c>
      <c r="D510" s="51" t="s">
        <v>26</v>
      </c>
      <c r="E510">
        <f>VLOOKUP(M510,'MASS - 2016'!$A$1:$G$3418,6,FALSE)</f>
        <v>-61156.707000000002</v>
      </c>
      <c r="F510">
        <f>VLOOKUP(M510,'MASS - 2016'!$A$1:$G$3418,7,FALSE)</f>
        <v>0.374</v>
      </c>
      <c r="G510">
        <f t="shared" si="41"/>
        <v>-61156.707000000002</v>
      </c>
      <c r="H510">
        <f t="shared" si="37"/>
        <v>58.934345574963359</v>
      </c>
      <c r="I510">
        <f t="shared" si="38"/>
        <v>54.896992892</v>
      </c>
      <c r="J510">
        <f t="shared" si="40"/>
        <v>54882.684892000005</v>
      </c>
      <c r="M510">
        <f t="shared" si="39"/>
        <v>31028</v>
      </c>
    </row>
    <row r="511" spans="1:13" x14ac:dyDescent="0.2">
      <c r="A511">
        <v>30</v>
      </c>
      <c r="B511">
        <v>29</v>
      </c>
      <c r="C511">
        <v>59</v>
      </c>
      <c r="D511" s="51" t="s">
        <v>27</v>
      </c>
      <c r="E511">
        <f>VLOOKUP(M511,'MASS - 2016'!$A$1:$G$3418,6,FALSE)</f>
        <v>-56358.326999999997</v>
      </c>
      <c r="F511">
        <f>VLOOKUP(M511,'MASS - 2016'!$A$1:$G$3418,7,FALSE)</f>
        <v>0.54400000000000004</v>
      </c>
      <c r="G511">
        <f t="shared" si="41"/>
        <v>-56358.326999999997</v>
      </c>
      <c r="H511">
        <f t="shared" si="37"/>
        <v>58.93949684774212</v>
      </c>
      <c r="I511">
        <f t="shared" si="38"/>
        <v>54.901791272000004</v>
      </c>
      <c r="J511">
        <f t="shared" si="40"/>
        <v>54886.972271999999</v>
      </c>
      <c r="M511">
        <f t="shared" si="39"/>
        <v>30029</v>
      </c>
    </row>
    <row r="512" spans="1:13" x14ac:dyDescent="0.2">
      <c r="A512">
        <v>29</v>
      </c>
      <c r="B512">
        <v>30</v>
      </c>
      <c r="C512">
        <v>59</v>
      </c>
      <c r="D512" s="51" t="s">
        <v>28</v>
      </c>
      <c r="E512">
        <f>VLOOKUP(M512,'MASS - 2016'!$A$1:$G$3418,6,FALSE)</f>
        <v>-47215.550999999999</v>
      </c>
      <c r="F512">
        <f>VLOOKUP(M512,'MASS - 2016'!$A$1:$G$3418,7,FALSE)</f>
        <v>0.77100000000000002</v>
      </c>
      <c r="G512">
        <f t="shared" si="41"/>
        <v>-47215.550999999999</v>
      </c>
      <c r="H512">
        <f t="shared" si="37"/>
        <v>58.949312021432206</v>
      </c>
      <c r="I512">
        <f t="shared" si="38"/>
        <v>54.910934048000001</v>
      </c>
      <c r="J512">
        <f t="shared" si="40"/>
        <v>54895.604048000001</v>
      </c>
      <c r="M512">
        <f t="shared" si="39"/>
        <v>29030</v>
      </c>
    </row>
    <row r="513" spans="1:13" x14ac:dyDescent="0.2">
      <c r="A513">
        <v>28</v>
      </c>
      <c r="B513">
        <v>31</v>
      </c>
      <c r="C513">
        <v>59</v>
      </c>
      <c r="D513" s="51" t="s">
        <v>29</v>
      </c>
      <c r="E513" t="str">
        <f>VLOOKUP(M513,'MASS - 2016'!$A$1:$G$3418,6,FALSE)</f>
        <v>-33760#</v>
      </c>
      <c r="F513" t="str">
        <f>VLOOKUP(M513,'MASS - 2016'!$A$1:$G$3418,7,FALSE)</f>
        <v>170#</v>
      </c>
      <c r="G513">
        <f t="shared" si="41"/>
        <v>-33760.01</v>
      </c>
      <c r="H513">
        <f t="shared" si="37"/>
        <v>58.963757138758616</v>
      </c>
      <c r="I513">
        <f t="shared" si="38"/>
        <v>54.924389589</v>
      </c>
      <c r="J513">
        <f t="shared" si="40"/>
        <v>54908.548588999998</v>
      </c>
      <c r="M513">
        <f t="shared" si="39"/>
        <v>28031</v>
      </c>
    </row>
    <row r="514" spans="1:13" x14ac:dyDescent="0.2">
      <c r="A514">
        <v>27</v>
      </c>
      <c r="B514">
        <v>32</v>
      </c>
      <c r="C514">
        <v>59</v>
      </c>
      <c r="D514" s="51" t="s">
        <v>30</v>
      </c>
      <c r="E514" t="str">
        <f>VLOOKUP(M514,'MASS - 2016'!$A$1:$G$3418,6,FALSE)</f>
        <v>-15870#</v>
      </c>
      <c r="F514" t="str">
        <f>VLOOKUP(M514,'MASS - 2016'!$A$1:$G$3418,7,FALSE)</f>
        <v>400#</v>
      </c>
      <c r="G514">
        <f t="shared" si="41"/>
        <v>-15870.01</v>
      </c>
      <c r="H514">
        <f t="shared" si="37"/>
        <v>58.982962843603147</v>
      </c>
      <c r="I514">
        <f t="shared" si="38"/>
        <v>54.942279589000002</v>
      </c>
      <c r="J514">
        <f t="shared" si="40"/>
        <v>54925.927589000006</v>
      </c>
      <c r="M514">
        <f t="shared" si="39"/>
        <v>27032</v>
      </c>
    </row>
    <row r="515" spans="1:13" x14ac:dyDescent="0.2">
      <c r="A515">
        <v>38</v>
      </c>
      <c r="B515">
        <v>22</v>
      </c>
      <c r="C515">
        <v>60</v>
      </c>
      <c r="D515" s="51" t="s">
        <v>20</v>
      </c>
      <c r="E515" t="str">
        <f>VLOOKUP(M515,'MASS - 2016'!$A$1:$G$3418,6,FALSE)</f>
        <v>-22330#</v>
      </c>
      <c r="F515" t="str">
        <f>VLOOKUP(M515,'MASS - 2016'!$A$1:$G$3418,7,FALSE)</f>
        <v>300#</v>
      </c>
      <c r="G515">
        <f t="shared" si="41"/>
        <v>-22330.01</v>
      </c>
      <c r="H515">
        <f t="shared" si="37"/>
        <v>59.976027748393768</v>
      </c>
      <c r="I515">
        <f t="shared" si="38"/>
        <v>55.86731365</v>
      </c>
      <c r="J515">
        <f t="shared" si="40"/>
        <v>55856.071649999998</v>
      </c>
      <c r="M515">
        <f t="shared" si="39"/>
        <v>38022</v>
      </c>
    </row>
    <row r="516" spans="1:13" x14ac:dyDescent="0.2">
      <c r="A516">
        <v>37</v>
      </c>
      <c r="B516">
        <v>23</v>
      </c>
      <c r="C516">
        <v>60</v>
      </c>
      <c r="D516" s="51" t="s">
        <v>21</v>
      </c>
      <c r="E516">
        <f>VLOOKUP(M516,'MASS - 2016'!$A$1:$G$3418,6,FALSE)</f>
        <v>-33241.955999999998</v>
      </c>
      <c r="F516">
        <f>VLOOKUP(M516,'MASS - 2016'!$A$1:$G$3418,7,FALSE)</f>
        <v>220.15899999999999</v>
      </c>
      <c r="G516">
        <f t="shared" si="41"/>
        <v>-33241.955999999998</v>
      </c>
      <c r="H516">
        <f t="shared" si="37"/>
        <v>59.964313292599726</v>
      </c>
      <c r="I516">
        <f t="shared" si="38"/>
        <v>55.856401704</v>
      </c>
      <c r="J516">
        <f t="shared" si="40"/>
        <v>55844.648703999999</v>
      </c>
      <c r="M516">
        <f t="shared" si="39"/>
        <v>37023</v>
      </c>
    </row>
    <row r="517" spans="1:13" x14ac:dyDescent="0.2">
      <c r="A517">
        <v>36</v>
      </c>
      <c r="B517">
        <v>24</v>
      </c>
      <c r="C517">
        <v>60</v>
      </c>
      <c r="D517" s="51" t="s">
        <v>22</v>
      </c>
      <c r="E517">
        <f>VLOOKUP(M517,'MASS - 2016'!$A$1:$G$3418,6,FALSE)</f>
        <v>-46669.576000000001</v>
      </c>
      <c r="F517">
        <f>VLOOKUP(M517,'MASS - 2016'!$A$1:$G$3418,7,FALSE)</f>
        <v>193.59299999999999</v>
      </c>
      <c r="G517">
        <f t="shared" si="41"/>
        <v>-46669.576000000001</v>
      </c>
      <c r="H517">
        <f t="shared" si="37"/>
        <v>59.949898149699528</v>
      </c>
      <c r="I517">
        <f t="shared" si="38"/>
        <v>55.842974083999998</v>
      </c>
      <c r="J517">
        <f t="shared" si="40"/>
        <v>55830.710083999998</v>
      </c>
      <c r="M517">
        <f t="shared" si="39"/>
        <v>36024</v>
      </c>
    </row>
    <row r="518" spans="1:13" x14ac:dyDescent="0.2">
      <c r="A518">
        <v>35</v>
      </c>
      <c r="B518">
        <v>25</v>
      </c>
      <c r="C518">
        <v>60</v>
      </c>
      <c r="D518" s="51" t="s">
        <v>23</v>
      </c>
      <c r="E518">
        <f>VLOOKUP(M518,'MASS - 2016'!$A$1:$G$3418,6,FALSE)</f>
        <v>-52967.938000000002</v>
      </c>
      <c r="F518">
        <f>VLOOKUP(M518,'MASS - 2016'!$A$1:$G$3418,7,FALSE)</f>
        <v>2.3290000000000002</v>
      </c>
      <c r="G518">
        <f t="shared" si="41"/>
        <v>-52967.938000000002</v>
      </c>
      <c r="H518">
        <f t="shared" si="37"/>
        <v>59.943136580019477</v>
      </c>
      <c r="I518">
        <f t="shared" si="38"/>
        <v>55.836675721999995</v>
      </c>
      <c r="J518">
        <f t="shared" si="40"/>
        <v>55823.900721999991</v>
      </c>
      <c r="M518">
        <f t="shared" si="39"/>
        <v>35025</v>
      </c>
    </row>
    <row r="519" spans="1:13" x14ac:dyDescent="0.2">
      <c r="A519">
        <v>34</v>
      </c>
      <c r="B519">
        <v>26</v>
      </c>
      <c r="C519">
        <v>60</v>
      </c>
      <c r="D519" s="51" t="s">
        <v>24</v>
      </c>
      <c r="E519">
        <f>VLOOKUP(M519,'MASS - 2016'!$A$1:$G$3418,6,FALSE)</f>
        <v>-61413.017</v>
      </c>
      <c r="F519">
        <f>VLOOKUP(M519,'MASS - 2016'!$A$1:$G$3418,7,FALSE)</f>
        <v>3.4089999999999998</v>
      </c>
      <c r="G519">
        <f t="shared" si="41"/>
        <v>-61413.017</v>
      </c>
      <c r="H519">
        <f t="shared" si="37"/>
        <v>59.934070414862255</v>
      </c>
      <c r="I519">
        <f t="shared" si="38"/>
        <v>55.828230642999998</v>
      </c>
      <c r="J519">
        <f t="shared" si="40"/>
        <v>55814.944642999995</v>
      </c>
      <c r="M519">
        <f t="shared" si="39"/>
        <v>34026</v>
      </c>
    </row>
    <row r="520" spans="1:13" x14ac:dyDescent="0.2">
      <c r="A520">
        <v>33</v>
      </c>
      <c r="B520">
        <v>27</v>
      </c>
      <c r="C520">
        <v>60</v>
      </c>
      <c r="D520" s="51" t="s">
        <v>25</v>
      </c>
      <c r="E520">
        <f>VLOOKUP(M520,'MASS - 2016'!$A$1:$G$3418,6,FALSE)</f>
        <v>-61650.309000000001</v>
      </c>
      <c r="F520">
        <f>VLOOKUP(M520,'MASS - 2016'!$A$1:$G$3418,7,FALSE)</f>
        <v>0.42399999999999999</v>
      </c>
      <c r="G520">
        <f t="shared" si="41"/>
        <v>-61650.309000000001</v>
      </c>
      <c r="H520">
        <f t="shared" si="37"/>
        <v>59.933815671423801</v>
      </c>
      <c r="I520">
        <f t="shared" si="38"/>
        <v>55.827993350999996</v>
      </c>
      <c r="J520">
        <f t="shared" si="40"/>
        <v>55814.196350999999</v>
      </c>
      <c r="M520">
        <f t="shared" si="39"/>
        <v>33027</v>
      </c>
    </row>
    <row r="521" spans="1:13" x14ac:dyDescent="0.2">
      <c r="A521">
        <v>32</v>
      </c>
      <c r="B521">
        <v>28</v>
      </c>
      <c r="C521">
        <v>60</v>
      </c>
      <c r="D521" s="51" t="s">
        <v>26</v>
      </c>
      <c r="E521">
        <f>VLOOKUP(M521,'MASS - 2016'!$A$1:$G$3418,6,FALSE)</f>
        <v>-64473.118000000002</v>
      </c>
      <c r="F521">
        <f>VLOOKUP(M521,'MASS - 2016'!$A$1:$G$3418,7,FALSE)</f>
        <v>0.376</v>
      </c>
      <c r="G521">
        <f t="shared" si="41"/>
        <v>-64473.118000000002</v>
      </c>
      <c r="H521">
        <f t="shared" ref="H521:H584" si="42">(C521*$A$3+G521/1000000)/$A$3</f>
        <v>59.930785261335117</v>
      </c>
      <c r="I521">
        <f t="shared" ref="I521:I584" si="43">H521*$A$3</f>
        <v>55.825170541999995</v>
      </c>
      <c r="J521">
        <f t="shared" si="40"/>
        <v>55810.862541999995</v>
      </c>
      <c r="M521">
        <f t="shared" ref="M521:M584" si="44">1000*A521+B521</f>
        <v>32028</v>
      </c>
    </row>
    <row r="522" spans="1:13" x14ac:dyDescent="0.2">
      <c r="A522">
        <v>31</v>
      </c>
      <c r="B522">
        <v>29</v>
      </c>
      <c r="C522">
        <v>60</v>
      </c>
      <c r="D522" s="51" t="s">
        <v>27</v>
      </c>
      <c r="E522">
        <f>VLOOKUP(M522,'MASS - 2016'!$A$1:$G$3418,6,FALSE)</f>
        <v>-58345.137000000002</v>
      </c>
      <c r="F522">
        <f>VLOOKUP(M522,'MASS - 2016'!$A$1:$G$3418,7,FALSE)</f>
        <v>1.6180000000000001</v>
      </c>
      <c r="G522">
        <f t="shared" si="41"/>
        <v>-58345.137000000002</v>
      </c>
      <c r="H522">
        <f t="shared" si="42"/>
        <v>59.937363919489329</v>
      </c>
      <c r="I522">
        <f t="shared" si="43"/>
        <v>55.831298522999994</v>
      </c>
      <c r="J522">
        <f t="shared" si="40"/>
        <v>55816.479522999987</v>
      </c>
      <c r="M522">
        <f t="shared" si="44"/>
        <v>31029</v>
      </c>
    </row>
    <row r="523" spans="1:13" x14ac:dyDescent="0.2">
      <c r="A523">
        <v>30</v>
      </c>
      <c r="B523">
        <v>30</v>
      </c>
      <c r="C523">
        <v>60</v>
      </c>
      <c r="D523" s="51" t="s">
        <v>28</v>
      </c>
      <c r="E523">
        <f>VLOOKUP(M523,'MASS - 2016'!$A$1:$G$3418,6,FALSE)</f>
        <v>-54174.34</v>
      </c>
      <c r="F523">
        <f>VLOOKUP(M523,'MASS - 2016'!$A$1:$G$3418,7,FALSE)</f>
        <v>0.56399999999999995</v>
      </c>
      <c r="G523">
        <f t="shared" si="41"/>
        <v>-54174.34</v>
      </c>
      <c r="H523">
        <f t="shared" si="42"/>
        <v>59.941841454209758</v>
      </c>
      <c r="I523">
        <f t="shared" si="43"/>
        <v>55.835469319999994</v>
      </c>
      <c r="J523">
        <f t="shared" si="40"/>
        <v>55820.139319999995</v>
      </c>
      <c r="M523">
        <f t="shared" si="44"/>
        <v>30030</v>
      </c>
    </row>
    <row r="524" spans="1:13" x14ac:dyDescent="0.2">
      <c r="A524">
        <v>29</v>
      </c>
      <c r="B524">
        <v>31</v>
      </c>
      <c r="C524">
        <v>60</v>
      </c>
      <c r="D524" s="51" t="s">
        <v>29</v>
      </c>
      <c r="E524" t="str">
        <f>VLOOKUP(M524,'MASS - 2016'!$A$1:$G$3418,6,FALSE)</f>
        <v>-39590#</v>
      </c>
      <c r="F524" t="str">
        <f>VLOOKUP(M524,'MASS - 2016'!$A$1:$G$3418,7,FALSE)</f>
        <v>200#</v>
      </c>
      <c r="G524">
        <f t="shared" si="41"/>
        <v>-39590.01</v>
      </c>
      <c r="H524">
        <f t="shared" si="42"/>
        <v>59.957498376363773</v>
      </c>
      <c r="I524">
        <f t="shared" si="43"/>
        <v>55.85005365</v>
      </c>
      <c r="J524">
        <f t="shared" ref="J524:J587" si="45">1000*I524-B524*0.511</f>
        <v>55834.212650000001</v>
      </c>
      <c r="M524">
        <f t="shared" si="44"/>
        <v>29031</v>
      </c>
    </row>
    <row r="525" spans="1:13" x14ac:dyDescent="0.2">
      <c r="A525">
        <v>28</v>
      </c>
      <c r="B525">
        <v>32</v>
      </c>
      <c r="C525">
        <v>60</v>
      </c>
      <c r="D525" s="51" t="s">
        <v>30</v>
      </c>
      <c r="E525" t="str">
        <f>VLOOKUP(M525,'MASS - 2016'!$A$1:$G$3418,6,FALSE)</f>
        <v>-27090#</v>
      </c>
      <c r="F525" t="str">
        <f>VLOOKUP(M525,'MASS - 2016'!$A$1:$G$3418,7,FALSE)</f>
        <v>300#</v>
      </c>
      <c r="G525">
        <f t="shared" si="41"/>
        <v>-27090.01</v>
      </c>
      <c r="H525">
        <f t="shared" si="42"/>
        <v>59.970917678239495</v>
      </c>
      <c r="I525">
        <f t="shared" si="43"/>
        <v>55.862553649999995</v>
      </c>
      <c r="J525">
        <f t="shared" si="45"/>
        <v>55846.201649999995</v>
      </c>
      <c r="M525">
        <f t="shared" si="44"/>
        <v>28032</v>
      </c>
    </row>
    <row r="526" spans="1:13" x14ac:dyDescent="0.2">
      <c r="A526">
        <v>27</v>
      </c>
      <c r="B526">
        <v>33</v>
      </c>
      <c r="C526">
        <v>60</v>
      </c>
      <c r="D526" s="51" t="s">
        <v>31</v>
      </c>
      <c r="E526" t="str">
        <f>VLOOKUP(M526,'MASS - 2016'!$A$1:$G$3418,6,FALSE)</f>
        <v>-5470#</v>
      </c>
      <c r="F526" t="str">
        <f>VLOOKUP(M526,'MASS - 2016'!$A$1:$G$3418,7,FALSE)</f>
        <v>400#</v>
      </c>
      <c r="G526">
        <f t="shared" si="41"/>
        <v>-5470.01</v>
      </c>
      <c r="H526">
        <f t="shared" si="42"/>
        <v>59.994127702763734</v>
      </c>
      <c r="I526">
        <f t="shared" si="43"/>
        <v>55.884173649999994</v>
      </c>
      <c r="J526">
        <f t="shared" si="45"/>
        <v>55867.310649999999</v>
      </c>
      <c r="M526">
        <f t="shared" si="44"/>
        <v>27033</v>
      </c>
    </row>
    <row r="527" spans="1:13" x14ac:dyDescent="0.2">
      <c r="A527">
        <v>39</v>
      </c>
      <c r="B527">
        <v>22</v>
      </c>
      <c r="C527">
        <v>61</v>
      </c>
      <c r="D527" s="51" t="s">
        <v>20</v>
      </c>
      <c r="E527" t="str">
        <f>VLOOKUP(M527,'MASS - 2016'!$A$1:$G$3418,6,FALSE)</f>
        <v>-16350#</v>
      </c>
      <c r="F527" t="str">
        <f>VLOOKUP(M527,'MASS - 2016'!$A$1:$G$3418,7,FALSE)</f>
        <v>400#</v>
      </c>
      <c r="G527">
        <f t="shared" ref="G527:G590" si="46">IF(ISNUMBER(E527),E527,VALUE(SUBSTITUTE(E527,"#",".01")))</f>
        <v>-16350.01</v>
      </c>
      <c r="H527">
        <f t="shared" si="42"/>
        <v>60.982447542411123</v>
      </c>
      <c r="I527">
        <f t="shared" si="43"/>
        <v>56.804787711000003</v>
      </c>
      <c r="J527">
        <f t="shared" si="45"/>
        <v>56793.545711000006</v>
      </c>
      <c r="M527">
        <f t="shared" si="44"/>
        <v>39022</v>
      </c>
    </row>
    <row r="528" spans="1:13" x14ac:dyDescent="0.2">
      <c r="A528">
        <v>38</v>
      </c>
      <c r="B528">
        <v>23</v>
      </c>
      <c r="C528">
        <v>61</v>
      </c>
      <c r="D528" s="51" t="s">
        <v>21</v>
      </c>
      <c r="E528">
        <f>VLOOKUP(M528,'MASS - 2016'!$A$1:$G$3418,6,FALSE)</f>
        <v>-30506.429</v>
      </c>
      <c r="F528">
        <f>VLOOKUP(M528,'MASS - 2016'!$A$1:$G$3418,7,FALSE)</f>
        <v>894.23400000000004</v>
      </c>
      <c r="G528">
        <f t="shared" si="46"/>
        <v>-30506.429</v>
      </c>
      <c r="H528">
        <f t="shared" si="42"/>
        <v>60.967250001607901</v>
      </c>
      <c r="I528">
        <f t="shared" si="43"/>
        <v>56.790631292</v>
      </c>
      <c r="J528">
        <f t="shared" si="45"/>
        <v>56778.878292000001</v>
      </c>
      <c r="M528">
        <f t="shared" si="44"/>
        <v>38023</v>
      </c>
    </row>
    <row r="529" spans="1:13" x14ac:dyDescent="0.2">
      <c r="A529">
        <v>37</v>
      </c>
      <c r="B529">
        <v>24</v>
      </c>
      <c r="C529">
        <v>61</v>
      </c>
      <c r="D529" s="51" t="s">
        <v>22</v>
      </c>
      <c r="E529">
        <f>VLOOKUP(M529,'MASS - 2016'!$A$1:$G$3418,6,FALSE)</f>
        <v>-42475.228999999999</v>
      </c>
      <c r="F529">
        <f>VLOOKUP(M529,'MASS - 2016'!$A$1:$G$3418,7,FALSE)</f>
        <v>101.34099999999999</v>
      </c>
      <c r="G529">
        <f t="shared" si="46"/>
        <v>-42475.228999999999</v>
      </c>
      <c r="H529">
        <f t="shared" si="42"/>
        <v>60.954400966384696</v>
      </c>
      <c r="I529">
        <f t="shared" si="43"/>
        <v>56.778662492000002</v>
      </c>
      <c r="J529">
        <f t="shared" si="45"/>
        <v>56766.398492</v>
      </c>
      <c r="M529">
        <f t="shared" si="44"/>
        <v>37024</v>
      </c>
    </row>
    <row r="530" spans="1:13" x14ac:dyDescent="0.2">
      <c r="A530">
        <v>36</v>
      </c>
      <c r="B530">
        <v>25</v>
      </c>
      <c r="C530">
        <v>61</v>
      </c>
      <c r="D530" s="51" t="s">
        <v>23</v>
      </c>
      <c r="E530">
        <f>VLOOKUP(M530,'MASS - 2016'!$A$1:$G$3418,6,FALSE)</f>
        <v>-51742.122000000003</v>
      </c>
      <c r="F530">
        <f>VLOOKUP(M530,'MASS - 2016'!$A$1:$G$3418,7,FALSE)</f>
        <v>2.3290000000000002</v>
      </c>
      <c r="G530">
        <f t="shared" si="46"/>
        <v>-51742.122000000003</v>
      </c>
      <c r="H530">
        <f t="shared" si="42"/>
        <v>60.944452547615327</v>
      </c>
      <c r="I530">
        <f t="shared" si="43"/>
        <v>56.769395598999999</v>
      </c>
      <c r="J530">
        <f t="shared" si="45"/>
        <v>56756.620598999994</v>
      </c>
      <c r="M530">
        <f t="shared" si="44"/>
        <v>36025</v>
      </c>
    </row>
    <row r="531" spans="1:13" x14ac:dyDescent="0.2">
      <c r="A531">
        <v>35</v>
      </c>
      <c r="B531">
        <v>26</v>
      </c>
      <c r="C531">
        <v>61</v>
      </c>
      <c r="D531" s="51" t="s">
        <v>24</v>
      </c>
      <c r="E531">
        <f>VLOOKUP(M531,'MASS - 2016'!$A$1:$G$3418,6,FALSE)</f>
        <v>-58920.493999999999</v>
      </c>
      <c r="F531">
        <f>VLOOKUP(M531,'MASS - 2016'!$A$1:$G$3418,7,FALSE)</f>
        <v>2.6080000000000001</v>
      </c>
      <c r="G531">
        <f t="shared" si="46"/>
        <v>-58920.493999999999</v>
      </c>
      <c r="H531">
        <f t="shared" si="42"/>
        <v>60.936746248347795</v>
      </c>
      <c r="I531">
        <f t="shared" si="43"/>
        <v>56.762217227000001</v>
      </c>
      <c r="J531">
        <f t="shared" si="45"/>
        <v>56748.931227000001</v>
      </c>
      <c r="M531">
        <f t="shared" si="44"/>
        <v>35026</v>
      </c>
    </row>
    <row r="532" spans="1:13" x14ac:dyDescent="0.2">
      <c r="A532">
        <v>34</v>
      </c>
      <c r="B532">
        <v>27</v>
      </c>
      <c r="C532">
        <v>61</v>
      </c>
      <c r="D532" s="51" t="s">
        <v>25</v>
      </c>
      <c r="E532">
        <f>VLOOKUP(M532,'MASS - 2016'!$A$1:$G$3418,6,FALSE)</f>
        <v>-62898.065999999999</v>
      </c>
      <c r="F532">
        <f>VLOOKUP(M532,'MASS - 2016'!$A$1:$G$3418,7,FALSE)</f>
        <v>0.84599999999999997</v>
      </c>
      <c r="G532">
        <f t="shared" si="46"/>
        <v>-62898.065999999999</v>
      </c>
      <c r="H532">
        <f t="shared" si="42"/>
        <v>60.932476149195757</v>
      </c>
      <c r="I532">
        <f t="shared" si="43"/>
        <v>56.758239654999997</v>
      </c>
      <c r="J532">
        <f t="shared" si="45"/>
        <v>56744.442654999999</v>
      </c>
      <c r="M532">
        <f t="shared" si="44"/>
        <v>34027</v>
      </c>
    </row>
    <row r="533" spans="1:13" x14ac:dyDescent="0.2">
      <c r="A533">
        <v>33</v>
      </c>
      <c r="B533">
        <v>28</v>
      </c>
      <c r="C533">
        <v>61</v>
      </c>
      <c r="D533" s="51" t="s">
        <v>26</v>
      </c>
      <c r="E533">
        <f>VLOOKUP(M533,'MASS - 2016'!$A$1:$G$3418,6,FALSE)</f>
        <v>-64221.904999999999</v>
      </c>
      <c r="F533">
        <f>VLOOKUP(M533,'MASS - 2016'!$A$1:$G$3418,7,FALSE)</f>
        <v>0.378</v>
      </c>
      <c r="G533">
        <f t="shared" si="46"/>
        <v>-64221.904999999999</v>
      </c>
      <c r="H533">
        <f t="shared" si="42"/>
        <v>60.931054949581693</v>
      </c>
      <c r="I533">
        <f t="shared" si="43"/>
        <v>56.756915816000003</v>
      </c>
      <c r="J533">
        <f t="shared" si="45"/>
        <v>56742.607816000003</v>
      </c>
      <c r="M533">
        <f t="shared" si="44"/>
        <v>33028</v>
      </c>
    </row>
    <row r="534" spans="1:13" x14ac:dyDescent="0.2">
      <c r="A534">
        <v>32</v>
      </c>
      <c r="B534">
        <v>29</v>
      </c>
      <c r="C534">
        <v>61</v>
      </c>
      <c r="D534" s="51" t="s">
        <v>27</v>
      </c>
      <c r="E534">
        <f>VLOOKUP(M534,'MASS - 2016'!$A$1:$G$3418,6,FALSE)</f>
        <v>-61984.059000000001</v>
      </c>
      <c r="F534">
        <f>VLOOKUP(M534,'MASS - 2016'!$A$1:$G$3418,7,FALSE)</f>
        <v>0.95299999999999996</v>
      </c>
      <c r="G534">
        <f t="shared" si="46"/>
        <v>-61984.059000000001</v>
      </c>
      <c r="H534">
        <f t="shared" si="42"/>
        <v>60.933457376063728</v>
      </c>
      <c r="I534">
        <f t="shared" si="43"/>
        <v>56.759153662000003</v>
      </c>
      <c r="J534">
        <f t="shared" si="45"/>
        <v>56744.334662000001</v>
      </c>
      <c r="M534">
        <f t="shared" si="44"/>
        <v>32029</v>
      </c>
    </row>
    <row r="535" spans="1:13" x14ac:dyDescent="0.2">
      <c r="A535">
        <v>31</v>
      </c>
      <c r="B535">
        <v>30</v>
      </c>
      <c r="C535">
        <v>61</v>
      </c>
      <c r="D535" s="51" t="s">
        <v>28</v>
      </c>
      <c r="E535">
        <f>VLOOKUP(M535,'MASS - 2016'!$A$1:$G$3418,6,FALSE)</f>
        <v>-56348.902999999998</v>
      </c>
      <c r="F535">
        <f>VLOOKUP(M535,'MASS - 2016'!$A$1:$G$3418,7,FALSE)</f>
        <v>15.898999999999999</v>
      </c>
      <c r="G535">
        <f t="shared" si="46"/>
        <v>-56348.902999999998</v>
      </c>
      <c r="H535">
        <f t="shared" si="42"/>
        <v>60.939506964822186</v>
      </c>
      <c r="I535">
        <f t="shared" si="43"/>
        <v>56.764788818</v>
      </c>
      <c r="J535">
        <f t="shared" si="45"/>
        <v>56749.458817999999</v>
      </c>
      <c r="M535">
        <f t="shared" si="44"/>
        <v>31030</v>
      </c>
    </row>
    <row r="536" spans="1:13" x14ac:dyDescent="0.2">
      <c r="A536">
        <v>30</v>
      </c>
      <c r="B536">
        <v>31</v>
      </c>
      <c r="C536">
        <v>61</v>
      </c>
      <c r="D536" s="51" t="s">
        <v>29</v>
      </c>
      <c r="E536">
        <f>VLOOKUP(M536,'MASS - 2016'!$A$1:$G$3418,6,FALSE)</f>
        <v>-47134.659</v>
      </c>
      <c r="F536">
        <f>VLOOKUP(M536,'MASS - 2016'!$A$1:$G$3418,7,FALSE)</f>
        <v>37.994</v>
      </c>
      <c r="G536">
        <f t="shared" si="46"/>
        <v>-47134.659</v>
      </c>
      <c r="H536">
        <f t="shared" si="42"/>
        <v>60.949398862565587</v>
      </c>
      <c r="I536">
        <f t="shared" si="43"/>
        <v>56.774003061999998</v>
      </c>
      <c r="J536">
        <f t="shared" si="45"/>
        <v>56758.162061999996</v>
      </c>
      <c r="M536">
        <f t="shared" si="44"/>
        <v>30031</v>
      </c>
    </row>
    <row r="537" spans="1:13" x14ac:dyDescent="0.2">
      <c r="A537">
        <v>29</v>
      </c>
      <c r="B537">
        <v>32</v>
      </c>
      <c r="C537">
        <v>61</v>
      </c>
      <c r="D537" s="51" t="s">
        <v>30</v>
      </c>
      <c r="E537" t="str">
        <f>VLOOKUP(M537,'MASS - 2016'!$A$1:$G$3418,6,FALSE)</f>
        <v>-33360#</v>
      </c>
      <c r="F537" t="str">
        <f>VLOOKUP(M537,'MASS - 2016'!$A$1:$G$3418,7,FALSE)</f>
        <v>300#</v>
      </c>
      <c r="G537">
        <f t="shared" si="46"/>
        <v>-33360.01</v>
      </c>
      <c r="H537">
        <f t="shared" si="42"/>
        <v>60.964186556418632</v>
      </c>
      <c r="I537">
        <f t="shared" si="43"/>
        <v>56.787777710999997</v>
      </c>
      <c r="J537">
        <f t="shared" si="45"/>
        <v>56771.425710999996</v>
      </c>
      <c r="M537">
        <f t="shared" si="44"/>
        <v>29032</v>
      </c>
    </row>
    <row r="538" spans="1:13" x14ac:dyDescent="0.2">
      <c r="A538">
        <v>28</v>
      </c>
      <c r="B538">
        <v>33</v>
      </c>
      <c r="C538">
        <v>61</v>
      </c>
      <c r="D538" s="51" t="s">
        <v>31</v>
      </c>
      <c r="E538" t="str">
        <f>VLOOKUP(M538,'MASS - 2016'!$A$1:$G$3418,6,FALSE)</f>
        <v>-16900#</v>
      </c>
      <c r="F538" t="str">
        <f>VLOOKUP(M538,'MASS - 2016'!$A$1:$G$3418,7,FALSE)</f>
        <v>300#</v>
      </c>
      <c r="G538">
        <f t="shared" si="46"/>
        <v>-16900.009999999998</v>
      </c>
      <c r="H538">
        <f t="shared" si="42"/>
        <v>60.981857093128582</v>
      </c>
      <c r="I538">
        <f t="shared" si="43"/>
        <v>56.804237710999999</v>
      </c>
      <c r="J538">
        <f t="shared" si="45"/>
        <v>56787.374711000004</v>
      </c>
      <c r="M538">
        <f t="shared" si="44"/>
        <v>28033</v>
      </c>
    </row>
    <row r="539" spans="1:13" x14ac:dyDescent="0.2">
      <c r="A539">
        <v>39</v>
      </c>
      <c r="B539">
        <v>23</v>
      </c>
      <c r="C539">
        <v>62</v>
      </c>
      <c r="D539" s="51" t="s">
        <v>21</v>
      </c>
      <c r="E539" t="str">
        <f>VLOOKUP(M539,'MASS - 2016'!$A$1:$G$3418,6,FALSE)</f>
        <v>-25476#</v>
      </c>
      <c r="F539" t="str">
        <f>VLOOKUP(M539,'MASS - 2016'!$A$1:$G$3418,7,FALSE)</f>
        <v>298#</v>
      </c>
      <c r="G539">
        <f t="shared" si="46"/>
        <v>-25476.01</v>
      </c>
      <c r="H539">
        <f t="shared" si="42"/>
        <v>61.972650378497697</v>
      </c>
      <c r="I539">
        <f t="shared" si="43"/>
        <v>57.727155772000003</v>
      </c>
      <c r="J539">
        <f t="shared" si="45"/>
        <v>57715.402772000009</v>
      </c>
      <c r="M539">
        <f t="shared" si="44"/>
        <v>39023</v>
      </c>
    </row>
    <row r="540" spans="1:13" x14ac:dyDescent="0.2">
      <c r="A540">
        <v>38</v>
      </c>
      <c r="B540">
        <v>24</v>
      </c>
      <c r="C540">
        <v>62</v>
      </c>
      <c r="D540" s="51" t="s">
        <v>22</v>
      </c>
      <c r="E540">
        <f>VLOOKUP(M540,'MASS - 2016'!$A$1:$G$3418,6,FALSE)</f>
        <v>-40894.961000000003</v>
      </c>
      <c r="F540">
        <f>VLOOKUP(M540,'MASS - 2016'!$A$1:$G$3418,7,FALSE)</f>
        <v>148.09899999999999</v>
      </c>
      <c r="G540">
        <f t="shared" si="46"/>
        <v>-40894.961000000003</v>
      </c>
      <c r="H540">
        <f t="shared" si="42"/>
        <v>61.956097453851619</v>
      </c>
      <c r="I540">
        <f t="shared" si="43"/>
        <v>57.711736821000002</v>
      </c>
      <c r="J540">
        <f t="shared" si="45"/>
        <v>57699.472821000003</v>
      </c>
      <c r="M540">
        <f t="shared" si="44"/>
        <v>38024</v>
      </c>
    </row>
    <row r="541" spans="1:13" x14ac:dyDescent="0.2">
      <c r="A541">
        <v>37</v>
      </c>
      <c r="B541">
        <v>25</v>
      </c>
      <c r="C541">
        <v>62</v>
      </c>
      <c r="D541" s="51" t="s">
        <v>23</v>
      </c>
      <c r="E541">
        <f>VLOOKUP(M541,'MASS - 2016'!$A$1:$G$3418,6,FALSE)</f>
        <v>-48523.957000000002</v>
      </c>
      <c r="F541">
        <f>VLOOKUP(M541,'MASS - 2016'!$A$1:$G$3418,7,FALSE)</f>
        <v>6.5419999999999998</v>
      </c>
      <c r="G541">
        <f t="shared" si="46"/>
        <v>-48523.957000000002</v>
      </c>
      <c r="H541">
        <f t="shared" si="42"/>
        <v>61.947907389825005</v>
      </c>
      <c r="I541">
        <f t="shared" si="43"/>
        <v>57.704107825000001</v>
      </c>
      <c r="J541">
        <f t="shared" si="45"/>
        <v>57691.332824999998</v>
      </c>
      <c r="M541">
        <f t="shared" si="44"/>
        <v>37025</v>
      </c>
    </row>
    <row r="542" spans="1:13" x14ac:dyDescent="0.2">
      <c r="A542">
        <v>36</v>
      </c>
      <c r="B542">
        <v>26</v>
      </c>
      <c r="C542">
        <v>62</v>
      </c>
      <c r="D542" s="51" t="s">
        <v>24</v>
      </c>
      <c r="E542">
        <f>VLOOKUP(M542,'MASS - 2016'!$A$1:$G$3418,6,FALSE)</f>
        <v>-58878.048000000003</v>
      </c>
      <c r="F542">
        <f>VLOOKUP(M542,'MASS - 2016'!$A$1:$G$3418,7,FALSE)</f>
        <v>2.794</v>
      </c>
      <c r="G542">
        <f t="shared" si="46"/>
        <v>-58878.048000000003</v>
      </c>
      <c r="H542">
        <f t="shared" si="42"/>
        <v>61.936791816002795</v>
      </c>
      <c r="I542">
        <f t="shared" si="43"/>
        <v>57.693753734000005</v>
      </c>
      <c r="J542">
        <f t="shared" si="45"/>
        <v>57680.467734000005</v>
      </c>
      <c r="M542">
        <f t="shared" si="44"/>
        <v>36026</v>
      </c>
    </row>
    <row r="543" spans="1:13" x14ac:dyDescent="0.2">
      <c r="A543">
        <v>35</v>
      </c>
      <c r="B543">
        <v>27</v>
      </c>
      <c r="C543">
        <v>62</v>
      </c>
      <c r="D543" s="51" t="s">
        <v>25</v>
      </c>
      <c r="E543">
        <f>VLOOKUP(M543,'MASS - 2016'!$A$1:$G$3418,6,FALSE)</f>
        <v>-61424.281999999999</v>
      </c>
      <c r="F543">
        <f>VLOOKUP(M543,'MASS - 2016'!$A$1:$G$3418,7,FALSE)</f>
        <v>18.574999999999999</v>
      </c>
      <c r="G543">
        <f t="shared" si="46"/>
        <v>-61424.281999999999</v>
      </c>
      <c r="H543">
        <f t="shared" si="42"/>
        <v>61.934058321387411</v>
      </c>
      <c r="I543">
        <f t="shared" si="43"/>
        <v>57.691207500000004</v>
      </c>
      <c r="J543">
        <f t="shared" si="45"/>
        <v>57677.410500000005</v>
      </c>
      <c r="M543">
        <f t="shared" si="44"/>
        <v>35027</v>
      </c>
    </row>
    <row r="544" spans="1:13" x14ac:dyDescent="0.2">
      <c r="A544">
        <v>34</v>
      </c>
      <c r="B544">
        <v>28</v>
      </c>
      <c r="C544">
        <v>62</v>
      </c>
      <c r="D544" s="51" t="s">
        <v>26</v>
      </c>
      <c r="E544">
        <f>VLOOKUP(M544,'MASS - 2016'!$A$1:$G$3418,6,FALSE)</f>
        <v>-66746.323000000004</v>
      </c>
      <c r="F544">
        <f>VLOOKUP(M544,'MASS - 2016'!$A$1:$G$3418,7,FALSE)</f>
        <v>0.439</v>
      </c>
      <c r="G544">
        <f t="shared" si="46"/>
        <v>-66746.323000000004</v>
      </c>
      <c r="H544">
        <f t="shared" si="42"/>
        <v>61.9283448754055</v>
      </c>
      <c r="I544">
        <f t="shared" si="43"/>
        <v>57.685885459000005</v>
      </c>
      <c r="J544">
        <f t="shared" si="45"/>
        <v>57671.577459000007</v>
      </c>
      <c r="M544">
        <f t="shared" si="44"/>
        <v>34028</v>
      </c>
    </row>
    <row r="545" spans="1:13" x14ac:dyDescent="0.2">
      <c r="A545">
        <v>33</v>
      </c>
      <c r="B545">
        <v>29</v>
      </c>
      <c r="C545">
        <v>62</v>
      </c>
      <c r="D545" s="51" t="s">
        <v>27</v>
      </c>
      <c r="E545">
        <f>VLOOKUP(M545,'MASS - 2016'!$A$1:$G$3418,6,FALSE)</f>
        <v>-62787.425999999999</v>
      </c>
      <c r="F545">
        <f>VLOOKUP(M545,'MASS - 2016'!$A$1:$G$3418,7,FALSE)</f>
        <v>0.64700000000000002</v>
      </c>
      <c r="G545">
        <f t="shared" si="46"/>
        <v>-62787.425999999999</v>
      </c>
      <c r="H545">
        <f t="shared" si="42"/>
        <v>61.932594926120522</v>
      </c>
      <c r="I545">
        <f t="shared" si="43"/>
        <v>57.689844356000002</v>
      </c>
      <c r="J545">
        <f t="shared" si="45"/>
        <v>57675.025355999998</v>
      </c>
      <c r="M545">
        <f t="shared" si="44"/>
        <v>33029</v>
      </c>
    </row>
    <row r="546" spans="1:13" x14ac:dyDescent="0.2">
      <c r="A546">
        <v>32</v>
      </c>
      <c r="B546">
        <v>30</v>
      </c>
      <c r="C546">
        <v>62</v>
      </c>
      <c r="D546" s="51" t="s">
        <v>28</v>
      </c>
      <c r="E546">
        <f>VLOOKUP(M546,'MASS - 2016'!$A$1:$G$3418,6,FALSE)</f>
        <v>-61167.972000000002</v>
      </c>
      <c r="F546">
        <f>VLOOKUP(M546,'MASS - 2016'!$A$1:$G$3418,7,FALSE)</f>
        <v>0.625</v>
      </c>
      <c r="G546">
        <f t="shared" si="46"/>
        <v>-61167.972000000002</v>
      </c>
      <c r="H546">
        <f t="shared" si="42"/>
        <v>61.934333481488515</v>
      </c>
      <c r="I546">
        <f t="shared" si="43"/>
        <v>57.691463810000002</v>
      </c>
      <c r="J546">
        <f t="shared" si="45"/>
        <v>57676.133809999999</v>
      </c>
      <c r="M546">
        <f t="shared" si="44"/>
        <v>32030</v>
      </c>
    </row>
    <row r="547" spans="1:13" x14ac:dyDescent="0.2">
      <c r="A547">
        <v>31</v>
      </c>
      <c r="B547">
        <v>31</v>
      </c>
      <c r="C547">
        <v>62</v>
      </c>
      <c r="D547" s="51" t="s">
        <v>29</v>
      </c>
      <c r="E547">
        <f>VLOOKUP(M547,'MASS - 2016'!$A$1:$G$3418,6,FALSE)</f>
        <v>-51986.906000000003</v>
      </c>
      <c r="F547">
        <f>VLOOKUP(M547,'MASS - 2016'!$A$1:$G$3418,7,FALSE)</f>
        <v>0.64700000000000002</v>
      </c>
      <c r="G547">
        <f t="shared" si="46"/>
        <v>-51986.906000000003</v>
      </c>
      <c r="H547">
        <f t="shared" si="42"/>
        <v>61.944189761184099</v>
      </c>
      <c r="I547">
        <f t="shared" si="43"/>
        <v>57.700644875999998</v>
      </c>
      <c r="J547">
        <f t="shared" si="45"/>
        <v>57684.803875999998</v>
      </c>
      <c r="M547">
        <f t="shared" si="44"/>
        <v>31031</v>
      </c>
    </row>
    <row r="548" spans="1:13" x14ac:dyDescent="0.2">
      <c r="A548">
        <v>30</v>
      </c>
      <c r="B548">
        <v>32</v>
      </c>
      <c r="C548">
        <v>62</v>
      </c>
      <c r="D548" s="51" t="s">
        <v>30</v>
      </c>
      <c r="E548" t="str">
        <f>VLOOKUP(M548,'MASS - 2016'!$A$1:$G$3418,6,FALSE)</f>
        <v>-41740#</v>
      </c>
      <c r="F548" t="str">
        <f>VLOOKUP(M548,'MASS - 2016'!$A$1:$G$3418,7,FALSE)</f>
        <v>140#</v>
      </c>
      <c r="G548">
        <f t="shared" si="46"/>
        <v>-41740.01</v>
      </c>
      <c r="H548">
        <f t="shared" si="42"/>
        <v>61.955190256441156</v>
      </c>
      <c r="I548">
        <f t="shared" si="43"/>
        <v>57.710891772000004</v>
      </c>
      <c r="J548">
        <f t="shared" si="45"/>
        <v>57694.539772000004</v>
      </c>
      <c r="M548">
        <f t="shared" si="44"/>
        <v>30032</v>
      </c>
    </row>
    <row r="549" spans="1:13" x14ac:dyDescent="0.2">
      <c r="A549">
        <v>29</v>
      </c>
      <c r="B549">
        <v>33</v>
      </c>
      <c r="C549">
        <v>62</v>
      </c>
      <c r="D549" s="51" t="s">
        <v>31</v>
      </c>
      <c r="E549" t="str">
        <f>VLOOKUP(M549,'MASS - 2016'!$A$1:$G$3418,6,FALSE)</f>
        <v>-24320#</v>
      </c>
      <c r="F549" t="str">
        <f>VLOOKUP(M549,'MASS - 2016'!$A$1:$G$3418,7,FALSE)</f>
        <v>300#</v>
      </c>
      <c r="G549">
        <f t="shared" si="46"/>
        <v>-24320.01</v>
      </c>
      <c r="H549">
        <f t="shared" si="42"/>
        <v>61.973891395535162</v>
      </c>
      <c r="I549">
        <f t="shared" si="43"/>
        <v>57.728311772000005</v>
      </c>
      <c r="J549">
        <f t="shared" si="45"/>
        <v>57711.448772000011</v>
      </c>
      <c r="M549">
        <f t="shared" si="44"/>
        <v>29033</v>
      </c>
    </row>
    <row r="550" spans="1:13" x14ac:dyDescent="0.2">
      <c r="A550">
        <v>40</v>
      </c>
      <c r="B550">
        <v>23</v>
      </c>
      <c r="C550">
        <v>63</v>
      </c>
      <c r="D550" s="51" t="s">
        <v>21</v>
      </c>
      <c r="E550" t="str">
        <f>VLOOKUP(M550,'MASS - 2016'!$A$1:$G$3418,6,FALSE)</f>
        <v>-21890#</v>
      </c>
      <c r="F550" t="str">
        <f>VLOOKUP(M550,'MASS - 2016'!$A$1:$G$3418,7,FALSE)</f>
        <v>400#</v>
      </c>
      <c r="G550">
        <f t="shared" si="46"/>
        <v>-21890.01</v>
      </c>
      <c r="H550">
        <f t="shared" si="42"/>
        <v>62.976500107819795</v>
      </c>
      <c r="I550">
        <f t="shared" si="43"/>
        <v>58.662235832999997</v>
      </c>
      <c r="J550">
        <f t="shared" si="45"/>
        <v>58650.482833000002</v>
      </c>
      <c r="M550">
        <f t="shared" si="44"/>
        <v>40023</v>
      </c>
    </row>
    <row r="551" spans="1:13" x14ac:dyDescent="0.2">
      <c r="A551">
        <v>39</v>
      </c>
      <c r="B551">
        <v>24</v>
      </c>
      <c r="C551">
        <v>63</v>
      </c>
      <c r="D551" s="51" t="s">
        <v>22</v>
      </c>
      <c r="E551">
        <f>VLOOKUP(M551,'MASS - 2016'!$A$1:$G$3418,6,FALSE)</f>
        <v>-36007.474000000002</v>
      </c>
      <c r="F551">
        <f>VLOOKUP(M551,'MASS - 2016'!$A$1:$G$3418,7,FALSE)</f>
        <v>358.07299999999998</v>
      </c>
      <c r="G551">
        <f t="shared" si="46"/>
        <v>-36007.474000000002</v>
      </c>
      <c r="H551">
        <f t="shared" si="42"/>
        <v>62.961344386928943</v>
      </c>
      <c r="I551">
        <f t="shared" si="43"/>
        <v>58.648118368999995</v>
      </c>
      <c r="J551">
        <f t="shared" si="45"/>
        <v>58635.854368999993</v>
      </c>
      <c r="M551">
        <f t="shared" si="44"/>
        <v>39024</v>
      </c>
    </row>
    <row r="552" spans="1:13" x14ac:dyDescent="0.2">
      <c r="A552">
        <v>38</v>
      </c>
      <c r="B552">
        <v>25</v>
      </c>
      <c r="C552">
        <v>63</v>
      </c>
      <c r="D552" s="51" t="s">
        <v>23</v>
      </c>
      <c r="E552">
        <f>VLOOKUP(M552,'MASS - 2016'!$A$1:$G$3418,6,FALSE)</f>
        <v>-46887.053</v>
      </c>
      <c r="F552">
        <f>VLOOKUP(M552,'MASS - 2016'!$A$1:$G$3418,7,FALSE)</f>
        <v>3.726</v>
      </c>
      <c r="G552">
        <f t="shared" si="46"/>
        <v>-46887.053</v>
      </c>
      <c r="H552">
        <f t="shared" si="42"/>
        <v>62.949664678538404</v>
      </c>
      <c r="I552">
        <f t="shared" si="43"/>
        <v>58.637238789999998</v>
      </c>
      <c r="J552">
        <f t="shared" si="45"/>
        <v>58624.463789999994</v>
      </c>
      <c r="M552">
        <f t="shared" si="44"/>
        <v>38025</v>
      </c>
    </row>
    <row r="553" spans="1:13" x14ac:dyDescent="0.2">
      <c r="A553">
        <v>37</v>
      </c>
      <c r="B553">
        <v>26</v>
      </c>
      <c r="C553">
        <v>63</v>
      </c>
      <c r="D553" s="51" t="s">
        <v>24</v>
      </c>
      <c r="E553">
        <f>VLOOKUP(M553,'MASS - 2016'!$A$1:$G$3418,6,FALSE)</f>
        <v>-55635.620999999999</v>
      </c>
      <c r="F553">
        <f>VLOOKUP(M553,'MASS - 2016'!$A$1:$G$3418,7,FALSE)</f>
        <v>4.3019999999999996</v>
      </c>
      <c r="G553">
        <f t="shared" si="46"/>
        <v>-55635.620999999999</v>
      </c>
      <c r="H553">
        <f t="shared" si="42"/>
        <v>62.940272704540625</v>
      </c>
      <c r="I553">
        <f t="shared" si="43"/>
        <v>58.628490221999996</v>
      </c>
      <c r="J553">
        <f t="shared" si="45"/>
        <v>58615.204221999993</v>
      </c>
      <c r="M553">
        <f t="shared" si="44"/>
        <v>37026</v>
      </c>
    </row>
    <row r="554" spans="1:13" x14ac:dyDescent="0.2">
      <c r="A554">
        <v>36</v>
      </c>
      <c r="B554">
        <v>27</v>
      </c>
      <c r="C554">
        <v>63</v>
      </c>
      <c r="D554" s="51" t="s">
        <v>25</v>
      </c>
      <c r="E554">
        <f>VLOOKUP(M554,'MASS - 2016'!$A$1:$G$3418,6,FALSE)</f>
        <v>-61851.44</v>
      </c>
      <c r="F554">
        <f>VLOOKUP(M554,'MASS - 2016'!$A$1:$G$3418,7,FALSE)</f>
        <v>18.574999999999999</v>
      </c>
      <c r="G554">
        <f t="shared" si="46"/>
        <v>-61851.44</v>
      </c>
      <c r="H554">
        <f t="shared" si="42"/>
        <v>62.933599748415361</v>
      </c>
      <c r="I554">
        <f t="shared" si="43"/>
        <v>58.622274402999999</v>
      </c>
      <c r="J554">
        <f t="shared" si="45"/>
        <v>58608.477402999997</v>
      </c>
      <c r="M554">
        <f t="shared" si="44"/>
        <v>36027</v>
      </c>
    </row>
    <row r="555" spans="1:13" x14ac:dyDescent="0.2">
      <c r="A555">
        <v>35</v>
      </c>
      <c r="B555">
        <v>28</v>
      </c>
      <c r="C555">
        <v>63</v>
      </c>
      <c r="D555" s="51" t="s">
        <v>26</v>
      </c>
      <c r="E555">
        <f>VLOOKUP(M555,'MASS - 2016'!$A$1:$G$3418,6,FALSE)</f>
        <v>-65512.775000000001</v>
      </c>
      <c r="F555">
        <f>VLOOKUP(M555,'MASS - 2016'!$A$1:$G$3418,7,FALSE)</f>
        <v>0.44</v>
      </c>
      <c r="G555">
        <f t="shared" si="46"/>
        <v>-65512.775000000001</v>
      </c>
      <c r="H555">
        <f t="shared" si="42"/>
        <v>62.929669143644702</v>
      </c>
      <c r="I555">
        <f t="shared" si="43"/>
        <v>58.618613067999995</v>
      </c>
      <c r="J555">
        <f t="shared" si="45"/>
        <v>58604.305067999994</v>
      </c>
      <c r="M555">
        <f t="shared" si="44"/>
        <v>35028</v>
      </c>
    </row>
    <row r="556" spans="1:13" x14ac:dyDescent="0.2">
      <c r="A556">
        <v>34</v>
      </c>
      <c r="B556">
        <v>29</v>
      </c>
      <c r="C556">
        <v>63</v>
      </c>
      <c r="D556" s="51" t="s">
        <v>27</v>
      </c>
      <c r="E556">
        <f>VLOOKUP(M556,'MASS - 2016'!$A$1:$G$3418,6,FALSE)</f>
        <v>-65579.751999999993</v>
      </c>
      <c r="F556">
        <f>VLOOKUP(M556,'MASS - 2016'!$A$1:$G$3418,7,FALSE)</f>
        <v>0.44</v>
      </c>
      <c r="G556">
        <f t="shared" si="46"/>
        <v>-65579.751999999993</v>
      </c>
      <c r="H556">
        <f t="shared" si="42"/>
        <v>62.929597240878167</v>
      </c>
      <c r="I556">
        <f t="shared" si="43"/>
        <v>58.618546090999999</v>
      </c>
      <c r="J556">
        <f t="shared" si="45"/>
        <v>58603.727090999993</v>
      </c>
      <c r="M556">
        <f t="shared" si="44"/>
        <v>34029</v>
      </c>
    </row>
    <row r="557" spans="1:13" x14ac:dyDescent="0.2">
      <c r="A557">
        <v>33</v>
      </c>
      <c r="B557">
        <v>30</v>
      </c>
      <c r="C557">
        <v>63</v>
      </c>
      <c r="D557" s="51" t="s">
        <v>28</v>
      </c>
      <c r="E557">
        <f>VLOOKUP(M557,'MASS - 2016'!$A$1:$G$3418,6,FALSE)</f>
        <v>-62213.396999999997</v>
      </c>
      <c r="F557">
        <f>VLOOKUP(M557,'MASS - 2016'!$A$1:$G$3418,7,FALSE)</f>
        <v>1.5609999999999999</v>
      </c>
      <c r="G557">
        <f t="shared" si="46"/>
        <v>-62213.396999999997</v>
      </c>
      <c r="H557">
        <f t="shared" si="42"/>
        <v>62.933211171595431</v>
      </c>
      <c r="I557">
        <f t="shared" si="43"/>
        <v>58.621912445999996</v>
      </c>
      <c r="J557">
        <f t="shared" si="45"/>
        <v>58606.582445999993</v>
      </c>
      <c r="M557">
        <f t="shared" si="44"/>
        <v>33030</v>
      </c>
    </row>
    <row r="558" spans="1:13" x14ac:dyDescent="0.2">
      <c r="A558">
        <v>32</v>
      </c>
      <c r="B558">
        <v>31</v>
      </c>
      <c r="C558">
        <v>63</v>
      </c>
      <c r="D558" s="51" t="s">
        <v>29</v>
      </c>
      <c r="E558">
        <f>VLOOKUP(M558,'MASS - 2016'!$A$1:$G$3418,6,FALSE)</f>
        <v>-56547.093000000001</v>
      </c>
      <c r="F558">
        <f>VLOOKUP(M558,'MASS - 2016'!$A$1:$G$3418,7,FALSE)</f>
        <v>1.304</v>
      </c>
      <c r="G558">
        <f t="shared" si="46"/>
        <v>-56547.093000000001</v>
      </c>
      <c r="H558">
        <f t="shared" si="42"/>
        <v>62.939294199107081</v>
      </c>
      <c r="I558">
        <f t="shared" si="43"/>
        <v>58.627578749999998</v>
      </c>
      <c r="J558">
        <f t="shared" si="45"/>
        <v>58611.73775</v>
      </c>
      <c r="M558">
        <f t="shared" si="44"/>
        <v>32031</v>
      </c>
    </row>
    <row r="559" spans="1:13" x14ac:dyDescent="0.2">
      <c r="A559">
        <v>31</v>
      </c>
      <c r="B559">
        <v>32</v>
      </c>
      <c r="C559">
        <v>63</v>
      </c>
      <c r="D559" s="51" t="s">
        <v>30</v>
      </c>
      <c r="E559">
        <f>VLOOKUP(M559,'MASS - 2016'!$A$1:$G$3418,6,FALSE)</f>
        <v>-46921.216</v>
      </c>
      <c r="F559">
        <f>VLOOKUP(M559,'MASS - 2016'!$A$1:$G$3418,7,FALSE)</f>
        <v>37.26</v>
      </c>
      <c r="G559">
        <f t="shared" si="46"/>
        <v>-46921.216</v>
      </c>
      <c r="H559">
        <f t="shared" si="42"/>
        <v>62.949628003049604</v>
      </c>
      <c r="I559">
        <f t="shared" si="43"/>
        <v>58.637204626999996</v>
      </c>
      <c r="J559">
        <f t="shared" si="45"/>
        <v>58620.852627</v>
      </c>
      <c r="M559">
        <f t="shared" si="44"/>
        <v>31032</v>
      </c>
    </row>
    <row r="560" spans="1:13" x14ac:dyDescent="0.2">
      <c r="A560">
        <v>30</v>
      </c>
      <c r="B560">
        <v>33</v>
      </c>
      <c r="C560">
        <v>63</v>
      </c>
      <c r="D560" s="51" t="s">
        <v>31</v>
      </c>
      <c r="E560" t="str">
        <f>VLOOKUP(M560,'MASS - 2016'!$A$1:$G$3418,6,FALSE)</f>
        <v>-33500#</v>
      </c>
      <c r="F560" t="str">
        <f>VLOOKUP(M560,'MASS - 2016'!$A$1:$G$3418,7,FALSE)</f>
        <v>200#</v>
      </c>
      <c r="G560">
        <f t="shared" si="46"/>
        <v>-33500.01</v>
      </c>
      <c r="H560">
        <f t="shared" si="42"/>
        <v>62.964036260237627</v>
      </c>
      <c r="I560">
        <f t="shared" si="43"/>
        <v>58.650625832999999</v>
      </c>
      <c r="J560">
        <f t="shared" si="45"/>
        <v>58633.762833000001</v>
      </c>
      <c r="M560">
        <f t="shared" si="44"/>
        <v>30033</v>
      </c>
    </row>
    <row r="561" spans="1:13" x14ac:dyDescent="0.2">
      <c r="A561">
        <v>40</v>
      </c>
      <c r="B561">
        <v>24</v>
      </c>
      <c r="C561">
        <v>64</v>
      </c>
      <c r="D561" s="51" t="s">
        <v>22</v>
      </c>
      <c r="E561">
        <f>VLOOKUP(M561,'MASS - 2016'!$A$1:$G$3418,6,FALSE)</f>
        <v>-33479.756999999998</v>
      </c>
      <c r="F561">
        <f>VLOOKUP(M561,'MASS - 2016'!$A$1:$G$3418,7,FALSE)</f>
        <v>439.66500000000002</v>
      </c>
      <c r="G561">
        <f t="shared" si="46"/>
        <v>-33479.756999999998</v>
      </c>
      <c r="H561">
        <f t="shared" si="42"/>
        <v>63.964058002727299</v>
      </c>
      <c r="I561">
        <f t="shared" si="43"/>
        <v>59.582140146999997</v>
      </c>
      <c r="J561">
        <f t="shared" si="45"/>
        <v>59569.876146999995</v>
      </c>
      <c r="M561">
        <f t="shared" si="44"/>
        <v>40024</v>
      </c>
    </row>
    <row r="562" spans="1:13" x14ac:dyDescent="0.2">
      <c r="A562">
        <v>39</v>
      </c>
      <c r="B562">
        <v>25</v>
      </c>
      <c r="C562">
        <v>64</v>
      </c>
      <c r="D562" s="51" t="s">
        <v>23</v>
      </c>
      <c r="E562">
        <f>VLOOKUP(M562,'MASS - 2016'!$A$1:$G$3418,6,FALSE)</f>
        <v>-42989.035000000003</v>
      </c>
      <c r="F562">
        <f>VLOOKUP(M562,'MASS - 2016'!$A$1:$G$3418,7,FALSE)</f>
        <v>3.54</v>
      </c>
      <c r="G562">
        <f t="shared" si="46"/>
        <v>-42989.035000000003</v>
      </c>
      <c r="H562">
        <f t="shared" si="42"/>
        <v>63.953849372959127</v>
      </c>
      <c r="I562">
        <f t="shared" si="43"/>
        <v>59.572630869000001</v>
      </c>
      <c r="J562">
        <f t="shared" si="45"/>
        <v>59559.855868999999</v>
      </c>
      <c r="M562">
        <f t="shared" si="44"/>
        <v>39025</v>
      </c>
    </row>
    <row r="563" spans="1:13" x14ac:dyDescent="0.2">
      <c r="A563">
        <v>38</v>
      </c>
      <c r="B563">
        <v>26</v>
      </c>
      <c r="C563">
        <v>64</v>
      </c>
      <c r="D563" s="51" t="s">
        <v>24</v>
      </c>
      <c r="E563">
        <f>VLOOKUP(M563,'MASS - 2016'!$A$1:$G$3418,6,FALSE)</f>
        <v>-54969.544000000002</v>
      </c>
      <c r="F563">
        <f>VLOOKUP(M563,'MASS - 2016'!$A$1:$G$3418,7,FALSE)</f>
        <v>5.0170000000000003</v>
      </c>
      <c r="G563">
        <f t="shared" si="46"/>
        <v>-54969.544000000002</v>
      </c>
      <c r="H563">
        <f t="shared" si="42"/>
        <v>63.94098776760746</v>
      </c>
      <c r="I563">
        <f t="shared" si="43"/>
        <v>59.560650359999997</v>
      </c>
      <c r="J563">
        <f t="shared" si="45"/>
        <v>59547.36436</v>
      </c>
      <c r="M563">
        <f t="shared" si="44"/>
        <v>38026</v>
      </c>
    </row>
    <row r="564" spans="1:13" x14ac:dyDescent="0.2">
      <c r="A564">
        <v>37</v>
      </c>
      <c r="B564">
        <v>27</v>
      </c>
      <c r="C564">
        <v>64</v>
      </c>
      <c r="D564" s="51" t="s">
        <v>25</v>
      </c>
      <c r="E564">
        <f>VLOOKUP(M564,'MASS - 2016'!$A$1:$G$3418,6,FALSE)</f>
        <v>-59792.328999999998</v>
      </c>
      <c r="F564">
        <f>VLOOKUP(M564,'MASS - 2016'!$A$1:$G$3418,7,FALSE)</f>
        <v>20.006</v>
      </c>
      <c r="G564">
        <f t="shared" si="46"/>
        <v>-59792.328999999998</v>
      </c>
      <c r="H564">
        <f t="shared" si="42"/>
        <v>63.935810294983732</v>
      </c>
      <c r="I564">
        <f t="shared" si="43"/>
        <v>59.555827575000002</v>
      </c>
      <c r="J564">
        <f t="shared" si="45"/>
        <v>59542.030575000004</v>
      </c>
      <c r="M564">
        <f t="shared" si="44"/>
        <v>37027</v>
      </c>
    </row>
    <row r="565" spans="1:13" x14ac:dyDescent="0.2">
      <c r="A565">
        <v>36</v>
      </c>
      <c r="B565">
        <v>28</v>
      </c>
      <c r="C565">
        <v>64</v>
      </c>
      <c r="D565" s="51" t="s">
        <v>26</v>
      </c>
      <c r="E565">
        <f>VLOOKUP(M565,'MASS - 2016'!$A$1:$G$3418,6,FALSE)</f>
        <v>-67098.921000000002</v>
      </c>
      <c r="F565">
        <f>VLOOKUP(M565,'MASS - 2016'!$A$1:$G$3418,7,FALSE)</f>
        <v>0.47499999999999998</v>
      </c>
      <c r="G565">
        <f t="shared" si="46"/>
        <v>-67098.921000000002</v>
      </c>
      <c r="H565">
        <f t="shared" si="42"/>
        <v>63.927966345885267</v>
      </c>
      <c r="I565">
        <f t="shared" si="43"/>
        <v>59.548520982999996</v>
      </c>
      <c r="J565">
        <f t="shared" si="45"/>
        <v>59534.212982999998</v>
      </c>
      <c r="M565">
        <f t="shared" si="44"/>
        <v>36028</v>
      </c>
    </row>
    <row r="566" spans="1:13" x14ac:dyDescent="0.2">
      <c r="A566">
        <v>35</v>
      </c>
      <c r="B566">
        <v>29</v>
      </c>
      <c r="C566">
        <v>64</v>
      </c>
      <c r="D566" s="51" t="s">
        <v>27</v>
      </c>
      <c r="E566">
        <f>VLOOKUP(M566,'MASS - 2016'!$A$1:$G$3418,6,FALSE)</f>
        <v>-65424.544999999998</v>
      </c>
      <c r="F566">
        <f>VLOOKUP(M566,'MASS - 2016'!$A$1:$G$3418,7,FALSE)</f>
        <v>0.44800000000000001</v>
      </c>
      <c r="G566">
        <f t="shared" si="46"/>
        <v>-65424.544999999998</v>
      </c>
      <c r="H566">
        <f t="shared" si="42"/>
        <v>63.929763862445064</v>
      </c>
      <c r="I566">
        <f t="shared" si="43"/>
        <v>59.550195359</v>
      </c>
      <c r="J566">
        <f t="shared" si="45"/>
        <v>59535.376358999994</v>
      </c>
      <c r="M566">
        <f t="shared" si="44"/>
        <v>35029</v>
      </c>
    </row>
    <row r="567" spans="1:13" x14ac:dyDescent="0.2">
      <c r="A567">
        <v>34</v>
      </c>
      <c r="B567">
        <v>30</v>
      </c>
      <c r="C567">
        <v>64</v>
      </c>
      <c r="D567" s="51" t="s">
        <v>28</v>
      </c>
      <c r="E567">
        <f>VLOOKUP(M567,'MASS - 2016'!$A$1:$G$3418,6,FALSE)</f>
        <v>-66004.013999999996</v>
      </c>
      <c r="F567">
        <f>VLOOKUP(M567,'MASS - 2016'!$A$1:$G$3418,7,FALSE)</f>
        <v>0.64700000000000002</v>
      </c>
      <c r="G567">
        <f t="shared" si="46"/>
        <v>-66004.013999999996</v>
      </c>
      <c r="H567">
        <f t="shared" si="42"/>
        <v>63.929141776889978</v>
      </c>
      <c r="I567">
        <f t="shared" si="43"/>
        <v>59.549615889999998</v>
      </c>
      <c r="J567">
        <f t="shared" si="45"/>
        <v>59534.285889999999</v>
      </c>
      <c r="M567">
        <f t="shared" si="44"/>
        <v>34030</v>
      </c>
    </row>
    <row r="568" spans="1:13" x14ac:dyDescent="0.2">
      <c r="A568">
        <v>33</v>
      </c>
      <c r="B568">
        <v>31</v>
      </c>
      <c r="C568">
        <v>64</v>
      </c>
      <c r="D568" s="51" t="s">
        <v>29</v>
      </c>
      <c r="E568">
        <f>VLOOKUP(M568,'MASS - 2016'!$A$1:$G$3418,6,FALSE)</f>
        <v>-58832.821000000004</v>
      </c>
      <c r="F568">
        <f>VLOOKUP(M568,'MASS - 2016'!$A$1:$G$3418,7,FALSE)</f>
        <v>1.429</v>
      </c>
      <c r="G568">
        <f t="shared" si="46"/>
        <v>-58832.821000000004</v>
      </c>
      <c r="H568">
        <f t="shared" si="42"/>
        <v>63.936840369184061</v>
      </c>
      <c r="I568">
        <f t="shared" si="43"/>
        <v>59.556787082999996</v>
      </c>
      <c r="J568">
        <f t="shared" si="45"/>
        <v>59540.946082999995</v>
      </c>
      <c r="M568">
        <f t="shared" si="44"/>
        <v>33031</v>
      </c>
    </row>
    <row r="569" spans="1:13" x14ac:dyDescent="0.2">
      <c r="A569">
        <v>32</v>
      </c>
      <c r="B569">
        <v>32</v>
      </c>
      <c r="C569">
        <v>64</v>
      </c>
      <c r="D569" s="51" t="s">
        <v>30</v>
      </c>
      <c r="E569">
        <f>VLOOKUP(M569,'MASS - 2016'!$A$1:$G$3418,6,FALSE)</f>
        <v>-54315.495999999999</v>
      </c>
      <c r="F569">
        <f>VLOOKUP(M569,'MASS - 2016'!$A$1:$G$3418,7,FALSE)</f>
        <v>3.726</v>
      </c>
      <c r="G569">
        <f t="shared" si="46"/>
        <v>-54315.495999999999</v>
      </c>
      <c r="H569">
        <f t="shared" si="42"/>
        <v>63.941689917011722</v>
      </c>
      <c r="I569">
        <f t="shared" si="43"/>
        <v>59.561304407999998</v>
      </c>
      <c r="J569">
        <f t="shared" si="45"/>
        <v>59544.952407999997</v>
      </c>
      <c r="M569">
        <f t="shared" si="44"/>
        <v>32032</v>
      </c>
    </row>
    <row r="570" spans="1:13" x14ac:dyDescent="0.2">
      <c r="A570">
        <v>31</v>
      </c>
      <c r="B570">
        <v>33</v>
      </c>
      <c r="C570">
        <v>64</v>
      </c>
      <c r="D570" s="51" t="s">
        <v>31</v>
      </c>
      <c r="E570" t="str">
        <f>VLOOKUP(M570,'MASS - 2016'!$A$1:$G$3418,6,FALSE)</f>
        <v>-39532#</v>
      </c>
      <c r="F570" t="str">
        <f>VLOOKUP(M570,'MASS - 2016'!$A$1:$G$3418,7,FALSE)</f>
        <v>203#</v>
      </c>
      <c r="G570">
        <f t="shared" si="46"/>
        <v>-39532.01</v>
      </c>
      <c r="H570">
        <f t="shared" si="42"/>
        <v>63.957560641924474</v>
      </c>
      <c r="I570">
        <f t="shared" si="43"/>
        <v>59.576087893999997</v>
      </c>
      <c r="J570">
        <f t="shared" si="45"/>
        <v>59559.224893999999</v>
      </c>
      <c r="M570">
        <f t="shared" si="44"/>
        <v>31033</v>
      </c>
    </row>
    <row r="571" spans="1:13" x14ac:dyDescent="0.2">
      <c r="A571">
        <v>41</v>
      </c>
      <c r="B571">
        <v>24</v>
      </c>
      <c r="C571">
        <v>65</v>
      </c>
      <c r="D571" s="51" t="s">
        <v>22</v>
      </c>
      <c r="E571" t="str">
        <f>VLOOKUP(M571,'MASS - 2016'!$A$1:$G$3418,6,FALSE)</f>
        <v>-28220#</v>
      </c>
      <c r="F571" t="str">
        <f>VLOOKUP(M571,'MASS - 2016'!$A$1:$G$3418,7,FALSE)</f>
        <v>300#</v>
      </c>
      <c r="G571">
        <f t="shared" si="46"/>
        <v>-28220.01</v>
      </c>
      <c r="H571">
        <f t="shared" si="42"/>
        <v>64.969704573349929</v>
      </c>
      <c r="I571">
        <f t="shared" si="43"/>
        <v>60.518893954999996</v>
      </c>
      <c r="J571">
        <f t="shared" si="45"/>
        <v>60506.629954999989</v>
      </c>
      <c r="M571">
        <f t="shared" si="44"/>
        <v>41024</v>
      </c>
    </row>
    <row r="572" spans="1:13" x14ac:dyDescent="0.2">
      <c r="A572">
        <v>40</v>
      </c>
      <c r="B572">
        <v>25</v>
      </c>
      <c r="C572">
        <v>65</v>
      </c>
      <c r="D572" s="51" t="s">
        <v>23</v>
      </c>
      <c r="E572">
        <f>VLOOKUP(M572,'MASS - 2016'!$A$1:$G$3418,6,FALSE)</f>
        <v>-40967.339</v>
      </c>
      <c r="F572">
        <f>VLOOKUP(M572,'MASS - 2016'!$A$1:$G$3418,7,FALSE)</f>
        <v>3.726</v>
      </c>
      <c r="G572">
        <f t="shared" si="46"/>
        <v>-40967.339</v>
      </c>
      <c r="H572">
        <f t="shared" si="42"/>
        <v>64.956019752873132</v>
      </c>
      <c r="I572">
        <f t="shared" si="43"/>
        <v>60.50614662600001</v>
      </c>
      <c r="J572">
        <f t="shared" si="45"/>
        <v>60493.371626000007</v>
      </c>
      <c r="M572">
        <f t="shared" si="44"/>
        <v>40025</v>
      </c>
    </row>
    <row r="573" spans="1:13" x14ac:dyDescent="0.2">
      <c r="A573">
        <v>39</v>
      </c>
      <c r="B573">
        <v>26</v>
      </c>
      <c r="C573">
        <v>65</v>
      </c>
      <c r="D573" s="51" t="s">
        <v>24</v>
      </c>
      <c r="E573">
        <f>VLOOKUP(M573,'MASS - 2016'!$A$1:$G$3418,6,FALSE)</f>
        <v>-51217.894999999997</v>
      </c>
      <c r="F573">
        <f>VLOOKUP(M573,'MASS - 2016'!$A$1:$G$3418,7,FALSE)</f>
        <v>5.1120000000000001</v>
      </c>
      <c r="G573">
        <f t="shared" si="46"/>
        <v>-51217.894999999997</v>
      </c>
      <c r="H573">
        <f t="shared" si="42"/>
        <v>64.945015328444484</v>
      </c>
      <c r="I573">
        <f t="shared" si="43"/>
        <v>60.495896070000001</v>
      </c>
      <c r="J573">
        <f t="shared" si="45"/>
        <v>60482.610070000002</v>
      </c>
      <c r="M573">
        <f t="shared" si="44"/>
        <v>39026</v>
      </c>
    </row>
    <row r="574" spans="1:13" x14ac:dyDescent="0.2">
      <c r="A574">
        <v>38</v>
      </c>
      <c r="B574">
        <v>27</v>
      </c>
      <c r="C574">
        <v>65</v>
      </c>
      <c r="D574" s="51" t="s">
        <v>25</v>
      </c>
      <c r="E574">
        <f>VLOOKUP(M574,'MASS - 2016'!$A$1:$G$3418,6,FALSE)</f>
        <v>-59185.197999999997</v>
      </c>
      <c r="F574">
        <f>VLOOKUP(M574,'MASS - 2016'!$A$1:$G$3418,7,FALSE)</f>
        <v>2.0830000000000002</v>
      </c>
      <c r="G574">
        <f t="shared" si="46"/>
        <v>-59185.197999999997</v>
      </c>
      <c r="H574">
        <f t="shared" si="42"/>
        <v>64.936462076917095</v>
      </c>
      <c r="I574">
        <f t="shared" si="43"/>
        <v>60.487928767</v>
      </c>
      <c r="J574">
        <f t="shared" si="45"/>
        <v>60474.131766999999</v>
      </c>
      <c r="M574">
        <f t="shared" si="44"/>
        <v>38027</v>
      </c>
    </row>
    <row r="575" spans="1:13" x14ac:dyDescent="0.2">
      <c r="A575">
        <v>37</v>
      </c>
      <c r="B575">
        <v>28</v>
      </c>
      <c r="C575">
        <v>65</v>
      </c>
      <c r="D575" s="51" t="s">
        <v>26</v>
      </c>
      <c r="E575">
        <f>VLOOKUP(M575,'MASS - 2016'!$A$1:$G$3418,6,FALSE)</f>
        <v>-65125.684999999998</v>
      </c>
      <c r="F575">
        <f>VLOOKUP(M575,'MASS - 2016'!$A$1:$G$3418,7,FALSE)</f>
        <v>0.495</v>
      </c>
      <c r="G575">
        <f t="shared" si="46"/>
        <v>-65125.684999999998</v>
      </c>
      <c r="H575">
        <f t="shared" si="42"/>
        <v>64.930084701849751</v>
      </c>
      <c r="I575">
        <f t="shared" si="43"/>
        <v>60.481988279999996</v>
      </c>
      <c r="J575">
        <f t="shared" si="45"/>
        <v>60467.68028</v>
      </c>
      <c r="M575">
        <f t="shared" si="44"/>
        <v>37028</v>
      </c>
    </row>
    <row r="576" spans="1:13" x14ac:dyDescent="0.2">
      <c r="A576">
        <v>36</v>
      </c>
      <c r="B576">
        <v>29</v>
      </c>
      <c r="C576">
        <v>65</v>
      </c>
      <c r="D576" s="51" t="s">
        <v>27</v>
      </c>
      <c r="E576">
        <f>VLOOKUP(M576,'MASS - 2016'!$A$1:$G$3418,6,FALSE)</f>
        <v>-67263.66</v>
      </c>
      <c r="F576">
        <f>VLOOKUP(M576,'MASS - 2016'!$A$1:$G$3418,7,FALSE)</f>
        <v>0.65</v>
      </c>
      <c r="G576">
        <f t="shared" si="46"/>
        <v>-67263.66</v>
      </c>
      <c r="H576">
        <f t="shared" si="42"/>
        <v>64.927789491295528</v>
      </c>
      <c r="I576">
        <f t="shared" si="43"/>
        <v>60.479850304999992</v>
      </c>
      <c r="J576">
        <f t="shared" si="45"/>
        <v>60465.03130499999</v>
      </c>
      <c r="M576">
        <f t="shared" si="44"/>
        <v>36029</v>
      </c>
    </row>
    <row r="577" spans="1:13" x14ac:dyDescent="0.2">
      <c r="A577">
        <v>35</v>
      </c>
      <c r="B577">
        <v>30</v>
      </c>
      <c r="C577">
        <v>65</v>
      </c>
      <c r="D577" s="51" t="s">
        <v>28</v>
      </c>
      <c r="E577">
        <f>VLOOKUP(M577,'MASS - 2016'!$A$1:$G$3418,6,FALSE)</f>
        <v>-65912.019</v>
      </c>
      <c r="F577">
        <f>VLOOKUP(M577,'MASS - 2016'!$A$1:$G$3418,7,FALSE)</f>
        <v>0.65</v>
      </c>
      <c r="G577">
        <f t="shared" si="46"/>
        <v>-65912.019</v>
      </c>
      <c r="H577">
        <f t="shared" si="42"/>
        <v>64.929240537584064</v>
      </c>
      <c r="I577">
        <f t="shared" si="43"/>
        <v>60.481201945999999</v>
      </c>
      <c r="J577">
        <f t="shared" si="45"/>
        <v>60465.871945999999</v>
      </c>
      <c r="M577">
        <f t="shared" si="44"/>
        <v>35030</v>
      </c>
    </row>
    <row r="578" spans="1:13" x14ac:dyDescent="0.2">
      <c r="A578">
        <v>34</v>
      </c>
      <c r="B578">
        <v>31</v>
      </c>
      <c r="C578">
        <v>65</v>
      </c>
      <c r="D578" s="51" t="s">
        <v>29</v>
      </c>
      <c r="E578">
        <f>VLOOKUP(M578,'MASS - 2016'!$A$1:$G$3418,6,FALSE)</f>
        <v>-62657.506999999998</v>
      </c>
      <c r="F578">
        <f>VLOOKUP(M578,'MASS - 2016'!$A$1:$G$3418,7,FALSE)</f>
        <v>0.81499999999999995</v>
      </c>
      <c r="G578">
        <f t="shared" si="46"/>
        <v>-62657.506999999998</v>
      </c>
      <c r="H578">
        <f t="shared" si="42"/>
        <v>64.932734399902955</v>
      </c>
      <c r="I578">
        <f t="shared" si="43"/>
        <v>60.484456458000004</v>
      </c>
      <c r="J578">
        <f t="shared" si="45"/>
        <v>60468.615458</v>
      </c>
      <c r="M578">
        <f t="shared" si="44"/>
        <v>34031</v>
      </c>
    </row>
    <row r="579" spans="1:13" x14ac:dyDescent="0.2">
      <c r="A579">
        <v>33</v>
      </c>
      <c r="B579">
        <v>32</v>
      </c>
      <c r="C579">
        <v>65</v>
      </c>
      <c r="D579" s="51" t="s">
        <v>30</v>
      </c>
      <c r="E579">
        <f>VLOOKUP(M579,'MASS - 2016'!$A$1:$G$3418,6,FALSE)</f>
        <v>-56478.216</v>
      </c>
      <c r="F579">
        <f>VLOOKUP(M579,'MASS - 2016'!$A$1:$G$3418,7,FALSE)</f>
        <v>2.165</v>
      </c>
      <c r="G579">
        <f t="shared" si="46"/>
        <v>-56478.216</v>
      </c>
      <c r="H579">
        <f t="shared" si="42"/>
        <v>64.939368141607503</v>
      </c>
      <c r="I579">
        <f t="shared" si="43"/>
        <v>60.490635748999992</v>
      </c>
      <c r="J579">
        <f t="shared" si="45"/>
        <v>60474.283748999995</v>
      </c>
      <c r="M579">
        <f t="shared" si="44"/>
        <v>33032</v>
      </c>
    </row>
    <row r="580" spans="1:13" x14ac:dyDescent="0.2">
      <c r="A580">
        <v>32</v>
      </c>
      <c r="B580">
        <v>33</v>
      </c>
      <c r="C580">
        <v>65</v>
      </c>
      <c r="D580" s="51" t="s">
        <v>31</v>
      </c>
      <c r="E580">
        <f>VLOOKUP(M580,'MASS - 2016'!$A$1:$G$3418,6,FALSE)</f>
        <v>-46937.050999999999</v>
      </c>
      <c r="F580">
        <f>VLOOKUP(M580,'MASS - 2016'!$A$1:$G$3418,7,FALSE)</f>
        <v>84.766000000000005</v>
      </c>
      <c r="G580">
        <f t="shared" si="46"/>
        <v>-46937.050999999999</v>
      </c>
      <c r="H580">
        <f t="shared" si="42"/>
        <v>64.949611003477997</v>
      </c>
      <c r="I580">
        <f t="shared" si="43"/>
        <v>60.500176914000001</v>
      </c>
      <c r="J580">
        <f t="shared" si="45"/>
        <v>60483.313914000006</v>
      </c>
      <c r="M580">
        <f t="shared" si="44"/>
        <v>32033</v>
      </c>
    </row>
    <row r="581" spans="1:13" x14ac:dyDescent="0.2">
      <c r="A581">
        <v>31</v>
      </c>
      <c r="B581">
        <v>34</v>
      </c>
      <c r="C581">
        <v>65</v>
      </c>
      <c r="D581" s="51" t="s">
        <v>32</v>
      </c>
      <c r="E581" t="str">
        <f>VLOOKUP(M581,'MASS - 2016'!$A$1:$G$3418,6,FALSE)</f>
        <v>-33020#</v>
      </c>
      <c r="F581" t="str">
        <f>VLOOKUP(M581,'MASS - 2016'!$A$1:$G$3418,7,FALSE)</f>
        <v>300#</v>
      </c>
      <c r="G581">
        <f t="shared" si="46"/>
        <v>-33020.01</v>
      </c>
      <c r="H581">
        <f t="shared" si="42"/>
        <v>64.964551561429658</v>
      </c>
      <c r="I581">
        <f t="shared" si="43"/>
        <v>60.514093955</v>
      </c>
      <c r="J581">
        <f t="shared" si="45"/>
        <v>60496.719954999993</v>
      </c>
      <c r="M581">
        <f t="shared" si="44"/>
        <v>31034</v>
      </c>
    </row>
    <row r="582" spans="1:13" x14ac:dyDescent="0.2">
      <c r="A582">
        <v>41</v>
      </c>
      <c r="B582">
        <v>25</v>
      </c>
      <c r="C582">
        <v>66</v>
      </c>
      <c r="D582" s="51" t="s">
        <v>23</v>
      </c>
      <c r="E582">
        <f>VLOOKUP(M582,'MASS - 2016'!$A$1:$G$3418,6,FALSE)</f>
        <v>-36750.387000000002</v>
      </c>
      <c r="F582">
        <f>VLOOKUP(M582,'MASS - 2016'!$A$1:$G$3418,7,FALSE)</f>
        <v>11.178000000000001</v>
      </c>
      <c r="G582">
        <f t="shared" si="46"/>
        <v>-36750.387000000002</v>
      </c>
      <c r="H582">
        <f t="shared" si="42"/>
        <v>65.960546837023799</v>
      </c>
      <c r="I582">
        <f t="shared" si="43"/>
        <v>61.441857639000006</v>
      </c>
      <c r="J582">
        <f t="shared" si="45"/>
        <v>61429.082639000007</v>
      </c>
      <c r="M582">
        <f t="shared" si="44"/>
        <v>41025</v>
      </c>
    </row>
    <row r="583" spans="1:13" x14ac:dyDescent="0.2">
      <c r="A583">
        <v>40</v>
      </c>
      <c r="B583">
        <v>26</v>
      </c>
      <c r="C583">
        <v>66</v>
      </c>
      <c r="D583" s="51" t="s">
        <v>24</v>
      </c>
      <c r="E583">
        <f>VLOOKUP(M583,'MASS - 2016'!$A$1:$G$3418,6,FALSE)</f>
        <v>-50067.839</v>
      </c>
      <c r="F583">
        <f>VLOOKUP(M583,'MASS - 2016'!$A$1:$G$3418,7,FALSE)</f>
        <v>4.0990000000000002</v>
      </c>
      <c r="G583">
        <f t="shared" si="46"/>
        <v>-50067.839</v>
      </c>
      <c r="H583">
        <f t="shared" si="42"/>
        <v>65.946249964335522</v>
      </c>
      <c r="I583">
        <f t="shared" si="43"/>
        <v>61.428540186999996</v>
      </c>
      <c r="J583">
        <f t="shared" si="45"/>
        <v>61415.254186999999</v>
      </c>
      <c r="M583">
        <f t="shared" si="44"/>
        <v>40026</v>
      </c>
    </row>
    <row r="584" spans="1:13" x14ac:dyDescent="0.2">
      <c r="A584">
        <v>39</v>
      </c>
      <c r="B584">
        <v>27</v>
      </c>
      <c r="C584">
        <v>66</v>
      </c>
      <c r="D584" s="51" t="s">
        <v>25</v>
      </c>
      <c r="E584">
        <f>VLOOKUP(M584,'MASS - 2016'!$A$1:$G$3418,6,FALSE)</f>
        <v>-56408.533000000003</v>
      </c>
      <c r="F584">
        <f>VLOOKUP(M584,'MASS - 2016'!$A$1:$G$3418,7,FALSE)</f>
        <v>13.972</v>
      </c>
      <c r="G584">
        <f t="shared" si="46"/>
        <v>-56408.533000000003</v>
      </c>
      <c r="H584">
        <f t="shared" si="42"/>
        <v>65.939442949384514</v>
      </c>
      <c r="I584">
        <f t="shared" si="43"/>
        <v>61.422199492999994</v>
      </c>
      <c r="J584">
        <f t="shared" si="45"/>
        <v>61408.402492999994</v>
      </c>
      <c r="M584">
        <f t="shared" si="44"/>
        <v>39027</v>
      </c>
    </row>
    <row r="585" spans="1:13" x14ac:dyDescent="0.2">
      <c r="A585">
        <v>38</v>
      </c>
      <c r="B585">
        <v>28</v>
      </c>
      <c r="C585">
        <v>66</v>
      </c>
      <c r="D585" s="51" t="s">
        <v>26</v>
      </c>
      <c r="E585">
        <f>VLOOKUP(M585,'MASS - 2016'!$A$1:$G$3418,6,FALSE)</f>
        <v>-66006.285000000003</v>
      </c>
      <c r="F585">
        <f>VLOOKUP(M585,'MASS - 2016'!$A$1:$G$3418,7,FALSE)</f>
        <v>1.397</v>
      </c>
      <c r="G585">
        <f t="shared" si="46"/>
        <v>-66006.285000000003</v>
      </c>
      <c r="H585">
        <f t="shared" ref="H585:H648" si="47">(C585*$A$3+G585/1000000)/$A$3</f>
        <v>65.929139338871209</v>
      </c>
      <c r="I585">
        <f t="shared" ref="I585:I648" si="48">H585*$A$3</f>
        <v>61.412601740999996</v>
      </c>
      <c r="J585">
        <f t="shared" si="45"/>
        <v>61398.293741000001</v>
      </c>
      <c r="M585">
        <f t="shared" ref="M585:M648" si="49">1000*A585+B585</f>
        <v>38028</v>
      </c>
    </row>
    <row r="586" spans="1:13" x14ac:dyDescent="0.2">
      <c r="A586">
        <v>37</v>
      </c>
      <c r="B586">
        <v>29</v>
      </c>
      <c r="C586">
        <v>66</v>
      </c>
      <c r="D586" s="51" t="s">
        <v>27</v>
      </c>
      <c r="E586">
        <f>VLOOKUP(M586,'MASS - 2016'!$A$1:$G$3418,6,FALSE)</f>
        <v>-66258.271999999997</v>
      </c>
      <c r="F586">
        <f>VLOOKUP(M586,'MASS - 2016'!$A$1:$G$3418,7,FALSE)</f>
        <v>0.65500000000000003</v>
      </c>
      <c r="G586">
        <f t="shared" si="46"/>
        <v>-66258.271999999997</v>
      </c>
      <c r="H586">
        <f t="shared" si="47"/>
        <v>65.928868819701464</v>
      </c>
      <c r="I586">
        <f t="shared" si="48"/>
        <v>61.41234975399999</v>
      </c>
      <c r="J586">
        <f t="shared" si="45"/>
        <v>61397.530753999985</v>
      </c>
      <c r="M586">
        <f t="shared" si="49"/>
        <v>37029</v>
      </c>
    </row>
    <row r="587" spans="1:13" x14ac:dyDescent="0.2">
      <c r="A587">
        <v>36</v>
      </c>
      <c r="B587">
        <v>30</v>
      </c>
      <c r="C587">
        <v>66</v>
      </c>
      <c r="D587" s="51" t="s">
        <v>28</v>
      </c>
      <c r="E587">
        <f>VLOOKUP(M587,'MASS - 2016'!$A$1:$G$3418,6,FALSE)</f>
        <v>-68899.16</v>
      </c>
      <c r="F587">
        <f>VLOOKUP(M587,'MASS - 2016'!$A$1:$G$3418,7,FALSE)</f>
        <v>0.749</v>
      </c>
      <c r="G587">
        <f t="shared" si="46"/>
        <v>-68899.16</v>
      </c>
      <c r="H587">
        <f t="shared" si="47"/>
        <v>65.926033709838109</v>
      </c>
      <c r="I587">
        <f t="shared" si="48"/>
        <v>61.409708865999995</v>
      </c>
      <c r="J587">
        <f t="shared" si="45"/>
        <v>61394.378865999992</v>
      </c>
      <c r="M587">
        <f t="shared" si="49"/>
        <v>36030</v>
      </c>
    </row>
    <row r="588" spans="1:13" x14ac:dyDescent="0.2">
      <c r="A588">
        <v>35</v>
      </c>
      <c r="B588">
        <v>31</v>
      </c>
      <c r="C588">
        <v>66</v>
      </c>
      <c r="D588" s="51" t="s">
        <v>29</v>
      </c>
      <c r="E588">
        <f>VLOOKUP(M588,'MASS - 2016'!$A$1:$G$3418,6,FALSE)</f>
        <v>-63723.66</v>
      </c>
      <c r="F588">
        <f>VLOOKUP(M588,'MASS - 2016'!$A$1:$G$3418,7,FALSE)</f>
        <v>1.0960000000000001</v>
      </c>
      <c r="G588">
        <f t="shared" si="46"/>
        <v>-63723.66</v>
      </c>
      <c r="H588">
        <f t="shared" si="47"/>
        <v>65.931589837586728</v>
      </c>
      <c r="I588">
        <f t="shared" si="48"/>
        <v>61.414884365999988</v>
      </c>
      <c r="J588">
        <f t="shared" ref="J588:J651" si="50">1000*I588-B588*0.511</f>
        <v>61399.043365999991</v>
      </c>
      <c r="M588">
        <f t="shared" si="49"/>
        <v>35031</v>
      </c>
    </row>
    <row r="589" spans="1:13" x14ac:dyDescent="0.2">
      <c r="A589">
        <v>34</v>
      </c>
      <c r="B589">
        <v>32</v>
      </c>
      <c r="C589">
        <v>66</v>
      </c>
      <c r="D589" s="51" t="s">
        <v>30</v>
      </c>
      <c r="E589">
        <f>VLOOKUP(M589,'MASS - 2016'!$A$1:$G$3418,6,FALSE)</f>
        <v>-61607.031999999999</v>
      </c>
      <c r="F589">
        <f>VLOOKUP(M589,'MASS - 2016'!$A$1:$G$3418,7,FALSE)</f>
        <v>2.4009999999999998</v>
      </c>
      <c r="G589">
        <f t="shared" si="46"/>
        <v>-61607.031999999999</v>
      </c>
      <c r="H589">
        <f t="shared" si="47"/>
        <v>65.93386213119399</v>
      </c>
      <c r="I589">
        <f t="shared" si="48"/>
        <v>61.417000994000006</v>
      </c>
      <c r="J589">
        <f t="shared" si="50"/>
        <v>61400.64899400001</v>
      </c>
      <c r="M589">
        <f t="shared" si="49"/>
        <v>34032</v>
      </c>
    </row>
    <row r="590" spans="1:13" x14ac:dyDescent="0.2">
      <c r="A590">
        <v>33</v>
      </c>
      <c r="B590">
        <v>33</v>
      </c>
      <c r="C590">
        <v>66</v>
      </c>
      <c r="D590" s="51" t="s">
        <v>31</v>
      </c>
      <c r="E590">
        <f>VLOOKUP(M590,'MASS - 2016'!$A$1:$G$3418,6,FALSE)</f>
        <v>-52025.076999999997</v>
      </c>
      <c r="F590">
        <f>VLOOKUP(M590,'MASS - 2016'!$A$1:$G$3418,7,FALSE)</f>
        <v>5.6820000000000004</v>
      </c>
      <c r="G590">
        <f t="shared" si="46"/>
        <v>-52025.076999999997</v>
      </c>
      <c r="H590">
        <f t="shared" si="47"/>
        <v>65.944148782930341</v>
      </c>
      <c r="I590">
        <f t="shared" si="48"/>
        <v>61.426582948999993</v>
      </c>
      <c r="J590">
        <f t="shared" si="50"/>
        <v>61409.719948999998</v>
      </c>
      <c r="M590">
        <f t="shared" si="49"/>
        <v>33033</v>
      </c>
    </row>
    <row r="591" spans="1:13" x14ac:dyDescent="0.2">
      <c r="A591">
        <v>32</v>
      </c>
      <c r="B591">
        <v>34</v>
      </c>
      <c r="C591">
        <v>66</v>
      </c>
      <c r="D591" s="51" t="s">
        <v>32</v>
      </c>
      <c r="E591" t="str">
        <f>VLOOKUP(M591,'MASS - 2016'!$A$1:$G$3418,6,FALSE)</f>
        <v>-41660#</v>
      </c>
      <c r="F591" t="str">
        <f>VLOOKUP(M591,'MASS - 2016'!$A$1:$G$3418,7,FALSE)</f>
        <v>200#</v>
      </c>
      <c r="G591">
        <f t="shared" ref="G591:G654" si="51">IF(ISNUMBER(E591),E591,VALUE(SUBSTITUTE(E591,"#",".01")))</f>
        <v>-41660.01</v>
      </c>
      <c r="H591">
        <f t="shared" si="47"/>
        <v>65.955276139973151</v>
      </c>
      <c r="I591">
        <f t="shared" si="48"/>
        <v>61.436948015999995</v>
      </c>
      <c r="J591">
        <f t="shared" si="50"/>
        <v>61419.574015999991</v>
      </c>
      <c r="M591">
        <f t="shared" si="49"/>
        <v>32034</v>
      </c>
    </row>
    <row r="592" spans="1:13" x14ac:dyDescent="0.2">
      <c r="A592">
        <v>42</v>
      </c>
      <c r="B592">
        <v>25</v>
      </c>
      <c r="C592">
        <v>67</v>
      </c>
      <c r="D592" s="51" t="s">
        <v>23</v>
      </c>
      <c r="E592" t="str">
        <f>VLOOKUP(M592,'MASS - 2016'!$A$1:$G$3418,6,FALSE)</f>
        <v>-33460#</v>
      </c>
      <c r="F592" t="str">
        <f>VLOOKUP(M592,'MASS - 2016'!$A$1:$G$3418,7,FALSE)</f>
        <v>300#</v>
      </c>
      <c r="G592">
        <f t="shared" si="51"/>
        <v>-33460.01</v>
      </c>
      <c r="H592">
        <f t="shared" si="47"/>
        <v>66.964079202003632</v>
      </c>
      <c r="I592">
        <f t="shared" si="48"/>
        <v>62.376642077</v>
      </c>
      <c r="J592">
        <f t="shared" si="50"/>
        <v>62363.867076999995</v>
      </c>
      <c r="M592">
        <f t="shared" si="49"/>
        <v>42025</v>
      </c>
    </row>
    <row r="593" spans="1:13" x14ac:dyDescent="0.2">
      <c r="A593">
        <v>41</v>
      </c>
      <c r="B593">
        <v>26</v>
      </c>
      <c r="C593">
        <v>67</v>
      </c>
      <c r="D593" s="51" t="s">
        <v>24</v>
      </c>
      <c r="E593">
        <f>VLOOKUP(M593,'MASS - 2016'!$A$1:$G$3418,6,FALSE)</f>
        <v>-45610.154999999999</v>
      </c>
      <c r="F593">
        <f>VLOOKUP(M593,'MASS - 2016'!$A$1:$G$3418,7,FALSE)</f>
        <v>270.28500000000003</v>
      </c>
      <c r="G593">
        <f t="shared" si="51"/>
        <v>-45610.154999999999</v>
      </c>
      <c r="H593">
        <f t="shared" si="47"/>
        <v>66.951035484916531</v>
      </c>
      <c r="I593">
        <f t="shared" si="48"/>
        <v>62.364491932</v>
      </c>
      <c r="J593">
        <f t="shared" si="50"/>
        <v>62351.205931999997</v>
      </c>
      <c r="M593">
        <f t="shared" si="49"/>
        <v>41026</v>
      </c>
    </row>
    <row r="594" spans="1:13" x14ac:dyDescent="0.2">
      <c r="A594">
        <v>40</v>
      </c>
      <c r="B594">
        <v>27</v>
      </c>
      <c r="C594">
        <v>67</v>
      </c>
      <c r="D594" s="51" t="s">
        <v>25</v>
      </c>
      <c r="E594">
        <f>VLOOKUP(M594,'MASS - 2016'!$A$1:$G$3418,6,FALSE)</f>
        <v>-55321.775000000001</v>
      </c>
      <c r="F594">
        <f>VLOOKUP(M594,'MASS - 2016'!$A$1:$G$3418,7,FALSE)</f>
        <v>6.4429999999999996</v>
      </c>
      <c r="G594">
        <f t="shared" si="51"/>
        <v>-55321.775000000001</v>
      </c>
      <c r="H594">
        <f t="shared" si="47"/>
        <v>66.940609632077937</v>
      </c>
      <c r="I594">
        <f t="shared" si="48"/>
        <v>62.354780311999995</v>
      </c>
      <c r="J594">
        <f t="shared" si="50"/>
        <v>62340.983311999997</v>
      </c>
      <c r="M594">
        <f t="shared" si="49"/>
        <v>40027</v>
      </c>
    </row>
    <row r="595" spans="1:13" x14ac:dyDescent="0.2">
      <c r="A595">
        <v>39</v>
      </c>
      <c r="B595">
        <v>28</v>
      </c>
      <c r="C595">
        <v>67</v>
      </c>
      <c r="D595" s="51" t="s">
        <v>26</v>
      </c>
      <c r="E595">
        <f>VLOOKUP(M595,'MASS - 2016'!$A$1:$G$3418,6,FALSE)</f>
        <v>-63742.68</v>
      </c>
      <c r="F595">
        <f>VLOOKUP(M595,'MASS - 2016'!$A$1:$G$3418,7,FALSE)</f>
        <v>2.8879999999999999</v>
      </c>
      <c r="G595">
        <f t="shared" si="51"/>
        <v>-63742.68</v>
      </c>
      <c r="H595">
        <f t="shared" si="47"/>
        <v>66.931569418777002</v>
      </c>
      <c r="I595">
        <f t="shared" si="48"/>
        <v>62.346359407000001</v>
      </c>
      <c r="J595">
        <f t="shared" si="50"/>
        <v>62332.051407000006</v>
      </c>
      <c r="M595">
        <f t="shared" si="49"/>
        <v>39028</v>
      </c>
    </row>
    <row r="596" spans="1:13" x14ac:dyDescent="0.2">
      <c r="A596">
        <v>38</v>
      </c>
      <c r="B596">
        <v>29</v>
      </c>
      <c r="C596">
        <v>67</v>
      </c>
      <c r="D596" s="51" t="s">
        <v>27</v>
      </c>
      <c r="E596">
        <f>VLOOKUP(M596,'MASS - 2016'!$A$1:$G$3418,6,FALSE)</f>
        <v>-67319.513000000006</v>
      </c>
      <c r="F596">
        <f>VLOOKUP(M596,'MASS - 2016'!$A$1:$G$3418,7,FALSE)</f>
        <v>0.89400000000000002</v>
      </c>
      <c r="G596">
        <f t="shared" si="51"/>
        <v>-67319.513000000006</v>
      </c>
      <c r="H596">
        <f t="shared" si="47"/>
        <v>66.927729530634124</v>
      </c>
      <c r="I596">
        <f t="shared" si="48"/>
        <v>62.342782574000005</v>
      </c>
      <c r="J596">
        <f t="shared" si="50"/>
        <v>62327.963574000001</v>
      </c>
      <c r="M596">
        <f t="shared" si="49"/>
        <v>38029</v>
      </c>
    </row>
    <row r="597" spans="1:13" x14ac:dyDescent="0.2">
      <c r="A597">
        <v>37</v>
      </c>
      <c r="B597">
        <v>30</v>
      </c>
      <c r="C597">
        <v>67</v>
      </c>
      <c r="D597" s="51" t="s">
        <v>28</v>
      </c>
      <c r="E597">
        <f>VLOOKUP(M597,'MASS - 2016'!$A$1:$G$3418,6,FALSE)</f>
        <v>-67880.312999999995</v>
      </c>
      <c r="F597">
        <f>VLOOKUP(M597,'MASS - 2016'!$A$1:$G$3418,7,FALSE)</f>
        <v>0.76</v>
      </c>
      <c r="G597">
        <f t="shared" si="51"/>
        <v>-67880.312999999995</v>
      </c>
      <c r="H597">
        <f t="shared" si="47"/>
        <v>66.927127487074756</v>
      </c>
      <c r="I597">
        <f t="shared" si="48"/>
        <v>62.342221773999988</v>
      </c>
      <c r="J597">
        <f t="shared" si="50"/>
        <v>62326.891773999989</v>
      </c>
      <c r="M597">
        <f t="shared" si="49"/>
        <v>37030</v>
      </c>
    </row>
    <row r="598" spans="1:13" x14ac:dyDescent="0.2">
      <c r="A598">
        <v>36</v>
      </c>
      <c r="B598">
        <v>31</v>
      </c>
      <c r="C598">
        <v>67</v>
      </c>
      <c r="D598" s="51" t="s">
        <v>29</v>
      </c>
      <c r="E598">
        <f>VLOOKUP(M598,'MASS - 2016'!$A$1:$G$3418,6,FALSE)</f>
        <v>-66879.047999999995</v>
      </c>
      <c r="F598">
        <f>VLOOKUP(M598,'MASS - 2016'!$A$1:$G$3418,7,FALSE)</f>
        <v>1.181</v>
      </c>
      <c r="G598">
        <f t="shared" si="51"/>
        <v>-66879.047999999995</v>
      </c>
      <c r="H598">
        <f t="shared" si="47"/>
        <v>66.928202389258175</v>
      </c>
      <c r="I598">
        <f t="shared" si="48"/>
        <v>62.343223039000002</v>
      </c>
      <c r="J598">
        <f t="shared" si="50"/>
        <v>62327.382039000004</v>
      </c>
      <c r="M598">
        <f t="shared" si="49"/>
        <v>36031</v>
      </c>
    </row>
    <row r="599" spans="1:13" x14ac:dyDescent="0.2">
      <c r="A599">
        <v>35</v>
      </c>
      <c r="B599">
        <v>32</v>
      </c>
      <c r="C599">
        <v>67</v>
      </c>
      <c r="D599" s="51" t="s">
        <v>30</v>
      </c>
      <c r="E599">
        <f>VLOOKUP(M599,'MASS - 2016'!$A$1:$G$3418,6,FALSE)</f>
        <v>-62658.23</v>
      </c>
      <c r="F599">
        <f>VLOOKUP(M599,'MASS - 2016'!$A$1:$G$3418,7,FALSE)</f>
        <v>4.6609999999999996</v>
      </c>
      <c r="G599">
        <f t="shared" si="51"/>
        <v>-62658.23</v>
      </c>
      <c r="H599">
        <f t="shared" si="47"/>
        <v>66.932733623730542</v>
      </c>
      <c r="I599">
        <f t="shared" si="48"/>
        <v>62.347443857000009</v>
      </c>
      <c r="J599">
        <f t="shared" si="50"/>
        <v>62331.091857000007</v>
      </c>
      <c r="M599">
        <f t="shared" si="49"/>
        <v>35032</v>
      </c>
    </row>
    <row r="600" spans="1:13" x14ac:dyDescent="0.2">
      <c r="A600">
        <v>34</v>
      </c>
      <c r="B600">
        <v>33</v>
      </c>
      <c r="C600">
        <v>67</v>
      </c>
      <c r="D600" s="51" t="s">
        <v>31</v>
      </c>
      <c r="E600">
        <f>VLOOKUP(M600,'MASS - 2016'!$A$1:$G$3418,6,FALSE)</f>
        <v>-56587.224999999999</v>
      </c>
      <c r="F600">
        <f>VLOOKUP(M600,'MASS - 2016'!$A$1:$G$3418,7,FALSE)</f>
        <v>0.443</v>
      </c>
      <c r="G600">
        <f t="shared" si="51"/>
        <v>-56587.224999999999</v>
      </c>
      <c r="H600">
        <f t="shared" si="47"/>
        <v>66.939251115633255</v>
      </c>
      <c r="I600">
        <f t="shared" si="48"/>
        <v>62.353514861999997</v>
      </c>
      <c r="J600">
        <f t="shared" si="50"/>
        <v>62336.651861999999</v>
      </c>
      <c r="M600">
        <f t="shared" si="49"/>
        <v>34033</v>
      </c>
    </row>
    <row r="601" spans="1:13" x14ac:dyDescent="0.2">
      <c r="A601">
        <v>33</v>
      </c>
      <c r="B601">
        <v>34</v>
      </c>
      <c r="C601">
        <v>67</v>
      </c>
      <c r="D601" s="51" t="s">
        <v>32</v>
      </c>
      <c r="E601">
        <f>VLOOKUP(M601,'MASS - 2016'!$A$1:$G$3418,6,FALSE)</f>
        <v>-46580.288999999997</v>
      </c>
      <c r="F601">
        <f>VLOOKUP(M601,'MASS - 2016'!$A$1:$G$3418,7,FALSE)</f>
        <v>67.067999999999998</v>
      </c>
      <c r="G601">
        <f t="shared" si="51"/>
        <v>-46580.288999999997</v>
      </c>
      <c r="H601">
        <f t="shared" si="47"/>
        <v>66.949994003236057</v>
      </c>
      <c r="I601">
        <f t="shared" si="48"/>
        <v>62.363521798000001</v>
      </c>
      <c r="J601">
        <f t="shared" si="50"/>
        <v>62346.147797999998</v>
      </c>
      <c r="M601">
        <f t="shared" si="49"/>
        <v>33034</v>
      </c>
    </row>
    <row r="602" spans="1:13" x14ac:dyDescent="0.2">
      <c r="A602">
        <v>32</v>
      </c>
      <c r="B602">
        <v>35</v>
      </c>
      <c r="C602">
        <v>67</v>
      </c>
      <c r="D602" s="51" t="s">
        <v>33</v>
      </c>
      <c r="E602" t="str">
        <f>VLOOKUP(M602,'MASS - 2016'!$A$1:$G$3418,6,FALSE)</f>
        <v>-32790#</v>
      </c>
      <c r="F602" t="str">
        <f>VLOOKUP(M602,'MASS - 2016'!$A$1:$G$3418,7,FALSE)</f>
        <v>400#</v>
      </c>
      <c r="G602">
        <f t="shared" si="51"/>
        <v>-32790.01</v>
      </c>
      <c r="H602">
        <f t="shared" si="47"/>
        <v>66.964798476584164</v>
      </c>
      <c r="I602">
        <f t="shared" si="48"/>
        <v>62.377312076999992</v>
      </c>
      <c r="J602">
        <f t="shared" si="50"/>
        <v>62359.427076999993</v>
      </c>
      <c r="M602">
        <f t="shared" si="49"/>
        <v>32035</v>
      </c>
    </row>
    <row r="603" spans="1:13" x14ac:dyDescent="0.2">
      <c r="A603">
        <v>42</v>
      </c>
      <c r="B603">
        <v>26</v>
      </c>
      <c r="C603">
        <v>68</v>
      </c>
      <c r="D603" s="51" t="s">
        <v>24</v>
      </c>
      <c r="E603">
        <f>VLOOKUP(M603,'MASS - 2016'!$A$1:$G$3418,6,FALSE)</f>
        <v>-43486.913999999997</v>
      </c>
      <c r="F603">
        <f>VLOOKUP(M603,'MASS - 2016'!$A$1:$G$3418,7,FALSE)</f>
        <v>365.25900000000001</v>
      </c>
      <c r="G603">
        <f t="shared" si="51"/>
        <v>-43486.913999999997</v>
      </c>
      <c r="H603">
        <f t="shared" si="47"/>
        <v>67.953314877871236</v>
      </c>
      <c r="I603">
        <f t="shared" si="48"/>
        <v>63.298109233999995</v>
      </c>
      <c r="J603">
        <f t="shared" si="50"/>
        <v>63284.823233999996</v>
      </c>
      <c r="M603">
        <f t="shared" si="49"/>
        <v>42026</v>
      </c>
    </row>
    <row r="604" spans="1:13" x14ac:dyDescent="0.2">
      <c r="A604">
        <v>41</v>
      </c>
      <c r="B604">
        <v>27</v>
      </c>
      <c r="C604">
        <v>68</v>
      </c>
      <c r="D604" s="51" t="s">
        <v>25</v>
      </c>
      <c r="E604">
        <f>VLOOKUP(M604,'MASS - 2016'!$A$1:$G$3418,6,FALSE)</f>
        <v>-51930.665000000001</v>
      </c>
      <c r="F604">
        <f>VLOOKUP(M604,'MASS - 2016'!$A$1:$G$3418,7,FALSE)</f>
        <v>189.49700000000001</v>
      </c>
      <c r="G604">
        <f t="shared" si="51"/>
        <v>-51930.665000000001</v>
      </c>
      <c r="H604">
        <f t="shared" si="47"/>
        <v>67.944250138380653</v>
      </c>
      <c r="I604">
        <f t="shared" si="48"/>
        <v>63.289665483000007</v>
      </c>
      <c r="J604">
        <f t="shared" si="50"/>
        <v>63275.868483000006</v>
      </c>
      <c r="M604">
        <f t="shared" si="49"/>
        <v>41027</v>
      </c>
    </row>
    <row r="605" spans="1:13" x14ac:dyDescent="0.2">
      <c r="A605">
        <v>40</v>
      </c>
      <c r="B605">
        <v>28</v>
      </c>
      <c r="C605">
        <v>68</v>
      </c>
      <c r="D605" s="51" t="s">
        <v>26</v>
      </c>
      <c r="E605">
        <f>VLOOKUP(M605,'MASS - 2016'!$A$1:$G$3418,6,FALSE)</f>
        <v>-63463.813999999998</v>
      </c>
      <c r="F605">
        <f>VLOOKUP(M605,'MASS - 2016'!$A$1:$G$3418,7,FALSE)</f>
        <v>2.9809999999999999</v>
      </c>
      <c r="G605">
        <f t="shared" si="51"/>
        <v>-63463.813999999998</v>
      </c>
      <c r="H605">
        <f t="shared" si="47"/>
        <v>67.931868793739952</v>
      </c>
      <c r="I605">
        <f t="shared" si="48"/>
        <v>63.278132333999999</v>
      </c>
      <c r="J605">
        <f t="shared" si="50"/>
        <v>63263.824334000004</v>
      </c>
      <c r="M605">
        <f t="shared" si="49"/>
        <v>40028</v>
      </c>
    </row>
    <row r="606" spans="1:13" x14ac:dyDescent="0.2">
      <c r="A606">
        <v>39</v>
      </c>
      <c r="B606">
        <v>29</v>
      </c>
      <c r="C606">
        <v>68</v>
      </c>
      <c r="D606" s="51" t="s">
        <v>27</v>
      </c>
      <c r="E606">
        <f>VLOOKUP(M606,'MASS - 2016'!$A$1:$G$3418,6,FALSE)</f>
        <v>-65567.035000000003</v>
      </c>
      <c r="F606">
        <f>VLOOKUP(M606,'MASS - 2016'!$A$1:$G$3418,7,FALSE)</f>
        <v>1.5840000000000001</v>
      </c>
      <c r="G606">
        <f t="shared" si="51"/>
        <v>-65567.035000000003</v>
      </c>
      <c r="H606">
        <f t="shared" si="47"/>
        <v>67.929610893139127</v>
      </c>
      <c r="I606">
        <f t="shared" si="48"/>
        <v>63.276029113</v>
      </c>
      <c r="J606">
        <f t="shared" si="50"/>
        <v>63261.210112999994</v>
      </c>
      <c r="M606">
        <f t="shared" si="49"/>
        <v>39029</v>
      </c>
    </row>
    <row r="607" spans="1:13" x14ac:dyDescent="0.2">
      <c r="A607">
        <v>38</v>
      </c>
      <c r="B607">
        <v>30</v>
      </c>
      <c r="C607">
        <v>68</v>
      </c>
      <c r="D607" s="51" t="s">
        <v>28</v>
      </c>
      <c r="E607">
        <f>VLOOKUP(M607,'MASS - 2016'!$A$1:$G$3418,6,FALSE)</f>
        <v>-70007.092000000004</v>
      </c>
      <c r="F607">
        <f>VLOOKUP(M607,'MASS - 2016'!$A$1:$G$3418,7,FALSE)</f>
        <v>0.78400000000000003</v>
      </c>
      <c r="G607">
        <f t="shared" si="51"/>
        <v>-70007.092000000004</v>
      </c>
      <c r="H607">
        <f t="shared" si="47"/>
        <v>67.924844295920863</v>
      </c>
      <c r="I607">
        <f t="shared" si="48"/>
        <v>63.27158905600001</v>
      </c>
      <c r="J607">
        <f t="shared" si="50"/>
        <v>63256.25905600001</v>
      </c>
      <c r="M607">
        <f t="shared" si="49"/>
        <v>38030</v>
      </c>
    </row>
    <row r="608" spans="1:13" x14ac:dyDescent="0.2">
      <c r="A608">
        <v>37</v>
      </c>
      <c r="B608">
        <v>31</v>
      </c>
      <c r="C608">
        <v>68</v>
      </c>
      <c r="D608" s="51" t="s">
        <v>29</v>
      </c>
      <c r="E608">
        <f>VLOOKUP(M608,'MASS - 2016'!$A$1:$G$3418,6,FALSE)</f>
        <v>-67085.991999999998</v>
      </c>
      <c r="F608">
        <f>VLOOKUP(M608,'MASS - 2016'!$A$1:$G$3418,7,FALSE)</f>
        <v>1.4330000000000001</v>
      </c>
      <c r="G608">
        <f t="shared" si="51"/>
        <v>-67085.991999999998</v>
      </c>
      <c r="H608">
        <f t="shared" si="47"/>
        <v>67.927980225737585</v>
      </c>
      <c r="I608">
        <f t="shared" si="48"/>
        <v>63.274510155999998</v>
      </c>
      <c r="J608">
        <f t="shared" si="50"/>
        <v>63258.669155999996</v>
      </c>
      <c r="M608">
        <f t="shared" si="49"/>
        <v>37031</v>
      </c>
    </row>
    <row r="609" spans="1:13" x14ac:dyDescent="0.2">
      <c r="A609">
        <v>36</v>
      </c>
      <c r="B609">
        <v>32</v>
      </c>
      <c r="C609">
        <v>68</v>
      </c>
      <c r="D609" s="51" t="s">
        <v>30</v>
      </c>
      <c r="E609">
        <f>VLOOKUP(M609,'MASS - 2016'!$A$1:$G$3418,6,FALSE)</f>
        <v>-66978.789000000004</v>
      </c>
      <c r="F609">
        <f>VLOOKUP(M609,'MASS - 2016'!$A$1:$G$3418,7,FALSE)</f>
        <v>1.8759999999999999</v>
      </c>
      <c r="G609">
        <f t="shared" si="51"/>
        <v>-66978.789000000004</v>
      </c>
      <c r="H609">
        <f t="shared" si="47"/>
        <v>67.928095312891116</v>
      </c>
      <c r="I609">
        <f t="shared" si="48"/>
        <v>63.274617359000011</v>
      </c>
      <c r="J609">
        <f t="shared" si="50"/>
        <v>63258.265359000012</v>
      </c>
      <c r="M609">
        <f t="shared" si="49"/>
        <v>36032</v>
      </c>
    </row>
    <row r="610" spans="1:13" x14ac:dyDescent="0.2">
      <c r="A610">
        <v>35</v>
      </c>
      <c r="B610">
        <v>33</v>
      </c>
      <c r="C610">
        <v>68</v>
      </c>
      <c r="D610" s="51" t="s">
        <v>31</v>
      </c>
      <c r="E610">
        <f>VLOOKUP(M610,'MASS - 2016'!$A$1:$G$3418,6,FALSE)</f>
        <v>-58894.519</v>
      </c>
      <c r="F610">
        <f>VLOOKUP(M610,'MASS - 2016'!$A$1:$G$3418,7,FALSE)</f>
        <v>1.8460000000000001</v>
      </c>
      <c r="G610">
        <f t="shared" si="51"/>
        <v>-58894.519</v>
      </c>
      <c r="H610">
        <f t="shared" si="47"/>
        <v>67.936774133657096</v>
      </c>
      <c r="I610">
        <f t="shared" si="48"/>
        <v>63.282701629000002</v>
      </c>
      <c r="J610">
        <f t="shared" si="50"/>
        <v>63265.838629000005</v>
      </c>
      <c r="M610">
        <f t="shared" si="49"/>
        <v>35033</v>
      </c>
    </row>
    <row r="611" spans="1:13" x14ac:dyDescent="0.2">
      <c r="A611">
        <v>34</v>
      </c>
      <c r="B611">
        <v>34</v>
      </c>
      <c r="C611">
        <v>68</v>
      </c>
      <c r="D611" s="51" t="s">
        <v>32</v>
      </c>
      <c r="E611">
        <f>VLOOKUP(M611,'MASS - 2016'!$A$1:$G$3418,6,FALSE)</f>
        <v>-54189.440999999999</v>
      </c>
      <c r="F611">
        <f>VLOOKUP(M611,'MASS - 2016'!$A$1:$G$3418,7,FALSE)</f>
        <v>0.496</v>
      </c>
      <c r="G611">
        <f t="shared" si="51"/>
        <v>-54189.440999999999</v>
      </c>
      <c r="H611">
        <f t="shared" si="47"/>
        <v>67.941825242619558</v>
      </c>
      <c r="I611">
        <f t="shared" si="48"/>
        <v>63.287406707000002</v>
      </c>
      <c r="J611">
        <f t="shared" si="50"/>
        <v>63270.032706999998</v>
      </c>
      <c r="M611">
        <f t="shared" si="49"/>
        <v>34034</v>
      </c>
    </row>
    <row r="612" spans="1:13" x14ac:dyDescent="0.2">
      <c r="A612">
        <v>33</v>
      </c>
      <c r="B612">
        <v>35</v>
      </c>
      <c r="C612">
        <v>68</v>
      </c>
      <c r="D612" s="51" t="s">
        <v>33</v>
      </c>
      <c r="E612" t="str">
        <f>VLOOKUP(M612,'MASS - 2016'!$A$1:$G$3418,6,FALSE)</f>
        <v>-38791#</v>
      </c>
      <c r="F612" t="str">
        <f>VLOOKUP(M612,'MASS - 2016'!$A$1:$G$3418,7,FALSE)</f>
        <v>259#</v>
      </c>
      <c r="G612">
        <f t="shared" si="51"/>
        <v>-38791.01</v>
      </c>
      <c r="H612">
        <f t="shared" si="47"/>
        <v>67.958356138139678</v>
      </c>
      <c r="I612">
        <f t="shared" si="48"/>
        <v>63.302805138000004</v>
      </c>
      <c r="J612">
        <f t="shared" si="50"/>
        <v>63284.920138000001</v>
      </c>
      <c r="M612">
        <f t="shared" si="49"/>
        <v>33035</v>
      </c>
    </row>
    <row r="613" spans="1:13" x14ac:dyDescent="0.2">
      <c r="A613">
        <v>43</v>
      </c>
      <c r="B613">
        <v>26</v>
      </c>
      <c r="C613">
        <v>69</v>
      </c>
      <c r="D613" s="51" t="s">
        <v>24</v>
      </c>
      <c r="E613" t="str">
        <f>VLOOKUP(M613,'MASS - 2016'!$A$1:$G$3418,6,FALSE)</f>
        <v>-39030#</v>
      </c>
      <c r="F613" t="str">
        <f>VLOOKUP(M613,'MASS - 2016'!$A$1:$G$3418,7,FALSE)</f>
        <v>400#</v>
      </c>
      <c r="G613">
        <f t="shared" si="51"/>
        <v>-39030.01</v>
      </c>
      <c r="H613">
        <f t="shared" si="47"/>
        <v>68.958099561087806</v>
      </c>
      <c r="I613">
        <f t="shared" si="48"/>
        <v>64.234060198999998</v>
      </c>
      <c r="J613">
        <f t="shared" si="50"/>
        <v>64220.774198999999</v>
      </c>
      <c r="M613">
        <f t="shared" si="49"/>
        <v>43026</v>
      </c>
    </row>
    <row r="614" spans="1:13" x14ac:dyDescent="0.2">
      <c r="A614">
        <v>42</v>
      </c>
      <c r="B614">
        <v>27</v>
      </c>
      <c r="C614">
        <v>69</v>
      </c>
      <c r="D614" s="51" t="s">
        <v>25</v>
      </c>
      <c r="E614">
        <f>VLOOKUP(M614,'MASS - 2016'!$A$1:$G$3418,6,FALSE)</f>
        <v>-50279.156999999999</v>
      </c>
      <c r="F614">
        <f>VLOOKUP(M614,'MASS - 2016'!$A$1:$G$3418,7,FALSE)</f>
        <v>140.506</v>
      </c>
      <c r="G614">
        <f t="shared" si="51"/>
        <v>-50279.156999999999</v>
      </c>
      <c r="H614">
        <f t="shared" si="47"/>
        <v>68.946023105132824</v>
      </c>
      <c r="I614">
        <f t="shared" si="48"/>
        <v>64.222811051999997</v>
      </c>
      <c r="J614">
        <f t="shared" si="50"/>
        <v>64209.014051999999</v>
      </c>
      <c r="M614">
        <f t="shared" si="49"/>
        <v>42027</v>
      </c>
    </row>
    <row r="615" spans="1:13" x14ac:dyDescent="0.2">
      <c r="A615">
        <v>41</v>
      </c>
      <c r="B615">
        <v>28</v>
      </c>
      <c r="C615">
        <v>69</v>
      </c>
      <c r="D615" s="51" t="s">
        <v>26</v>
      </c>
      <c r="E615">
        <f>VLOOKUP(M615,'MASS - 2016'!$A$1:$G$3418,6,FALSE)</f>
        <v>-59978.648000000001</v>
      </c>
      <c r="F615">
        <f>VLOOKUP(M615,'MASS - 2016'!$A$1:$G$3418,7,FALSE)</f>
        <v>3.726</v>
      </c>
      <c r="G615">
        <f t="shared" si="51"/>
        <v>-59978.648000000001</v>
      </c>
      <c r="H615">
        <f t="shared" si="47"/>
        <v>68.935610273311241</v>
      </c>
      <c r="I615">
        <f t="shared" si="48"/>
        <v>64.213111561000005</v>
      </c>
      <c r="J615">
        <f t="shared" si="50"/>
        <v>64198.803561000008</v>
      </c>
      <c r="M615">
        <f t="shared" si="49"/>
        <v>41028</v>
      </c>
    </row>
    <row r="616" spans="1:13" x14ac:dyDescent="0.2">
      <c r="A616">
        <v>40</v>
      </c>
      <c r="B616">
        <v>29</v>
      </c>
      <c r="C616">
        <v>69</v>
      </c>
      <c r="D616" s="51" t="s">
        <v>27</v>
      </c>
      <c r="E616">
        <f>VLOOKUP(M616,'MASS - 2016'!$A$1:$G$3418,6,FALSE)</f>
        <v>-65736.213000000003</v>
      </c>
      <c r="F616">
        <f>VLOOKUP(M616,'MASS - 2016'!$A$1:$G$3418,7,FALSE)</f>
        <v>1.397</v>
      </c>
      <c r="G616">
        <f t="shared" si="51"/>
        <v>-65736.213000000003</v>
      </c>
      <c r="H616">
        <f t="shared" si="47"/>
        <v>68.92942927308691</v>
      </c>
      <c r="I616">
        <f t="shared" si="48"/>
        <v>64.207353996000009</v>
      </c>
      <c r="J616">
        <f t="shared" si="50"/>
        <v>64192.534996000009</v>
      </c>
      <c r="M616">
        <f t="shared" si="49"/>
        <v>40029</v>
      </c>
    </row>
    <row r="617" spans="1:13" x14ac:dyDescent="0.2">
      <c r="A617">
        <v>39</v>
      </c>
      <c r="B617">
        <v>30</v>
      </c>
      <c r="C617">
        <v>69</v>
      </c>
      <c r="D617" s="51" t="s">
        <v>28</v>
      </c>
      <c r="E617">
        <f>VLOOKUP(M617,'MASS - 2016'!$A$1:$G$3418,6,FALSE)</f>
        <v>-68417.845000000001</v>
      </c>
      <c r="F617">
        <f>VLOOKUP(M617,'MASS - 2016'!$A$1:$G$3418,7,FALSE)</f>
        <v>0.8</v>
      </c>
      <c r="G617">
        <f t="shared" si="51"/>
        <v>-68417.845000000001</v>
      </c>
      <c r="H617">
        <f t="shared" si="47"/>
        <v>68.926550422740704</v>
      </c>
      <c r="I617">
        <f t="shared" si="48"/>
        <v>64.204672364000004</v>
      </c>
      <c r="J617">
        <f t="shared" si="50"/>
        <v>64189.342364000004</v>
      </c>
      <c r="M617">
        <f t="shared" si="49"/>
        <v>39030</v>
      </c>
    </row>
    <row r="618" spans="1:13" x14ac:dyDescent="0.2">
      <c r="A618">
        <v>38</v>
      </c>
      <c r="B618">
        <v>31</v>
      </c>
      <c r="C618">
        <v>69</v>
      </c>
      <c r="D618" s="51" t="s">
        <v>29</v>
      </c>
      <c r="E618">
        <f>VLOOKUP(M618,'MASS - 2016'!$A$1:$G$3418,6,FALSE)</f>
        <v>-69327.808999999994</v>
      </c>
      <c r="F618">
        <f>VLOOKUP(M618,'MASS - 2016'!$A$1:$G$3418,7,FALSE)</f>
        <v>1.1970000000000001</v>
      </c>
      <c r="G618">
        <f t="shared" si="51"/>
        <v>-69327.808999999994</v>
      </c>
      <c r="H618">
        <f t="shared" si="47"/>
        <v>68.925573536211743</v>
      </c>
      <c r="I618">
        <f t="shared" si="48"/>
        <v>64.203762400000002</v>
      </c>
      <c r="J618">
        <f t="shared" si="50"/>
        <v>64187.921399999999</v>
      </c>
      <c r="M618">
        <f t="shared" si="49"/>
        <v>38031</v>
      </c>
    </row>
    <row r="619" spans="1:13" x14ac:dyDescent="0.2">
      <c r="A619">
        <v>37</v>
      </c>
      <c r="B619">
        <v>32</v>
      </c>
      <c r="C619">
        <v>69</v>
      </c>
      <c r="D619" s="51" t="s">
        <v>30</v>
      </c>
      <c r="E619">
        <f>VLOOKUP(M619,'MASS - 2016'!$A$1:$G$3418,6,FALSE)</f>
        <v>-67100.663</v>
      </c>
      <c r="F619">
        <f>VLOOKUP(M619,'MASS - 2016'!$A$1:$G$3418,7,FALSE)</f>
        <v>1.3180000000000001</v>
      </c>
      <c r="G619">
        <f t="shared" si="51"/>
        <v>-67100.663</v>
      </c>
      <c r="H619">
        <f t="shared" si="47"/>
        <v>68.927964475771361</v>
      </c>
      <c r="I619">
        <f t="shared" si="48"/>
        <v>64.205989545999998</v>
      </c>
      <c r="J619">
        <f t="shared" si="50"/>
        <v>64189.637545999998</v>
      </c>
      <c r="M619">
        <f t="shared" si="49"/>
        <v>37032</v>
      </c>
    </row>
    <row r="620" spans="1:13" x14ac:dyDescent="0.2">
      <c r="A620">
        <v>36</v>
      </c>
      <c r="B620">
        <v>33</v>
      </c>
      <c r="C620">
        <v>69</v>
      </c>
      <c r="D620" s="51" t="s">
        <v>31</v>
      </c>
      <c r="E620">
        <f>VLOOKUP(M620,'MASS - 2016'!$A$1:$G$3418,6,FALSE)</f>
        <v>-63112.171000000002</v>
      </c>
      <c r="F620">
        <f>VLOOKUP(M620,'MASS - 2016'!$A$1:$G$3418,7,FALSE)</f>
        <v>31.998999999999999</v>
      </c>
      <c r="G620">
        <f t="shared" si="51"/>
        <v>-63112.171000000002</v>
      </c>
      <c r="H620">
        <f t="shared" si="47"/>
        <v>68.932246298025518</v>
      </c>
      <c r="I620">
        <f t="shared" si="48"/>
        <v>64.209978038000003</v>
      </c>
      <c r="J620">
        <f t="shared" si="50"/>
        <v>64193.115038000004</v>
      </c>
      <c r="M620">
        <f t="shared" si="49"/>
        <v>36033</v>
      </c>
    </row>
    <row r="621" spans="1:13" x14ac:dyDescent="0.2">
      <c r="A621">
        <v>35</v>
      </c>
      <c r="B621">
        <v>34</v>
      </c>
      <c r="C621">
        <v>69</v>
      </c>
      <c r="D621" s="51" t="s">
        <v>32</v>
      </c>
      <c r="E621">
        <f>VLOOKUP(M621,'MASS - 2016'!$A$1:$G$3418,6,FALSE)</f>
        <v>-56434.705999999998</v>
      </c>
      <c r="F621">
        <f>VLOOKUP(M621,'MASS - 2016'!$A$1:$G$3418,7,FALSE)</f>
        <v>1.49</v>
      </c>
      <c r="G621">
        <f t="shared" si="51"/>
        <v>-56434.705999999998</v>
      </c>
      <c r="H621">
        <f t="shared" si="47"/>
        <v>68.939414851513476</v>
      </c>
      <c r="I621">
        <f t="shared" si="48"/>
        <v>64.216655502999998</v>
      </c>
      <c r="J621">
        <f t="shared" si="50"/>
        <v>64199.281502999998</v>
      </c>
      <c r="M621">
        <f t="shared" si="49"/>
        <v>35034</v>
      </c>
    </row>
    <row r="622" spans="1:13" x14ac:dyDescent="0.2">
      <c r="A622">
        <v>34</v>
      </c>
      <c r="B622">
        <v>35</v>
      </c>
      <c r="C622">
        <v>69</v>
      </c>
      <c r="D622" s="51" t="s">
        <v>33</v>
      </c>
      <c r="E622">
        <f>VLOOKUP(M622,'MASS - 2016'!$A$1:$G$3418,6,FALSE)</f>
        <v>-46259.47</v>
      </c>
      <c r="F622">
        <f>VLOOKUP(M622,'MASS - 2016'!$A$1:$G$3418,7,FALSE)</f>
        <v>42.003</v>
      </c>
      <c r="G622">
        <f t="shared" si="51"/>
        <v>-46259.47</v>
      </c>
      <c r="H622">
        <f t="shared" si="47"/>
        <v>68.950338416596736</v>
      </c>
      <c r="I622">
        <f t="shared" si="48"/>
        <v>64.226830739000007</v>
      </c>
      <c r="J622">
        <f t="shared" si="50"/>
        <v>64208.945739000003</v>
      </c>
      <c r="M622">
        <f t="shared" si="49"/>
        <v>34035</v>
      </c>
    </row>
    <row r="623" spans="1:13" x14ac:dyDescent="0.2">
      <c r="A623">
        <v>33</v>
      </c>
      <c r="B623">
        <v>36</v>
      </c>
      <c r="C623">
        <v>69</v>
      </c>
      <c r="D623" s="51" t="s">
        <v>34</v>
      </c>
      <c r="E623" t="str">
        <f>VLOOKUP(M623,'MASS - 2016'!$A$1:$G$3418,6,FALSE)</f>
        <v>-32435#</v>
      </c>
      <c r="F623" t="str">
        <f>VLOOKUP(M623,'MASS - 2016'!$A$1:$G$3418,7,FALSE)</f>
        <v>401#</v>
      </c>
      <c r="G623">
        <f t="shared" si="51"/>
        <v>-32435.01</v>
      </c>
      <c r="H623">
        <f t="shared" si="47"/>
        <v>68.965179584757436</v>
      </c>
      <c r="I623">
        <f t="shared" si="48"/>
        <v>64.240655199000003</v>
      </c>
      <c r="J623">
        <f t="shared" si="50"/>
        <v>64222.259199</v>
      </c>
      <c r="M623">
        <f t="shared" si="49"/>
        <v>33036</v>
      </c>
    </row>
    <row r="624" spans="1:13" x14ac:dyDescent="0.2">
      <c r="A624">
        <v>43</v>
      </c>
      <c r="B624">
        <v>27</v>
      </c>
      <c r="C624">
        <v>70</v>
      </c>
      <c r="D624" s="51" t="s">
        <v>25</v>
      </c>
      <c r="E624" t="str">
        <f>VLOOKUP(M624,'MASS - 2016'!$A$1:$G$3418,6,FALSE)</f>
        <v>-46630#</v>
      </c>
      <c r="F624" t="str">
        <f>VLOOKUP(M624,'MASS - 2016'!$A$1:$G$3418,7,FALSE)</f>
        <v>300#</v>
      </c>
      <c r="G624">
        <f t="shared" si="51"/>
        <v>-46630.01</v>
      </c>
      <c r="H624">
        <f t="shared" si="47"/>
        <v>69.94994062554737</v>
      </c>
      <c r="I624">
        <f t="shared" si="48"/>
        <v>65.157954259999997</v>
      </c>
      <c r="J624">
        <f t="shared" si="50"/>
        <v>65144.15726</v>
      </c>
      <c r="M624">
        <f t="shared" si="49"/>
        <v>43027</v>
      </c>
    </row>
    <row r="625" spans="1:13" x14ac:dyDescent="0.2">
      <c r="A625">
        <v>42</v>
      </c>
      <c r="B625">
        <v>28</v>
      </c>
      <c r="C625">
        <v>70</v>
      </c>
      <c r="D625" s="51" t="s">
        <v>26</v>
      </c>
      <c r="E625">
        <f>VLOOKUP(M625,'MASS - 2016'!$A$1:$G$3418,6,FALSE)</f>
        <v>-59213.86</v>
      </c>
      <c r="F625">
        <f>VLOOKUP(M625,'MASS - 2016'!$A$1:$G$3418,7,FALSE)</f>
        <v>2.1440000000000001</v>
      </c>
      <c r="G625">
        <f t="shared" si="51"/>
        <v>-59213.86</v>
      </c>
      <c r="H625">
        <f t="shared" si="47"/>
        <v>69.936431306994663</v>
      </c>
      <c r="I625">
        <f t="shared" si="48"/>
        <v>65.145370409999998</v>
      </c>
      <c r="J625">
        <f t="shared" si="50"/>
        <v>65131.062409999999</v>
      </c>
      <c r="M625">
        <f t="shared" si="49"/>
        <v>42028</v>
      </c>
    </row>
    <row r="626" spans="1:13" x14ac:dyDescent="0.2">
      <c r="A626">
        <v>41</v>
      </c>
      <c r="B626">
        <v>29</v>
      </c>
      <c r="C626">
        <v>70</v>
      </c>
      <c r="D626" s="51" t="s">
        <v>27</v>
      </c>
      <c r="E626">
        <f>VLOOKUP(M626,'MASS - 2016'!$A$1:$G$3418,6,FALSE)</f>
        <v>-62976.373</v>
      </c>
      <c r="F626">
        <f>VLOOKUP(M626,'MASS - 2016'!$A$1:$G$3418,7,FALSE)</f>
        <v>1.0820000000000001</v>
      </c>
      <c r="G626">
        <f t="shared" si="51"/>
        <v>-62976.373</v>
      </c>
      <c r="H626">
        <f t="shared" si="47"/>
        <v>69.932392083174008</v>
      </c>
      <c r="I626">
        <f t="shared" si="48"/>
        <v>65.141607897</v>
      </c>
      <c r="J626">
        <f t="shared" si="50"/>
        <v>65126.788896999999</v>
      </c>
      <c r="M626">
        <f t="shared" si="49"/>
        <v>41029</v>
      </c>
    </row>
    <row r="627" spans="1:13" x14ac:dyDescent="0.2">
      <c r="A627">
        <v>40</v>
      </c>
      <c r="B627">
        <v>30</v>
      </c>
      <c r="C627">
        <v>70</v>
      </c>
      <c r="D627" s="51" t="s">
        <v>28</v>
      </c>
      <c r="E627">
        <f>VLOOKUP(M627,'MASS - 2016'!$A$1:$G$3418,6,FALSE)</f>
        <v>-69564.735000000001</v>
      </c>
      <c r="F627">
        <f>VLOOKUP(M627,'MASS - 2016'!$A$1:$G$3418,7,FALSE)</f>
        <v>1.9179999999999999</v>
      </c>
      <c r="G627">
        <f t="shared" si="51"/>
        <v>-69564.735000000001</v>
      </c>
      <c r="H627">
        <f t="shared" si="47"/>
        <v>69.925319185690441</v>
      </c>
      <c r="I627">
        <f t="shared" si="48"/>
        <v>65.135019534999998</v>
      </c>
      <c r="J627">
        <f t="shared" si="50"/>
        <v>65119.689534999998</v>
      </c>
      <c r="M627">
        <f t="shared" si="49"/>
        <v>40030</v>
      </c>
    </row>
    <row r="628" spans="1:13" x14ac:dyDescent="0.2">
      <c r="A628">
        <v>39</v>
      </c>
      <c r="B628">
        <v>31</v>
      </c>
      <c r="C628">
        <v>70</v>
      </c>
      <c r="D628" s="51" t="s">
        <v>29</v>
      </c>
      <c r="E628">
        <f>VLOOKUP(M628,'MASS - 2016'!$A$1:$G$3418,6,FALSE)</f>
        <v>-68910.14</v>
      </c>
      <c r="F628">
        <f>VLOOKUP(M628,'MASS - 2016'!$A$1:$G$3418,7,FALSE)</f>
        <v>1.2010000000000001</v>
      </c>
      <c r="G628">
        <f t="shared" si="51"/>
        <v>-68910.14</v>
      </c>
      <c r="H628">
        <f t="shared" si="47"/>
        <v>69.926021922323343</v>
      </c>
      <c r="I628">
        <f t="shared" si="48"/>
        <v>65.135674129999998</v>
      </c>
      <c r="J628">
        <f t="shared" si="50"/>
        <v>65119.833129999999</v>
      </c>
      <c r="M628">
        <f t="shared" si="49"/>
        <v>39031</v>
      </c>
    </row>
    <row r="629" spans="1:13" x14ac:dyDescent="0.2">
      <c r="A629">
        <v>38</v>
      </c>
      <c r="B629">
        <v>32</v>
      </c>
      <c r="C629">
        <v>70</v>
      </c>
      <c r="D629" s="51" t="s">
        <v>30</v>
      </c>
      <c r="E629">
        <f>VLOOKUP(M629,'MASS - 2016'!$A$1:$G$3418,6,FALSE)</f>
        <v>-70561.876000000004</v>
      </c>
      <c r="F629">
        <f>VLOOKUP(M629,'MASS - 2016'!$A$1:$G$3418,7,FALSE)</f>
        <v>0.83799999999999997</v>
      </c>
      <c r="G629">
        <f t="shared" si="51"/>
        <v>-70561.876000000004</v>
      </c>
      <c r="H629">
        <f t="shared" si="47"/>
        <v>69.924248710803113</v>
      </c>
      <c r="I629">
        <f t="shared" si="48"/>
        <v>65.134022393999999</v>
      </c>
      <c r="J629">
        <f t="shared" si="50"/>
        <v>65117.670394000001</v>
      </c>
      <c r="M629">
        <f t="shared" si="49"/>
        <v>38032</v>
      </c>
    </row>
    <row r="630" spans="1:13" x14ac:dyDescent="0.2">
      <c r="A630">
        <v>37</v>
      </c>
      <c r="B630">
        <v>33</v>
      </c>
      <c r="C630">
        <v>70</v>
      </c>
      <c r="D630" s="51" t="s">
        <v>31</v>
      </c>
      <c r="E630">
        <f>VLOOKUP(M630,'MASS - 2016'!$A$1:$G$3418,6,FALSE)</f>
        <v>-64341.875999999997</v>
      </c>
      <c r="F630">
        <f>VLOOKUP(M630,'MASS - 2016'!$A$1:$G$3418,7,FALSE)</f>
        <v>50.006999999999998</v>
      </c>
      <c r="G630">
        <f t="shared" si="51"/>
        <v>-64341.875999999997</v>
      </c>
      <c r="H630">
        <f t="shared" si="47"/>
        <v>69.930926155416458</v>
      </c>
      <c r="I630">
        <f t="shared" si="48"/>
        <v>65.140242393999998</v>
      </c>
      <c r="J630">
        <f t="shared" si="50"/>
        <v>65123.379394000003</v>
      </c>
      <c r="M630">
        <f t="shared" si="49"/>
        <v>37033</v>
      </c>
    </row>
    <row r="631" spans="1:13" x14ac:dyDescent="0.2">
      <c r="A631">
        <v>36</v>
      </c>
      <c r="B631">
        <v>34</v>
      </c>
      <c r="C631">
        <v>70</v>
      </c>
      <c r="D631" s="51" t="s">
        <v>32</v>
      </c>
      <c r="E631">
        <f>VLOOKUP(M631,'MASS - 2016'!$A$1:$G$3418,6,FALSE)</f>
        <v>-61929.891000000003</v>
      </c>
      <c r="F631">
        <f>VLOOKUP(M631,'MASS - 2016'!$A$1:$G$3418,7,FALSE)</f>
        <v>1.5840000000000001</v>
      </c>
      <c r="G631">
        <f t="shared" si="51"/>
        <v>-61929.891000000003</v>
      </c>
      <c r="H631">
        <f t="shared" si="47"/>
        <v>69.933515527803237</v>
      </c>
      <c r="I631">
        <f t="shared" si="48"/>
        <v>65.142654378999993</v>
      </c>
      <c r="J631">
        <f t="shared" si="50"/>
        <v>65125.280378999989</v>
      </c>
      <c r="M631">
        <f t="shared" si="49"/>
        <v>36034</v>
      </c>
    </row>
    <row r="632" spans="1:13" x14ac:dyDescent="0.2">
      <c r="A632">
        <v>35</v>
      </c>
      <c r="B632">
        <v>35</v>
      </c>
      <c r="C632">
        <v>70</v>
      </c>
      <c r="D632" s="51" t="s">
        <v>33</v>
      </c>
      <c r="E632">
        <f>VLOOKUP(M632,'MASS - 2016'!$A$1:$G$3418,6,FALSE)</f>
        <v>-51425.618999999999</v>
      </c>
      <c r="F632">
        <f>VLOOKUP(M632,'MASS - 2016'!$A$1:$G$3418,7,FALSE)</f>
        <v>14.904</v>
      </c>
      <c r="G632">
        <f t="shared" si="51"/>
        <v>-51425.618999999999</v>
      </c>
      <c r="H632">
        <f t="shared" si="47"/>
        <v>69.944792327559455</v>
      </c>
      <c r="I632">
        <f t="shared" si="48"/>
        <v>65.153158650999998</v>
      </c>
      <c r="J632">
        <f t="shared" si="50"/>
        <v>65135.273650999996</v>
      </c>
      <c r="M632">
        <f t="shared" si="49"/>
        <v>35035</v>
      </c>
    </row>
    <row r="633" spans="1:13" x14ac:dyDescent="0.2">
      <c r="A633">
        <v>34</v>
      </c>
      <c r="B633">
        <v>36</v>
      </c>
      <c r="C633">
        <v>70</v>
      </c>
      <c r="D633" s="51" t="s">
        <v>34</v>
      </c>
      <c r="E633" t="str">
        <f>VLOOKUP(M633,'MASS - 2016'!$A$1:$G$3418,6,FALSE)</f>
        <v>-41100#</v>
      </c>
      <c r="F633" t="str">
        <f>VLOOKUP(M633,'MASS - 2016'!$A$1:$G$3418,7,FALSE)</f>
        <v>200#</v>
      </c>
      <c r="G633">
        <f t="shared" si="51"/>
        <v>-41100.01</v>
      </c>
      <c r="H633">
        <f t="shared" si="47"/>
        <v>69.955877324697198</v>
      </c>
      <c r="I633">
        <f t="shared" si="48"/>
        <v>65.163484260000004</v>
      </c>
      <c r="J633">
        <f t="shared" si="50"/>
        <v>65145.088260000004</v>
      </c>
      <c r="M633">
        <f t="shared" si="49"/>
        <v>34036</v>
      </c>
    </row>
    <row r="634" spans="1:13" x14ac:dyDescent="0.2">
      <c r="A634">
        <v>44</v>
      </c>
      <c r="B634">
        <v>27</v>
      </c>
      <c r="C634">
        <v>71</v>
      </c>
      <c r="D634" s="51" t="s">
        <v>25</v>
      </c>
      <c r="E634">
        <f>VLOOKUP(M634,'MASS - 2016'!$A$1:$G$3418,6,FALSE)</f>
        <v>-44369.925999999999</v>
      </c>
      <c r="F634">
        <f>VLOOKUP(M634,'MASS - 2016'!$A$1:$G$3418,7,FALSE)</f>
        <v>465.03</v>
      </c>
      <c r="G634">
        <f t="shared" si="51"/>
        <v>-44369.925999999999</v>
      </c>
      <c r="H634">
        <f t="shared" si="47"/>
        <v>70.952366925504208</v>
      </c>
      <c r="I634">
        <f t="shared" si="48"/>
        <v>66.091708404999991</v>
      </c>
      <c r="J634">
        <f t="shared" si="50"/>
        <v>66077.911404999992</v>
      </c>
      <c r="M634">
        <f t="shared" si="49"/>
        <v>44027</v>
      </c>
    </row>
    <row r="635" spans="1:13" x14ac:dyDescent="0.2">
      <c r="A635">
        <v>43</v>
      </c>
      <c r="B635">
        <v>28</v>
      </c>
      <c r="C635">
        <v>71</v>
      </c>
      <c r="D635" s="51" t="s">
        <v>26</v>
      </c>
      <c r="E635">
        <f>VLOOKUP(M635,'MASS - 2016'!$A$1:$G$3418,6,FALSE)</f>
        <v>-55406.228000000003</v>
      </c>
      <c r="F635">
        <f>VLOOKUP(M635,'MASS - 2016'!$A$1:$G$3418,7,FALSE)</f>
        <v>2.2370000000000001</v>
      </c>
      <c r="G635">
        <f t="shared" si="51"/>
        <v>-55406.228000000003</v>
      </c>
      <c r="H635">
        <f t="shared" si="47"/>
        <v>70.940518968053837</v>
      </c>
      <c r="I635">
        <f t="shared" si="48"/>
        <v>66.080672102999998</v>
      </c>
      <c r="J635">
        <f t="shared" si="50"/>
        <v>66066.364103</v>
      </c>
      <c r="M635">
        <f t="shared" si="49"/>
        <v>43028</v>
      </c>
    </row>
    <row r="636" spans="1:13" x14ac:dyDescent="0.2">
      <c r="A636">
        <v>42</v>
      </c>
      <c r="B636">
        <v>29</v>
      </c>
      <c r="C636">
        <v>71</v>
      </c>
      <c r="D636" s="51" t="s">
        <v>27</v>
      </c>
      <c r="E636">
        <f>VLOOKUP(M636,'MASS - 2016'!$A$1:$G$3418,6,FALSE)</f>
        <v>-62711.127</v>
      </c>
      <c r="F636">
        <f>VLOOKUP(M636,'MASS - 2016'!$A$1:$G$3418,7,FALSE)</f>
        <v>1.49</v>
      </c>
      <c r="G636">
        <f t="shared" si="51"/>
        <v>-62711.127</v>
      </c>
      <c r="H636">
        <f t="shared" si="47"/>
        <v>70.932676836465617</v>
      </c>
      <c r="I636">
        <f t="shared" si="48"/>
        <v>66.073367203999993</v>
      </c>
      <c r="J636">
        <f t="shared" si="50"/>
        <v>66058.548203999992</v>
      </c>
      <c r="M636">
        <f t="shared" si="49"/>
        <v>42029</v>
      </c>
    </row>
    <row r="637" spans="1:13" x14ac:dyDescent="0.2">
      <c r="A637">
        <v>41</v>
      </c>
      <c r="B637">
        <v>30</v>
      </c>
      <c r="C637">
        <v>71</v>
      </c>
      <c r="D637" s="51" t="s">
        <v>28</v>
      </c>
      <c r="E637">
        <f>VLOOKUP(M637,'MASS - 2016'!$A$1:$G$3418,6,FALSE)</f>
        <v>-67328.777000000002</v>
      </c>
      <c r="F637">
        <f>VLOOKUP(M637,'MASS - 2016'!$A$1:$G$3418,7,FALSE)</f>
        <v>2.6539999999999999</v>
      </c>
      <c r="G637">
        <f t="shared" si="51"/>
        <v>-67328.777000000002</v>
      </c>
      <c r="H637">
        <f t="shared" si="47"/>
        <v>70.927719585321114</v>
      </c>
      <c r="I637">
        <f t="shared" si="48"/>
        <v>66.068749553999993</v>
      </c>
      <c r="J637">
        <f t="shared" si="50"/>
        <v>66053.419553999993</v>
      </c>
      <c r="M637">
        <f t="shared" si="49"/>
        <v>41030</v>
      </c>
    </row>
    <row r="638" spans="1:13" x14ac:dyDescent="0.2">
      <c r="A638">
        <v>40</v>
      </c>
      <c r="B638">
        <v>31</v>
      </c>
      <c r="C638">
        <v>71</v>
      </c>
      <c r="D638" s="51" t="s">
        <v>29</v>
      </c>
      <c r="E638">
        <f>VLOOKUP(M638,'MASS - 2016'!$A$1:$G$3418,6,FALSE)</f>
        <v>-70139.134999999995</v>
      </c>
      <c r="F638">
        <f>VLOOKUP(M638,'MASS - 2016'!$A$1:$G$3418,7,FALSE)</f>
        <v>0.81200000000000006</v>
      </c>
      <c r="G638">
        <f t="shared" si="51"/>
        <v>-70139.134999999995</v>
      </c>
      <c r="H638">
        <f t="shared" si="47"/>
        <v>70.924702541930628</v>
      </c>
      <c r="I638">
        <f t="shared" si="48"/>
        <v>66.065939195999988</v>
      </c>
      <c r="J638">
        <f t="shared" si="50"/>
        <v>66050.098195999992</v>
      </c>
      <c r="M638">
        <f t="shared" si="49"/>
        <v>40031</v>
      </c>
    </row>
    <row r="639" spans="1:13" x14ac:dyDescent="0.2">
      <c r="A639">
        <v>39</v>
      </c>
      <c r="B639">
        <v>32</v>
      </c>
      <c r="C639">
        <v>71</v>
      </c>
      <c r="D639" s="51" t="s">
        <v>30</v>
      </c>
      <c r="E639">
        <f>VLOOKUP(M639,'MASS - 2016'!$A$1:$G$3418,6,FALSE)</f>
        <v>-69906.497000000003</v>
      </c>
      <c r="F639">
        <f>VLOOKUP(M639,'MASS - 2016'!$A$1:$G$3418,7,FALSE)</f>
        <v>0.83399999999999996</v>
      </c>
      <c r="G639">
        <f t="shared" si="51"/>
        <v>-69906.497000000003</v>
      </c>
      <c r="H639">
        <f t="shared" si="47"/>
        <v>70.92495228909462</v>
      </c>
      <c r="I639">
        <f t="shared" si="48"/>
        <v>66.066171833999988</v>
      </c>
      <c r="J639">
        <f t="shared" si="50"/>
        <v>66049.819833999994</v>
      </c>
      <c r="M639">
        <f t="shared" si="49"/>
        <v>39032</v>
      </c>
    </row>
    <row r="640" spans="1:13" x14ac:dyDescent="0.2">
      <c r="A640">
        <v>38</v>
      </c>
      <c r="B640">
        <v>33</v>
      </c>
      <c r="C640">
        <v>71</v>
      </c>
      <c r="D640" s="51" t="s">
        <v>31</v>
      </c>
      <c r="E640">
        <f>VLOOKUP(M640,'MASS - 2016'!$A$1:$G$3418,6,FALSE)</f>
        <v>-67893.096999999994</v>
      </c>
      <c r="F640">
        <f>VLOOKUP(M640,'MASS - 2016'!$A$1:$G$3418,7,FALSE)</f>
        <v>4.1669999999999998</v>
      </c>
      <c r="G640">
        <f t="shared" si="51"/>
        <v>-67893.096999999994</v>
      </c>
      <c r="H640">
        <f t="shared" si="47"/>
        <v>70.92711376288635</v>
      </c>
      <c r="I640">
        <f t="shared" si="48"/>
        <v>66.068185233999998</v>
      </c>
      <c r="J640">
        <f t="shared" si="50"/>
        <v>66051.322234000007</v>
      </c>
      <c r="M640">
        <f t="shared" si="49"/>
        <v>38033</v>
      </c>
    </row>
    <row r="641" spans="1:13" x14ac:dyDescent="0.2">
      <c r="A641">
        <v>37</v>
      </c>
      <c r="B641">
        <v>34</v>
      </c>
      <c r="C641">
        <v>71</v>
      </c>
      <c r="D641" s="51" t="s">
        <v>32</v>
      </c>
      <c r="E641">
        <f>VLOOKUP(M641,'MASS - 2016'!$A$1:$G$3418,6,FALSE)</f>
        <v>-63146.506999999998</v>
      </c>
      <c r="F641">
        <f>VLOOKUP(M641,'MASS - 2016'!$A$1:$G$3418,7,FALSE)</f>
        <v>2.794</v>
      </c>
      <c r="G641">
        <f t="shared" si="51"/>
        <v>-63146.506999999998</v>
      </c>
      <c r="H641">
        <f t="shared" si="47"/>
        <v>70.932209436813565</v>
      </c>
      <c r="I641">
        <f t="shared" si="48"/>
        <v>66.072931823999994</v>
      </c>
      <c r="J641">
        <f t="shared" si="50"/>
        <v>66055.557824000003</v>
      </c>
      <c r="M641">
        <f t="shared" si="49"/>
        <v>37034</v>
      </c>
    </row>
    <row r="642" spans="1:13" x14ac:dyDescent="0.2">
      <c r="A642">
        <v>36</v>
      </c>
      <c r="B642">
        <v>35</v>
      </c>
      <c r="C642">
        <v>71</v>
      </c>
      <c r="D642" s="51" t="s">
        <v>33</v>
      </c>
      <c r="E642">
        <f>VLOOKUP(M642,'MASS - 2016'!$A$1:$G$3418,6,FALSE)</f>
        <v>-56502.417999999998</v>
      </c>
      <c r="F642">
        <f>VLOOKUP(M642,'MASS - 2016'!$A$1:$G$3418,7,FALSE)</f>
        <v>5.4020000000000001</v>
      </c>
      <c r="G642">
        <f t="shared" si="51"/>
        <v>-56502.417999999998</v>
      </c>
      <c r="H642">
        <f t="shared" si="47"/>
        <v>70.939342159691989</v>
      </c>
      <c r="I642">
        <f t="shared" si="48"/>
        <v>66.079575912999999</v>
      </c>
      <c r="J642">
        <f t="shared" si="50"/>
        <v>66061.690912999999</v>
      </c>
      <c r="M642">
        <f t="shared" si="49"/>
        <v>36035</v>
      </c>
    </row>
    <row r="643" spans="1:13" x14ac:dyDescent="0.2">
      <c r="A643">
        <v>35</v>
      </c>
      <c r="B643">
        <v>36</v>
      </c>
      <c r="C643">
        <v>71</v>
      </c>
      <c r="D643" s="51" t="s">
        <v>34</v>
      </c>
      <c r="E643">
        <f>VLOOKUP(M643,'MASS - 2016'!$A$1:$G$3418,6,FALSE)</f>
        <v>-46327.205000000002</v>
      </c>
      <c r="F643">
        <f>VLOOKUP(M643,'MASS - 2016'!$A$1:$G$3418,7,FALSE)</f>
        <v>128.76900000000001</v>
      </c>
      <c r="G643">
        <f t="shared" si="51"/>
        <v>-46327.205000000002</v>
      </c>
      <c r="H643">
        <f t="shared" si="47"/>
        <v>70.950265700083719</v>
      </c>
      <c r="I643">
        <f t="shared" si="48"/>
        <v>66.089751125999996</v>
      </c>
      <c r="J643">
        <f t="shared" si="50"/>
        <v>66071.355126000009</v>
      </c>
      <c r="M643">
        <f t="shared" si="49"/>
        <v>35036</v>
      </c>
    </row>
    <row r="644" spans="1:13" x14ac:dyDescent="0.2">
      <c r="A644">
        <v>34</v>
      </c>
      <c r="B644">
        <v>37</v>
      </c>
      <c r="C644">
        <v>71</v>
      </c>
      <c r="D644" s="51" t="s">
        <v>35</v>
      </c>
      <c r="E644" t="str">
        <f>VLOOKUP(M644,'MASS - 2016'!$A$1:$G$3418,6,FALSE)</f>
        <v>-32060#</v>
      </c>
      <c r="F644" t="str">
        <f>VLOOKUP(M644,'MASS - 2016'!$A$1:$G$3418,7,FALSE)</f>
        <v>400#</v>
      </c>
      <c r="G644">
        <f t="shared" si="51"/>
        <v>-32060.01</v>
      </c>
      <c r="H644">
        <f t="shared" si="47"/>
        <v>70.965582163813707</v>
      </c>
      <c r="I644">
        <f t="shared" si="48"/>
        <v>66.104018320999998</v>
      </c>
      <c r="J644">
        <f t="shared" si="50"/>
        <v>66085.111320999989</v>
      </c>
      <c r="M644">
        <f t="shared" si="49"/>
        <v>34037</v>
      </c>
    </row>
    <row r="645" spans="1:13" x14ac:dyDescent="0.2">
      <c r="A645">
        <v>45</v>
      </c>
      <c r="B645">
        <v>27</v>
      </c>
      <c r="C645">
        <v>72</v>
      </c>
      <c r="D645" s="51" t="s">
        <v>25</v>
      </c>
      <c r="E645" t="str">
        <f>VLOOKUP(M645,'MASS - 2016'!$A$1:$G$3418,6,FALSE)</f>
        <v>-40200#</v>
      </c>
      <c r="F645" t="str">
        <f>VLOOKUP(M645,'MASS - 2016'!$A$1:$G$3418,7,FALSE)</f>
        <v>400#</v>
      </c>
      <c r="G645">
        <f t="shared" si="51"/>
        <v>-40200.01</v>
      </c>
      <c r="H645">
        <f t="shared" si="47"/>
        <v>71.956843514432236</v>
      </c>
      <c r="I645">
        <f t="shared" si="48"/>
        <v>67.027372381999996</v>
      </c>
      <c r="J645">
        <f t="shared" si="50"/>
        <v>67013.575381999995</v>
      </c>
      <c r="M645">
        <f t="shared" si="49"/>
        <v>45027</v>
      </c>
    </row>
    <row r="646" spans="1:13" x14ac:dyDescent="0.2">
      <c r="A646">
        <v>44</v>
      </c>
      <c r="B646">
        <v>28</v>
      </c>
      <c r="C646">
        <v>72</v>
      </c>
      <c r="D646" s="51" t="s">
        <v>26</v>
      </c>
      <c r="E646">
        <f>VLOOKUP(M646,'MASS - 2016'!$A$1:$G$3418,6,FALSE)</f>
        <v>-54226.06</v>
      </c>
      <c r="F646">
        <f>VLOOKUP(M646,'MASS - 2016'!$A$1:$G$3418,7,FALSE)</f>
        <v>2.2370000000000001</v>
      </c>
      <c r="G646">
        <f t="shared" si="51"/>
        <v>-54226.06</v>
      </c>
      <c r="H646">
        <f t="shared" si="47"/>
        <v>71.941785930506327</v>
      </c>
      <c r="I646">
        <f t="shared" si="48"/>
        <v>67.013346331999998</v>
      </c>
      <c r="J646">
        <f t="shared" si="50"/>
        <v>66999.038331999996</v>
      </c>
      <c r="M646">
        <f t="shared" si="49"/>
        <v>44028</v>
      </c>
    </row>
    <row r="647" spans="1:13" x14ac:dyDescent="0.2">
      <c r="A647">
        <v>43</v>
      </c>
      <c r="B647">
        <v>29</v>
      </c>
      <c r="C647">
        <v>72</v>
      </c>
      <c r="D647" s="51" t="s">
        <v>27</v>
      </c>
      <c r="E647">
        <f>VLOOKUP(M647,'MASS - 2016'!$A$1:$G$3418,6,FALSE)</f>
        <v>-59782.999000000003</v>
      </c>
      <c r="F647">
        <f>VLOOKUP(M647,'MASS - 2016'!$A$1:$G$3418,7,FALSE)</f>
        <v>1.397</v>
      </c>
      <c r="G647">
        <f t="shared" si="51"/>
        <v>-59782.999000000003</v>
      </c>
      <c r="H647">
        <f t="shared" si="47"/>
        <v>71.93582031115065</v>
      </c>
      <c r="I647">
        <f t="shared" si="48"/>
        <v>67.007789392999996</v>
      </c>
      <c r="J647">
        <f t="shared" si="50"/>
        <v>66992.970392999996</v>
      </c>
      <c r="M647">
        <f t="shared" si="49"/>
        <v>43029</v>
      </c>
    </row>
    <row r="648" spans="1:13" x14ac:dyDescent="0.2">
      <c r="A648">
        <v>42</v>
      </c>
      <c r="B648">
        <v>30</v>
      </c>
      <c r="C648">
        <v>72</v>
      </c>
      <c r="D648" s="51" t="s">
        <v>28</v>
      </c>
      <c r="E648">
        <f>VLOOKUP(M648,'MASS - 2016'!$A$1:$G$3418,6,FALSE)</f>
        <v>-68145.486000000004</v>
      </c>
      <c r="F648">
        <f>VLOOKUP(M648,'MASS - 2016'!$A$1:$G$3418,7,FALSE)</f>
        <v>2.1419999999999999</v>
      </c>
      <c r="G648">
        <f t="shared" si="51"/>
        <v>-68145.486000000004</v>
      </c>
      <c r="H648">
        <f t="shared" si="47"/>
        <v>71.926842812151861</v>
      </c>
      <c r="I648">
        <f t="shared" si="48"/>
        <v>66.999426905999997</v>
      </c>
      <c r="J648">
        <f t="shared" si="50"/>
        <v>66984.096905999992</v>
      </c>
      <c r="M648">
        <f t="shared" si="49"/>
        <v>42030</v>
      </c>
    </row>
    <row r="649" spans="1:13" x14ac:dyDescent="0.2">
      <c r="A649">
        <v>41</v>
      </c>
      <c r="B649">
        <v>31</v>
      </c>
      <c r="C649">
        <v>72</v>
      </c>
      <c r="D649" s="51" t="s">
        <v>29</v>
      </c>
      <c r="E649">
        <f>VLOOKUP(M649,'MASS - 2016'!$A$1:$G$3418,6,FALSE)</f>
        <v>-68588.293000000005</v>
      </c>
      <c r="F649">
        <f>VLOOKUP(M649,'MASS - 2016'!$A$1:$G$3418,7,FALSE)</f>
        <v>0.81899999999999995</v>
      </c>
      <c r="G649">
        <f t="shared" si="51"/>
        <v>-68588.293000000005</v>
      </c>
      <c r="H649">
        <f t="shared" ref="H649:H712" si="52">(C649*$A$3+G649/1000000)/$A$3</f>
        <v>71.926367439287404</v>
      </c>
      <c r="I649">
        <f t="shared" ref="I649:I712" si="53">H649*$A$3</f>
        <v>66.998984098999998</v>
      </c>
      <c r="J649">
        <f t="shared" si="50"/>
        <v>66983.143098999994</v>
      </c>
      <c r="M649">
        <f t="shared" ref="M649:M712" si="54">1000*A649+B649</f>
        <v>41031</v>
      </c>
    </row>
    <row r="650" spans="1:13" x14ac:dyDescent="0.2">
      <c r="A650">
        <v>40</v>
      </c>
      <c r="B650">
        <v>32</v>
      </c>
      <c r="C650">
        <v>72</v>
      </c>
      <c r="D650" s="51" t="s">
        <v>30</v>
      </c>
      <c r="E650">
        <f>VLOOKUP(M650,'MASS - 2016'!$A$1:$G$3418,6,FALSE)</f>
        <v>-72585.899999999994</v>
      </c>
      <c r="F650">
        <f>VLOOKUP(M650,'MASS - 2016'!$A$1:$G$3418,7,FALSE)</f>
        <v>7.5999999999999998E-2</v>
      </c>
      <c r="G650">
        <f t="shared" si="51"/>
        <v>-72585.899999999994</v>
      </c>
      <c r="H650">
        <f t="shared" si="52"/>
        <v>71.922075831678328</v>
      </c>
      <c r="I650">
        <f t="shared" si="53"/>
        <v>66.994986491999995</v>
      </c>
      <c r="J650">
        <f t="shared" si="50"/>
        <v>66978.634491999997</v>
      </c>
      <c r="M650">
        <f t="shared" si="54"/>
        <v>40032</v>
      </c>
    </row>
    <row r="651" spans="1:13" x14ac:dyDescent="0.2">
      <c r="A651">
        <v>39</v>
      </c>
      <c r="B651">
        <v>33</v>
      </c>
      <c r="C651">
        <v>72</v>
      </c>
      <c r="D651" s="51" t="s">
        <v>31</v>
      </c>
      <c r="E651">
        <f>VLOOKUP(M651,'MASS - 2016'!$A$1:$G$3418,6,FALSE)</f>
        <v>-68229.797999999995</v>
      </c>
      <c r="F651">
        <f>VLOOKUP(M651,'MASS - 2016'!$A$1:$G$3418,7,FALSE)</f>
        <v>4.0830000000000002</v>
      </c>
      <c r="G651">
        <f t="shared" si="51"/>
        <v>-68229.797999999995</v>
      </c>
      <c r="H651">
        <f t="shared" si="52"/>
        <v>71.92675229949748</v>
      </c>
      <c r="I651">
        <f t="shared" si="53"/>
        <v>66.999342593999998</v>
      </c>
      <c r="J651">
        <f t="shared" si="50"/>
        <v>66982.479594000004</v>
      </c>
      <c r="M651">
        <f t="shared" si="54"/>
        <v>39033</v>
      </c>
    </row>
    <row r="652" spans="1:13" x14ac:dyDescent="0.2">
      <c r="A652">
        <v>38</v>
      </c>
      <c r="B652">
        <v>34</v>
      </c>
      <c r="C652">
        <v>72</v>
      </c>
      <c r="D652" s="51" t="s">
        <v>32</v>
      </c>
      <c r="E652">
        <f>VLOOKUP(M652,'MASS - 2016'!$A$1:$G$3418,6,FALSE)</f>
        <v>-67868.179999999993</v>
      </c>
      <c r="F652">
        <f>VLOOKUP(M652,'MASS - 2016'!$A$1:$G$3418,7,FALSE)</f>
        <v>1.956</v>
      </c>
      <c r="G652">
        <f t="shared" si="51"/>
        <v>-67868.179999999993</v>
      </c>
      <c r="H652">
        <f t="shared" si="52"/>
        <v>71.927140512385932</v>
      </c>
      <c r="I652">
        <f t="shared" si="53"/>
        <v>66.999704211999997</v>
      </c>
      <c r="J652">
        <f t="shared" ref="J652:J715" si="55">1000*I652-B652*0.511</f>
        <v>66982.330212000001</v>
      </c>
      <c r="M652">
        <f t="shared" si="54"/>
        <v>38034</v>
      </c>
    </row>
    <row r="653" spans="1:13" x14ac:dyDescent="0.2">
      <c r="A653">
        <v>37</v>
      </c>
      <c r="B653">
        <v>35</v>
      </c>
      <c r="C653">
        <v>72</v>
      </c>
      <c r="D653" s="51" t="s">
        <v>33</v>
      </c>
      <c r="E653">
        <f>VLOOKUP(M653,'MASS - 2016'!$A$1:$G$3418,6,FALSE)</f>
        <v>-59061.743000000002</v>
      </c>
      <c r="F653">
        <f>VLOOKUP(M653,'MASS - 2016'!$A$1:$G$3418,7,FALSE)</f>
        <v>1.0249999999999999</v>
      </c>
      <c r="G653">
        <f t="shared" si="51"/>
        <v>-59061.743000000002</v>
      </c>
      <c r="H653">
        <f t="shared" si="52"/>
        <v>71.936594611310142</v>
      </c>
      <c r="I653">
        <f t="shared" si="53"/>
        <v>67.008510649000002</v>
      </c>
      <c r="J653">
        <f t="shared" si="55"/>
        <v>66990.625649000009</v>
      </c>
      <c r="M653">
        <f t="shared" si="54"/>
        <v>37035</v>
      </c>
    </row>
    <row r="654" spans="1:13" x14ac:dyDescent="0.2">
      <c r="A654">
        <v>36</v>
      </c>
      <c r="B654">
        <v>36</v>
      </c>
      <c r="C654">
        <v>72</v>
      </c>
      <c r="D654" s="51" t="s">
        <v>34</v>
      </c>
      <c r="E654">
        <f>VLOOKUP(M654,'MASS - 2016'!$A$1:$G$3418,6,FALSE)</f>
        <v>-53940.574999999997</v>
      </c>
      <c r="F654">
        <f>VLOOKUP(M654,'MASS - 2016'!$A$1:$G$3418,7,FALSE)</f>
        <v>8.0109999999999992</v>
      </c>
      <c r="G654">
        <f t="shared" si="51"/>
        <v>-53940.574999999997</v>
      </c>
      <c r="H654">
        <f t="shared" si="52"/>
        <v>71.942092411258002</v>
      </c>
      <c r="I654">
        <f t="shared" si="53"/>
        <v>67.013631817000004</v>
      </c>
      <c r="J654">
        <f t="shared" si="55"/>
        <v>66995.235817000008</v>
      </c>
      <c r="M654">
        <f t="shared" si="54"/>
        <v>36036</v>
      </c>
    </row>
    <row r="655" spans="1:13" x14ac:dyDescent="0.2">
      <c r="A655">
        <v>35</v>
      </c>
      <c r="B655">
        <v>37</v>
      </c>
      <c r="C655">
        <v>72</v>
      </c>
      <c r="D655" s="51" t="s">
        <v>35</v>
      </c>
      <c r="E655" t="str">
        <f>VLOOKUP(M655,'MASS - 2016'!$A$1:$G$3418,6,FALSE)</f>
        <v>-38330#</v>
      </c>
      <c r="F655" t="str">
        <f>VLOOKUP(M655,'MASS - 2016'!$A$1:$G$3418,7,FALSE)</f>
        <v>500#</v>
      </c>
      <c r="G655">
        <f t="shared" ref="G655:G718" si="56">IF(ISNUMBER(E655),E655,VALUE(SUBSTITUTE(E655,"#",".01")))</f>
        <v>-38330.01</v>
      </c>
      <c r="H655">
        <f t="shared" si="52"/>
        <v>71.958851041992858</v>
      </c>
      <c r="I655">
        <f t="shared" si="53"/>
        <v>67.029242382000007</v>
      </c>
      <c r="J655">
        <f t="shared" si="55"/>
        <v>67010.335382000005</v>
      </c>
      <c r="M655">
        <f t="shared" si="54"/>
        <v>35037</v>
      </c>
    </row>
    <row r="656" spans="1:13" x14ac:dyDescent="0.2">
      <c r="A656">
        <v>45</v>
      </c>
      <c r="B656">
        <v>28</v>
      </c>
      <c r="C656">
        <v>73</v>
      </c>
      <c r="D656" s="51" t="s">
        <v>26</v>
      </c>
      <c r="E656">
        <f>VLOOKUP(M656,'MASS - 2016'!$A$1:$G$3418,6,FALSE)</f>
        <v>-50108.152000000002</v>
      </c>
      <c r="F656">
        <f>VLOOKUP(M656,'MASS - 2016'!$A$1:$G$3418,7,FALSE)</f>
        <v>2.423</v>
      </c>
      <c r="G656">
        <f t="shared" si="56"/>
        <v>-50108.152000000002</v>
      </c>
      <c r="H656">
        <f t="shared" si="52"/>
        <v>72.946206686550198</v>
      </c>
      <c r="I656">
        <f t="shared" si="53"/>
        <v>67.94895830099999</v>
      </c>
      <c r="J656">
        <f t="shared" si="55"/>
        <v>67934.650300999987</v>
      </c>
      <c r="M656">
        <f t="shared" si="54"/>
        <v>45028</v>
      </c>
    </row>
    <row r="657" spans="1:13" x14ac:dyDescent="0.2">
      <c r="A657">
        <v>44</v>
      </c>
      <c r="B657">
        <v>29</v>
      </c>
      <c r="C657">
        <v>73</v>
      </c>
      <c r="D657" s="51" t="s">
        <v>27</v>
      </c>
      <c r="E657">
        <f>VLOOKUP(M657,'MASS - 2016'!$A$1:$G$3418,6,FALSE)</f>
        <v>-58987.436999999998</v>
      </c>
      <c r="F657">
        <f>VLOOKUP(M657,'MASS - 2016'!$A$1:$G$3418,7,FALSE)</f>
        <v>1.9419999999999999</v>
      </c>
      <c r="G657">
        <f t="shared" si="56"/>
        <v>-58987.436999999998</v>
      </c>
      <c r="H657">
        <f t="shared" si="52"/>
        <v>72.936674382081762</v>
      </c>
      <c r="I657">
        <f t="shared" si="53"/>
        <v>67.940079015999999</v>
      </c>
      <c r="J657">
        <f t="shared" si="55"/>
        <v>67925.260016</v>
      </c>
      <c r="M657">
        <f t="shared" si="54"/>
        <v>44029</v>
      </c>
    </row>
    <row r="658" spans="1:13" x14ac:dyDescent="0.2">
      <c r="A658">
        <v>43</v>
      </c>
      <c r="B658">
        <v>30</v>
      </c>
      <c r="C658">
        <v>73</v>
      </c>
      <c r="D658" s="51" t="s">
        <v>28</v>
      </c>
      <c r="E658">
        <f>VLOOKUP(M658,'MASS - 2016'!$A$1:$G$3418,6,FALSE)</f>
        <v>-65593.402000000002</v>
      </c>
      <c r="F658">
        <f>VLOOKUP(M658,'MASS - 2016'!$A$1:$G$3418,7,FALSE)</f>
        <v>1.863</v>
      </c>
      <c r="G658">
        <f t="shared" si="56"/>
        <v>-65593.402000000002</v>
      </c>
      <c r="H658">
        <f t="shared" si="52"/>
        <v>72.92958258700051</v>
      </c>
      <c r="I658">
        <f t="shared" si="53"/>
        <v>67.933473050999993</v>
      </c>
      <c r="J658">
        <f t="shared" si="55"/>
        <v>67918.143050999992</v>
      </c>
      <c r="M658">
        <f t="shared" si="54"/>
        <v>43030</v>
      </c>
    </row>
    <row r="659" spans="1:13" x14ac:dyDescent="0.2">
      <c r="A659">
        <v>42</v>
      </c>
      <c r="B659">
        <v>31</v>
      </c>
      <c r="C659">
        <v>73</v>
      </c>
      <c r="D659" s="51" t="s">
        <v>29</v>
      </c>
      <c r="E659">
        <f>VLOOKUP(M659,'MASS - 2016'!$A$1:$G$3418,6,FALSE)</f>
        <v>-69699.335000000006</v>
      </c>
      <c r="F659">
        <f>VLOOKUP(M659,'MASS - 2016'!$A$1:$G$3418,7,FALSE)</f>
        <v>1.677</v>
      </c>
      <c r="G659">
        <f t="shared" si="56"/>
        <v>-69699.335000000006</v>
      </c>
      <c r="H659">
        <f t="shared" si="52"/>
        <v>72.92517468664785</v>
      </c>
      <c r="I659">
        <f t="shared" si="53"/>
        <v>67.929367118000002</v>
      </c>
      <c r="J659">
        <f t="shared" si="55"/>
        <v>67913.526117999994</v>
      </c>
      <c r="M659">
        <f t="shared" si="54"/>
        <v>42031</v>
      </c>
    </row>
    <row r="660" spans="1:13" x14ac:dyDescent="0.2">
      <c r="A660">
        <v>41</v>
      </c>
      <c r="B660">
        <v>32</v>
      </c>
      <c r="C660">
        <v>73</v>
      </c>
      <c r="D660" s="51" t="s">
        <v>30</v>
      </c>
      <c r="E660">
        <f>VLOOKUP(M660,'MASS - 2016'!$A$1:$G$3418,6,FALSE)</f>
        <v>-71297.523000000001</v>
      </c>
      <c r="F660">
        <f>VLOOKUP(M660,'MASS - 2016'!$A$1:$G$3418,7,FALSE)</f>
        <v>5.7000000000000002E-2</v>
      </c>
      <c r="G660">
        <f t="shared" si="56"/>
        <v>-71297.523000000001</v>
      </c>
      <c r="H660">
        <f t="shared" si="52"/>
        <v>72.923458961269745</v>
      </c>
      <c r="I660">
        <f t="shared" si="53"/>
        <v>67.927768929999999</v>
      </c>
      <c r="J660">
        <f t="shared" si="55"/>
        <v>67911.416930000007</v>
      </c>
      <c r="M660">
        <f t="shared" si="54"/>
        <v>41032</v>
      </c>
    </row>
    <row r="661" spans="1:13" x14ac:dyDescent="0.2">
      <c r="A661">
        <v>40</v>
      </c>
      <c r="B661">
        <v>33</v>
      </c>
      <c r="C661">
        <v>73</v>
      </c>
      <c r="D661" s="51" t="s">
        <v>31</v>
      </c>
      <c r="E661">
        <f>VLOOKUP(M661,'MASS - 2016'!$A$1:$G$3418,6,FALSE)</f>
        <v>-70952.747000000003</v>
      </c>
      <c r="F661">
        <f>VLOOKUP(M661,'MASS - 2016'!$A$1:$G$3418,7,FALSE)</f>
        <v>3.8530000000000002</v>
      </c>
      <c r="G661">
        <f t="shared" si="56"/>
        <v>-70952.747000000003</v>
      </c>
      <c r="H661">
        <f t="shared" si="52"/>
        <v>72.923829093527615</v>
      </c>
      <c r="I661">
        <f t="shared" si="53"/>
        <v>67.928113705999991</v>
      </c>
      <c r="J661">
        <f t="shared" si="55"/>
        <v>67911.250705999992</v>
      </c>
      <c r="M661">
        <f t="shared" si="54"/>
        <v>40033</v>
      </c>
    </row>
    <row r="662" spans="1:13" x14ac:dyDescent="0.2">
      <c r="A662">
        <v>39</v>
      </c>
      <c r="B662">
        <v>34</v>
      </c>
      <c r="C662">
        <v>73</v>
      </c>
      <c r="D662" s="51" t="s">
        <v>32</v>
      </c>
      <c r="E662">
        <f>VLOOKUP(M662,'MASS - 2016'!$A$1:$G$3418,6,FALSE)</f>
        <v>-68227.387000000002</v>
      </c>
      <c r="F662">
        <f>VLOOKUP(M662,'MASS - 2016'!$A$1:$G$3418,7,FALSE)</f>
        <v>7.4240000000000004</v>
      </c>
      <c r="G662">
        <f t="shared" si="56"/>
        <v>-68227.387000000002</v>
      </c>
      <c r="H662">
        <f t="shared" si="52"/>
        <v>72.926754887812436</v>
      </c>
      <c r="I662">
        <f t="shared" si="53"/>
        <v>67.930839066000004</v>
      </c>
      <c r="J662">
        <f t="shared" si="55"/>
        <v>67913.465066000004</v>
      </c>
      <c r="M662">
        <f t="shared" si="54"/>
        <v>39034</v>
      </c>
    </row>
    <row r="663" spans="1:13" x14ac:dyDescent="0.2">
      <c r="A663">
        <v>38</v>
      </c>
      <c r="B663">
        <v>35</v>
      </c>
      <c r="C663">
        <v>73</v>
      </c>
      <c r="D663" s="51" t="s">
        <v>33</v>
      </c>
      <c r="E663">
        <f>VLOOKUP(M663,'MASS - 2016'!$A$1:$G$3418,6,FALSE)</f>
        <v>-63647.474999999999</v>
      </c>
      <c r="F663">
        <f>VLOOKUP(M663,'MASS - 2016'!$A$1:$G$3418,7,FALSE)</f>
        <v>7.266</v>
      </c>
      <c r="G663">
        <f t="shared" si="56"/>
        <v>-63647.474999999999</v>
      </c>
      <c r="H663">
        <f t="shared" si="52"/>
        <v>72.931671625547807</v>
      </c>
      <c r="I663">
        <f t="shared" si="53"/>
        <v>67.935418978000001</v>
      </c>
      <c r="J663">
        <f t="shared" si="55"/>
        <v>67917.533978000007</v>
      </c>
      <c r="M663">
        <f t="shared" si="54"/>
        <v>38035</v>
      </c>
    </row>
    <row r="664" spans="1:13" x14ac:dyDescent="0.2">
      <c r="A664">
        <v>37</v>
      </c>
      <c r="B664">
        <v>36</v>
      </c>
      <c r="C664">
        <v>73</v>
      </c>
      <c r="D664" s="51" t="s">
        <v>34</v>
      </c>
      <c r="E664">
        <f>VLOOKUP(M664,'MASS - 2016'!$A$1:$G$3418,6,FALSE)</f>
        <v>-56551.750999999997</v>
      </c>
      <c r="F664">
        <f>VLOOKUP(M664,'MASS - 2016'!$A$1:$G$3418,7,FALSE)</f>
        <v>6.5780000000000003</v>
      </c>
      <c r="G664">
        <f t="shared" si="56"/>
        <v>-56551.750999999997</v>
      </c>
      <c r="H664">
        <f t="shared" si="52"/>
        <v>72.939289198538432</v>
      </c>
      <c r="I664">
        <f t="shared" si="53"/>
        <v>67.942514701999997</v>
      </c>
      <c r="J664">
        <f t="shared" si="55"/>
        <v>67924.118702000007</v>
      </c>
      <c r="M664">
        <f t="shared" si="54"/>
        <v>37036</v>
      </c>
    </row>
    <row r="665" spans="1:13" x14ac:dyDescent="0.2">
      <c r="A665">
        <v>36</v>
      </c>
      <c r="B665">
        <v>37</v>
      </c>
      <c r="C665">
        <v>73</v>
      </c>
      <c r="D665" s="51" t="s">
        <v>35</v>
      </c>
      <c r="E665" t="str">
        <f>VLOOKUP(M665,'MASS - 2016'!$A$1:$G$3418,6,FALSE)</f>
        <v>-46082#</v>
      </c>
      <c r="F665" t="str">
        <f>VLOOKUP(M665,'MASS - 2016'!$A$1:$G$3418,7,FALSE)</f>
        <v>200#</v>
      </c>
      <c r="G665">
        <f t="shared" si="56"/>
        <v>-46082.01</v>
      </c>
      <c r="H665">
        <f t="shared" si="52"/>
        <v>72.950528927741587</v>
      </c>
      <c r="I665">
        <f t="shared" si="53"/>
        <v>67.952984442999991</v>
      </c>
      <c r="J665">
        <f t="shared" si="55"/>
        <v>67934.077442999987</v>
      </c>
      <c r="M665">
        <f t="shared" si="54"/>
        <v>36037</v>
      </c>
    </row>
    <row r="666" spans="1:13" x14ac:dyDescent="0.2">
      <c r="A666">
        <v>35</v>
      </c>
      <c r="B666">
        <v>38</v>
      </c>
      <c r="C666">
        <v>73</v>
      </c>
      <c r="D666" s="51" t="s">
        <v>36</v>
      </c>
      <c r="E666" t="str">
        <f>VLOOKUP(M666,'MASS - 2016'!$A$1:$G$3418,6,FALSE)</f>
        <v>-31950#</v>
      </c>
      <c r="F666" t="str">
        <f>VLOOKUP(M666,'MASS - 2016'!$A$1:$G$3418,7,FALSE)</f>
        <v>401#</v>
      </c>
      <c r="G666">
        <f t="shared" si="56"/>
        <v>-31950.01</v>
      </c>
      <c r="H666">
        <f t="shared" si="52"/>
        <v>72.965700253670207</v>
      </c>
      <c r="I666">
        <f t="shared" si="53"/>
        <v>67.967116442999995</v>
      </c>
      <c r="J666">
        <f t="shared" si="55"/>
        <v>67947.698442999987</v>
      </c>
      <c r="M666">
        <f t="shared" si="54"/>
        <v>35038</v>
      </c>
    </row>
    <row r="667" spans="1:13" x14ac:dyDescent="0.2">
      <c r="A667">
        <v>46</v>
      </c>
      <c r="B667">
        <v>28</v>
      </c>
      <c r="C667">
        <v>74</v>
      </c>
      <c r="D667" s="51" t="s">
        <v>26</v>
      </c>
      <c r="E667" t="str">
        <f>VLOOKUP(M667,'MASS - 2016'!$A$1:$G$3418,6,FALSE)</f>
        <v>-48456#</v>
      </c>
      <c r="F667" t="str">
        <f>VLOOKUP(M667,'MASS - 2016'!$A$1:$G$3418,7,FALSE)</f>
        <v>196#</v>
      </c>
      <c r="G667">
        <f t="shared" si="56"/>
        <v>-48456.01</v>
      </c>
      <c r="H667">
        <f t="shared" si="52"/>
        <v>73.947980333929365</v>
      </c>
      <c r="I667">
        <f t="shared" si="53"/>
        <v>68.882104503999997</v>
      </c>
      <c r="J667">
        <f t="shared" si="55"/>
        <v>68867.796503999998</v>
      </c>
      <c r="M667">
        <f t="shared" si="54"/>
        <v>46028</v>
      </c>
    </row>
    <row r="668" spans="1:13" x14ac:dyDescent="0.2">
      <c r="A668">
        <v>45</v>
      </c>
      <c r="B668">
        <v>29</v>
      </c>
      <c r="C668">
        <v>74</v>
      </c>
      <c r="D668" s="51" t="s">
        <v>27</v>
      </c>
      <c r="E668">
        <f>VLOOKUP(M668,'MASS - 2016'!$A$1:$G$3418,6,FALSE)</f>
        <v>-56006.205000000002</v>
      </c>
      <c r="F668">
        <f>VLOOKUP(M668,'MASS - 2016'!$A$1:$G$3418,7,FALSE)</f>
        <v>6.1479999999999997</v>
      </c>
      <c r="G668">
        <f t="shared" si="56"/>
        <v>-56006.205000000002</v>
      </c>
      <c r="H668">
        <f t="shared" si="52"/>
        <v>73.939874866255309</v>
      </c>
      <c r="I668">
        <f t="shared" si="53"/>
        <v>68.87455430899999</v>
      </c>
      <c r="J668">
        <f t="shared" si="55"/>
        <v>68859.735308999981</v>
      </c>
      <c r="M668">
        <f t="shared" si="54"/>
        <v>45029</v>
      </c>
    </row>
    <row r="669" spans="1:13" x14ac:dyDescent="0.2">
      <c r="A669">
        <v>44</v>
      </c>
      <c r="B669">
        <v>30</v>
      </c>
      <c r="C669">
        <v>74</v>
      </c>
      <c r="D669" s="51" t="s">
        <v>28</v>
      </c>
      <c r="E669">
        <f>VLOOKUP(M669,'MASS - 2016'!$A$1:$G$3418,6,FALSE)</f>
        <v>-65756.712</v>
      </c>
      <c r="F669">
        <f>VLOOKUP(M669,'MASS - 2016'!$A$1:$G$3418,7,FALSE)</f>
        <v>2.5150000000000001</v>
      </c>
      <c r="G669">
        <f t="shared" si="56"/>
        <v>-65756.712</v>
      </c>
      <c r="H669">
        <f t="shared" si="52"/>
        <v>73.929407266505379</v>
      </c>
      <c r="I669">
        <f t="shared" si="53"/>
        <v>68.864803801999997</v>
      </c>
      <c r="J669">
        <f t="shared" si="55"/>
        <v>68849.473801999993</v>
      </c>
      <c r="M669">
        <f t="shared" si="54"/>
        <v>44030</v>
      </c>
    </row>
    <row r="670" spans="1:13" x14ac:dyDescent="0.2">
      <c r="A670">
        <v>43</v>
      </c>
      <c r="B670">
        <v>31</v>
      </c>
      <c r="C670">
        <v>74</v>
      </c>
      <c r="D670" s="51" t="s">
        <v>29</v>
      </c>
      <c r="E670">
        <f>VLOOKUP(M670,'MASS - 2016'!$A$1:$G$3418,6,FALSE)</f>
        <v>-68049.616999999998</v>
      </c>
      <c r="F670">
        <f>VLOOKUP(M670,'MASS - 2016'!$A$1:$G$3418,7,FALSE)</f>
        <v>2.9940000000000002</v>
      </c>
      <c r="G670">
        <f t="shared" si="56"/>
        <v>-68049.616999999998</v>
      </c>
      <c r="H670">
        <f t="shared" si="52"/>
        <v>73.926945731755978</v>
      </c>
      <c r="I670">
        <f t="shared" si="53"/>
        <v>68.862510896999993</v>
      </c>
      <c r="J670">
        <f t="shared" si="55"/>
        <v>68846.669897</v>
      </c>
      <c r="M670">
        <f t="shared" si="54"/>
        <v>43031</v>
      </c>
    </row>
    <row r="671" spans="1:13" x14ac:dyDescent="0.2">
      <c r="A671">
        <v>42</v>
      </c>
      <c r="B671">
        <v>32</v>
      </c>
      <c r="C671">
        <v>74</v>
      </c>
      <c r="D671" s="51" t="s">
        <v>30</v>
      </c>
      <c r="E671">
        <f>VLOOKUP(M671,'MASS - 2016'!$A$1:$G$3418,6,FALSE)</f>
        <v>-73422.441999999995</v>
      </c>
      <c r="F671">
        <f>VLOOKUP(M671,'MASS - 2016'!$A$1:$G$3418,7,FALSE)</f>
        <v>1.2999999999999999E-2</v>
      </c>
      <c r="G671">
        <f t="shared" si="56"/>
        <v>-73422.441999999995</v>
      </c>
      <c r="H671">
        <f t="shared" si="52"/>
        <v>73.921177766907945</v>
      </c>
      <c r="I671">
        <f t="shared" si="53"/>
        <v>68.857138071999998</v>
      </c>
      <c r="J671">
        <f t="shared" si="55"/>
        <v>68840.786072000003</v>
      </c>
      <c r="M671">
        <f t="shared" si="54"/>
        <v>42032</v>
      </c>
    </row>
    <row r="672" spans="1:13" x14ac:dyDescent="0.2">
      <c r="A672">
        <v>41</v>
      </c>
      <c r="B672">
        <v>33</v>
      </c>
      <c r="C672">
        <v>74</v>
      </c>
      <c r="D672" s="51" t="s">
        <v>31</v>
      </c>
      <c r="E672">
        <f>VLOOKUP(M672,'MASS - 2016'!$A$1:$G$3418,6,FALSE)</f>
        <v>-70860.054000000004</v>
      </c>
      <c r="F672">
        <f>VLOOKUP(M672,'MASS - 2016'!$A$1:$G$3418,7,FALSE)</f>
        <v>1.6930000000000001</v>
      </c>
      <c r="G672">
        <f t="shared" si="56"/>
        <v>-70860.054000000004</v>
      </c>
      <c r="H672">
        <f t="shared" si="52"/>
        <v>73.923928603555524</v>
      </c>
      <c r="I672">
        <f t="shared" si="53"/>
        <v>68.859700459999999</v>
      </c>
      <c r="J672">
        <f t="shared" si="55"/>
        <v>68842.837459999995</v>
      </c>
      <c r="M672">
        <f t="shared" si="54"/>
        <v>41033</v>
      </c>
    </row>
    <row r="673" spans="1:13" x14ac:dyDescent="0.2">
      <c r="A673">
        <v>40</v>
      </c>
      <c r="B673">
        <v>34</v>
      </c>
      <c r="C673">
        <v>74</v>
      </c>
      <c r="D673" s="51" t="s">
        <v>32</v>
      </c>
      <c r="E673">
        <f>VLOOKUP(M673,'MASS - 2016'!$A$1:$G$3418,6,FALSE)</f>
        <v>-72213.201000000001</v>
      </c>
      <c r="F673">
        <f>VLOOKUP(M673,'MASS - 2016'!$A$1:$G$3418,7,FALSE)</f>
        <v>1.4999999999999999E-2</v>
      </c>
      <c r="G673">
        <f t="shared" si="56"/>
        <v>-72213.201000000001</v>
      </c>
      <c r="H673">
        <f t="shared" si="52"/>
        <v>73.922475940509514</v>
      </c>
      <c r="I673">
        <f t="shared" si="53"/>
        <v>68.858347312999996</v>
      </c>
      <c r="J673">
        <f t="shared" si="55"/>
        <v>68840.973312999995</v>
      </c>
      <c r="M673">
        <f t="shared" si="54"/>
        <v>40034</v>
      </c>
    </row>
    <row r="674" spans="1:13" x14ac:dyDescent="0.2">
      <c r="A674">
        <v>39</v>
      </c>
      <c r="B674">
        <v>35</v>
      </c>
      <c r="C674">
        <v>74</v>
      </c>
      <c r="D674" s="51" t="s">
        <v>33</v>
      </c>
      <c r="E674">
        <f>VLOOKUP(M674,'MASS - 2016'!$A$1:$G$3418,6,FALSE)</f>
        <v>-65288.152999999998</v>
      </c>
      <c r="F674">
        <f>VLOOKUP(M674,'MASS - 2016'!$A$1:$G$3418,7,FALSE)</f>
        <v>5.835</v>
      </c>
      <c r="G674">
        <f t="shared" si="56"/>
        <v>-65288.152999999998</v>
      </c>
      <c r="H674">
        <f t="shared" si="52"/>
        <v>73.92991028527878</v>
      </c>
      <c r="I674">
        <f t="shared" si="53"/>
        <v>68.865272360999995</v>
      </c>
      <c r="J674">
        <f t="shared" si="55"/>
        <v>68847.387361000001</v>
      </c>
      <c r="M674">
        <f t="shared" si="54"/>
        <v>39035</v>
      </c>
    </row>
    <row r="675" spans="1:13" x14ac:dyDescent="0.2">
      <c r="A675">
        <v>38</v>
      </c>
      <c r="B675">
        <v>36</v>
      </c>
      <c r="C675">
        <v>74</v>
      </c>
      <c r="D675" s="51" t="s">
        <v>34</v>
      </c>
      <c r="E675">
        <f>VLOOKUP(M675,'MASS - 2016'!$A$1:$G$3418,6,FALSE)</f>
        <v>-62331.836000000003</v>
      </c>
      <c r="F675">
        <f>VLOOKUP(M675,'MASS - 2016'!$A$1:$G$3418,7,FALSE)</f>
        <v>2.0129999999999999</v>
      </c>
      <c r="G675">
        <f t="shared" si="56"/>
        <v>-62331.836000000003</v>
      </c>
      <c r="H675">
        <f t="shared" si="52"/>
        <v>73.933084022099848</v>
      </c>
      <c r="I675">
        <f t="shared" si="53"/>
        <v>68.868228677999994</v>
      </c>
      <c r="J675">
        <f t="shared" si="55"/>
        <v>68849.832678000006</v>
      </c>
      <c r="M675">
        <f t="shared" si="54"/>
        <v>38036</v>
      </c>
    </row>
    <row r="676" spans="1:13" x14ac:dyDescent="0.2">
      <c r="A676">
        <v>37</v>
      </c>
      <c r="B676">
        <v>37</v>
      </c>
      <c r="C676">
        <v>74</v>
      </c>
      <c r="D676" s="51" t="s">
        <v>35</v>
      </c>
      <c r="E676">
        <f>VLOOKUP(M676,'MASS - 2016'!$A$1:$G$3418,6,FALSE)</f>
        <v>-51916.008999999998</v>
      </c>
      <c r="F676">
        <f>VLOOKUP(M676,'MASS - 2016'!$A$1:$G$3418,7,FALSE)</f>
        <v>3.0270000000000001</v>
      </c>
      <c r="G676">
        <f t="shared" si="56"/>
        <v>-51916.008999999998</v>
      </c>
      <c r="H676">
        <f t="shared" si="52"/>
        <v>73.944265872243705</v>
      </c>
      <c r="I676">
        <f t="shared" si="53"/>
        <v>68.878644504999997</v>
      </c>
      <c r="J676">
        <f t="shared" si="55"/>
        <v>68859.737504999997</v>
      </c>
      <c r="M676">
        <f t="shared" si="54"/>
        <v>37037</v>
      </c>
    </row>
    <row r="677" spans="1:13" x14ac:dyDescent="0.2">
      <c r="A677">
        <v>36</v>
      </c>
      <c r="B677">
        <v>38</v>
      </c>
      <c r="C677">
        <v>74</v>
      </c>
      <c r="D677" s="51" t="s">
        <v>36</v>
      </c>
      <c r="E677" t="str">
        <f>VLOOKUP(M677,'MASS - 2016'!$A$1:$G$3418,6,FALSE)</f>
        <v>-40827#</v>
      </c>
      <c r="F677" t="str">
        <f>VLOOKUP(M677,'MASS - 2016'!$A$1:$G$3418,7,FALSE)</f>
        <v>100#</v>
      </c>
      <c r="G677">
        <f t="shared" si="56"/>
        <v>-40827.01</v>
      </c>
      <c r="H677">
        <f t="shared" si="52"/>
        <v>73.956170402250152</v>
      </c>
      <c r="I677">
        <f t="shared" si="53"/>
        <v>68.889733503999992</v>
      </c>
      <c r="J677">
        <f t="shared" si="55"/>
        <v>68870.315503999984</v>
      </c>
      <c r="M677">
        <f t="shared" si="54"/>
        <v>36038</v>
      </c>
    </row>
    <row r="678" spans="1:13" x14ac:dyDescent="0.2">
      <c r="A678">
        <v>47</v>
      </c>
      <c r="B678">
        <v>28</v>
      </c>
      <c r="C678">
        <v>75</v>
      </c>
      <c r="D678" s="51" t="s">
        <v>26</v>
      </c>
      <c r="E678" t="str">
        <f>VLOOKUP(M678,'MASS - 2016'!$A$1:$G$3418,6,FALSE)</f>
        <v>-44030#</v>
      </c>
      <c r="F678" t="str">
        <f>VLOOKUP(M678,'MASS - 2016'!$A$1:$G$3418,7,FALSE)</f>
        <v>300#</v>
      </c>
      <c r="G678">
        <f t="shared" si="56"/>
        <v>-44030.01</v>
      </c>
      <c r="H678">
        <f t="shared" si="52"/>
        <v>74.95273184033752</v>
      </c>
      <c r="I678">
        <f t="shared" si="53"/>
        <v>69.818024565000002</v>
      </c>
      <c r="J678">
        <f t="shared" si="55"/>
        <v>69803.716564999995</v>
      </c>
      <c r="M678">
        <f t="shared" si="54"/>
        <v>47028</v>
      </c>
    </row>
    <row r="679" spans="1:13" x14ac:dyDescent="0.2">
      <c r="A679">
        <v>46</v>
      </c>
      <c r="B679">
        <v>29</v>
      </c>
      <c r="C679">
        <v>75</v>
      </c>
      <c r="D679" s="51" t="s">
        <v>27</v>
      </c>
      <c r="E679">
        <f>VLOOKUP(M679,'MASS - 2016'!$A$1:$G$3418,6,FALSE)</f>
        <v>-54471.341</v>
      </c>
      <c r="F679">
        <f>VLOOKUP(M679,'MASS - 2016'!$A$1:$G$3418,7,FALSE)</f>
        <v>2.33</v>
      </c>
      <c r="G679">
        <f t="shared" si="56"/>
        <v>-54471.341</v>
      </c>
      <c r="H679">
        <f t="shared" si="52"/>
        <v>74.941522610523663</v>
      </c>
      <c r="I679">
        <f t="shared" si="53"/>
        <v>69.807583234000006</v>
      </c>
      <c r="J679">
        <f t="shared" si="55"/>
        <v>69792.764234000002</v>
      </c>
      <c r="M679">
        <f t="shared" si="54"/>
        <v>46029</v>
      </c>
    </row>
    <row r="680" spans="1:13" x14ac:dyDescent="0.2">
      <c r="A680">
        <v>45</v>
      </c>
      <c r="B680">
        <v>30</v>
      </c>
      <c r="C680">
        <v>75</v>
      </c>
      <c r="D680" s="51" t="s">
        <v>28</v>
      </c>
      <c r="E680">
        <f>VLOOKUP(M680,'MASS - 2016'!$A$1:$G$3418,6,FALSE)</f>
        <v>-62558.908000000003</v>
      </c>
      <c r="F680">
        <f>VLOOKUP(M680,'MASS - 2016'!$A$1:$G$3418,7,FALSE)</f>
        <v>1.956</v>
      </c>
      <c r="G680">
        <f t="shared" si="56"/>
        <v>-62558.908000000003</v>
      </c>
      <c r="H680">
        <f t="shared" si="52"/>
        <v>74.932840250282609</v>
      </c>
      <c r="I680">
        <f t="shared" si="53"/>
        <v>69.799495667000002</v>
      </c>
      <c r="J680">
        <f t="shared" si="55"/>
        <v>69784.165666999994</v>
      </c>
      <c r="M680">
        <f t="shared" si="54"/>
        <v>45030</v>
      </c>
    </row>
    <row r="681" spans="1:13" x14ac:dyDescent="0.2">
      <c r="A681">
        <v>44</v>
      </c>
      <c r="B681">
        <v>31</v>
      </c>
      <c r="C681">
        <v>75</v>
      </c>
      <c r="D681" s="51" t="s">
        <v>29</v>
      </c>
      <c r="E681">
        <f>VLOOKUP(M681,'MASS - 2016'!$A$1:$G$3418,6,FALSE)</f>
        <v>-68464.58</v>
      </c>
      <c r="F681">
        <f>VLOOKUP(M681,'MASS - 2016'!$A$1:$G$3418,7,FALSE)</f>
        <v>2.4220000000000002</v>
      </c>
      <c r="G681">
        <f t="shared" si="56"/>
        <v>-68464.58</v>
      </c>
      <c r="H681">
        <f t="shared" si="52"/>
        <v>74.926500250654854</v>
      </c>
      <c r="I681">
        <f t="shared" si="53"/>
        <v>69.793589995000005</v>
      </c>
      <c r="J681">
        <f t="shared" si="55"/>
        <v>69777.748995000002</v>
      </c>
      <c r="M681">
        <f t="shared" si="54"/>
        <v>44031</v>
      </c>
    </row>
    <row r="682" spans="1:13" x14ac:dyDescent="0.2">
      <c r="A682">
        <v>43</v>
      </c>
      <c r="B682">
        <v>32</v>
      </c>
      <c r="C682">
        <v>75</v>
      </c>
      <c r="D682" s="51" t="s">
        <v>30</v>
      </c>
      <c r="E682">
        <f>VLOOKUP(M682,'MASS - 2016'!$A$1:$G$3418,6,FALSE)</f>
        <v>-71856.964999999997</v>
      </c>
      <c r="F682">
        <f>VLOOKUP(M682,'MASS - 2016'!$A$1:$G$3418,7,FALSE)</f>
        <v>5.1999999999999998E-2</v>
      </c>
      <c r="G682">
        <f t="shared" si="56"/>
        <v>-71856.964999999997</v>
      </c>
      <c r="H682">
        <f t="shared" si="52"/>
        <v>74.92285837558336</v>
      </c>
      <c r="I682">
        <f t="shared" si="53"/>
        <v>69.790197610000007</v>
      </c>
      <c r="J682">
        <f t="shared" si="55"/>
        <v>69773.845610000004</v>
      </c>
      <c r="M682">
        <f t="shared" si="54"/>
        <v>43032</v>
      </c>
    </row>
    <row r="683" spans="1:13" x14ac:dyDescent="0.2">
      <c r="A683">
        <v>42</v>
      </c>
      <c r="B683">
        <v>33</v>
      </c>
      <c r="C683">
        <v>75</v>
      </c>
      <c r="D683" s="51" t="s">
        <v>31</v>
      </c>
      <c r="E683">
        <f>VLOOKUP(M683,'MASS - 2016'!$A$1:$G$3418,6,FALSE)</f>
        <v>-73034.195000000007</v>
      </c>
      <c r="F683">
        <f>VLOOKUP(M683,'MASS - 2016'!$A$1:$G$3418,7,FALSE)</f>
        <v>0.88400000000000001</v>
      </c>
      <c r="G683">
        <f t="shared" si="56"/>
        <v>-73034.195000000007</v>
      </c>
      <c r="H683">
        <f t="shared" si="52"/>
        <v>74.921594567203584</v>
      </c>
      <c r="I683">
        <f t="shared" si="53"/>
        <v>69.789020379999997</v>
      </c>
      <c r="J683">
        <f t="shared" si="55"/>
        <v>69772.157380000004</v>
      </c>
      <c r="M683">
        <f t="shared" si="54"/>
        <v>42033</v>
      </c>
    </row>
    <row r="684" spans="1:13" x14ac:dyDescent="0.2">
      <c r="A684">
        <v>41</v>
      </c>
      <c r="B684">
        <v>34</v>
      </c>
      <c r="C684">
        <v>75</v>
      </c>
      <c r="D684" s="51" t="s">
        <v>32</v>
      </c>
      <c r="E684">
        <f>VLOOKUP(M684,'MASS - 2016'!$A$1:$G$3418,6,FALSE)</f>
        <v>-72169.481</v>
      </c>
      <c r="F684">
        <f>VLOOKUP(M684,'MASS - 2016'!$A$1:$G$3418,7,FALSE)</f>
        <v>7.2999999999999995E-2</v>
      </c>
      <c r="G684">
        <f t="shared" si="56"/>
        <v>-72169.481</v>
      </c>
      <c r="H684">
        <f t="shared" si="52"/>
        <v>74.922522875859755</v>
      </c>
      <c r="I684">
        <f t="shared" si="53"/>
        <v>69.789885093999999</v>
      </c>
      <c r="J684">
        <f t="shared" si="55"/>
        <v>69772.511094000001</v>
      </c>
      <c r="M684">
        <f t="shared" si="54"/>
        <v>41034</v>
      </c>
    </row>
    <row r="685" spans="1:13" x14ac:dyDescent="0.2">
      <c r="A685">
        <v>40</v>
      </c>
      <c r="B685">
        <v>35</v>
      </c>
      <c r="C685">
        <v>75</v>
      </c>
      <c r="D685" s="51" t="s">
        <v>33</v>
      </c>
      <c r="E685">
        <f>VLOOKUP(M685,'MASS - 2016'!$A$1:$G$3418,6,FALSE)</f>
        <v>-69107.009000000005</v>
      </c>
      <c r="F685">
        <f>VLOOKUP(M685,'MASS - 2016'!$A$1:$G$3418,7,FALSE)</f>
        <v>4.2850000000000001</v>
      </c>
      <c r="G685">
        <f t="shared" si="56"/>
        <v>-69107.009000000005</v>
      </c>
      <c r="H685">
        <f t="shared" si="52"/>
        <v>74.925810574760064</v>
      </c>
      <c r="I685">
        <f t="shared" si="53"/>
        <v>69.792947565999995</v>
      </c>
      <c r="J685">
        <f t="shared" si="55"/>
        <v>69775.062565999993</v>
      </c>
      <c r="M685">
        <f t="shared" si="54"/>
        <v>40035</v>
      </c>
    </row>
    <row r="686" spans="1:13" x14ac:dyDescent="0.2">
      <c r="A686">
        <v>39</v>
      </c>
      <c r="B686">
        <v>36</v>
      </c>
      <c r="C686">
        <v>75</v>
      </c>
      <c r="D686" s="51" t="s">
        <v>34</v>
      </c>
      <c r="E686">
        <f>VLOOKUP(M686,'MASS - 2016'!$A$1:$G$3418,6,FALSE)</f>
        <v>-64323.624000000003</v>
      </c>
      <c r="F686">
        <f>VLOOKUP(M686,'MASS - 2016'!$A$1:$G$3418,7,FALSE)</f>
        <v>8.1039999999999992</v>
      </c>
      <c r="G686">
        <f t="shared" si="56"/>
        <v>-64323.624000000003</v>
      </c>
      <c r="H686">
        <f t="shared" si="52"/>
        <v>74.930945749744296</v>
      </c>
      <c r="I686">
        <f t="shared" si="53"/>
        <v>69.797730951000005</v>
      </c>
      <c r="J686">
        <f t="shared" si="55"/>
        <v>69779.334951000012</v>
      </c>
      <c r="M686">
        <f t="shared" si="54"/>
        <v>39036</v>
      </c>
    </row>
    <row r="687" spans="1:13" x14ac:dyDescent="0.2">
      <c r="A687">
        <v>38</v>
      </c>
      <c r="B687">
        <v>37</v>
      </c>
      <c r="C687">
        <v>75</v>
      </c>
      <c r="D687" s="51" t="s">
        <v>35</v>
      </c>
      <c r="E687">
        <f>VLOOKUP(M687,'MASS - 2016'!$A$1:$G$3418,6,FALSE)</f>
        <v>-57218.694000000003</v>
      </c>
      <c r="F687">
        <f>VLOOKUP(M687,'MASS - 2016'!$A$1:$G$3418,7,FALSE)</f>
        <v>1.18</v>
      </c>
      <c r="G687">
        <f t="shared" si="56"/>
        <v>-57218.694000000003</v>
      </c>
      <c r="H687">
        <f t="shared" si="52"/>
        <v>74.938573205782362</v>
      </c>
      <c r="I687">
        <f t="shared" si="53"/>
        <v>69.804835881000002</v>
      </c>
      <c r="J687">
        <f t="shared" si="55"/>
        <v>69785.928881</v>
      </c>
      <c r="M687">
        <f t="shared" si="54"/>
        <v>38037</v>
      </c>
    </row>
    <row r="688" spans="1:13" x14ac:dyDescent="0.2">
      <c r="A688">
        <v>37</v>
      </c>
      <c r="B688">
        <v>38</v>
      </c>
      <c r="C688">
        <v>75</v>
      </c>
      <c r="D688" s="51" t="s">
        <v>36</v>
      </c>
      <c r="E688">
        <f>VLOOKUP(M688,'MASS - 2016'!$A$1:$G$3418,6,FALSE)</f>
        <v>-46618.694000000003</v>
      </c>
      <c r="F688">
        <f>VLOOKUP(M688,'MASS - 2016'!$A$1:$G$3418,7,FALSE)</f>
        <v>220.00299999999999</v>
      </c>
      <c r="G688">
        <f t="shared" si="56"/>
        <v>-46618.694000000003</v>
      </c>
      <c r="H688">
        <f t="shared" si="52"/>
        <v>74.949952773772978</v>
      </c>
      <c r="I688">
        <f t="shared" si="53"/>
        <v>69.815435880999999</v>
      </c>
      <c r="J688">
        <f t="shared" si="55"/>
        <v>69796.017880999992</v>
      </c>
      <c r="M688">
        <f t="shared" si="54"/>
        <v>37038</v>
      </c>
    </row>
    <row r="689" spans="1:13" x14ac:dyDescent="0.2">
      <c r="A689">
        <v>48</v>
      </c>
      <c r="B689">
        <v>28</v>
      </c>
      <c r="C689">
        <v>76</v>
      </c>
      <c r="D689" s="51" t="s">
        <v>26</v>
      </c>
      <c r="E689" t="str">
        <f>VLOOKUP(M689,'MASS - 2016'!$A$1:$G$3418,6,FALSE)</f>
        <v>-41630#</v>
      </c>
      <c r="F689" t="str">
        <f>VLOOKUP(M689,'MASS - 2016'!$A$1:$G$3418,7,FALSE)</f>
        <v>400#</v>
      </c>
      <c r="G689">
        <f t="shared" si="56"/>
        <v>-41630.01</v>
      </c>
      <c r="H689">
        <f t="shared" si="52"/>
        <v>75.955308346297656</v>
      </c>
      <c r="I689">
        <f t="shared" si="53"/>
        <v>70.751918625999991</v>
      </c>
      <c r="J689">
        <f t="shared" si="55"/>
        <v>70737.61062599998</v>
      </c>
      <c r="M689">
        <f t="shared" si="54"/>
        <v>48028</v>
      </c>
    </row>
    <row r="690" spans="1:13" x14ac:dyDescent="0.2">
      <c r="A690">
        <v>47</v>
      </c>
      <c r="B690">
        <v>29</v>
      </c>
      <c r="C690">
        <v>76</v>
      </c>
      <c r="D690" s="51" t="s">
        <v>27</v>
      </c>
      <c r="E690">
        <f>VLOOKUP(M690,'MASS - 2016'!$A$1:$G$3418,6,FALSE)</f>
        <v>-50975.985000000001</v>
      </c>
      <c r="F690">
        <f>VLOOKUP(M690,'MASS - 2016'!$A$1:$G$3418,7,FALSE)</f>
        <v>6.7069999999999999</v>
      </c>
      <c r="G690">
        <f t="shared" si="56"/>
        <v>-50975.985000000001</v>
      </c>
      <c r="H690">
        <f t="shared" si="52"/>
        <v>75.94527502950983</v>
      </c>
      <c r="I690">
        <f t="shared" si="53"/>
        <v>70.742572651000003</v>
      </c>
      <c r="J690">
        <f t="shared" si="55"/>
        <v>70727.753651000006</v>
      </c>
      <c r="M690">
        <f t="shared" si="54"/>
        <v>47029</v>
      </c>
    </row>
    <row r="691" spans="1:13" x14ac:dyDescent="0.2">
      <c r="A691">
        <v>46</v>
      </c>
      <c r="B691">
        <v>30</v>
      </c>
      <c r="C691">
        <v>76</v>
      </c>
      <c r="D691" s="51" t="s">
        <v>28</v>
      </c>
      <c r="E691">
        <f>VLOOKUP(M691,'MASS - 2016'!$A$1:$G$3418,6,FALSE)</f>
        <v>-62303.016000000003</v>
      </c>
      <c r="F691">
        <f>VLOOKUP(M691,'MASS - 2016'!$A$1:$G$3418,7,FALSE)</f>
        <v>1.456</v>
      </c>
      <c r="G691">
        <f t="shared" si="56"/>
        <v>-62303.016000000003</v>
      </c>
      <c r="H691">
        <f t="shared" si="52"/>
        <v>75.933114961642246</v>
      </c>
      <c r="I691">
        <f t="shared" si="53"/>
        <v>70.731245619999996</v>
      </c>
      <c r="J691">
        <f t="shared" si="55"/>
        <v>70715.91562</v>
      </c>
      <c r="M691">
        <f t="shared" si="54"/>
        <v>46030</v>
      </c>
    </row>
    <row r="692" spans="1:13" x14ac:dyDescent="0.2">
      <c r="A692">
        <v>45</v>
      </c>
      <c r="B692">
        <v>31</v>
      </c>
      <c r="C692">
        <v>76</v>
      </c>
      <c r="D692" s="51" t="s">
        <v>29</v>
      </c>
      <c r="E692">
        <f>VLOOKUP(M692,'MASS - 2016'!$A$1:$G$3418,6,FALSE)</f>
        <v>-66296.639999999999</v>
      </c>
      <c r="F692">
        <f>VLOOKUP(M692,'MASS - 2016'!$A$1:$G$3418,7,FALSE)</f>
        <v>1.956</v>
      </c>
      <c r="G692">
        <f t="shared" si="56"/>
        <v>-66296.639999999999</v>
      </c>
      <c r="H692">
        <f t="shared" si="52"/>
        <v>75.928827629959514</v>
      </c>
      <c r="I692">
        <f t="shared" si="53"/>
        <v>70.727251995999993</v>
      </c>
      <c r="J692">
        <f t="shared" si="55"/>
        <v>70711.410995999991</v>
      </c>
      <c r="M692">
        <f t="shared" si="54"/>
        <v>45031</v>
      </c>
    </row>
    <row r="693" spans="1:13" x14ac:dyDescent="0.2">
      <c r="A693">
        <v>44</v>
      </c>
      <c r="B693">
        <v>32</v>
      </c>
      <c r="C693">
        <v>76</v>
      </c>
      <c r="D693" s="51" t="s">
        <v>30</v>
      </c>
      <c r="E693">
        <f>VLOOKUP(M693,'MASS - 2016'!$A$1:$G$3418,6,FALSE)</f>
        <v>-73212.888999999996</v>
      </c>
      <c r="F693">
        <f>VLOOKUP(M693,'MASS - 2016'!$A$1:$G$3418,7,FALSE)</f>
        <v>1.7999999999999999E-2</v>
      </c>
      <c r="G693">
        <f t="shared" si="56"/>
        <v>-73212.888999999996</v>
      </c>
      <c r="H693">
        <f t="shared" si="52"/>
        <v>75.921402731305221</v>
      </c>
      <c r="I693">
        <f t="shared" si="53"/>
        <v>70.720335746999993</v>
      </c>
      <c r="J693">
        <f t="shared" si="55"/>
        <v>70703.983746999991</v>
      </c>
      <c r="M693">
        <f t="shared" si="54"/>
        <v>44032</v>
      </c>
    </row>
    <row r="694" spans="1:13" x14ac:dyDescent="0.2">
      <c r="A694">
        <v>43</v>
      </c>
      <c r="B694">
        <v>33</v>
      </c>
      <c r="C694">
        <v>76</v>
      </c>
      <c r="D694" s="51" t="s">
        <v>31</v>
      </c>
      <c r="E694">
        <f>VLOOKUP(M694,'MASS - 2016'!$A$1:$G$3418,6,FALSE)</f>
        <v>-72291.376999999993</v>
      </c>
      <c r="F694">
        <f>VLOOKUP(M694,'MASS - 2016'!$A$1:$G$3418,7,FALSE)</f>
        <v>0.88600000000000001</v>
      </c>
      <c r="G694">
        <f t="shared" si="56"/>
        <v>-72291.376999999993</v>
      </c>
      <c r="H694">
        <f t="shared" si="52"/>
        <v>75.922392015122043</v>
      </c>
      <c r="I694">
        <f t="shared" si="53"/>
        <v>70.721257258999998</v>
      </c>
      <c r="J694">
        <f t="shared" si="55"/>
        <v>70704.394258999993</v>
      </c>
      <c r="M694">
        <f t="shared" si="54"/>
        <v>43033</v>
      </c>
    </row>
    <row r="695" spans="1:13" x14ac:dyDescent="0.2">
      <c r="A695">
        <v>42</v>
      </c>
      <c r="B695">
        <v>34</v>
      </c>
      <c r="C695">
        <v>76</v>
      </c>
      <c r="D695" s="51" t="s">
        <v>32</v>
      </c>
      <c r="E695">
        <f>VLOOKUP(M695,'MASS - 2016'!$A$1:$G$3418,6,FALSE)</f>
        <v>-75251.95</v>
      </c>
      <c r="F695">
        <f>VLOOKUP(M695,'MASS - 2016'!$A$1:$G$3418,7,FALSE)</f>
        <v>1.6E-2</v>
      </c>
      <c r="G695">
        <f t="shared" si="56"/>
        <v>-75251.95</v>
      </c>
      <c r="H695">
        <f t="shared" si="52"/>
        <v>75.919213709297068</v>
      </c>
      <c r="I695">
        <f t="shared" si="53"/>
        <v>70.718296686000002</v>
      </c>
      <c r="J695">
        <f t="shared" si="55"/>
        <v>70700.922686000005</v>
      </c>
      <c r="M695">
        <f t="shared" si="54"/>
        <v>42034</v>
      </c>
    </row>
    <row r="696" spans="1:13" x14ac:dyDescent="0.2">
      <c r="A696">
        <v>41</v>
      </c>
      <c r="B696">
        <v>35</v>
      </c>
      <c r="C696">
        <v>76</v>
      </c>
      <c r="D696" s="51" t="s">
        <v>33</v>
      </c>
      <c r="E696">
        <f>VLOOKUP(M696,'MASS - 2016'!$A$1:$G$3418,6,FALSE)</f>
        <v>-70289.067999999999</v>
      </c>
      <c r="F696">
        <f>VLOOKUP(M696,'MASS - 2016'!$A$1:$G$3418,7,FALSE)</f>
        <v>9.3219999999999992</v>
      </c>
      <c r="G696">
        <f t="shared" si="56"/>
        <v>-70289.067999999999</v>
      </c>
      <c r="H696">
        <f t="shared" si="52"/>
        <v>75.924541582235605</v>
      </c>
      <c r="I696">
        <f t="shared" si="53"/>
        <v>70.723259568000003</v>
      </c>
      <c r="J696">
        <f t="shared" si="55"/>
        <v>70705.374568000014</v>
      </c>
      <c r="M696">
        <f t="shared" si="54"/>
        <v>41035</v>
      </c>
    </row>
    <row r="697" spans="1:13" x14ac:dyDescent="0.2">
      <c r="A697">
        <v>40</v>
      </c>
      <c r="B697">
        <v>36</v>
      </c>
      <c r="C697">
        <v>76</v>
      </c>
      <c r="D697" s="51" t="s">
        <v>34</v>
      </c>
      <c r="E697">
        <f>VLOOKUP(M697,'MASS - 2016'!$A$1:$G$3418,6,FALSE)</f>
        <v>-69013.714000000007</v>
      </c>
      <c r="F697">
        <f>VLOOKUP(M697,'MASS - 2016'!$A$1:$G$3418,7,FALSE)</f>
        <v>4.0129999999999999</v>
      </c>
      <c r="G697">
        <f t="shared" si="56"/>
        <v>-69013.714000000007</v>
      </c>
      <c r="H697">
        <f t="shared" si="52"/>
        <v>75.925910731061549</v>
      </c>
      <c r="I697">
        <f t="shared" si="53"/>
        <v>70.724534922000004</v>
      </c>
      <c r="J697">
        <f t="shared" si="55"/>
        <v>70706.138922000013</v>
      </c>
      <c r="M697">
        <f t="shared" si="54"/>
        <v>40036</v>
      </c>
    </row>
    <row r="698" spans="1:13" x14ac:dyDescent="0.2">
      <c r="A698">
        <v>39</v>
      </c>
      <c r="B698">
        <v>37</v>
      </c>
      <c r="C698">
        <v>76</v>
      </c>
      <c r="D698" s="51" t="s">
        <v>35</v>
      </c>
      <c r="E698">
        <f>VLOOKUP(M698,'MASS - 2016'!$A$1:$G$3418,6,FALSE)</f>
        <v>-60479.080999999998</v>
      </c>
      <c r="F698">
        <f>VLOOKUP(M698,'MASS - 2016'!$A$1:$G$3418,7,FALSE)</f>
        <v>0.93799999999999994</v>
      </c>
      <c r="G698">
        <f t="shared" si="56"/>
        <v>-60479.080999999998</v>
      </c>
      <c r="H698">
        <f t="shared" si="52"/>
        <v>75.935073036391586</v>
      </c>
      <c r="I698">
        <f t="shared" si="53"/>
        <v>70.733069555</v>
      </c>
      <c r="J698">
        <f t="shared" si="55"/>
        <v>70714.162554999988</v>
      </c>
      <c r="M698">
        <f t="shared" si="54"/>
        <v>39037</v>
      </c>
    </row>
    <row r="699" spans="1:13" x14ac:dyDescent="0.2">
      <c r="A699">
        <v>38</v>
      </c>
      <c r="B699">
        <v>38</v>
      </c>
      <c r="C699">
        <v>76</v>
      </c>
      <c r="D699" s="51" t="s">
        <v>36</v>
      </c>
      <c r="E699">
        <f>VLOOKUP(M699,'MASS - 2016'!$A$1:$G$3418,6,FALSE)</f>
        <v>-54247.639000000003</v>
      </c>
      <c r="F699">
        <f>VLOOKUP(M699,'MASS - 2016'!$A$1:$G$3418,7,FALSE)</f>
        <v>34.465000000000003</v>
      </c>
      <c r="G699">
        <f t="shared" si="56"/>
        <v>-54247.639000000003</v>
      </c>
      <c r="H699">
        <f t="shared" si="52"/>
        <v>75.941762764497113</v>
      </c>
      <c r="I699">
        <f t="shared" si="53"/>
        <v>70.739300997000001</v>
      </c>
      <c r="J699">
        <f t="shared" si="55"/>
        <v>70719.882996999993</v>
      </c>
      <c r="M699">
        <f t="shared" si="54"/>
        <v>38038</v>
      </c>
    </row>
    <row r="700" spans="1:13" x14ac:dyDescent="0.2">
      <c r="A700">
        <v>49</v>
      </c>
      <c r="B700">
        <v>28</v>
      </c>
      <c r="C700">
        <v>77</v>
      </c>
      <c r="D700" s="51" t="s">
        <v>26</v>
      </c>
      <c r="E700" t="str">
        <f>VLOOKUP(M700,'MASS - 2016'!$A$1:$G$3418,6,FALSE)</f>
        <v>-36800#</v>
      </c>
      <c r="F700" t="str">
        <f>VLOOKUP(M700,'MASS - 2016'!$A$1:$G$3418,7,FALSE)</f>
        <v>500#</v>
      </c>
      <c r="G700">
        <f t="shared" si="56"/>
        <v>-36800.01</v>
      </c>
      <c r="H700">
        <f t="shared" si="52"/>
        <v>76.960493564542432</v>
      </c>
      <c r="I700">
        <f t="shared" si="53"/>
        <v>71.688242686999999</v>
      </c>
      <c r="J700">
        <f t="shared" si="55"/>
        <v>71673.934687000001</v>
      </c>
      <c r="M700">
        <f t="shared" si="54"/>
        <v>49028</v>
      </c>
    </row>
    <row r="701" spans="1:13" x14ac:dyDescent="0.2">
      <c r="A701">
        <v>48</v>
      </c>
      <c r="B701">
        <v>29</v>
      </c>
      <c r="C701">
        <v>77</v>
      </c>
      <c r="D701" s="51" t="s">
        <v>27</v>
      </c>
      <c r="E701" t="str">
        <f>VLOOKUP(M701,'MASS - 2016'!$A$1:$G$3418,6,FALSE)</f>
        <v>-48624#</v>
      </c>
      <c r="F701" t="str">
        <f>VLOOKUP(M701,'MASS - 2016'!$A$1:$G$3418,7,FALSE)</f>
        <v>149#</v>
      </c>
      <c r="G701">
        <f t="shared" si="56"/>
        <v>-48624.01</v>
      </c>
      <c r="H701">
        <f t="shared" si="52"/>
        <v>76.947799978512151</v>
      </c>
      <c r="I701">
        <f t="shared" si="53"/>
        <v>71.676418686999995</v>
      </c>
      <c r="J701">
        <f t="shared" si="55"/>
        <v>71661.599686999994</v>
      </c>
      <c r="M701">
        <f t="shared" si="54"/>
        <v>48029</v>
      </c>
    </row>
    <row r="702" spans="1:13" x14ac:dyDescent="0.2">
      <c r="A702">
        <v>47</v>
      </c>
      <c r="B702">
        <v>30</v>
      </c>
      <c r="C702">
        <v>77</v>
      </c>
      <c r="D702" s="51" t="s">
        <v>28</v>
      </c>
      <c r="E702">
        <f>VLOOKUP(M702,'MASS - 2016'!$A$1:$G$3418,6,FALSE)</f>
        <v>-58789.195</v>
      </c>
      <c r="F702">
        <f>VLOOKUP(M702,'MASS - 2016'!$A$1:$G$3418,7,FALSE)</f>
        <v>1.9730000000000001</v>
      </c>
      <c r="G702">
        <f t="shared" si="56"/>
        <v>-58789.195</v>
      </c>
      <c r="H702">
        <f t="shared" si="52"/>
        <v>76.93688720362114</v>
      </c>
      <c r="I702">
        <f t="shared" si="53"/>
        <v>71.666253501999989</v>
      </c>
      <c r="J702">
        <f t="shared" si="55"/>
        <v>71650.923501999991</v>
      </c>
      <c r="M702">
        <f t="shared" si="54"/>
        <v>47030</v>
      </c>
    </row>
    <row r="703" spans="1:13" x14ac:dyDescent="0.2">
      <c r="A703">
        <v>46</v>
      </c>
      <c r="B703">
        <v>31</v>
      </c>
      <c r="C703">
        <v>77</v>
      </c>
      <c r="D703" s="51" t="s">
        <v>29</v>
      </c>
      <c r="E703">
        <f>VLOOKUP(M703,'MASS - 2016'!$A$1:$G$3418,6,FALSE)</f>
        <v>-65992.343999999997</v>
      </c>
      <c r="F703">
        <f>VLOOKUP(M703,'MASS - 2016'!$A$1:$G$3418,7,FALSE)</f>
        <v>2.4220000000000002</v>
      </c>
      <c r="G703">
        <f t="shared" si="56"/>
        <v>-65992.343999999997</v>
      </c>
      <c r="H703">
        <f t="shared" si="52"/>
        <v>76.929154305150206</v>
      </c>
      <c r="I703">
        <f t="shared" si="53"/>
        <v>71.659050352999998</v>
      </c>
      <c r="J703">
        <f t="shared" si="55"/>
        <v>71643.209352999998</v>
      </c>
      <c r="M703">
        <f t="shared" si="54"/>
        <v>46031</v>
      </c>
    </row>
    <row r="704" spans="1:13" x14ac:dyDescent="0.2">
      <c r="A704">
        <v>45</v>
      </c>
      <c r="B704">
        <v>32</v>
      </c>
      <c r="C704">
        <v>77</v>
      </c>
      <c r="D704" s="51" t="s">
        <v>30</v>
      </c>
      <c r="E704">
        <f>VLOOKUP(M704,'MASS - 2016'!$A$1:$G$3418,6,FALSE)</f>
        <v>-71212.861999999994</v>
      </c>
      <c r="F704">
        <f>VLOOKUP(M704,'MASS - 2016'!$A$1:$G$3418,7,FALSE)</f>
        <v>5.2999999999999999E-2</v>
      </c>
      <c r="G704">
        <f t="shared" si="56"/>
        <v>-71212.861999999994</v>
      </c>
      <c r="H704">
        <f t="shared" si="52"/>
        <v>76.923549848591037</v>
      </c>
      <c r="I704">
        <f t="shared" si="53"/>
        <v>71.653829834999996</v>
      </c>
      <c r="J704">
        <f t="shared" si="55"/>
        <v>71637.477834999998</v>
      </c>
      <c r="M704">
        <f t="shared" si="54"/>
        <v>45032</v>
      </c>
    </row>
    <row r="705" spans="1:13" x14ac:dyDescent="0.2">
      <c r="A705">
        <v>44</v>
      </c>
      <c r="B705">
        <v>33</v>
      </c>
      <c r="C705">
        <v>77</v>
      </c>
      <c r="D705" s="51" t="s">
        <v>31</v>
      </c>
      <c r="E705">
        <f>VLOOKUP(M705,'MASS - 2016'!$A$1:$G$3418,6,FALSE)</f>
        <v>-73916.317999999999</v>
      </c>
      <c r="F705">
        <f>VLOOKUP(M705,'MASS - 2016'!$A$1:$G$3418,7,FALSE)</f>
        <v>1.6930000000000001</v>
      </c>
      <c r="G705">
        <f t="shared" si="56"/>
        <v>-73916.317999999999</v>
      </c>
      <c r="H705">
        <f t="shared" si="52"/>
        <v>76.920647569217294</v>
      </c>
      <c r="I705">
        <f t="shared" si="53"/>
        <v>71.65112637899999</v>
      </c>
      <c r="J705">
        <f t="shared" si="55"/>
        <v>71634.263378999996</v>
      </c>
      <c r="M705">
        <f t="shared" si="54"/>
        <v>44033</v>
      </c>
    </row>
    <row r="706" spans="1:13" x14ac:dyDescent="0.2">
      <c r="A706">
        <v>43</v>
      </c>
      <c r="B706">
        <v>34</v>
      </c>
      <c r="C706">
        <v>77</v>
      </c>
      <c r="D706" s="51" t="s">
        <v>32</v>
      </c>
      <c r="E706">
        <f>VLOOKUP(M706,'MASS - 2016'!$A$1:$G$3418,6,FALSE)</f>
        <v>-74599.487999999998</v>
      </c>
      <c r="F706">
        <f>VLOOKUP(M706,'MASS - 2016'!$A$1:$G$3418,7,FALSE)</f>
        <v>6.2E-2</v>
      </c>
      <c r="G706">
        <f t="shared" si="56"/>
        <v>-74599.487999999998</v>
      </c>
      <c r="H706">
        <f t="shared" si="52"/>
        <v>76.919914156060287</v>
      </c>
      <c r="I706">
        <f t="shared" si="53"/>
        <v>71.650443208999988</v>
      </c>
      <c r="J706">
        <f t="shared" si="55"/>
        <v>71633.069208999994</v>
      </c>
      <c r="M706">
        <f t="shared" si="54"/>
        <v>43034</v>
      </c>
    </row>
    <row r="707" spans="1:13" x14ac:dyDescent="0.2">
      <c r="A707">
        <v>42</v>
      </c>
      <c r="B707">
        <v>35</v>
      </c>
      <c r="C707">
        <v>77</v>
      </c>
      <c r="D707" s="51" t="s">
        <v>33</v>
      </c>
      <c r="E707">
        <f>VLOOKUP(M707,'MASS - 2016'!$A$1:$G$3418,6,FALSE)</f>
        <v>-73234.808999999994</v>
      </c>
      <c r="F707">
        <f>VLOOKUP(M707,'MASS - 2016'!$A$1:$G$3418,7,FALSE)</f>
        <v>2.8109999999999999</v>
      </c>
      <c r="G707">
        <f t="shared" si="56"/>
        <v>-73234.808999999994</v>
      </c>
      <c r="H707">
        <f t="shared" si="52"/>
        <v>76.921379199217455</v>
      </c>
      <c r="I707">
        <f t="shared" si="53"/>
        <v>71.651807887999993</v>
      </c>
      <c r="J707">
        <f t="shared" si="55"/>
        <v>71633.922888000001</v>
      </c>
      <c r="M707">
        <f t="shared" si="54"/>
        <v>42035</v>
      </c>
    </row>
    <row r="708" spans="1:13" x14ac:dyDescent="0.2">
      <c r="A708">
        <v>41</v>
      </c>
      <c r="B708">
        <v>36</v>
      </c>
      <c r="C708">
        <v>77</v>
      </c>
      <c r="D708" s="51" t="s">
        <v>34</v>
      </c>
      <c r="E708">
        <f>VLOOKUP(M708,'MASS - 2016'!$A$1:$G$3418,6,FALSE)</f>
        <v>-70169.442999999999</v>
      </c>
      <c r="F708">
        <f>VLOOKUP(M708,'MASS - 2016'!$A$1:$G$3418,7,FALSE)</f>
        <v>1.956</v>
      </c>
      <c r="G708">
        <f t="shared" si="56"/>
        <v>-70169.442999999999</v>
      </c>
      <c r="H708">
        <f t="shared" si="52"/>
        <v>76.924670004954535</v>
      </c>
      <c r="I708">
        <f t="shared" si="53"/>
        <v>71.654873253999995</v>
      </c>
      <c r="J708">
        <f t="shared" si="55"/>
        <v>71636.477253999998</v>
      </c>
      <c r="M708">
        <f t="shared" si="54"/>
        <v>41036</v>
      </c>
    </row>
    <row r="709" spans="1:13" x14ac:dyDescent="0.2">
      <c r="A709">
        <v>40</v>
      </c>
      <c r="B709">
        <v>37</v>
      </c>
      <c r="C709">
        <v>77</v>
      </c>
      <c r="D709" s="51" t="s">
        <v>35</v>
      </c>
      <c r="E709">
        <f>VLOOKUP(M709,'MASS - 2016'!$A$1:$G$3418,6,FALSE)</f>
        <v>-64830.491999999998</v>
      </c>
      <c r="F709">
        <f>VLOOKUP(M709,'MASS - 2016'!$A$1:$G$3418,7,FALSE)</f>
        <v>1.304</v>
      </c>
      <c r="G709">
        <f t="shared" si="56"/>
        <v>-64830.491999999998</v>
      </c>
      <c r="H709">
        <f t="shared" si="52"/>
        <v>76.930401604568033</v>
      </c>
      <c r="I709">
        <f t="shared" si="53"/>
        <v>71.660212204999993</v>
      </c>
      <c r="J709">
        <f t="shared" si="55"/>
        <v>71641.305204999982</v>
      </c>
      <c r="M709">
        <f t="shared" si="54"/>
        <v>40037</v>
      </c>
    </row>
    <row r="710" spans="1:13" x14ac:dyDescent="0.2">
      <c r="A710">
        <v>39</v>
      </c>
      <c r="B710">
        <v>38</v>
      </c>
      <c r="C710">
        <v>77</v>
      </c>
      <c r="D710" s="51" t="s">
        <v>36</v>
      </c>
      <c r="E710">
        <f>VLOOKUP(M710,'MASS - 2016'!$A$1:$G$3418,6,FALSE)</f>
        <v>-57803.436000000002</v>
      </c>
      <c r="F710">
        <f>VLOOKUP(M710,'MASS - 2016'!$A$1:$G$3418,7,FALSE)</f>
        <v>7.9180000000000001</v>
      </c>
      <c r="G710">
        <f t="shared" si="56"/>
        <v>-57803.436000000002</v>
      </c>
      <c r="H710">
        <f t="shared" si="52"/>
        <v>76.93794545942896</v>
      </c>
      <c r="I710">
        <f t="shared" si="53"/>
        <v>71.667239260999992</v>
      </c>
      <c r="J710">
        <f t="shared" si="55"/>
        <v>71647.82126099999</v>
      </c>
      <c r="M710">
        <f t="shared" si="54"/>
        <v>39038</v>
      </c>
    </row>
    <row r="711" spans="1:13" x14ac:dyDescent="0.2">
      <c r="A711">
        <v>38</v>
      </c>
      <c r="B711">
        <v>39</v>
      </c>
      <c r="C711">
        <v>77</v>
      </c>
      <c r="D711" s="51" t="s">
        <v>37</v>
      </c>
      <c r="E711" t="str">
        <f>VLOOKUP(M711,'MASS - 2016'!$A$1:$G$3418,6,FALSE)</f>
        <v>-46439#</v>
      </c>
      <c r="F711" t="str">
        <f>VLOOKUP(M711,'MASS - 2016'!$A$1:$G$3418,7,FALSE)</f>
        <v>203#</v>
      </c>
      <c r="G711">
        <f t="shared" si="56"/>
        <v>-46439.01</v>
      </c>
      <c r="H711">
        <f t="shared" si="52"/>
        <v>76.950145672480019</v>
      </c>
      <c r="I711">
        <f t="shared" si="53"/>
        <v>71.678603686999992</v>
      </c>
      <c r="J711">
        <f t="shared" si="55"/>
        <v>71658.674686999992</v>
      </c>
      <c r="M711">
        <f t="shared" si="54"/>
        <v>38039</v>
      </c>
    </row>
    <row r="712" spans="1:13" x14ac:dyDescent="0.2">
      <c r="A712">
        <v>50</v>
      </c>
      <c r="B712">
        <v>28</v>
      </c>
      <c r="C712">
        <v>78</v>
      </c>
      <c r="D712" s="51" t="s">
        <v>26</v>
      </c>
      <c r="E712" t="str">
        <f>VLOOKUP(M712,'MASS - 2016'!$A$1:$G$3418,6,FALSE)</f>
        <v>-33890#</v>
      </c>
      <c r="F712" t="str">
        <f>VLOOKUP(M712,'MASS - 2016'!$A$1:$G$3418,7,FALSE)</f>
        <v>600#</v>
      </c>
      <c r="G712">
        <f t="shared" si="56"/>
        <v>-33890.01</v>
      </c>
      <c r="H712">
        <f t="shared" si="52"/>
        <v>77.963617578019111</v>
      </c>
      <c r="I712">
        <f t="shared" si="53"/>
        <v>72.622646748000008</v>
      </c>
      <c r="J712">
        <f t="shared" si="55"/>
        <v>72608.338748000009</v>
      </c>
      <c r="M712">
        <f t="shared" si="54"/>
        <v>50028</v>
      </c>
    </row>
    <row r="713" spans="1:13" x14ac:dyDescent="0.2">
      <c r="A713">
        <v>49</v>
      </c>
      <c r="B713">
        <v>29</v>
      </c>
      <c r="C713">
        <v>78</v>
      </c>
      <c r="D713" s="51" t="s">
        <v>27</v>
      </c>
      <c r="E713">
        <f>VLOOKUP(M713,'MASS - 2016'!$A$1:$G$3418,6,FALSE)</f>
        <v>-44497.468999999997</v>
      </c>
      <c r="F713">
        <f>VLOOKUP(M713,'MASS - 2016'!$A$1:$G$3418,7,FALSE)</f>
        <v>503.00700000000001</v>
      </c>
      <c r="G713">
        <f t="shared" si="56"/>
        <v>-44497.468999999997</v>
      </c>
      <c r="H713">
        <f t="shared" ref="H713:H776" si="57">(C713*$A$3+G713/1000000)/$A$3</f>
        <v>77.95223000246267</v>
      </c>
      <c r="I713">
        <f t="shared" ref="I713:I776" si="58">H713*$A$3</f>
        <v>72.612039288999995</v>
      </c>
      <c r="J713">
        <f t="shared" si="55"/>
        <v>72597.22028899999</v>
      </c>
      <c r="M713">
        <f t="shared" ref="M713:M776" si="59">1000*A713+B713</f>
        <v>49029</v>
      </c>
    </row>
    <row r="714" spans="1:13" x14ac:dyDescent="0.2">
      <c r="A714">
        <v>48</v>
      </c>
      <c r="B714">
        <v>30</v>
      </c>
      <c r="C714">
        <v>78</v>
      </c>
      <c r="D714" s="51" t="s">
        <v>28</v>
      </c>
      <c r="E714">
        <f>VLOOKUP(M714,'MASS - 2016'!$A$1:$G$3418,6,FALSE)</f>
        <v>-57483.235000000001</v>
      </c>
      <c r="F714">
        <f>VLOOKUP(M714,'MASS - 2016'!$A$1:$G$3418,7,FALSE)</f>
        <v>1.944</v>
      </c>
      <c r="G714">
        <f t="shared" si="56"/>
        <v>-57483.235000000001</v>
      </c>
      <c r="H714">
        <f t="shared" si="57"/>
        <v>77.938289209339359</v>
      </c>
      <c r="I714">
        <f t="shared" si="58"/>
        <v>72.599053522999995</v>
      </c>
      <c r="J714">
        <f t="shared" si="55"/>
        <v>72583.723522999993</v>
      </c>
      <c r="M714">
        <f t="shared" si="59"/>
        <v>48030</v>
      </c>
    </row>
    <row r="715" spans="1:13" x14ac:dyDescent="0.2">
      <c r="A715">
        <v>47</v>
      </c>
      <c r="B715">
        <v>31</v>
      </c>
      <c r="C715">
        <v>78</v>
      </c>
      <c r="D715" s="51" t="s">
        <v>29</v>
      </c>
      <c r="E715">
        <f>VLOOKUP(M715,'MASS - 2016'!$A$1:$G$3418,6,FALSE)</f>
        <v>-63705.95</v>
      </c>
      <c r="F715">
        <f>VLOOKUP(M715,'MASS - 2016'!$A$1:$G$3418,7,FALSE)</f>
        <v>1.903</v>
      </c>
      <c r="G715">
        <f t="shared" si="56"/>
        <v>-63705.95</v>
      </c>
      <c r="H715">
        <f t="shared" si="57"/>
        <v>77.931608850053635</v>
      </c>
      <c r="I715">
        <f t="shared" si="58"/>
        <v>72.592830808000002</v>
      </c>
      <c r="J715">
        <f t="shared" si="55"/>
        <v>72576.989807999998</v>
      </c>
      <c r="M715">
        <f t="shared" si="59"/>
        <v>47031</v>
      </c>
    </row>
    <row r="716" spans="1:13" x14ac:dyDescent="0.2">
      <c r="A716">
        <v>46</v>
      </c>
      <c r="B716">
        <v>32</v>
      </c>
      <c r="C716">
        <v>78</v>
      </c>
      <c r="D716" s="51" t="s">
        <v>30</v>
      </c>
      <c r="E716">
        <f>VLOOKUP(M716,'MASS - 2016'!$A$1:$G$3418,6,FALSE)</f>
        <v>-71862.05</v>
      </c>
      <c r="F716">
        <f>VLOOKUP(M716,'MASS - 2016'!$A$1:$G$3418,7,FALSE)</f>
        <v>3.536</v>
      </c>
      <c r="G716">
        <f t="shared" si="56"/>
        <v>-71862.05</v>
      </c>
      <c r="H716">
        <f t="shared" si="57"/>
        <v>77.922852916611362</v>
      </c>
      <c r="I716">
        <f t="shared" si="58"/>
        <v>72.584674708000009</v>
      </c>
      <c r="J716">
        <f t="shared" ref="J716:J779" si="60">1000*I716-B716*0.511</f>
        <v>72568.322708000007</v>
      </c>
      <c r="M716">
        <f t="shared" si="59"/>
        <v>46032</v>
      </c>
    </row>
    <row r="717" spans="1:13" x14ac:dyDescent="0.2">
      <c r="A717">
        <v>45</v>
      </c>
      <c r="B717">
        <v>33</v>
      </c>
      <c r="C717">
        <v>78</v>
      </c>
      <c r="D717" s="51" t="s">
        <v>31</v>
      </c>
      <c r="E717">
        <f>VLOOKUP(M717,'MASS - 2016'!$A$1:$G$3418,6,FALSE)</f>
        <v>-72816.94</v>
      </c>
      <c r="F717">
        <f>VLOOKUP(M717,'MASS - 2016'!$A$1:$G$3418,7,FALSE)</f>
        <v>9.7810000000000006</v>
      </c>
      <c r="G717">
        <f t="shared" si="56"/>
        <v>-72816.94</v>
      </c>
      <c r="H717">
        <f t="shared" si="57"/>
        <v>77.921827800037903</v>
      </c>
      <c r="I717">
        <f t="shared" si="58"/>
        <v>72.583719818000006</v>
      </c>
      <c r="J717">
        <f t="shared" si="60"/>
        <v>72566.856818000015</v>
      </c>
      <c r="M717">
        <f t="shared" si="59"/>
        <v>45033</v>
      </c>
    </row>
    <row r="718" spans="1:13" x14ac:dyDescent="0.2">
      <c r="A718">
        <v>44</v>
      </c>
      <c r="B718">
        <v>34</v>
      </c>
      <c r="C718">
        <v>78</v>
      </c>
      <c r="D718" s="51" t="s">
        <v>32</v>
      </c>
      <c r="E718">
        <f>VLOOKUP(M718,'MASS - 2016'!$A$1:$G$3418,6,FALSE)</f>
        <v>-77025.944000000003</v>
      </c>
      <c r="F718">
        <f>VLOOKUP(M718,'MASS - 2016'!$A$1:$G$3418,7,FALSE)</f>
        <v>0.17899999999999999</v>
      </c>
      <c r="G718">
        <f t="shared" si="56"/>
        <v>-77025.944000000003</v>
      </c>
      <c r="H718">
        <f t="shared" si="57"/>
        <v>77.917309248416132</v>
      </c>
      <c r="I718">
        <f t="shared" si="58"/>
        <v>72.579510814000002</v>
      </c>
      <c r="J718">
        <f t="shared" si="60"/>
        <v>72562.136814000012</v>
      </c>
      <c r="M718">
        <f t="shared" si="59"/>
        <v>44034</v>
      </c>
    </row>
    <row r="719" spans="1:13" x14ac:dyDescent="0.2">
      <c r="A719">
        <v>43</v>
      </c>
      <c r="B719">
        <v>35</v>
      </c>
      <c r="C719">
        <v>78</v>
      </c>
      <c r="D719" s="51" t="s">
        <v>33</v>
      </c>
      <c r="E719">
        <f>VLOOKUP(M719,'MASS - 2016'!$A$1:$G$3418,6,FALSE)</f>
        <v>-73452.160000000003</v>
      </c>
      <c r="F719">
        <f>VLOOKUP(M719,'MASS - 2016'!$A$1:$G$3418,7,FALSE)</f>
        <v>3.58</v>
      </c>
      <c r="G719">
        <f t="shared" ref="G719:G782" si="61">IF(ISNUMBER(E719),E719,VALUE(SUBSTITUTE(E719,"#",".01")))</f>
        <v>-73452.160000000003</v>
      </c>
      <c r="H719">
        <f t="shared" si="57"/>
        <v>77.921145863322906</v>
      </c>
      <c r="I719">
        <f t="shared" si="58"/>
        <v>72.583084597999999</v>
      </c>
      <c r="J719">
        <f t="shared" si="60"/>
        <v>72565.199598000007</v>
      </c>
      <c r="M719">
        <f t="shared" si="59"/>
        <v>43035</v>
      </c>
    </row>
    <row r="720" spans="1:13" x14ac:dyDescent="0.2">
      <c r="A720">
        <v>42</v>
      </c>
      <c r="B720">
        <v>36</v>
      </c>
      <c r="C720">
        <v>78</v>
      </c>
      <c r="D720" s="51" t="s">
        <v>34</v>
      </c>
      <c r="E720">
        <f>VLOOKUP(M720,'MASS - 2016'!$A$1:$G$3418,6,FALSE)</f>
        <v>-74178.274999999994</v>
      </c>
      <c r="F720">
        <f>VLOOKUP(M720,'MASS - 2016'!$A$1:$G$3418,7,FALSE)</f>
        <v>0.307</v>
      </c>
      <c r="G720">
        <f t="shared" si="61"/>
        <v>-74178.274999999994</v>
      </c>
      <c r="H720">
        <f t="shared" si="57"/>
        <v>77.920366346812386</v>
      </c>
      <c r="I720">
        <f t="shared" si="58"/>
        <v>72.582358483000007</v>
      </c>
      <c r="J720">
        <f t="shared" si="60"/>
        <v>72563.96248300001</v>
      </c>
      <c r="M720">
        <f t="shared" si="59"/>
        <v>42036</v>
      </c>
    </row>
    <row r="721" spans="1:13" x14ac:dyDescent="0.2">
      <c r="A721">
        <v>41</v>
      </c>
      <c r="B721">
        <v>37</v>
      </c>
      <c r="C721">
        <v>78</v>
      </c>
      <c r="D721" s="51" t="s">
        <v>35</v>
      </c>
      <c r="E721">
        <f>VLOOKUP(M721,'MASS - 2016'!$A$1:$G$3418,6,FALSE)</f>
        <v>-66935.418999999994</v>
      </c>
      <c r="F721">
        <f>VLOOKUP(M721,'MASS - 2016'!$A$1:$G$3418,7,FALSE)</f>
        <v>3.2370000000000001</v>
      </c>
      <c r="G721">
        <f t="shared" si="61"/>
        <v>-66935.418999999994</v>
      </c>
      <c r="H721">
        <f t="shared" si="57"/>
        <v>77.928141872500888</v>
      </c>
      <c r="I721">
        <f t="shared" si="58"/>
        <v>72.589601338999998</v>
      </c>
      <c r="J721">
        <f t="shared" si="60"/>
        <v>72570.694338999994</v>
      </c>
      <c r="M721">
        <f t="shared" si="59"/>
        <v>41037</v>
      </c>
    </row>
    <row r="722" spans="1:13" x14ac:dyDescent="0.2">
      <c r="A722">
        <v>40</v>
      </c>
      <c r="B722">
        <v>38</v>
      </c>
      <c r="C722">
        <v>78</v>
      </c>
      <c r="D722" s="51" t="s">
        <v>36</v>
      </c>
      <c r="E722">
        <f>VLOOKUP(M722,'MASS - 2016'!$A$1:$G$3418,6,FALSE)</f>
        <v>-63173.940999999999</v>
      </c>
      <c r="F722">
        <f>VLOOKUP(M722,'MASS - 2016'!$A$1:$G$3418,7,FALSE)</f>
        <v>7.452</v>
      </c>
      <c r="G722">
        <f t="shared" si="61"/>
        <v>-63173.940999999999</v>
      </c>
      <c r="H722">
        <f t="shared" si="57"/>
        <v>77.932179985203362</v>
      </c>
      <c r="I722">
        <f t="shared" si="58"/>
        <v>72.593362816999999</v>
      </c>
      <c r="J722">
        <f t="shared" si="60"/>
        <v>72573.944816999996</v>
      </c>
      <c r="M722">
        <f t="shared" si="59"/>
        <v>40038</v>
      </c>
    </row>
    <row r="723" spans="1:13" x14ac:dyDescent="0.2">
      <c r="A723">
        <v>39</v>
      </c>
      <c r="B723">
        <v>39</v>
      </c>
      <c r="C723">
        <v>78</v>
      </c>
      <c r="D723" s="51" t="s">
        <v>37</v>
      </c>
      <c r="E723" t="str">
        <f>VLOOKUP(M723,'MASS - 2016'!$A$1:$G$3418,6,FALSE)</f>
        <v>-52173#</v>
      </c>
      <c r="F723" t="str">
        <f>VLOOKUP(M723,'MASS - 2016'!$A$1:$G$3418,7,FALSE)</f>
        <v>298#</v>
      </c>
      <c r="G723">
        <f t="shared" si="61"/>
        <v>-52173.01</v>
      </c>
      <c r="H723">
        <f t="shared" si="57"/>
        <v>77.943989970323599</v>
      </c>
      <c r="I723">
        <f t="shared" si="58"/>
        <v>72.604363747999997</v>
      </c>
      <c r="J723">
        <f t="shared" si="60"/>
        <v>72584.434748</v>
      </c>
      <c r="M723">
        <f t="shared" si="59"/>
        <v>39039</v>
      </c>
    </row>
    <row r="724" spans="1:13" x14ac:dyDescent="0.2">
      <c r="A724">
        <v>50</v>
      </c>
      <c r="B724">
        <v>29</v>
      </c>
      <c r="C724">
        <v>79</v>
      </c>
      <c r="D724" s="51" t="s">
        <v>27</v>
      </c>
      <c r="E724" t="str">
        <f>VLOOKUP(M724,'MASS - 2016'!$A$1:$G$3418,6,FALSE)</f>
        <v>-41740#</v>
      </c>
      <c r="F724" t="str">
        <f>VLOOKUP(M724,'MASS - 2016'!$A$1:$G$3418,7,FALSE)</f>
        <v>300#</v>
      </c>
      <c r="G724">
        <f t="shared" si="61"/>
        <v>-41740.01</v>
      </c>
      <c r="H724">
        <f t="shared" si="57"/>
        <v>78.955190256441156</v>
      </c>
      <c r="I724">
        <f t="shared" si="58"/>
        <v>73.546290808999998</v>
      </c>
      <c r="J724">
        <f t="shared" si="60"/>
        <v>73531.471808999995</v>
      </c>
      <c r="M724">
        <f t="shared" si="59"/>
        <v>50029</v>
      </c>
    </row>
    <row r="725" spans="1:13" x14ac:dyDescent="0.2">
      <c r="A725">
        <v>49</v>
      </c>
      <c r="B725">
        <v>30</v>
      </c>
      <c r="C725">
        <v>79</v>
      </c>
      <c r="D725" s="51" t="s">
        <v>28</v>
      </c>
      <c r="E725">
        <f>VLOOKUP(M725,'MASS - 2016'!$A$1:$G$3418,6,FALSE)</f>
        <v>-53432.294999999998</v>
      </c>
      <c r="F725">
        <f>VLOOKUP(M725,'MASS - 2016'!$A$1:$G$3418,7,FALSE)</f>
        <v>2.2250000000000001</v>
      </c>
      <c r="G725">
        <f t="shared" si="61"/>
        <v>-53432.294999999998</v>
      </c>
      <c r="H725">
        <f t="shared" si="57"/>
        <v>78.942638072278598</v>
      </c>
      <c r="I725">
        <f t="shared" si="58"/>
        <v>73.534598524000003</v>
      </c>
      <c r="J725">
        <f t="shared" si="60"/>
        <v>73519.268523999999</v>
      </c>
      <c r="M725">
        <f t="shared" si="59"/>
        <v>49030</v>
      </c>
    </row>
    <row r="726" spans="1:13" x14ac:dyDescent="0.2">
      <c r="A726">
        <v>48</v>
      </c>
      <c r="B726">
        <v>31</v>
      </c>
      <c r="C726">
        <v>79</v>
      </c>
      <c r="D726" s="51" t="s">
        <v>29</v>
      </c>
      <c r="E726">
        <f>VLOOKUP(M726,'MASS - 2016'!$A$1:$G$3418,6,FALSE)</f>
        <v>-62547.678999999996</v>
      </c>
      <c r="F726">
        <f>VLOOKUP(M726,'MASS - 2016'!$A$1:$G$3418,7,FALSE)</f>
        <v>1.8680000000000001</v>
      </c>
      <c r="G726">
        <f t="shared" si="61"/>
        <v>-62547.678999999996</v>
      </c>
      <c r="H726">
        <f t="shared" si="57"/>
        <v>78.932852305109861</v>
      </c>
      <c r="I726">
        <f t="shared" si="58"/>
        <v>73.525483139999992</v>
      </c>
      <c r="J726">
        <f t="shared" si="60"/>
        <v>73509.642139999996</v>
      </c>
      <c r="M726">
        <f t="shared" si="59"/>
        <v>48031</v>
      </c>
    </row>
    <row r="727" spans="1:13" x14ac:dyDescent="0.2">
      <c r="A727">
        <v>47</v>
      </c>
      <c r="B727">
        <v>32</v>
      </c>
      <c r="C727">
        <v>79</v>
      </c>
      <c r="D727" s="51" t="s">
        <v>30</v>
      </c>
      <c r="E727">
        <f>VLOOKUP(M727,'MASS - 2016'!$A$1:$G$3418,6,FALSE)</f>
        <v>-69526.592000000004</v>
      </c>
      <c r="F727">
        <f>VLOOKUP(M727,'MASS - 2016'!$A$1:$G$3418,7,FALSE)</f>
        <v>37.180999999999997</v>
      </c>
      <c r="G727">
        <f t="shared" si="61"/>
        <v>-69526.592000000004</v>
      </c>
      <c r="H727">
        <f t="shared" si="57"/>
        <v>78.925360133884951</v>
      </c>
      <c r="I727">
        <f t="shared" si="58"/>
        <v>73.518504226999994</v>
      </c>
      <c r="J727">
        <f t="shared" si="60"/>
        <v>73502.152226999999</v>
      </c>
      <c r="M727">
        <f t="shared" si="59"/>
        <v>47032</v>
      </c>
    </row>
    <row r="728" spans="1:13" x14ac:dyDescent="0.2">
      <c r="A728">
        <v>46</v>
      </c>
      <c r="B728">
        <v>33</v>
      </c>
      <c r="C728">
        <v>79</v>
      </c>
      <c r="D728" s="51" t="s">
        <v>31</v>
      </c>
      <c r="E728">
        <f>VLOOKUP(M728,'MASS - 2016'!$A$1:$G$3418,6,FALSE)</f>
        <v>-73636.048999999999</v>
      </c>
      <c r="F728">
        <f>VLOOKUP(M728,'MASS - 2016'!$A$1:$G$3418,7,FALSE)</f>
        <v>5.3280000000000003</v>
      </c>
      <c r="G728">
        <f t="shared" si="61"/>
        <v>-73636.048999999999</v>
      </c>
      <c r="H728">
        <f t="shared" si="57"/>
        <v>78.920948450362687</v>
      </c>
      <c r="I728">
        <f t="shared" si="58"/>
        <v>73.514394769999996</v>
      </c>
      <c r="J728">
        <f t="shared" si="60"/>
        <v>73497.531770000001</v>
      </c>
      <c r="M728">
        <f t="shared" si="59"/>
        <v>46033</v>
      </c>
    </row>
    <row r="729" spans="1:13" x14ac:dyDescent="0.2">
      <c r="A729">
        <v>45</v>
      </c>
      <c r="B729">
        <v>34</v>
      </c>
      <c r="C729">
        <v>79</v>
      </c>
      <c r="D729" s="51" t="s">
        <v>32</v>
      </c>
      <c r="E729">
        <f>VLOOKUP(M729,'MASS - 2016'!$A$1:$G$3418,6,FALSE)</f>
        <v>-75917.459000000003</v>
      </c>
      <c r="F729">
        <f>VLOOKUP(M729,'MASS - 2016'!$A$1:$G$3418,7,FALSE)</f>
        <v>0.223</v>
      </c>
      <c r="G729">
        <f t="shared" si="61"/>
        <v>-75917.459000000003</v>
      </c>
      <c r="H729">
        <f t="shared" si="57"/>
        <v>78.918499256003315</v>
      </c>
      <c r="I729">
        <f t="shared" si="58"/>
        <v>73.512113360000001</v>
      </c>
      <c r="J729">
        <f t="shared" si="60"/>
        <v>73494.739360000007</v>
      </c>
      <c r="M729">
        <f t="shared" si="59"/>
        <v>45034</v>
      </c>
    </row>
    <row r="730" spans="1:13" x14ac:dyDescent="0.2">
      <c r="A730">
        <v>44</v>
      </c>
      <c r="B730">
        <v>35</v>
      </c>
      <c r="C730">
        <v>79</v>
      </c>
      <c r="D730" s="51" t="s">
        <v>33</v>
      </c>
      <c r="E730">
        <f>VLOOKUP(M730,'MASS - 2016'!$A$1:$G$3418,6,FALSE)</f>
        <v>-76068.035000000003</v>
      </c>
      <c r="F730">
        <f>VLOOKUP(M730,'MASS - 2016'!$A$1:$G$3418,7,FALSE)</f>
        <v>1.0209999999999999</v>
      </c>
      <c r="G730">
        <f t="shared" si="61"/>
        <v>-76068.035000000003</v>
      </c>
      <c r="H730">
        <f t="shared" si="57"/>
        <v>78.918337606019364</v>
      </c>
      <c r="I730">
        <f t="shared" si="58"/>
        <v>73.511962783999991</v>
      </c>
      <c r="J730">
        <f t="shared" si="60"/>
        <v>73494.077783999994</v>
      </c>
      <c r="M730">
        <f t="shared" si="59"/>
        <v>44035</v>
      </c>
    </row>
    <row r="731" spans="1:13" x14ac:dyDescent="0.2">
      <c r="A731">
        <v>43</v>
      </c>
      <c r="B731">
        <v>36</v>
      </c>
      <c r="C731">
        <v>79</v>
      </c>
      <c r="D731" s="51" t="s">
        <v>34</v>
      </c>
      <c r="E731">
        <f>VLOOKUP(M731,'MASS - 2016'!$A$1:$G$3418,6,FALSE)</f>
        <v>-74442.256999999998</v>
      </c>
      <c r="F731">
        <f>VLOOKUP(M731,'MASS - 2016'!$A$1:$G$3418,7,FALSE)</f>
        <v>3.4860000000000002</v>
      </c>
      <c r="G731">
        <f t="shared" si="61"/>
        <v>-74442.256999999998</v>
      </c>
      <c r="H731">
        <f t="shared" si="57"/>
        <v>78.920082950480563</v>
      </c>
      <c r="I731">
        <f t="shared" si="58"/>
        <v>73.513588561999995</v>
      </c>
      <c r="J731">
        <f t="shared" si="60"/>
        <v>73495.192561999997</v>
      </c>
      <c r="M731">
        <f t="shared" si="59"/>
        <v>43036</v>
      </c>
    </row>
    <row r="732" spans="1:13" x14ac:dyDescent="0.2">
      <c r="A732">
        <v>42</v>
      </c>
      <c r="B732">
        <v>37</v>
      </c>
      <c r="C732">
        <v>79</v>
      </c>
      <c r="D732" s="51" t="s">
        <v>35</v>
      </c>
      <c r="E732">
        <f>VLOOKUP(M732,'MASS - 2016'!$A$1:$G$3418,6,FALSE)</f>
        <v>-70802.985000000001</v>
      </c>
      <c r="F732">
        <f>VLOOKUP(M732,'MASS - 2016'!$A$1:$G$3418,7,FALSE)</f>
        <v>2.1419999999999999</v>
      </c>
      <c r="G732">
        <f t="shared" si="61"/>
        <v>-70802.985000000001</v>
      </c>
      <c r="H732">
        <f t="shared" si="57"/>
        <v>78.923989869646633</v>
      </c>
      <c r="I732">
        <f t="shared" si="58"/>
        <v>73.517227833999996</v>
      </c>
      <c r="J732">
        <f t="shared" si="60"/>
        <v>73498.320833999984</v>
      </c>
      <c r="M732">
        <f t="shared" si="59"/>
        <v>42037</v>
      </c>
    </row>
    <row r="733" spans="1:13" x14ac:dyDescent="0.2">
      <c r="A733">
        <v>41</v>
      </c>
      <c r="B733">
        <v>38</v>
      </c>
      <c r="C733">
        <v>79</v>
      </c>
      <c r="D733" s="51" t="s">
        <v>36</v>
      </c>
      <c r="E733">
        <f>VLOOKUP(M733,'MASS - 2016'!$A$1:$G$3418,6,FALSE)</f>
        <v>-65476.889000000003</v>
      </c>
      <c r="F733">
        <f>VLOOKUP(M733,'MASS - 2016'!$A$1:$G$3418,7,FALSE)</f>
        <v>8.3829999999999991</v>
      </c>
      <c r="G733">
        <f t="shared" si="61"/>
        <v>-65476.889000000003</v>
      </c>
      <c r="H733">
        <f t="shared" si="57"/>
        <v>78.929707668850071</v>
      </c>
      <c r="I733">
        <f t="shared" si="58"/>
        <v>73.522553930000001</v>
      </c>
      <c r="J733">
        <f t="shared" si="60"/>
        <v>73503.135929999989</v>
      </c>
      <c r="M733">
        <f t="shared" si="59"/>
        <v>41038</v>
      </c>
    </row>
    <row r="734" spans="1:13" x14ac:dyDescent="0.2">
      <c r="A734">
        <v>40</v>
      </c>
      <c r="B734">
        <v>39</v>
      </c>
      <c r="C734">
        <v>79</v>
      </c>
      <c r="D734" s="51" t="s">
        <v>37</v>
      </c>
      <c r="E734">
        <f>VLOOKUP(M734,'MASS - 2016'!$A$1:$G$3418,6,FALSE)</f>
        <v>-57817.832999999999</v>
      </c>
      <c r="F734">
        <f>VLOOKUP(M734,'MASS - 2016'!$A$1:$G$3418,7,FALSE)</f>
        <v>79.177000000000007</v>
      </c>
      <c r="G734">
        <f t="shared" si="61"/>
        <v>-57817.832999999999</v>
      </c>
      <c r="H734">
        <f t="shared" si="57"/>
        <v>78.937930003613829</v>
      </c>
      <c r="I734">
        <f t="shared" si="58"/>
        <v>73.530212985999995</v>
      </c>
      <c r="J734">
        <f t="shared" si="60"/>
        <v>73510.283985999995</v>
      </c>
      <c r="M734">
        <f t="shared" si="59"/>
        <v>40039</v>
      </c>
    </row>
    <row r="735" spans="1:13" x14ac:dyDescent="0.2">
      <c r="A735">
        <v>39</v>
      </c>
      <c r="B735">
        <v>40</v>
      </c>
      <c r="C735">
        <v>79</v>
      </c>
      <c r="D735" s="51" t="s">
        <v>38</v>
      </c>
      <c r="E735" t="str">
        <f>VLOOKUP(M735,'MASS - 2016'!$A$1:$G$3418,6,FALSE)</f>
        <v>-46770#</v>
      </c>
      <c r="F735" t="str">
        <f>VLOOKUP(M735,'MASS - 2016'!$A$1:$G$3418,7,FALSE)</f>
        <v>300#</v>
      </c>
      <c r="G735">
        <f t="shared" si="61"/>
        <v>-46770.01</v>
      </c>
      <c r="H735">
        <f t="shared" si="57"/>
        <v>78.949790329366351</v>
      </c>
      <c r="I735">
        <f t="shared" si="58"/>
        <v>73.541260808999994</v>
      </c>
      <c r="J735">
        <f t="shared" si="60"/>
        <v>73520.820808999997</v>
      </c>
      <c r="M735">
        <f t="shared" si="59"/>
        <v>39040</v>
      </c>
    </row>
    <row r="736" spans="1:13" x14ac:dyDescent="0.2">
      <c r="A736">
        <v>51</v>
      </c>
      <c r="B736">
        <v>29</v>
      </c>
      <c r="C736">
        <v>80</v>
      </c>
      <c r="D736" s="51" t="s">
        <v>27</v>
      </c>
      <c r="E736" t="str">
        <f>VLOOKUP(M736,'MASS - 2016'!$A$1:$G$3418,6,FALSE)</f>
        <v>-36200#</v>
      </c>
      <c r="F736" t="str">
        <f>VLOOKUP(M736,'MASS - 2016'!$A$1:$G$3418,7,FALSE)</f>
        <v>400#</v>
      </c>
      <c r="G736">
        <f t="shared" si="61"/>
        <v>-36200.01</v>
      </c>
      <c r="H736">
        <f t="shared" si="57"/>
        <v>79.961137691032476</v>
      </c>
      <c r="I736">
        <f t="shared" si="58"/>
        <v>74.483324870000004</v>
      </c>
      <c r="J736">
        <f t="shared" si="60"/>
        <v>74468.505870000008</v>
      </c>
      <c r="M736">
        <f t="shared" si="59"/>
        <v>51029</v>
      </c>
    </row>
    <row r="737" spans="1:13" x14ac:dyDescent="0.2">
      <c r="A737">
        <v>50</v>
      </c>
      <c r="B737">
        <v>30</v>
      </c>
      <c r="C737">
        <v>80</v>
      </c>
      <c r="D737" s="51" t="s">
        <v>28</v>
      </c>
      <c r="E737">
        <f>VLOOKUP(M737,'MASS - 2016'!$A$1:$G$3418,6,FALSE)</f>
        <v>-51648.612000000001</v>
      </c>
      <c r="F737">
        <f>VLOOKUP(M737,'MASS - 2016'!$A$1:$G$3418,7,FALSE)</f>
        <v>2.585</v>
      </c>
      <c r="G737">
        <f t="shared" si="61"/>
        <v>-51648.612000000001</v>
      </c>
      <c r="H737">
        <f t="shared" si="57"/>
        <v>79.944552934728819</v>
      </c>
      <c r="I737">
        <f t="shared" si="58"/>
        <v>74.467876268000012</v>
      </c>
      <c r="J737">
        <f t="shared" si="60"/>
        <v>74452.546268000006</v>
      </c>
      <c r="M737">
        <f t="shared" si="59"/>
        <v>50030</v>
      </c>
    </row>
    <row r="738" spans="1:13" x14ac:dyDescent="0.2">
      <c r="A738">
        <v>49</v>
      </c>
      <c r="B738">
        <v>31</v>
      </c>
      <c r="C738">
        <v>80</v>
      </c>
      <c r="D738" s="51" t="s">
        <v>29</v>
      </c>
      <c r="E738">
        <f>VLOOKUP(M738,'MASS - 2016'!$A$1:$G$3418,6,FALSE)</f>
        <v>-59223.667000000001</v>
      </c>
      <c r="F738">
        <f>VLOOKUP(M738,'MASS - 2016'!$A$1:$G$3418,7,FALSE)</f>
        <v>2.891</v>
      </c>
      <c r="G738">
        <f t="shared" si="61"/>
        <v>-59223.667000000001</v>
      </c>
      <c r="H738">
        <f t="shared" si="57"/>
        <v>79.936420778747191</v>
      </c>
      <c r="I738">
        <f t="shared" si="58"/>
        <v>74.460301213000008</v>
      </c>
      <c r="J738">
        <f t="shared" si="60"/>
        <v>74444.460213000013</v>
      </c>
      <c r="M738">
        <f t="shared" si="59"/>
        <v>49031</v>
      </c>
    </row>
    <row r="739" spans="1:13" x14ac:dyDescent="0.2">
      <c r="A739">
        <v>48</v>
      </c>
      <c r="B739">
        <v>32</v>
      </c>
      <c r="C739">
        <v>80</v>
      </c>
      <c r="D739" s="51" t="s">
        <v>30</v>
      </c>
      <c r="E739">
        <f>VLOOKUP(M739,'MASS - 2016'!$A$1:$G$3418,6,FALSE)</f>
        <v>-69535.305999999997</v>
      </c>
      <c r="F739">
        <f>VLOOKUP(M739,'MASS - 2016'!$A$1:$G$3418,7,FALSE)</f>
        <v>2.0539999999999998</v>
      </c>
      <c r="G739">
        <f t="shared" si="61"/>
        <v>-69535.305999999997</v>
      </c>
      <c r="H739">
        <f t="shared" si="57"/>
        <v>79.92535077902123</v>
      </c>
      <c r="I739">
        <f t="shared" si="58"/>
        <v>74.449989574</v>
      </c>
      <c r="J739">
        <f t="shared" si="60"/>
        <v>74433.637574000008</v>
      </c>
      <c r="M739">
        <f t="shared" si="59"/>
        <v>48032</v>
      </c>
    </row>
    <row r="740" spans="1:13" x14ac:dyDescent="0.2">
      <c r="A740">
        <v>47</v>
      </c>
      <c r="B740">
        <v>33</v>
      </c>
      <c r="C740">
        <v>80</v>
      </c>
      <c r="D740" s="51" t="s">
        <v>31</v>
      </c>
      <c r="E740">
        <f>VLOOKUP(M740,'MASS - 2016'!$A$1:$G$3418,6,FALSE)</f>
        <v>-72214.493000000002</v>
      </c>
      <c r="F740">
        <f>VLOOKUP(M740,'MASS - 2016'!$A$1:$G$3418,7,FALSE)</f>
        <v>3.3330000000000002</v>
      </c>
      <c r="G740">
        <f t="shared" si="61"/>
        <v>-72214.493000000002</v>
      </c>
      <c r="H740">
        <f t="shared" si="57"/>
        <v>79.922474553490474</v>
      </c>
      <c r="I740">
        <f t="shared" si="58"/>
        <v>74.447310387000002</v>
      </c>
      <c r="J740">
        <f t="shared" si="60"/>
        <v>74430.447387000007</v>
      </c>
      <c r="M740">
        <f t="shared" si="59"/>
        <v>47033</v>
      </c>
    </row>
    <row r="741" spans="1:13" x14ac:dyDescent="0.2">
      <c r="A741">
        <v>46</v>
      </c>
      <c r="B741">
        <v>34</v>
      </c>
      <c r="C741">
        <v>80</v>
      </c>
      <c r="D741" s="51" t="s">
        <v>32</v>
      </c>
      <c r="E741">
        <f>VLOOKUP(M741,'MASS - 2016'!$A$1:$G$3418,6,FALSE)</f>
        <v>-77759.456999999995</v>
      </c>
      <c r="F741">
        <f>VLOOKUP(M741,'MASS - 2016'!$A$1:$G$3418,7,FALSE)</f>
        <v>0.96299999999999997</v>
      </c>
      <c r="G741">
        <f t="shared" si="61"/>
        <v>-77759.456999999995</v>
      </c>
      <c r="H741">
        <f t="shared" si="57"/>
        <v>79.916521789825993</v>
      </c>
      <c r="I741">
        <f t="shared" si="58"/>
        <v>74.441765423000007</v>
      </c>
      <c r="J741">
        <f t="shared" si="60"/>
        <v>74424.391423000008</v>
      </c>
      <c r="M741">
        <f t="shared" si="59"/>
        <v>46034</v>
      </c>
    </row>
    <row r="742" spans="1:13" x14ac:dyDescent="0.2">
      <c r="A742">
        <v>45</v>
      </c>
      <c r="B742">
        <v>35</v>
      </c>
      <c r="C742">
        <v>80</v>
      </c>
      <c r="D742" s="51" t="s">
        <v>33</v>
      </c>
      <c r="E742">
        <f>VLOOKUP(M742,'MASS - 2016'!$A$1:$G$3418,6,FALSE)</f>
        <v>-75888.993000000002</v>
      </c>
      <c r="F742">
        <f>VLOOKUP(M742,'MASS - 2016'!$A$1:$G$3418,7,FALSE)</f>
        <v>1.012</v>
      </c>
      <c r="G742">
        <f t="shared" si="61"/>
        <v>-75888.993000000002</v>
      </c>
      <c r="H742">
        <f t="shared" si="57"/>
        <v>79.918529815511079</v>
      </c>
      <c r="I742">
        <f t="shared" si="58"/>
        <v>74.443635886999999</v>
      </c>
      <c r="J742">
        <f t="shared" si="60"/>
        <v>74425.750887000002</v>
      </c>
      <c r="M742">
        <f t="shared" si="59"/>
        <v>45035</v>
      </c>
    </row>
    <row r="743" spans="1:13" x14ac:dyDescent="0.2">
      <c r="A743">
        <v>44</v>
      </c>
      <c r="B743">
        <v>36</v>
      </c>
      <c r="C743">
        <v>80</v>
      </c>
      <c r="D743" s="51" t="s">
        <v>34</v>
      </c>
      <c r="E743">
        <f>VLOOKUP(M743,'MASS - 2016'!$A$1:$G$3418,6,FALSE)</f>
        <v>-77893.346000000005</v>
      </c>
      <c r="F743">
        <f>VLOOKUP(M743,'MASS - 2016'!$A$1:$G$3418,7,FALSE)</f>
        <v>0.69099999999999995</v>
      </c>
      <c r="G743">
        <f t="shared" si="61"/>
        <v>-77893.346000000005</v>
      </c>
      <c r="H743">
        <f t="shared" si="57"/>
        <v>79.916378054073292</v>
      </c>
      <c r="I743">
        <f t="shared" si="58"/>
        <v>74.44163153400001</v>
      </c>
      <c r="J743">
        <f t="shared" si="60"/>
        <v>74423.235534000021</v>
      </c>
      <c r="M743">
        <f t="shared" si="59"/>
        <v>44036</v>
      </c>
    </row>
    <row r="744" spans="1:13" x14ac:dyDescent="0.2">
      <c r="A744">
        <v>43</v>
      </c>
      <c r="B744">
        <v>37</v>
      </c>
      <c r="C744">
        <v>80</v>
      </c>
      <c r="D744" s="51" t="s">
        <v>35</v>
      </c>
      <c r="E744">
        <f>VLOOKUP(M744,'MASS - 2016'!$A$1:$G$3418,6,FALSE)</f>
        <v>-72175.467000000004</v>
      </c>
      <c r="F744">
        <f>VLOOKUP(M744,'MASS - 2016'!$A$1:$G$3418,7,FALSE)</f>
        <v>1.863</v>
      </c>
      <c r="G744">
        <f t="shared" si="61"/>
        <v>-72175.467000000004</v>
      </c>
      <c r="H744">
        <f t="shared" si="57"/>
        <v>79.922516449624482</v>
      </c>
      <c r="I744">
        <f t="shared" si="58"/>
        <v>74.447349413000012</v>
      </c>
      <c r="J744">
        <f t="shared" si="60"/>
        <v>74428.442413000012</v>
      </c>
      <c r="M744">
        <f t="shared" si="59"/>
        <v>43037</v>
      </c>
    </row>
    <row r="745" spans="1:13" x14ac:dyDescent="0.2">
      <c r="A745">
        <v>42</v>
      </c>
      <c r="B745">
        <v>38</v>
      </c>
      <c r="C745">
        <v>80</v>
      </c>
      <c r="D745" s="51" t="s">
        <v>36</v>
      </c>
      <c r="E745">
        <f>VLOOKUP(M745,'MASS - 2016'!$A$1:$G$3418,6,FALSE)</f>
        <v>-70311.459000000003</v>
      </c>
      <c r="F745">
        <f>VLOOKUP(M745,'MASS - 2016'!$A$1:$G$3418,7,FALSE)</f>
        <v>3.464</v>
      </c>
      <c r="G745">
        <f t="shared" si="61"/>
        <v>-70311.459000000003</v>
      </c>
      <c r="H745">
        <f t="shared" si="57"/>
        <v>79.924517544508547</v>
      </c>
      <c r="I745">
        <f t="shared" si="58"/>
        <v>74.44921342100001</v>
      </c>
      <c r="J745">
        <f t="shared" si="60"/>
        <v>74429.795421000003</v>
      </c>
      <c r="M745">
        <f t="shared" si="59"/>
        <v>42038</v>
      </c>
    </row>
    <row r="746" spans="1:13" x14ac:dyDescent="0.2">
      <c r="A746">
        <v>41</v>
      </c>
      <c r="B746">
        <v>39</v>
      </c>
      <c r="C746">
        <v>80</v>
      </c>
      <c r="D746" s="51" t="s">
        <v>37</v>
      </c>
      <c r="E746">
        <f>VLOOKUP(M746,'MASS - 2016'!$A$1:$G$3418,6,FALSE)</f>
        <v>-61148.152000000002</v>
      </c>
      <c r="F746">
        <f>VLOOKUP(M746,'MASS - 2016'!$A$1:$G$3418,7,FALSE)</f>
        <v>6.242</v>
      </c>
      <c r="G746">
        <f t="shared" si="61"/>
        <v>-61148.152000000002</v>
      </c>
      <c r="H746">
        <f t="shared" si="57"/>
        <v>79.934354759133569</v>
      </c>
      <c r="I746">
        <f t="shared" si="58"/>
        <v>74.458376728000005</v>
      </c>
      <c r="J746">
        <f t="shared" si="60"/>
        <v>74438.447727999999</v>
      </c>
      <c r="M746">
        <f t="shared" si="59"/>
        <v>41039</v>
      </c>
    </row>
    <row r="747" spans="1:13" x14ac:dyDescent="0.2">
      <c r="A747">
        <v>40</v>
      </c>
      <c r="B747">
        <v>40</v>
      </c>
      <c r="C747">
        <v>80</v>
      </c>
      <c r="D747" s="51" t="s">
        <v>38</v>
      </c>
      <c r="E747" t="str">
        <f>VLOOKUP(M747,'MASS - 2016'!$A$1:$G$3418,6,FALSE)</f>
        <v>-54360#</v>
      </c>
      <c r="F747" t="str">
        <f>VLOOKUP(M747,'MASS - 2016'!$A$1:$G$3418,7,FALSE)</f>
        <v>300#</v>
      </c>
      <c r="G747">
        <f t="shared" si="61"/>
        <v>-54360.01</v>
      </c>
      <c r="H747">
        <f t="shared" si="57"/>
        <v>79.941642129267436</v>
      </c>
      <c r="I747">
        <f t="shared" si="58"/>
        <v>74.46516487000001</v>
      </c>
      <c r="J747">
        <f t="shared" si="60"/>
        <v>74444.724870000005</v>
      </c>
      <c r="M747">
        <f t="shared" si="59"/>
        <v>40040</v>
      </c>
    </row>
    <row r="748" spans="1:13" x14ac:dyDescent="0.2">
      <c r="A748">
        <v>51</v>
      </c>
      <c r="B748">
        <v>30</v>
      </c>
      <c r="C748">
        <v>81</v>
      </c>
      <c r="D748" s="51" t="s">
        <v>28</v>
      </c>
      <c r="E748">
        <f>VLOOKUP(M748,'MASS - 2016'!$A$1:$G$3418,6,FALSE)</f>
        <v>-46199.663</v>
      </c>
      <c r="F748">
        <f>VLOOKUP(M748,'MASS - 2016'!$A$1:$G$3418,7,FALSE)</f>
        <v>5.03</v>
      </c>
      <c r="G748">
        <f t="shared" si="61"/>
        <v>-46199.663</v>
      </c>
      <c r="H748">
        <f t="shared" si="57"/>
        <v>80.950402622051726</v>
      </c>
      <c r="I748">
        <f t="shared" si="58"/>
        <v>75.404819278000005</v>
      </c>
      <c r="J748">
        <f t="shared" si="60"/>
        <v>75389.489278000008</v>
      </c>
      <c r="M748">
        <f t="shared" si="59"/>
        <v>51030</v>
      </c>
    </row>
    <row r="749" spans="1:13" x14ac:dyDescent="0.2">
      <c r="A749">
        <v>50</v>
      </c>
      <c r="B749">
        <v>31</v>
      </c>
      <c r="C749">
        <v>81</v>
      </c>
      <c r="D749" s="51" t="s">
        <v>29</v>
      </c>
      <c r="E749">
        <f>VLOOKUP(M749,'MASS - 2016'!$A$1:$G$3418,6,FALSE)</f>
        <v>-57627.953999999998</v>
      </c>
      <c r="F749">
        <f>VLOOKUP(M749,'MASS - 2016'!$A$1:$G$3418,7,FALSE)</f>
        <v>3.2639999999999998</v>
      </c>
      <c r="G749">
        <f t="shared" si="61"/>
        <v>-57627.953999999998</v>
      </c>
      <c r="H749">
        <f t="shared" si="57"/>
        <v>80.938133847103515</v>
      </c>
      <c r="I749">
        <f t="shared" si="58"/>
        <v>75.393390987000004</v>
      </c>
      <c r="J749">
        <f t="shared" si="60"/>
        <v>75377.549987000006</v>
      </c>
      <c r="M749">
        <f t="shared" si="59"/>
        <v>50031</v>
      </c>
    </row>
    <row r="750" spans="1:13" x14ac:dyDescent="0.2">
      <c r="A750">
        <v>49</v>
      </c>
      <c r="B750">
        <v>32</v>
      </c>
      <c r="C750">
        <v>81</v>
      </c>
      <c r="D750" s="51" t="s">
        <v>30</v>
      </c>
      <c r="E750">
        <f>VLOOKUP(M750,'MASS - 2016'!$A$1:$G$3418,6,FALSE)</f>
        <v>-66291.687000000005</v>
      </c>
      <c r="F750">
        <f>VLOOKUP(M750,'MASS - 2016'!$A$1:$G$3418,7,FALSE)</f>
        <v>2.0550000000000002</v>
      </c>
      <c r="G750">
        <f t="shared" si="61"/>
        <v>-66291.687000000005</v>
      </c>
      <c r="H750">
        <f t="shared" si="57"/>
        <v>80.928832947223697</v>
      </c>
      <c r="I750">
        <f t="shared" si="58"/>
        <v>75.384727253999998</v>
      </c>
      <c r="J750">
        <f t="shared" si="60"/>
        <v>75368.375253999999</v>
      </c>
      <c r="M750">
        <f t="shared" si="59"/>
        <v>49032</v>
      </c>
    </row>
    <row r="751" spans="1:13" x14ac:dyDescent="0.2">
      <c r="A751">
        <v>48</v>
      </c>
      <c r="B751">
        <v>33</v>
      </c>
      <c r="C751">
        <v>81</v>
      </c>
      <c r="D751" s="51" t="s">
        <v>31</v>
      </c>
      <c r="E751">
        <f>VLOOKUP(M751,'MASS - 2016'!$A$1:$G$3418,6,FALSE)</f>
        <v>-72533.304000000004</v>
      </c>
      <c r="F751">
        <f>VLOOKUP(M751,'MASS - 2016'!$A$1:$G$3418,7,FALSE)</f>
        <v>2.6440000000000001</v>
      </c>
      <c r="G751">
        <f t="shared" si="61"/>
        <v>-72533.304000000004</v>
      </c>
      <c r="H751">
        <f t="shared" si="57"/>
        <v>80.922132295806449</v>
      </c>
      <c r="I751">
        <f t="shared" si="58"/>
        <v>75.378485636999997</v>
      </c>
      <c r="J751">
        <f t="shared" si="60"/>
        <v>75361.622636999993</v>
      </c>
      <c r="M751">
        <f t="shared" si="59"/>
        <v>48033</v>
      </c>
    </row>
    <row r="752" spans="1:13" x14ac:dyDescent="0.2">
      <c r="A752">
        <v>47</v>
      </c>
      <c r="B752">
        <v>34</v>
      </c>
      <c r="C752">
        <v>81</v>
      </c>
      <c r="D752" s="51" t="s">
        <v>32</v>
      </c>
      <c r="E752">
        <f>VLOOKUP(M752,'MASS - 2016'!$A$1:$G$3418,6,FALSE)</f>
        <v>-76388.987999999998</v>
      </c>
      <c r="F752">
        <f>VLOOKUP(M752,'MASS - 2016'!$A$1:$G$3418,7,FALSE)</f>
        <v>0.99199999999999999</v>
      </c>
      <c r="G752">
        <f t="shared" si="61"/>
        <v>-76388.987999999998</v>
      </c>
      <c r="H752">
        <f t="shared" si="57"/>
        <v>80.917993048803766</v>
      </c>
      <c r="I752">
        <f t="shared" si="58"/>
        <v>75.374629952999996</v>
      </c>
      <c r="J752">
        <f t="shared" si="60"/>
        <v>75357.255953</v>
      </c>
      <c r="M752">
        <f t="shared" si="59"/>
        <v>47034</v>
      </c>
    </row>
    <row r="753" spans="1:13" x14ac:dyDescent="0.2">
      <c r="A753">
        <v>46</v>
      </c>
      <c r="B753">
        <v>35</v>
      </c>
      <c r="C753">
        <v>81</v>
      </c>
      <c r="D753" s="51" t="s">
        <v>33</v>
      </c>
      <c r="E753">
        <f>VLOOKUP(M753,'MASS - 2016'!$A$1:$G$3418,6,FALSE)</f>
        <v>-77977.034</v>
      </c>
      <c r="F753">
        <f>VLOOKUP(M753,'MASS - 2016'!$A$1:$G$3418,7,FALSE)</f>
        <v>0.97799999999999998</v>
      </c>
      <c r="G753">
        <f t="shared" si="61"/>
        <v>-77977.034</v>
      </c>
      <c r="H753">
        <f t="shared" si="57"/>
        <v>80.916288211310459</v>
      </c>
      <c r="I753">
        <f t="shared" si="58"/>
        <v>75.373041907000001</v>
      </c>
      <c r="J753">
        <f t="shared" si="60"/>
        <v>75355.156907000011</v>
      </c>
      <c r="M753">
        <f t="shared" si="59"/>
        <v>46035</v>
      </c>
    </row>
    <row r="754" spans="1:13" x14ac:dyDescent="0.2">
      <c r="A754">
        <v>45</v>
      </c>
      <c r="B754">
        <v>36</v>
      </c>
      <c r="C754">
        <v>81</v>
      </c>
      <c r="D754" s="51" t="s">
        <v>34</v>
      </c>
      <c r="E754">
        <f>VLOOKUP(M754,'MASS - 2016'!$A$1:$G$3418,6,FALSE)</f>
        <v>-77696.180999999997</v>
      </c>
      <c r="F754">
        <f>VLOOKUP(M754,'MASS - 2016'!$A$1:$G$3418,7,FALSE)</f>
        <v>1.0740000000000001</v>
      </c>
      <c r="G754">
        <f t="shared" si="61"/>
        <v>-77696.180999999997</v>
      </c>
      <c r="H754">
        <f t="shared" si="57"/>
        <v>80.916589719405636</v>
      </c>
      <c r="I754">
        <f t="shared" si="58"/>
        <v>75.373322760000008</v>
      </c>
      <c r="J754">
        <f t="shared" si="60"/>
        <v>75354.926760000017</v>
      </c>
      <c r="M754">
        <f t="shared" si="59"/>
        <v>45036</v>
      </c>
    </row>
    <row r="755" spans="1:13" x14ac:dyDescent="0.2">
      <c r="A755">
        <v>44</v>
      </c>
      <c r="B755">
        <v>37</v>
      </c>
      <c r="C755">
        <v>81</v>
      </c>
      <c r="D755" s="51" t="s">
        <v>35</v>
      </c>
      <c r="E755">
        <f>VLOOKUP(M755,'MASS - 2016'!$A$1:$G$3418,6,FALSE)</f>
        <v>-75456.67</v>
      </c>
      <c r="F755">
        <f>VLOOKUP(M755,'MASS - 2016'!$A$1:$G$3418,7,FALSE)</f>
        <v>4.9039999999999999</v>
      </c>
      <c r="G755">
        <f t="shared" si="61"/>
        <v>-75456.67</v>
      </c>
      <c r="H755">
        <f t="shared" si="57"/>
        <v>80.918993933338683</v>
      </c>
      <c r="I755">
        <f t="shared" si="58"/>
        <v>75.375562271000007</v>
      </c>
      <c r="J755">
        <f t="shared" si="60"/>
        <v>75356.655270999996</v>
      </c>
      <c r="M755">
        <f t="shared" si="59"/>
        <v>44037</v>
      </c>
    </row>
    <row r="756" spans="1:13" x14ac:dyDescent="0.2">
      <c r="A756">
        <v>43</v>
      </c>
      <c r="B756">
        <v>38</v>
      </c>
      <c r="C756">
        <v>81</v>
      </c>
      <c r="D756" s="51" t="s">
        <v>36</v>
      </c>
      <c r="E756">
        <f>VLOOKUP(M756,'MASS - 2016'!$A$1:$G$3418,6,FALSE)</f>
        <v>-71528.125</v>
      </c>
      <c r="F756">
        <f>VLOOKUP(M756,'MASS - 2016'!$A$1:$G$3418,7,FALSE)</f>
        <v>3.1280000000000001</v>
      </c>
      <c r="G756">
        <f t="shared" si="61"/>
        <v>-71528.125</v>
      </c>
      <c r="H756">
        <f t="shared" si="57"/>
        <v>80.923211399841662</v>
      </c>
      <c r="I756">
        <f t="shared" si="58"/>
        <v>75.379490816000001</v>
      </c>
      <c r="J756">
        <f t="shared" si="60"/>
        <v>75360.072816</v>
      </c>
      <c r="M756">
        <f t="shared" si="59"/>
        <v>43038</v>
      </c>
    </row>
    <row r="757" spans="1:13" x14ac:dyDescent="0.2">
      <c r="A757">
        <v>42</v>
      </c>
      <c r="B757">
        <v>39</v>
      </c>
      <c r="C757">
        <v>81</v>
      </c>
      <c r="D757" s="51" t="s">
        <v>37</v>
      </c>
      <c r="E757">
        <f>VLOOKUP(M757,'MASS - 2016'!$A$1:$G$3418,6,FALSE)</f>
        <v>-65712.911999999997</v>
      </c>
      <c r="F757">
        <f>VLOOKUP(M757,'MASS - 2016'!$A$1:$G$3418,7,FALSE)</f>
        <v>5.4050000000000002</v>
      </c>
      <c r="G757">
        <f t="shared" si="61"/>
        <v>-65712.911999999997</v>
      </c>
      <c r="H757">
        <f t="shared" si="57"/>
        <v>80.929454287739148</v>
      </c>
      <c r="I757">
        <f t="shared" si="58"/>
        <v>75.385306029000006</v>
      </c>
      <c r="J757">
        <f t="shared" si="60"/>
        <v>75365.377028999996</v>
      </c>
      <c r="M757">
        <f t="shared" si="59"/>
        <v>42039</v>
      </c>
    </row>
    <row r="758" spans="1:13" x14ac:dyDescent="0.2">
      <c r="A758">
        <v>41</v>
      </c>
      <c r="B758">
        <v>40</v>
      </c>
      <c r="C758">
        <v>81</v>
      </c>
      <c r="D758" s="51" t="s">
        <v>38</v>
      </c>
      <c r="E758">
        <f>VLOOKUP(M758,'MASS - 2016'!$A$1:$G$3418,6,FALSE)</f>
        <v>-57460.139000000003</v>
      </c>
      <c r="F758">
        <f>VLOOKUP(M758,'MASS - 2016'!$A$1:$G$3418,7,FALSE)</f>
        <v>94.081000000000003</v>
      </c>
      <c r="G758">
        <f t="shared" si="61"/>
        <v>-57460.139000000003</v>
      </c>
      <c r="H758">
        <f t="shared" si="57"/>
        <v>80.938314003915053</v>
      </c>
      <c r="I758">
        <f t="shared" si="58"/>
        <v>75.393558802000001</v>
      </c>
      <c r="J758">
        <f t="shared" si="60"/>
        <v>75373.118801999997</v>
      </c>
      <c r="M758">
        <f t="shared" si="59"/>
        <v>41040</v>
      </c>
    </row>
    <row r="759" spans="1:13" x14ac:dyDescent="0.2">
      <c r="A759">
        <v>40</v>
      </c>
      <c r="B759">
        <v>41</v>
      </c>
      <c r="C759">
        <v>81</v>
      </c>
      <c r="D759" s="51" t="s">
        <v>39</v>
      </c>
      <c r="E759" t="str">
        <f>VLOOKUP(M759,'MASS - 2016'!$A$1:$G$3418,6,FALSE)</f>
        <v>-46360#</v>
      </c>
      <c r="F759" t="str">
        <f>VLOOKUP(M759,'MASS - 2016'!$A$1:$G$3418,7,FALSE)</f>
        <v>400#</v>
      </c>
      <c r="G759">
        <f t="shared" si="61"/>
        <v>-46360.01</v>
      </c>
      <c r="H759">
        <f t="shared" si="57"/>
        <v>80.950230482467887</v>
      </c>
      <c r="I759">
        <f t="shared" si="58"/>
        <v>75.404658931</v>
      </c>
      <c r="J759">
        <f t="shared" si="60"/>
        <v>75383.707930999997</v>
      </c>
      <c r="M759">
        <f t="shared" si="59"/>
        <v>40041</v>
      </c>
    </row>
    <row r="760" spans="1:13" x14ac:dyDescent="0.2">
      <c r="A760">
        <v>52</v>
      </c>
      <c r="B760">
        <v>30</v>
      </c>
      <c r="C760">
        <v>82</v>
      </c>
      <c r="D760" s="51" t="s">
        <v>28</v>
      </c>
      <c r="E760">
        <f>VLOOKUP(M760,'MASS - 2016'!$A$1:$G$3418,6,FALSE)</f>
        <v>-42313.953999999998</v>
      </c>
      <c r="F760">
        <f>VLOOKUP(M760,'MASS - 2016'!$A$1:$G$3418,7,FALSE)</f>
        <v>3.0739999999999998</v>
      </c>
      <c r="G760">
        <f t="shared" si="61"/>
        <v>-42313.953999999998</v>
      </c>
      <c r="H760">
        <f t="shared" si="57"/>
        <v>81.954574102217492</v>
      </c>
      <c r="I760">
        <f t="shared" si="58"/>
        <v>76.340199048000002</v>
      </c>
      <c r="J760">
        <f t="shared" si="60"/>
        <v>76324.869048000008</v>
      </c>
      <c r="M760">
        <f t="shared" si="59"/>
        <v>52030</v>
      </c>
    </row>
    <row r="761" spans="1:13" x14ac:dyDescent="0.2">
      <c r="A761">
        <v>51</v>
      </c>
      <c r="B761">
        <v>31</v>
      </c>
      <c r="C761">
        <v>82</v>
      </c>
      <c r="D761" s="51" t="s">
        <v>29</v>
      </c>
      <c r="E761">
        <f>VLOOKUP(M761,'MASS - 2016'!$A$1:$G$3418,6,FALSE)</f>
        <v>-52930.718999999997</v>
      </c>
      <c r="F761">
        <f>VLOOKUP(M761,'MASS - 2016'!$A$1:$G$3418,7,FALSE)</f>
        <v>2.4260000000000002</v>
      </c>
      <c r="G761">
        <f t="shared" si="61"/>
        <v>-52930.718999999997</v>
      </c>
      <c r="H761">
        <f t="shared" si="57"/>
        <v>81.943176536259202</v>
      </c>
      <c r="I761">
        <f t="shared" si="58"/>
        <v>76.329582282999993</v>
      </c>
      <c r="J761">
        <f t="shared" si="60"/>
        <v>76313.741282999996</v>
      </c>
      <c r="M761">
        <f t="shared" si="59"/>
        <v>51031</v>
      </c>
    </row>
    <row r="762" spans="1:13" x14ac:dyDescent="0.2">
      <c r="A762">
        <v>50</v>
      </c>
      <c r="B762">
        <v>32</v>
      </c>
      <c r="C762">
        <v>82</v>
      </c>
      <c r="D762" s="51" t="s">
        <v>30</v>
      </c>
      <c r="E762">
        <f>VLOOKUP(M762,'MASS - 2016'!$A$1:$G$3418,6,FALSE)</f>
        <v>-65415.067000000003</v>
      </c>
      <c r="F762">
        <f>VLOOKUP(M762,'MASS - 2016'!$A$1:$G$3418,7,FALSE)</f>
        <v>2.2410000000000001</v>
      </c>
      <c r="G762">
        <f t="shared" si="61"/>
        <v>-65415.067000000003</v>
      </c>
      <c r="H762">
        <f t="shared" si="57"/>
        <v>81.929774037496514</v>
      </c>
      <c r="I762">
        <f t="shared" si="58"/>
        <v>76.317097934999993</v>
      </c>
      <c r="J762">
        <f t="shared" si="60"/>
        <v>76300.745934999999</v>
      </c>
      <c r="M762">
        <f t="shared" si="59"/>
        <v>50032</v>
      </c>
    </row>
    <row r="763" spans="1:13" x14ac:dyDescent="0.2">
      <c r="A763">
        <v>49</v>
      </c>
      <c r="B763">
        <v>33</v>
      </c>
      <c r="C763">
        <v>82</v>
      </c>
      <c r="D763" s="51" t="s">
        <v>31</v>
      </c>
      <c r="E763">
        <f>VLOOKUP(M763,'MASS - 2016'!$A$1:$G$3418,6,FALSE)</f>
        <v>-70105.418999999994</v>
      </c>
      <c r="F763">
        <f>VLOOKUP(M763,'MASS - 2016'!$A$1:$G$3418,7,FALSE)</f>
        <v>3.7290000000000001</v>
      </c>
      <c r="G763">
        <f t="shared" si="61"/>
        <v>-70105.418999999994</v>
      </c>
      <c r="H763">
        <f t="shared" si="57"/>
        <v>81.924738737545212</v>
      </c>
      <c r="I763">
        <f t="shared" si="58"/>
        <v>76.312407582999995</v>
      </c>
      <c r="J763">
        <f t="shared" si="60"/>
        <v>76295.544582999995</v>
      </c>
      <c r="M763">
        <f t="shared" si="59"/>
        <v>49033</v>
      </c>
    </row>
    <row r="764" spans="1:13" x14ac:dyDescent="0.2">
      <c r="A764">
        <v>48</v>
      </c>
      <c r="B764">
        <v>34</v>
      </c>
      <c r="C764">
        <v>82</v>
      </c>
      <c r="D764" s="51" t="s">
        <v>32</v>
      </c>
      <c r="E764">
        <f>VLOOKUP(M764,'MASS - 2016'!$A$1:$G$3418,6,FALSE)</f>
        <v>-77593.881999999998</v>
      </c>
      <c r="F764">
        <f>VLOOKUP(M764,'MASS - 2016'!$A$1:$G$3418,7,FALSE)</f>
        <v>0.46700000000000003</v>
      </c>
      <c r="G764">
        <f t="shared" si="61"/>
        <v>-77593.881999999998</v>
      </c>
      <c r="H764">
        <f t="shared" si="57"/>
        <v>81.916699541898637</v>
      </c>
      <c r="I764">
        <f t="shared" si="58"/>
        <v>76.304919119999994</v>
      </c>
      <c r="J764">
        <f t="shared" si="60"/>
        <v>76287.545119999995</v>
      </c>
      <c r="M764">
        <f t="shared" si="59"/>
        <v>48034</v>
      </c>
    </row>
    <row r="765" spans="1:13" x14ac:dyDescent="0.2">
      <c r="A765">
        <v>47</v>
      </c>
      <c r="B765">
        <v>35</v>
      </c>
      <c r="C765">
        <v>82</v>
      </c>
      <c r="D765" s="51" t="s">
        <v>33</v>
      </c>
      <c r="E765">
        <f>VLOOKUP(M765,'MASS - 2016'!$A$1:$G$3418,6,FALSE)</f>
        <v>-77498.660999999993</v>
      </c>
      <c r="F765">
        <f>VLOOKUP(M765,'MASS - 2016'!$A$1:$G$3418,7,FALSE)</f>
        <v>0.97099999999999997</v>
      </c>
      <c r="G765">
        <f t="shared" si="61"/>
        <v>-77498.660999999993</v>
      </c>
      <c r="H765">
        <f t="shared" si="57"/>
        <v>81.916801765846145</v>
      </c>
      <c r="I765">
        <f t="shared" si="58"/>
        <v>76.305014340999989</v>
      </c>
      <c r="J765">
        <f t="shared" si="60"/>
        <v>76287.129340999993</v>
      </c>
      <c r="M765">
        <f t="shared" si="59"/>
        <v>47035</v>
      </c>
    </row>
    <row r="766" spans="1:13" x14ac:dyDescent="0.2">
      <c r="A766">
        <v>46</v>
      </c>
      <c r="B766">
        <v>36</v>
      </c>
      <c r="C766">
        <v>82</v>
      </c>
      <c r="D766" s="51" t="s">
        <v>34</v>
      </c>
      <c r="E766">
        <f>VLOOKUP(M766,'MASS - 2016'!$A$1:$G$3418,6,FALSE)</f>
        <v>-80591.785149999996</v>
      </c>
      <c r="F766">
        <f>VLOOKUP(M766,'MASS - 2016'!$A$1:$G$3418,7,FALSE)</f>
        <v>5.4900000000000001E-3</v>
      </c>
      <c r="G766">
        <f t="shared" si="61"/>
        <v>-80591.785149999996</v>
      </c>
      <c r="H766">
        <f t="shared" si="57"/>
        <v>81.913481160509505</v>
      </c>
      <c r="I766">
        <f t="shared" si="58"/>
        <v>76.301921216849991</v>
      </c>
      <c r="J766">
        <f t="shared" si="60"/>
        <v>76283.525216850001</v>
      </c>
      <c r="M766">
        <f t="shared" si="59"/>
        <v>46036</v>
      </c>
    </row>
    <row r="767" spans="1:13" x14ac:dyDescent="0.2">
      <c r="A767">
        <v>45</v>
      </c>
      <c r="B767">
        <v>37</v>
      </c>
      <c r="C767">
        <v>82</v>
      </c>
      <c r="D767" s="51" t="s">
        <v>35</v>
      </c>
      <c r="E767">
        <f>VLOOKUP(M767,'MASS - 2016'!$A$1:$G$3418,6,FALSE)</f>
        <v>-76187.803</v>
      </c>
      <c r="F767">
        <f>VLOOKUP(M767,'MASS - 2016'!$A$1:$G$3418,7,FALSE)</f>
        <v>3.0089999999999999</v>
      </c>
      <c r="G767">
        <f t="shared" si="61"/>
        <v>-76187.803</v>
      </c>
      <c r="H767">
        <f t="shared" si="57"/>
        <v>81.918209029783611</v>
      </c>
      <c r="I767">
        <f t="shared" si="58"/>
        <v>76.306325199</v>
      </c>
      <c r="J767">
        <f t="shared" si="60"/>
        <v>76287.418198999992</v>
      </c>
      <c r="M767">
        <f t="shared" si="59"/>
        <v>45037</v>
      </c>
    </row>
    <row r="768" spans="1:13" x14ac:dyDescent="0.2">
      <c r="A768">
        <v>44</v>
      </c>
      <c r="B768">
        <v>38</v>
      </c>
      <c r="C768">
        <v>82</v>
      </c>
      <c r="D768" s="51" t="s">
        <v>36</v>
      </c>
      <c r="E768">
        <f>VLOOKUP(M768,'MASS - 2016'!$A$1:$G$3418,6,FALSE)</f>
        <v>-76010.053</v>
      </c>
      <c r="F768">
        <f>VLOOKUP(M768,'MASS - 2016'!$A$1:$G$3418,7,FALSE)</f>
        <v>5.992</v>
      </c>
      <c r="G768">
        <f t="shared" si="61"/>
        <v>-76010.053</v>
      </c>
      <c r="H768">
        <f t="shared" si="57"/>
        <v>81.918399852256272</v>
      </c>
      <c r="I768">
        <f t="shared" si="58"/>
        <v>76.306502948999992</v>
      </c>
      <c r="J768">
        <f t="shared" si="60"/>
        <v>76287.084948999982</v>
      </c>
      <c r="M768">
        <f t="shared" si="59"/>
        <v>44038</v>
      </c>
    </row>
    <row r="769" spans="1:13" x14ac:dyDescent="0.2">
      <c r="A769">
        <v>43</v>
      </c>
      <c r="B769">
        <v>39</v>
      </c>
      <c r="C769">
        <v>82</v>
      </c>
      <c r="D769" s="51" t="s">
        <v>37</v>
      </c>
      <c r="E769">
        <f>VLOOKUP(M769,'MASS - 2016'!$A$1:$G$3418,6,FALSE)</f>
        <v>-68064.091</v>
      </c>
      <c r="F769">
        <f>VLOOKUP(M769,'MASS - 2016'!$A$1:$G$3418,7,FALSE)</f>
        <v>5.4989999999999997</v>
      </c>
      <c r="G769">
        <f t="shared" si="61"/>
        <v>-68064.091</v>
      </c>
      <c r="H769">
        <f t="shared" si="57"/>
        <v>81.926930193277954</v>
      </c>
      <c r="I769">
        <f t="shared" si="58"/>
        <v>76.314448910999999</v>
      </c>
      <c r="J769">
        <f t="shared" si="60"/>
        <v>76294.519910999996</v>
      </c>
      <c r="M769">
        <f t="shared" si="59"/>
        <v>43039</v>
      </c>
    </row>
    <row r="770" spans="1:13" x14ac:dyDescent="0.2">
      <c r="A770">
        <v>42</v>
      </c>
      <c r="B770">
        <v>40</v>
      </c>
      <c r="C770">
        <v>82</v>
      </c>
      <c r="D770" s="51" t="s">
        <v>38</v>
      </c>
      <c r="E770">
        <f>VLOOKUP(M770,'MASS - 2016'!$A$1:$G$3418,6,FALSE)</f>
        <v>-63631.286999999997</v>
      </c>
      <c r="F770">
        <f>VLOOKUP(M770,'MASS - 2016'!$A$1:$G$3418,7,FALSE)</f>
        <v>11.178000000000001</v>
      </c>
      <c r="G770">
        <f t="shared" si="61"/>
        <v>-63631.286999999997</v>
      </c>
      <c r="H770">
        <f t="shared" si="57"/>
        <v>81.931689004080496</v>
      </c>
      <c r="I770">
        <f t="shared" si="58"/>
        <v>76.318881714999989</v>
      </c>
      <c r="J770">
        <f t="shared" si="60"/>
        <v>76298.441714999994</v>
      </c>
      <c r="M770">
        <f t="shared" si="59"/>
        <v>42040</v>
      </c>
    </row>
    <row r="771" spans="1:13" x14ac:dyDescent="0.2">
      <c r="A771">
        <v>41</v>
      </c>
      <c r="B771">
        <v>41</v>
      </c>
      <c r="C771">
        <v>82</v>
      </c>
      <c r="D771" s="51" t="s">
        <v>39</v>
      </c>
      <c r="E771" t="str">
        <f>VLOOKUP(M771,'MASS - 2016'!$A$1:$G$3418,6,FALSE)</f>
        <v>-52090#</v>
      </c>
      <c r="F771" t="str">
        <f>VLOOKUP(M771,'MASS - 2016'!$A$1:$G$3418,7,FALSE)</f>
        <v>300#</v>
      </c>
      <c r="G771">
        <f t="shared" si="61"/>
        <v>-52090.01</v>
      </c>
      <c r="H771">
        <f t="shared" si="57"/>
        <v>81.944079074488059</v>
      </c>
      <c r="I771">
        <f t="shared" si="58"/>
        <v>76.330422991999995</v>
      </c>
      <c r="J771">
        <f t="shared" si="60"/>
        <v>76309.471991999992</v>
      </c>
      <c r="M771">
        <f t="shared" si="59"/>
        <v>41041</v>
      </c>
    </row>
    <row r="772" spans="1:13" x14ac:dyDescent="0.2">
      <c r="A772">
        <v>52</v>
      </c>
      <c r="B772">
        <v>31</v>
      </c>
      <c r="C772">
        <v>83</v>
      </c>
      <c r="D772" s="51" t="s">
        <v>29</v>
      </c>
      <c r="E772">
        <f>VLOOKUP(M772,'MASS - 2016'!$A$1:$G$3418,6,FALSE)</f>
        <v>-49257.122000000003</v>
      </c>
      <c r="F772">
        <f>VLOOKUP(M772,'MASS - 2016'!$A$1:$G$3418,7,FALSE)</f>
        <v>2.613</v>
      </c>
      <c r="G772">
        <f t="shared" si="61"/>
        <v>-49257.122000000003</v>
      </c>
      <c r="H772">
        <f t="shared" si="57"/>
        <v>82.947120304828232</v>
      </c>
      <c r="I772">
        <f t="shared" si="58"/>
        <v>77.264749941000005</v>
      </c>
      <c r="J772">
        <f t="shared" si="60"/>
        <v>77248.908941000002</v>
      </c>
      <c r="M772">
        <f t="shared" si="59"/>
        <v>52031</v>
      </c>
    </row>
    <row r="773" spans="1:13" x14ac:dyDescent="0.2">
      <c r="A773">
        <v>51</v>
      </c>
      <c r="B773">
        <v>32</v>
      </c>
      <c r="C773">
        <v>83</v>
      </c>
      <c r="D773" s="51" t="s">
        <v>30</v>
      </c>
      <c r="E773">
        <f>VLOOKUP(M773,'MASS - 2016'!$A$1:$G$3418,6,FALSE)</f>
        <v>-60976.434999999998</v>
      </c>
      <c r="F773">
        <f>VLOOKUP(M773,'MASS - 2016'!$A$1:$G$3418,7,FALSE)</f>
        <v>2.427</v>
      </c>
      <c r="G773">
        <f t="shared" si="61"/>
        <v>-60976.434999999998</v>
      </c>
      <c r="H773">
        <f t="shared" si="57"/>
        <v>82.934539104914379</v>
      </c>
      <c r="I773">
        <f t="shared" si="58"/>
        <v>77.253030628000005</v>
      </c>
      <c r="J773">
        <f t="shared" si="60"/>
        <v>77236.678628000009</v>
      </c>
      <c r="M773">
        <f t="shared" si="59"/>
        <v>51032</v>
      </c>
    </row>
    <row r="774" spans="1:13" x14ac:dyDescent="0.2">
      <c r="A774">
        <v>50</v>
      </c>
      <c r="B774">
        <v>33</v>
      </c>
      <c r="C774">
        <v>83</v>
      </c>
      <c r="D774" s="51" t="s">
        <v>31</v>
      </c>
      <c r="E774">
        <f>VLOOKUP(M774,'MASS - 2016'!$A$1:$G$3418,6,FALSE)</f>
        <v>-69669.323000000004</v>
      </c>
      <c r="F774">
        <f>VLOOKUP(M774,'MASS - 2016'!$A$1:$G$3418,7,FALSE)</f>
        <v>2.7989999999999999</v>
      </c>
      <c r="G774">
        <f t="shared" si="61"/>
        <v>-69669.323000000004</v>
      </c>
      <c r="H774">
        <f t="shared" si="57"/>
        <v>82.925206905854878</v>
      </c>
      <c r="I774">
        <f t="shared" si="58"/>
        <v>77.244337740000006</v>
      </c>
      <c r="J774">
        <f t="shared" si="60"/>
        <v>77227.474740000005</v>
      </c>
      <c r="M774">
        <f t="shared" si="59"/>
        <v>50033</v>
      </c>
    </row>
    <row r="775" spans="1:13" x14ac:dyDescent="0.2">
      <c r="A775">
        <v>49</v>
      </c>
      <c r="B775">
        <v>34</v>
      </c>
      <c r="C775">
        <v>83</v>
      </c>
      <c r="D775" s="51" t="s">
        <v>32</v>
      </c>
      <c r="E775">
        <f>VLOOKUP(M775,'MASS - 2016'!$A$1:$G$3418,6,FALSE)</f>
        <v>-75340.53</v>
      </c>
      <c r="F775">
        <f>VLOOKUP(M775,'MASS - 2016'!$A$1:$G$3418,7,FALSE)</f>
        <v>3.036</v>
      </c>
      <c r="G775">
        <f t="shared" si="61"/>
        <v>-75340.53</v>
      </c>
      <c r="H775">
        <f t="shared" si="57"/>
        <v>82.919118614756258</v>
      </c>
      <c r="I775">
        <f t="shared" si="58"/>
        <v>77.238666533</v>
      </c>
      <c r="J775">
        <f t="shared" si="60"/>
        <v>77221.292533</v>
      </c>
      <c r="M775">
        <f t="shared" si="59"/>
        <v>49034</v>
      </c>
    </row>
    <row r="776" spans="1:13" x14ac:dyDescent="0.2">
      <c r="A776">
        <v>48</v>
      </c>
      <c r="B776">
        <v>35</v>
      </c>
      <c r="C776">
        <v>83</v>
      </c>
      <c r="D776" s="51" t="s">
        <v>33</v>
      </c>
      <c r="E776">
        <f>VLOOKUP(M776,'MASS - 2016'!$A$1:$G$3418,6,FALSE)</f>
        <v>-79013.709000000003</v>
      </c>
      <c r="F776">
        <f>VLOOKUP(M776,'MASS - 2016'!$A$1:$G$3418,7,FALSE)</f>
        <v>3.7949999999999999</v>
      </c>
      <c r="G776">
        <f t="shared" si="61"/>
        <v>-79013.709000000003</v>
      </c>
      <c r="H776">
        <f t="shared" si="57"/>
        <v>82.915175294928702</v>
      </c>
      <c r="I776">
        <f t="shared" si="58"/>
        <v>77.234993354000011</v>
      </c>
      <c r="J776">
        <f t="shared" si="60"/>
        <v>77217.108354000011</v>
      </c>
      <c r="M776">
        <f t="shared" si="59"/>
        <v>48035</v>
      </c>
    </row>
    <row r="777" spans="1:13" x14ac:dyDescent="0.2">
      <c r="A777">
        <v>47</v>
      </c>
      <c r="B777">
        <v>36</v>
      </c>
      <c r="C777">
        <v>83</v>
      </c>
      <c r="D777" s="51" t="s">
        <v>34</v>
      </c>
      <c r="E777">
        <f>VLOOKUP(M777,'MASS - 2016'!$A$1:$G$3418,6,FALSE)</f>
        <v>-79990.633000000002</v>
      </c>
      <c r="F777">
        <f>VLOOKUP(M777,'MASS - 2016'!$A$1:$G$3418,7,FALSE)</f>
        <v>8.9999999999999993E-3</v>
      </c>
      <c r="G777">
        <f t="shared" si="61"/>
        <v>-79990.633000000002</v>
      </c>
      <c r="H777">
        <f t="shared" ref="H777:H840" si="62">(C777*$A$3+G777/1000000)/$A$3</f>
        <v>82.914126523883454</v>
      </c>
      <c r="I777">
        <f t="shared" ref="I777:I840" si="63">H777*$A$3</f>
        <v>77.234016430000011</v>
      </c>
      <c r="J777">
        <f t="shared" si="60"/>
        <v>77215.620430000024</v>
      </c>
      <c r="M777">
        <f t="shared" ref="M777:M840" si="64">1000*A777+B777</f>
        <v>47036</v>
      </c>
    </row>
    <row r="778" spans="1:13" x14ac:dyDescent="0.2">
      <c r="A778">
        <v>46</v>
      </c>
      <c r="B778">
        <v>37</v>
      </c>
      <c r="C778">
        <v>83</v>
      </c>
      <c r="D778" s="51" t="s">
        <v>35</v>
      </c>
      <c r="E778">
        <f>VLOOKUP(M778,'MASS - 2016'!$A$1:$G$3418,6,FALSE)</f>
        <v>-79070.63</v>
      </c>
      <c r="F778">
        <f>VLOOKUP(M778,'MASS - 2016'!$A$1:$G$3418,7,FALSE)</f>
        <v>2.3290000000000002</v>
      </c>
      <c r="G778">
        <f t="shared" si="61"/>
        <v>-79070.63</v>
      </c>
      <c r="H778">
        <f t="shared" si="62"/>
        <v>82.915114187722125</v>
      </c>
      <c r="I778">
        <f t="shared" si="63"/>
        <v>77.234936433000001</v>
      </c>
      <c r="J778">
        <f t="shared" si="60"/>
        <v>77216.029432999989</v>
      </c>
      <c r="M778">
        <f t="shared" si="64"/>
        <v>46037</v>
      </c>
    </row>
    <row r="779" spans="1:13" x14ac:dyDescent="0.2">
      <c r="A779">
        <v>45</v>
      </c>
      <c r="B779">
        <v>38</v>
      </c>
      <c r="C779">
        <v>83</v>
      </c>
      <c r="D779" s="51" t="s">
        <v>36</v>
      </c>
      <c r="E779">
        <f>VLOOKUP(M779,'MASS - 2016'!$A$1:$G$3418,6,FALSE)</f>
        <v>-76797.606</v>
      </c>
      <c r="F779">
        <f>VLOOKUP(M779,'MASS - 2016'!$A$1:$G$3418,7,FALSE)</f>
        <v>6.8339999999999996</v>
      </c>
      <c r="G779">
        <f t="shared" si="61"/>
        <v>-76797.606</v>
      </c>
      <c r="H779">
        <f t="shared" si="62"/>
        <v>82.917554379340274</v>
      </c>
      <c r="I779">
        <f t="shared" si="63"/>
        <v>77.237209457000006</v>
      </c>
      <c r="J779">
        <f t="shared" si="60"/>
        <v>77217.791456999999</v>
      </c>
      <c r="M779">
        <f t="shared" si="64"/>
        <v>45038</v>
      </c>
    </row>
    <row r="780" spans="1:13" x14ac:dyDescent="0.2">
      <c r="A780">
        <v>44</v>
      </c>
      <c r="B780">
        <v>39</v>
      </c>
      <c r="C780">
        <v>83</v>
      </c>
      <c r="D780" s="51" t="s">
        <v>37</v>
      </c>
      <c r="E780">
        <f>VLOOKUP(M780,'MASS - 2016'!$A$1:$G$3418,6,FALSE)</f>
        <v>-72205.664999999994</v>
      </c>
      <c r="F780">
        <f>VLOOKUP(M780,'MASS - 2016'!$A$1:$G$3418,7,FALSE)</f>
        <v>18.631</v>
      </c>
      <c r="G780">
        <f t="shared" si="61"/>
        <v>-72205.664999999994</v>
      </c>
      <c r="H780">
        <f t="shared" si="62"/>
        <v>82.922484030738232</v>
      </c>
      <c r="I780">
        <f t="shared" si="63"/>
        <v>77.241801398000007</v>
      </c>
      <c r="J780">
        <f t="shared" ref="J780:J843" si="65">1000*I780-B780*0.511</f>
        <v>77221.872398000007</v>
      </c>
      <c r="M780">
        <f t="shared" si="64"/>
        <v>44039</v>
      </c>
    </row>
    <row r="781" spans="1:13" x14ac:dyDescent="0.2">
      <c r="A781">
        <v>43</v>
      </c>
      <c r="B781">
        <v>40</v>
      </c>
      <c r="C781">
        <v>83</v>
      </c>
      <c r="D781" s="51" t="s">
        <v>38</v>
      </c>
      <c r="E781">
        <f>VLOOKUP(M781,'MASS - 2016'!$A$1:$G$3418,6,FALSE)</f>
        <v>-65911.653999999995</v>
      </c>
      <c r="F781">
        <f>VLOOKUP(M781,'MASS - 2016'!$A$1:$G$3418,7,FALSE)</f>
        <v>6.43</v>
      </c>
      <c r="G781">
        <f t="shared" si="61"/>
        <v>-65911.653999999995</v>
      </c>
      <c r="H781">
        <f t="shared" si="62"/>
        <v>82.929240929427678</v>
      </c>
      <c r="I781">
        <f t="shared" si="63"/>
        <v>77.248095409000001</v>
      </c>
      <c r="J781">
        <f t="shared" si="65"/>
        <v>77227.655408999999</v>
      </c>
      <c r="M781">
        <f t="shared" si="64"/>
        <v>43040</v>
      </c>
    </row>
    <row r="782" spans="1:13" x14ac:dyDescent="0.2">
      <c r="A782">
        <v>42</v>
      </c>
      <c r="B782">
        <v>41</v>
      </c>
      <c r="C782">
        <v>83</v>
      </c>
      <c r="D782" s="51" t="s">
        <v>39</v>
      </c>
      <c r="E782">
        <f>VLOOKUP(M782,'MASS - 2016'!$A$1:$G$3418,6,FALSE)</f>
        <v>-57556.082999999999</v>
      </c>
      <c r="F782">
        <f>VLOOKUP(M782,'MASS - 2016'!$A$1:$G$3418,7,FALSE)</f>
        <v>150.90199999999999</v>
      </c>
      <c r="G782">
        <f t="shared" si="61"/>
        <v>-57556.082999999999</v>
      </c>
      <c r="H782">
        <f t="shared" si="62"/>
        <v>82.938211003795132</v>
      </c>
      <c r="I782">
        <f t="shared" si="63"/>
        <v>77.256450980000011</v>
      </c>
      <c r="J782">
        <f t="shared" si="65"/>
        <v>77235.499980000008</v>
      </c>
      <c r="M782">
        <f t="shared" si="64"/>
        <v>42041</v>
      </c>
    </row>
    <row r="783" spans="1:13" x14ac:dyDescent="0.2">
      <c r="A783">
        <v>41</v>
      </c>
      <c r="B783">
        <v>42</v>
      </c>
      <c r="C783">
        <v>83</v>
      </c>
      <c r="D783" s="51" t="s">
        <v>40</v>
      </c>
      <c r="E783" t="str">
        <f>VLOOKUP(M783,'MASS - 2016'!$A$1:$G$3418,6,FALSE)</f>
        <v>-46340#</v>
      </c>
      <c r="F783" t="str">
        <f>VLOOKUP(M783,'MASS - 2016'!$A$1:$G$3418,7,FALSE)</f>
        <v>401#</v>
      </c>
      <c r="G783">
        <f t="shared" ref="G783:G846" si="66">IF(ISNUMBER(E783),E783,VALUE(SUBSTITUTE(E783,"#",".01")))</f>
        <v>-46340.01</v>
      </c>
      <c r="H783">
        <f t="shared" si="62"/>
        <v>82.9502519533509</v>
      </c>
      <c r="I783">
        <f t="shared" si="63"/>
        <v>77.267667053000011</v>
      </c>
      <c r="J783">
        <f t="shared" si="65"/>
        <v>77246.205053000012</v>
      </c>
      <c r="M783">
        <f t="shared" si="64"/>
        <v>41042</v>
      </c>
    </row>
    <row r="784" spans="1:13" x14ac:dyDescent="0.2">
      <c r="A784">
        <v>53</v>
      </c>
      <c r="B784">
        <v>31</v>
      </c>
      <c r="C784">
        <v>84</v>
      </c>
      <c r="D784" s="51" t="s">
        <v>29</v>
      </c>
      <c r="E784" t="str">
        <f>VLOOKUP(M784,'MASS - 2016'!$A$1:$G$3418,6,FALSE)</f>
        <v>-44088#</v>
      </c>
      <c r="F784" t="str">
        <f>VLOOKUP(M784,'MASS - 2016'!$A$1:$G$3418,7,FALSE)</f>
        <v>200#</v>
      </c>
      <c r="G784">
        <f t="shared" si="66"/>
        <v>-44088.01</v>
      </c>
      <c r="H784">
        <f t="shared" si="62"/>
        <v>83.95266957477682</v>
      </c>
      <c r="I784">
        <f t="shared" si="63"/>
        <v>78.201413114000005</v>
      </c>
      <c r="J784">
        <f t="shared" si="65"/>
        <v>78185.57211400001</v>
      </c>
      <c r="M784">
        <f t="shared" si="64"/>
        <v>53031</v>
      </c>
    </row>
    <row r="785" spans="1:13" x14ac:dyDescent="0.2">
      <c r="A785">
        <v>52</v>
      </c>
      <c r="B785">
        <v>32</v>
      </c>
      <c r="C785">
        <v>84</v>
      </c>
      <c r="D785" s="51" t="s">
        <v>30</v>
      </c>
      <c r="E785">
        <f>VLOOKUP(M785,'MASS - 2016'!$A$1:$G$3418,6,FALSE)</f>
        <v>-58148.428</v>
      </c>
      <c r="F785">
        <f>VLOOKUP(M785,'MASS - 2016'!$A$1:$G$3418,7,FALSE)</f>
        <v>3.1709999999999998</v>
      </c>
      <c r="G785">
        <f t="shared" si="66"/>
        <v>-58148.428</v>
      </c>
      <c r="H785">
        <f t="shared" si="62"/>
        <v>83.937575095285553</v>
      </c>
      <c r="I785">
        <f t="shared" si="63"/>
        <v>78.187352696000005</v>
      </c>
      <c r="J785">
        <f t="shared" si="65"/>
        <v>78171.000696000003</v>
      </c>
      <c r="M785">
        <f t="shared" si="64"/>
        <v>52032</v>
      </c>
    </row>
    <row r="786" spans="1:13" x14ac:dyDescent="0.2">
      <c r="A786">
        <v>51</v>
      </c>
      <c r="B786">
        <v>33</v>
      </c>
      <c r="C786">
        <v>84</v>
      </c>
      <c r="D786" s="51" t="s">
        <v>31</v>
      </c>
      <c r="E786">
        <f>VLOOKUP(M786,'MASS - 2016'!$A$1:$G$3418,6,FALSE)</f>
        <v>-65853.56</v>
      </c>
      <c r="F786">
        <f>VLOOKUP(M786,'MASS - 2016'!$A$1:$G$3418,7,FALSE)</f>
        <v>3.1709999999999998</v>
      </c>
      <c r="G786">
        <f t="shared" si="66"/>
        <v>-65853.56</v>
      </c>
      <c r="H786">
        <f t="shared" si="62"/>
        <v>83.929303295901533</v>
      </c>
      <c r="I786">
        <f t="shared" si="63"/>
        <v>78.179647564000007</v>
      </c>
      <c r="J786">
        <f t="shared" si="65"/>
        <v>78162.784564000016</v>
      </c>
      <c r="M786">
        <f t="shared" si="64"/>
        <v>51033</v>
      </c>
    </row>
    <row r="787" spans="1:13" x14ac:dyDescent="0.2">
      <c r="A787">
        <v>50</v>
      </c>
      <c r="B787">
        <v>34</v>
      </c>
      <c r="C787">
        <v>84</v>
      </c>
      <c r="D787" s="51" t="s">
        <v>32</v>
      </c>
      <c r="E787">
        <f>VLOOKUP(M787,'MASS - 2016'!$A$1:$G$3418,6,FALSE)</f>
        <v>-75947.721000000005</v>
      </c>
      <c r="F787">
        <f>VLOOKUP(M787,'MASS - 2016'!$A$1:$G$3418,7,FALSE)</f>
        <v>1.9610000000000001</v>
      </c>
      <c r="G787">
        <f t="shared" si="66"/>
        <v>-75947.721000000005</v>
      </c>
      <c r="H787">
        <f t="shared" si="62"/>
        <v>83.918466768410241</v>
      </c>
      <c r="I787">
        <f t="shared" si="63"/>
        <v>78.169553402999995</v>
      </c>
      <c r="J787">
        <f t="shared" si="65"/>
        <v>78152.179403000002</v>
      </c>
      <c r="M787">
        <f t="shared" si="64"/>
        <v>50034</v>
      </c>
    </row>
    <row r="788" spans="1:13" x14ac:dyDescent="0.2">
      <c r="A788">
        <v>49</v>
      </c>
      <c r="B788">
        <v>35</v>
      </c>
      <c r="C788">
        <v>84</v>
      </c>
      <c r="D788" s="51" t="s">
        <v>33</v>
      </c>
      <c r="E788">
        <f>VLOOKUP(M788,'MASS - 2016'!$A$1:$G$3418,6,FALSE)</f>
        <v>-77783.084000000003</v>
      </c>
      <c r="F788">
        <f>VLOOKUP(M788,'MASS - 2016'!$A$1:$G$3418,7,FALSE)</f>
        <v>25.73</v>
      </c>
      <c r="G788">
        <f t="shared" si="66"/>
        <v>-77783.084000000003</v>
      </c>
      <c r="H788">
        <f t="shared" si="62"/>
        <v>83.91649642519836</v>
      </c>
      <c r="I788">
        <f t="shared" si="63"/>
        <v>78.167718039999997</v>
      </c>
      <c r="J788">
        <f t="shared" si="65"/>
        <v>78149.833039999998</v>
      </c>
      <c r="M788">
        <f t="shared" si="64"/>
        <v>49035</v>
      </c>
    </row>
    <row r="789" spans="1:13" x14ac:dyDescent="0.2">
      <c r="A789">
        <v>48</v>
      </c>
      <c r="B789">
        <v>36</v>
      </c>
      <c r="C789">
        <v>84</v>
      </c>
      <c r="D789" s="51" t="s">
        <v>34</v>
      </c>
      <c r="E789">
        <f>VLOOKUP(M789,'MASS - 2016'!$A$1:$G$3418,6,FALSE)</f>
        <v>-82439.335099999997</v>
      </c>
      <c r="F789">
        <f>VLOOKUP(M789,'MASS - 2016'!$A$1:$G$3418,7,FALSE)</f>
        <v>3.79E-3</v>
      </c>
      <c r="G789">
        <f t="shared" si="66"/>
        <v>-82439.335099999997</v>
      </c>
      <c r="H789">
        <f t="shared" si="62"/>
        <v>83.911497734068746</v>
      </c>
      <c r="I789">
        <f t="shared" si="63"/>
        <v>78.163061788899995</v>
      </c>
      <c r="J789">
        <f t="shared" si="65"/>
        <v>78144.665788900005</v>
      </c>
      <c r="M789">
        <f t="shared" si="64"/>
        <v>48036</v>
      </c>
    </row>
    <row r="790" spans="1:13" x14ac:dyDescent="0.2">
      <c r="A790">
        <v>47</v>
      </c>
      <c r="B790">
        <v>37</v>
      </c>
      <c r="C790">
        <v>84</v>
      </c>
      <c r="D790" s="51" t="s">
        <v>35</v>
      </c>
      <c r="E790">
        <f>VLOOKUP(M790,'MASS - 2016'!$A$1:$G$3418,6,FALSE)</f>
        <v>-79758.964000000007</v>
      </c>
      <c r="F790">
        <f>VLOOKUP(M790,'MASS - 2016'!$A$1:$G$3418,7,FALSE)</f>
        <v>2.194</v>
      </c>
      <c r="G790">
        <f t="shared" si="66"/>
        <v>-79758.964000000007</v>
      </c>
      <c r="H790">
        <f t="shared" si="62"/>
        <v>83.914375230783136</v>
      </c>
      <c r="I790">
        <f t="shared" si="63"/>
        <v>78.165742159999994</v>
      </c>
      <c r="J790">
        <f t="shared" si="65"/>
        <v>78146.835159999988</v>
      </c>
      <c r="M790">
        <f t="shared" si="64"/>
        <v>47037</v>
      </c>
    </row>
    <row r="791" spans="1:13" x14ac:dyDescent="0.2">
      <c r="A791">
        <v>46</v>
      </c>
      <c r="B791">
        <v>38</v>
      </c>
      <c r="C791">
        <v>84</v>
      </c>
      <c r="D791" s="51" t="s">
        <v>36</v>
      </c>
      <c r="E791">
        <f>VLOOKUP(M791,'MASS - 2016'!$A$1:$G$3418,6,FALSE)</f>
        <v>-80649.570000000007</v>
      </c>
      <c r="F791">
        <f>VLOOKUP(M791,'MASS - 2016'!$A$1:$G$3418,7,FALSE)</f>
        <v>1.2430000000000001</v>
      </c>
      <c r="G791">
        <f t="shared" si="66"/>
        <v>-80649.570000000007</v>
      </c>
      <c r="H791">
        <f t="shared" si="62"/>
        <v>83.913419125921834</v>
      </c>
      <c r="I791">
        <f t="shared" si="63"/>
        <v>78.164851553999995</v>
      </c>
      <c r="J791">
        <f t="shared" si="65"/>
        <v>78145.433553999988</v>
      </c>
      <c r="M791">
        <f t="shared" si="64"/>
        <v>46038</v>
      </c>
    </row>
    <row r="792" spans="1:13" x14ac:dyDescent="0.2">
      <c r="A792">
        <v>45</v>
      </c>
      <c r="B792">
        <v>39</v>
      </c>
      <c r="C792">
        <v>84</v>
      </c>
      <c r="D792" s="51" t="s">
        <v>37</v>
      </c>
      <c r="E792">
        <f>VLOOKUP(M792,'MASS - 2016'!$A$1:$G$3418,6,FALSE)</f>
        <v>-73894.430999999997</v>
      </c>
      <c r="F792">
        <f>VLOOKUP(M792,'MASS - 2016'!$A$1:$G$3418,7,FALSE)</f>
        <v>4.2990000000000004</v>
      </c>
      <c r="G792">
        <f t="shared" si="66"/>
        <v>-73894.430999999997</v>
      </c>
      <c r="H792">
        <f t="shared" si="62"/>
        <v>83.920671065878111</v>
      </c>
      <c r="I792">
        <f t="shared" si="63"/>
        <v>78.171606693000001</v>
      </c>
      <c r="J792">
        <f t="shared" si="65"/>
        <v>78151.677692999991</v>
      </c>
      <c r="M792">
        <f t="shared" si="64"/>
        <v>45039</v>
      </c>
    </row>
    <row r="793" spans="1:13" x14ac:dyDescent="0.2">
      <c r="A793">
        <v>44</v>
      </c>
      <c r="B793">
        <v>40</v>
      </c>
      <c r="C793">
        <v>84</v>
      </c>
      <c r="D793" s="51" t="s">
        <v>38</v>
      </c>
      <c r="E793">
        <f>VLOOKUP(M793,'MASS - 2016'!$A$1:$G$3418,6,FALSE)</f>
        <v>-71421.686000000002</v>
      </c>
      <c r="F793">
        <f>VLOOKUP(M793,'MASS - 2016'!$A$1:$G$3418,7,FALSE)</f>
        <v>5.4989999999999997</v>
      </c>
      <c r="G793">
        <f t="shared" si="66"/>
        <v>-71421.686000000002</v>
      </c>
      <c r="H793">
        <f t="shared" si="62"/>
        <v>83.923325666807457</v>
      </c>
      <c r="I793">
        <f t="shared" si="63"/>
        <v>78.174079438000007</v>
      </c>
      <c r="J793">
        <f t="shared" si="65"/>
        <v>78153.639437999998</v>
      </c>
      <c r="M793">
        <f t="shared" si="64"/>
        <v>44040</v>
      </c>
    </row>
    <row r="794" spans="1:13" x14ac:dyDescent="0.2">
      <c r="A794">
        <v>43</v>
      </c>
      <c r="B794">
        <v>41</v>
      </c>
      <c r="C794">
        <v>84</v>
      </c>
      <c r="D794" s="51" t="s">
        <v>39</v>
      </c>
      <c r="E794">
        <f>VLOOKUP(M794,'MASS - 2016'!$A$1:$G$3418,6,FALSE)</f>
        <v>-61218.716999999997</v>
      </c>
      <c r="F794">
        <f>VLOOKUP(M794,'MASS - 2016'!$A$1:$G$3418,7,FALSE)</f>
        <v>13.041</v>
      </c>
      <c r="G794">
        <f t="shared" si="66"/>
        <v>-61218.716999999997</v>
      </c>
      <c r="H794">
        <f t="shared" si="62"/>
        <v>83.93427900449062</v>
      </c>
      <c r="I794">
        <f t="shared" si="63"/>
        <v>78.184282406999998</v>
      </c>
      <c r="J794">
        <f t="shared" si="65"/>
        <v>78163.331406999991</v>
      </c>
      <c r="M794">
        <f t="shared" si="64"/>
        <v>43041</v>
      </c>
    </row>
    <row r="795" spans="1:13" x14ac:dyDescent="0.2">
      <c r="A795">
        <v>42</v>
      </c>
      <c r="B795">
        <v>42</v>
      </c>
      <c r="C795">
        <v>84</v>
      </c>
      <c r="D795" s="51" t="s">
        <v>40</v>
      </c>
      <c r="E795" t="str">
        <f>VLOOKUP(M795,'MASS - 2016'!$A$1:$G$3418,6,FALSE)</f>
        <v>-54170#</v>
      </c>
      <c r="F795" t="str">
        <f>VLOOKUP(M795,'MASS - 2016'!$A$1:$G$3418,7,FALSE)</f>
        <v>298#</v>
      </c>
      <c r="G795">
        <f t="shared" si="66"/>
        <v>-54170.01</v>
      </c>
      <c r="H795">
        <f t="shared" si="62"/>
        <v>83.94184610265593</v>
      </c>
      <c r="I795">
        <f t="shared" si="63"/>
        <v>78.191331113999993</v>
      </c>
      <c r="J795">
        <f t="shared" si="65"/>
        <v>78169.869114000001</v>
      </c>
      <c r="M795">
        <f t="shared" si="64"/>
        <v>42042</v>
      </c>
    </row>
    <row r="796" spans="1:13" x14ac:dyDescent="0.2">
      <c r="A796">
        <v>53</v>
      </c>
      <c r="B796">
        <v>32</v>
      </c>
      <c r="C796">
        <v>85</v>
      </c>
      <c r="D796" s="51" t="s">
        <v>30</v>
      </c>
      <c r="E796">
        <f>VLOOKUP(M796,'MASS - 2016'!$A$1:$G$3418,6,FALSE)</f>
        <v>-53123.42</v>
      </c>
      <c r="F796">
        <f>VLOOKUP(M796,'MASS - 2016'!$A$1:$G$3418,7,FALSE)</f>
        <v>3.7290000000000001</v>
      </c>
      <c r="G796">
        <f t="shared" si="66"/>
        <v>-53123.42</v>
      </c>
      <c r="H796">
        <f t="shared" si="62"/>
        <v>84.942969663227942</v>
      </c>
      <c r="I796">
        <f t="shared" si="63"/>
        <v>79.12387176499999</v>
      </c>
      <c r="J796">
        <f t="shared" si="65"/>
        <v>79107.51976499999</v>
      </c>
      <c r="M796">
        <f t="shared" si="64"/>
        <v>53032</v>
      </c>
    </row>
    <row r="797" spans="1:13" x14ac:dyDescent="0.2">
      <c r="A797">
        <v>52</v>
      </c>
      <c r="B797">
        <v>33</v>
      </c>
      <c r="C797">
        <v>85</v>
      </c>
      <c r="D797" s="51" t="s">
        <v>31</v>
      </c>
      <c r="E797">
        <f>VLOOKUP(M797,'MASS - 2016'!$A$1:$G$3418,6,FALSE)</f>
        <v>-63189.144</v>
      </c>
      <c r="F797">
        <f>VLOOKUP(M797,'MASS - 2016'!$A$1:$G$3418,7,FALSE)</f>
        <v>3.0779999999999998</v>
      </c>
      <c r="G797">
        <f t="shared" si="66"/>
        <v>-63189.144</v>
      </c>
      <c r="H797">
        <f t="shared" si="62"/>
        <v>84.932163664111641</v>
      </c>
      <c r="I797">
        <f t="shared" si="63"/>
        <v>79.113806040999989</v>
      </c>
      <c r="J797">
        <f t="shared" si="65"/>
        <v>79096.943040999991</v>
      </c>
      <c r="M797">
        <f t="shared" si="64"/>
        <v>52033</v>
      </c>
    </row>
    <row r="798" spans="1:13" x14ac:dyDescent="0.2">
      <c r="A798">
        <v>51</v>
      </c>
      <c r="B798">
        <v>34</v>
      </c>
      <c r="C798">
        <v>85</v>
      </c>
      <c r="D798" s="51" t="s">
        <v>32</v>
      </c>
      <c r="E798">
        <f>VLOOKUP(M798,'MASS - 2016'!$A$1:$G$3418,6,FALSE)</f>
        <v>-72413.635999999999</v>
      </c>
      <c r="F798">
        <f>VLOOKUP(M798,'MASS - 2016'!$A$1:$G$3418,7,FALSE)</f>
        <v>2.613</v>
      </c>
      <c r="G798">
        <f t="shared" si="66"/>
        <v>-72413.635999999999</v>
      </c>
      <c r="H798">
        <f t="shared" si="62"/>
        <v>84.922260764687806</v>
      </c>
      <c r="I798">
        <f t="shared" si="63"/>
        <v>79.104581549000002</v>
      </c>
      <c r="J798">
        <f t="shared" si="65"/>
        <v>79087.207549000013</v>
      </c>
      <c r="M798">
        <f t="shared" si="64"/>
        <v>51034</v>
      </c>
    </row>
    <row r="799" spans="1:13" x14ac:dyDescent="0.2">
      <c r="A799">
        <v>50</v>
      </c>
      <c r="B799">
        <v>35</v>
      </c>
      <c r="C799">
        <v>85</v>
      </c>
      <c r="D799" s="51" t="s">
        <v>33</v>
      </c>
      <c r="E799">
        <f>VLOOKUP(M799,'MASS - 2016'!$A$1:$G$3418,6,FALSE)</f>
        <v>-78575.468999999997</v>
      </c>
      <c r="F799">
        <f>VLOOKUP(M799,'MASS - 2016'!$A$1:$G$3418,7,FALSE)</f>
        <v>3.0779999999999998</v>
      </c>
      <c r="G799">
        <f t="shared" si="66"/>
        <v>-78575.468999999997</v>
      </c>
      <c r="H799">
        <f t="shared" si="62"/>
        <v>84.915645764917016</v>
      </c>
      <c r="I799">
        <f t="shared" si="63"/>
        <v>79.098419715999995</v>
      </c>
      <c r="J799">
        <f t="shared" si="65"/>
        <v>79080.534715999995</v>
      </c>
      <c r="M799">
        <f t="shared" si="64"/>
        <v>50035</v>
      </c>
    </row>
    <row r="800" spans="1:13" x14ac:dyDescent="0.2">
      <c r="A800">
        <v>49</v>
      </c>
      <c r="B800">
        <v>36</v>
      </c>
      <c r="C800">
        <v>85</v>
      </c>
      <c r="D800" s="51" t="s">
        <v>34</v>
      </c>
      <c r="E800">
        <f>VLOOKUP(M800,'MASS - 2016'!$A$1:$G$3418,6,FALSE)</f>
        <v>-81480.331000000006</v>
      </c>
      <c r="F800">
        <f>VLOOKUP(M800,'MASS - 2016'!$A$1:$G$3418,7,FALSE)</f>
        <v>2</v>
      </c>
      <c r="G800">
        <f t="shared" si="66"/>
        <v>-81480.331000000006</v>
      </c>
      <c r="H800">
        <f t="shared" si="62"/>
        <v>84.912527267310196</v>
      </c>
      <c r="I800">
        <f t="shared" si="63"/>
        <v>79.095514854000001</v>
      </c>
      <c r="J800">
        <f t="shared" si="65"/>
        <v>79077.118854000015</v>
      </c>
      <c r="M800">
        <f t="shared" si="64"/>
        <v>49036</v>
      </c>
    </row>
    <row r="801" spans="1:13" x14ac:dyDescent="0.2">
      <c r="A801">
        <v>48</v>
      </c>
      <c r="B801">
        <v>37</v>
      </c>
      <c r="C801">
        <v>85</v>
      </c>
      <c r="D801" s="51" t="s">
        <v>35</v>
      </c>
      <c r="E801">
        <f>VLOOKUP(M801,'MASS - 2016'!$A$1:$G$3418,6,FALSE)</f>
        <v>-82167.330499999996</v>
      </c>
      <c r="F801">
        <f>VLOOKUP(M801,'MASS - 2016'!$A$1:$G$3418,7,FALSE)</f>
        <v>4.9800000000000001E-3</v>
      </c>
      <c r="G801">
        <f t="shared" si="66"/>
        <v>-82167.330499999996</v>
      </c>
      <c r="H801">
        <f t="shared" si="62"/>
        <v>84.911789743015873</v>
      </c>
      <c r="I801">
        <f t="shared" si="63"/>
        <v>79.094827854499997</v>
      </c>
      <c r="J801">
        <f t="shared" si="65"/>
        <v>79075.920854499986</v>
      </c>
      <c r="M801">
        <f t="shared" si="64"/>
        <v>48037</v>
      </c>
    </row>
    <row r="802" spans="1:13" x14ac:dyDescent="0.2">
      <c r="A802">
        <v>47</v>
      </c>
      <c r="B802">
        <v>38</v>
      </c>
      <c r="C802">
        <v>85</v>
      </c>
      <c r="D802" s="51" t="s">
        <v>36</v>
      </c>
      <c r="E802">
        <f>VLOOKUP(M802,'MASS - 2016'!$A$1:$G$3418,6,FALSE)</f>
        <v>-81103.28</v>
      </c>
      <c r="F802">
        <f>VLOOKUP(M802,'MASS - 2016'!$A$1:$G$3418,7,FALSE)</f>
        <v>2.8130000000000002</v>
      </c>
      <c r="G802">
        <f t="shared" si="66"/>
        <v>-81103.28</v>
      </c>
      <c r="H802">
        <f t="shared" si="62"/>
        <v>84.912932048205519</v>
      </c>
      <c r="I802">
        <f t="shared" si="63"/>
        <v>79.095891905000002</v>
      </c>
      <c r="J802">
        <f t="shared" si="65"/>
        <v>79076.473904999992</v>
      </c>
      <c r="M802">
        <f t="shared" si="64"/>
        <v>47038</v>
      </c>
    </row>
    <row r="803" spans="1:13" x14ac:dyDescent="0.2">
      <c r="A803">
        <v>46</v>
      </c>
      <c r="B803">
        <v>39</v>
      </c>
      <c r="C803">
        <v>85</v>
      </c>
      <c r="D803" s="51" t="s">
        <v>37</v>
      </c>
      <c r="E803">
        <f>VLOOKUP(M803,'MASS - 2016'!$A$1:$G$3418,6,FALSE)</f>
        <v>-77842.123000000007</v>
      </c>
      <c r="F803">
        <f>VLOOKUP(M803,'MASS - 2016'!$A$1:$G$3418,7,FALSE)</f>
        <v>18.965</v>
      </c>
      <c r="G803">
        <f t="shared" si="66"/>
        <v>-77842.123000000007</v>
      </c>
      <c r="H803">
        <f t="shared" si="62"/>
        <v>84.916433044225286</v>
      </c>
      <c r="I803">
        <f t="shared" si="63"/>
        <v>79.099153061999999</v>
      </c>
      <c r="J803">
        <f t="shared" si="65"/>
        <v>79079.224061999994</v>
      </c>
      <c r="M803">
        <f t="shared" si="64"/>
        <v>46039</v>
      </c>
    </row>
    <row r="804" spans="1:13" x14ac:dyDescent="0.2">
      <c r="A804">
        <v>45</v>
      </c>
      <c r="B804">
        <v>40</v>
      </c>
      <c r="C804">
        <v>85</v>
      </c>
      <c r="D804" s="51" t="s">
        <v>38</v>
      </c>
      <c r="E804">
        <f>VLOOKUP(M804,'MASS - 2016'!$A$1:$G$3418,6,FALSE)</f>
        <v>-73175.188999999998</v>
      </c>
      <c r="F804">
        <f>VLOOKUP(M804,'MASS - 2016'!$A$1:$G$3418,7,FALSE)</f>
        <v>6.43</v>
      </c>
      <c r="G804">
        <f t="shared" si="66"/>
        <v>-73175.188999999998</v>
      </c>
      <c r="H804">
        <f t="shared" si="62"/>
        <v>84.921443203919694</v>
      </c>
      <c r="I804">
        <f t="shared" si="63"/>
        <v>79.103819995999999</v>
      </c>
      <c r="J804">
        <f t="shared" si="65"/>
        <v>79083.379996000003</v>
      </c>
      <c r="M804">
        <f t="shared" si="64"/>
        <v>45040</v>
      </c>
    </row>
    <row r="805" spans="1:13" x14ac:dyDescent="0.2">
      <c r="A805">
        <v>44</v>
      </c>
      <c r="B805">
        <v>41</v>
      </c>
      <c r="C805">
        <v>85</v>
      </c>
      <c r="D805" s="51" t="s">
        <v>39</v>
      </c>
      <c r="E805">
        <f>VLOOKUP(M805,'MASS - 2016'!$A$1:$G$3418,6,FALSE)</f>
        <v>-66279.676000000007</v>
      </c>
      <c r="F805">
        <f>VLOOKUP(M805,'MASS - 2016'!$A$1:$G$3418,7,FALSE)</f>
        <v>4.0990000000000002</v>
      </c>
      <c r="G805">
        <f t="shared" si="66"/>
        <v>-66279.676000000007</v>
      </c>
      <c r="H805">
        <f t="shared" si="62"/>
        <v>84.928845841562492</v>
      </c>
      <c r="I805">
        <f t="shared" si="63"/>
        <v>79.110715509000002</v>
      </c>
      <c r="J805">
        <f t="shared" si="65"/>
        <v>79089.764509000001</v>
      </c>
      <c r="M805">
        <f t="shared" si="64"/>
        <v>44041</v>
      </c>
    </row>
    <row r="806" spans="1:13" x14ac:dyDescent="0.2">
      <c r="A806">
        <v>43</v>
      </c>
      <c r="B806">
        <v>42</v>
      </c>
      <c r="C806">
        <v>85</v>
      </c>
      <c r="D806" s="51" t="s">
        <v>40</v>
      </c>
      <c r="E806">
        <f>VLOOKUP(M806,'MASS - 2016'!$A$1:$G$3418,6,FALSE)</f>
        <v>-57509.752999999997</v>
      </c>
      <c r="F806">
        <f>VLOOKUP(M806,'MASS - 2016'!$A$1:$G$3418,7,FALSE)</f>
        <v>15.835000000000001</v>
      </c>
      <c r="G806">
        <f t="shared" si="66"/>
        <v>-57509.752999999997</v>
      </c>
      <c r="H806">
        <f t="shared" si="62"/>
        <v>84.938260741095576</v>
      </c>
      <c r="I806">
        <f t="shared" si="63"/>
        <v>79.119485431999991</v>
      </c>
      <c r="J806">
        <f t="shared" si="65"/>
        <v>79098.023431999987</v>
      </c>
      <c r="M806">
        <f t="shared" si="64"/>
        <v>43042</v>
      </c>
    </row>
    <row r="807" spans="1:13" x14ac:dyDescent="0.2">
      <c r="A807">
        <v>42</v>
      </c>
      <c r="B807">
        <v>43</v>
      </c>
      <c r="C807">
        <v>85</v>
      </c>
      <c r="D807" s="51" t="s">
        <v>41</v>
      </c>
      <c r="E807" t="str">
        <f>VLOOKUP(M807,'MASS - 2016'!$A$1:$G$3418,6,FALSE)</f>
        <v>-45850#</v>
      </c>
      <c r="F807" t="str">
        <f>VLOOKUP(M807,'MASS - 2016'!$A$1:$G$3418,7,FALSE)</f>
        <v>400#</v>
      </c>
      <c r="G807">
        <f t="shared" si="66"/>
        <v>-45850.01</v>
      </c>
      <c r="H807">
        <f t="shared" si="62"/>
        <v>84.950777989984417</v>
      </c>
      <c r="I807">
        <f t="shared" si="63"/>
        <v>79.131145175</v>
      </c>
      <c r="J807">
        <f t="shared" si="65"/>
        <v>79109.172175</v>
      </c>
      <c r="M807">
        <f t="shared" si="64"/>
        <v>42043</v>
      </c>
    </row>
    <row r="808" spans="1:13" x14ac:dyDescent="0.2">
      <c r="A808">
        <v>54</v>
      </c>
      <c r="B808">
        <v>32</v>
      </c>
      <c r="C808">
        <v>86</v>
      </c>
      <c r="D808" s="51" t="s">
        <v>30</v>
      </c>
      <c r="E808">
        <f>VLOOKUP(M808,'MASS - 2016'!$A$1:$G$3418,6,FALSE)</f>
        <v>-49399.921999999999</v>
      </c>
      <c r="F808">
        <f>VLOOKUP(M808,'MASS - 2016'!$A$1:$G$3418,7,FALSE)</f>
        <v>437.80200000000002</v>
      </c>
      <c r="G808">
        <f t="shared" si="66"/>
        <v>-49399.921999999999</v>
      </c>
      <c r="H808">
        <f t="shared" si="62"/>
        <v>85.946967002723596</v>
      </c>
      <c r="I808">
        <f t="shared" si="63"/>
        <v>80.059089323999999</v>
      </c>
      <c r="J808">
        <f t="shared" si="65"/>
        <v>80042.737324000002</v>
      </c>
      <c r="M808">
        <f t="shared" si="64"/>
        <v>54032</v>
      </c>
    </row>
    <row r="809" spans="1:13" x14ac:dyDescent="0.2">
      <c r="A809">
        <v>53</v>
      </c>
      <c r="B809">
        <v>33</v>
      </c>
      <c r="C809">
        <v>86</v>
      </c>
      <c r="D809" s="51" t="s">
        <v>31</v>
      </c>
      <c r="E809">
        <f>VLOOKUP(M809,'MASS - 2016'!$A$1:$G$3418,6,FALSE)</f>
        <v>-58962.142</v>
      </c>
      <c r="F809">
        <f>VLOOKUP(M809,'MASS - 2016'!$A$1:$G$3418,7,FALSE)</f>
        <v>3.45</v>
      </c>
      <c r="G809">
        <f t="shared" si="66"/>
        <v>-58962.142</v>
      </c>
      <c r="H809">
        <f t="shared" si="62"/>
        <v>85.93670153738104</v>
      </c>
      <c r="I809">
        <f t="shared" si="63"/>
        <v>80.049527104000006</v>
      </c>
      <c r="J809">
        <f t="shared" si="65"/>
        <v>80032.66410400001</v>
      </c>
      <c r="M809">
        <f t="shared" si="64"/>
        <v>53033</v>
      </c>
    </row>
    <row r="810" spans="1:13" x14ac:dyDescent="0.2">
      <c r="A810">
        <v>52</v>
      </c>
      <c r="B810">
        <v>34</v>
      </c>
      <c r="C810">
        <v>86</v>
      </c>
      <c r="D810" s="51" t="s">
        <v>32</v>
      </c>
      <c r="E810">
        <f>VLOOKUP(M810,'MASS - 2016'!$A$1:$G$3418,6,FALSE)</f>
        <v>-70503.167000000001</v>
      </c>
      <c r="F810">
        <f>VLOOKUP(M810,'MASS - 2016'!$A$1:$G$3418,7,FALSE)</f>
        <v>2.52</v>
      </c>
      <c r="G810">
        <f t="shared" si="66"/>
        <v>-70503.167000000001</v>
      </c>
      <c r="H810">
        <f t="shared" si="62"/>
        <v>85.924311737506613</v>
      </c>
      <c r="I810">
        <f t="shared" si="63"/>
        <v>80.037986079000007</v>
      </c>
      <c r="J810">
        <f t="shared" si="65"/>
        <v>80020.612079000013</v>
      </c>
      <c r="M810">
        <f t="shared" si="64"/>
        <v>52034</v>
      </c>
    </row>
    <row r="811" spans="1:13" x14ac:dyDescent="0.2">
      <c r="A811">
        <v>51</v>
      </c>
      <c r="B811">
        <v>35</v>
      </c>
      <c r="C811">
        <v>86</v>
      </c>
      <c r="D811" s="51" t="s">
        <v>33</v>
      </c>
      <c r="E811">
        <f>VLOOKUP(M811,'MASS - 2016'!$A$1:$G$3418,6,FALSE)</f>
        <v>-75632.251999999993</v>
      </c>
      <c r="F811">
        <f>VLOOKUP(M811,'MASS - 2016'!$A$1:$G$3418,7,FALSE)</f>
        <v>3.0779999999999998</v>
      </c>
      <c r="G811">
        <f t="shared" si="66"/>
        <v>-75632.251999999993</v>
      </c>
      <c r="H811">
        <f t="shared" si="62"/>
        <v>85.918805438309718</v>
      </c>
      <c r="I811">
        <f t="shared" si="63"/>
        <v>80.032856993999999</v>
      </c>
      <c r="J811">
        <f t="shared" si="65"/>
        <v>80014.971994000007</v>
      </c>
      <c r="M811">
        <f t="shared" si="64"/>
        <v>51035</v>
      </c>
    </row>
    <row r="812" spans="1:13" x14ac:dyDescent="0.2">
      <c r="A812">
        <v>50</v>
      </c>
      <c r="B812">
        <v>36</v>
      </c>
      <c r="C812">
        <v>86</v>
      </c>
      <c r="D812" s="51" t="s">
        <v>34</v>
      </c>
      <c r="E812">
        <f>VLOOKUP(M812,'MASS - 2016'!$A$1:$G$3418,6,FALSE)</f>
        <v>-83265.665640000007</v>
      </c>
      <c r="F812">
        <f>VLOOKUP(M812,'MASS - 2016'!$A$1:$G$3418,7,FALSE)</f>
        <v>3.6900000000000001E-3</v>
      </c>
      <c r="G812">
        <f t="shared" si="66"/>
        <v>-83265.665640000007</v>
      </c>
      <c r="H812">
        <f t="shared" si="62"/>
        <v>85.910610631751524</v>
      </c>
      <c r="I812">
        <f t="shared" si="63"/>
        <v>80.025223580360006</v>
      </c>
      <c r="J812">
        <f t="shared" si="65"/>
        <v>80006.827580360012</v>
      </c>
      <c r="M812">
        <f t="shared" si="64"/>
        <v>50036</v>
      </c>
    </row>
    <row r="813" spans="1:13" x14ac:dyDescent="0.2">
      <c r="A813">
        <v>49</v>
      </c>
      <c r="B813">
        <v>37</v>
      </c>
      <c r="C813">
        <v>86</v>
      </c>
      <c r="D813" s="51" t="s">
        <v>35</v>
      </c>
      <c r="E813">
        <f>VLOOKUP(M813,'MASS - 2016'!$A$1:$G$3418,6,FALSE)</f>
        <v>-82746.993000000002</v>
      </c>
      <c r="F813">
        <f>VLOOKUP(M813,'MASS - 2016'!$A$1:$G$3418,7,FALSE)</f>
        <v>0.2</v>
      </c>
      <c r="G813">
        <f t="shared" si="66"/>
        <v>-82746.993000000002</v>
      </c>
      <c r="H813">
        <f t="shared" si="62"/>
        <v>85.911167449729987</v>
      </c>
      <c r="I813">
        <f t="shared" si="63"/>
        <v>80.025742253000004</v>
      </c>
      <c r="J813">
        <f t="shared" si="65"/>
        <v>80006.835252999997</v>
      </c>
      <c r="M813">
        <f t="shared" si="64"/>
        <v>49037</v>
      </c>
    </row>
    <row r="814" spans="1:13" x14ac:dyDescent="0.2">
      <c r="A814">
        <v>48</v>
      </c>
      <c r="B814">
        <v>38</v>
      </c>
      <c r="C814">
        <v>86</v>
      </c>
      <c r="D814" s="51" t="s">
        <v>36</v>
      </c>
      <c r="E814">
        <f>VLOOKUP(M814,'MASS - 2016'!$A$1:$G$3418,6,FALSE)</f>
        <v>-84523.089349999995</v>
      </c>
      <c r="F814">
        <f>VLOOKUP(M814,'MASS - 2016'!$A$1:$G$3418,7,FALSE)</f>
        <v>5.2199999999999998E-3</v>
      </c>
      <c r="G814">
        <f t="shared" si="66"/>
        <v>-84523.089349999995</v>
      </c>
      <c r="H814">
        <f t="shared" si="62"/>
        <v>85.909260731883506</v>
      </c>
      <c r="I814">
        <f t="shared" si="63"/>
        <v>80.023966156650005</v>
      </c>
      <c r="J814">
        <f t="shared" si="65"/>
        <v>80004.548156649995</v>
      </c>
      <c r="M814">
        <f t="shared" si="64"/>
        <v>48038</v>
      </c>
    </row>
    <row r="815" spans="1:13" x14ac:dyDescent="0.2">
      <c r="A815">
        <v>47</v>
      </c>
      <c r="B815">
        <v>39</v>
      </c>
      <c r="C815">
        <v>86</v>
      </c>
      <c r="D815" s="51" t="s">
        <v>37</v>
      </c>
      <c r="E815">
        <f>VLOOKUP(M815,'MASS - 2016'!$A$1:$G$3418,6,FALSE)</f>
        <v>-79283.089000000007</v>
      </c>
      <c r="F815">
        <f>VLOOKUP(M815,'MASS - 2016'!$A$1:$G$3418,7,FALSE)</f>
        <v>14.141999999999999</v>
      </c>
      <c r="G815">
        <f t="shared" si="66"/>
        <v>-79283.089000000007</v>
      </c>
      <c r="H815">
        <f t="shared" si="62"/>
        <v>85.914886103605554</v>
      </c>
      <c r="I815">
        <f t="shared" si="63"/>
        <v>80.029206157000004</v>
      </c>
      <c r="J815">
        <f t="shared" si="65"/>
        <v>80009.277157000004</v>
      </c>
      <c r="M815">
        <f t="shared" si="64"/>
        <v>47039</v>
      </c>
    </row>
    <row r="816" spans="1:13" x14ac:dyDescent="0.2">
      <c r="A816">
        <v>46</v>
      </c>
      <c r="B816">
        <v>40</v>
      </c>
      <c r="C816">
        <v>86</v>
      </c>
      <c r="D816" s="51" t="s">
        <v>38</v>
      </c>
      <c r="E816">
        <f>VLOOKUP(M816,'MASS - 2016'!$A$1:$G$3418,6,FALSE)</f>
        <v>-77969.013999999996</v>
      </c>
      <c r="F816">
        <f>VLOOKUP(M816,'MASS - 2016'!$A$1:$G$3418,7,FALSE)</f>
        <v>3.5659999999999998</v>
      </c>
      <c r="G816">
        <f t="shared" si="66"/>
        <v>-77969.013999999996</v>
      </c>
      <c r="H816">
        <f t="shared" si="62"/>
        <v>85.916296821134537</v>
      </c>
      <c r="I816">
        <f t="shared" si="63"/>
        <v>80.030520232000001</v>
      </c>
      <c r="J816">
        <f t="shared" si="65"/>
        <v>80010.080231999993</v>
      </c>
      <c r="M816">
        <f t="shared" si="64"/>
        <v>46040</v>
      </c>
    </row>
    <row r="817" spans="1:13" x14ac:dyDescent="0.2">
      <c r="A817">
        <v>45</v>
      </c>
      <c r="B817">
        <v>41</v>
      </c>
      <c r="C817">
        <v>86</v>
      </c>
      <c r="D817" s="51" t="s">
        <v>39</v>
      </c>
      <c r="E817">
        <f>VLOOKUP(M817,'MASS - 2016'!$A$1:$G$3418,6,FALSE)</f>
        <v>-69134.054000000004</v>
      </c>
      <c r="F817">
        <f>VLOOKUP(M817,'MASS - 2016'!$A$1:$G$3418,7,FALSE)</f>
        <v>5.4989999999999997</v>
      </c>
      <c r="G817">
        <f t="shared" si="66"/>
        <v>-69134.054000000004</v>
      </c>
      <c r="H817">
        <f t="shared" si="62"/>
        <v>85.925781540758535</v>
      </c>
      <c r="I817">
        <f t="shared" si="63"/>
        <v>80.039355192000002</v>
      </c>
      <c r="J817">
        <f t="shared" si="65"/>
        <v>80018.404192000002</v>
      </c>
      <c r="M817">
        <f t="shared" si="64"/>
        <v>45041</v>
      </c>
    </row>
    <row r="818" spans="1:13" x14ac:dyDescent="0.2">
      <c r="A818">
        <v>44</v>
      </c>
      <c r="B818">
        <v>42</v>
      </c>
      <c r="C818">
        <v>86</v>
      </c>
      <c r="D818" s="51" t="s">
        <v>40</v>
      </c>
      <c r="E818">
        <f>VLOOKUP(M818,'MASS - 2016'!$A$1:$G$3418,6,FALSE)</f>
        <v>-64110.245000000003</v>
      </c>
      <c r="F818">
        <f>VLOOKUP(M818,'MASS - 2016'!$A$1:$G$3418,7,FALSE)</f>
        <v>3.726</v>
      </c>
      <c r="G818">
        <f t="shared" si="66"/>
        <v>-64110.245000000003</v>
      </c>
      <c r="H818">
        <f t="shared" si="62"/>
        <v>85.931174821521495</v>
      </c>
      <c r="I818">
        <f t="shared" si="63"/>
        <v>80.04437900100001</v>
      </c>
      <c r="J818">
        <f t="shared" si="65"/>
        <v>80022.917001000009</v>
      </c>
      <c r="M818">
        <f t="shared" si="64"/>
        <v>44042</v>
      </c>
    </row>
    <row r="819" spans="1:13" x14ac:dyDescent="0.2">
      <c r="A819">
        <v>43</v>
      </c>
      <c r="B819">
        <v>43</v>
      </c>
      <c r="C819">
        <v>86</v>
      </c>
      <c r="D819" s="51" t="s">
        <v>41</v>
      </c>
      <c r="E819" t="str">
        <f>VLOOKUP(M819,'MASS - 2016'!$A$1:$G$3418,6,FALSE)</f>
        <v>-51570#</v>
      </c>
      <c r="F819" t="str">
        <f>VLOOKUP(M819,'MASS - 2016'!$A$1:$G$3418,7,FALSE)</f>
        <v>300#</v>
      </c>
      <c r="G819">
        <f t="shared" si="66"/>
        <v>-51570.01</v>
      </c>
      <c r="H819">
        <f t="shared" si="62"/>
        <v>85.94463731744608</v>
      </c>
      <c r="I819">
        <f t="shared" si="63"/>
        <v>80.056919235999999</v>
      </c>
      <c r="J819">
        <f t="shared" si="65"/>
        <v>80034.946236000003</v>
      </c>
      <c r="M819">
        <f t="shared" si="64"/>
        <v>43043</v>
      </c>
    </row>
    <row r="820" spans="1:13" x14ac:dyDescent="0.2">
      <c r="A820">
        <v>54</v>
      </c>
      <c r="B820">
        <v>33</v>
      </c>
      <c r="C820">
        <v>87</v>
      </c>
      <c r="D820" s="51" t="s">
        <v>31</v>
      </c>
      <c r="E820">
        <f>VLOOKUP(M820,'MASS - 2016'!$A$1:$G$3418,6,FALSE)</f>
        <v>-55617.906999999999</v>
      </c>
      <c r="F820">
        <f>VLOOKUP(M820,'MASS - 2016'!$A$1:$G$3418,7,FALSE)</f>
        <v>2.9849999999999999</v>
      </c>
      <c r="G820">
        <f t="shared" si="66"/>
        <v>-55617.906999999999</v>
      </c>
      <c r="H820">
        <f t="shared" si="62"/>
        <v>86.940291721301705</v>
      </c>
      <c r="I820">
        <f t="shared" si="63"/>
        <v>80.984365400000002</v>
      </c>
      <c r="J820">
        <f t="shared" si="65"/>
        <v>80967.502399999998</v>
      </c>
      <c r="M820">
        <f t="shared" si="64"/>
        <v>54033</v>
      </c>
    </row>
    <row r="821" spans="1:13" x14ac:dyDescent="0.2">
      <c r="A821">
        <v>53</v>
      </c>
      <c r="B821">
        <v>34</v>
      </c>
      <c r="C821">
        <v>87</v>
      </c>
      <c r="D821" s="51" t="s">
        <v>32</v>
      </c>
      <c r="E821">
        <f>VLOOKUP(M821,'MASS - 2016'!$A$1:$G$3418,6,FALSE)</f>
        <v>-66426.125</v>
      </c>
      <c r="F821">
        <f>VLOOKUP(M821,'MASS - 2016'!$A$1:$G$3418,7,FALSE)</f>
        <v>2.2410000000000001</v>
      </c>
      <c r="G821">
        <f t="shared" si="66"/>
        <v>-66426.125</v>
      </c>
      <c r="H821">
        <f t="shared" si="62"/>
        <v>86.928688622095251</v>
      </c>
      <c r="I821">
        <f t="shared" si="63"/>
        <v>80.973557181999993</v>
      </c>
      <c r="J821">
        <f t="shared" si="65"/>
        <v>80956.183181999993</v>
      </c>
      <c r="M821">
        <f t="shared" si="64"/>
        <v>53034</v>
      </c>
    </row>
    <row r="822" spans="1:13" x14ac:dyDescent="0.2">
      <c r="A822">
        <v>52</v>
      </c>
      <c r="B822">
        <v>35</v>
      </c>
      <c r="C822">
        <v>87</v>
      </c>
      <c r="D822" s="51" t="s">
        <v>33</v>
      </c>
      <c r="E822">
        <f>VLOOKUP(M822,'MASS - 2016'!$A$1:$G$3418,6,FALSE)</f>
        <v>-73891.676000000007</v>
      </c>
      <c r="F822">
        <f>VLOOKUP(M822,'MASS - 2016'!$A$1:$G$3418,7,FALSE)</f>
        <v>3.1709999999999998</v>
      </c>
      <c r="G822">
        <f t="shared" si="66"/>
        <v>-73891.676000000007</v>
      </c>
      <c r="H822">
        <f t="shared" si="62"/>
        <v>86.920674023492239</v>
      </c>
      <c r="I822">
        <f t="shared" si="63"/>
        <v>80.966091630999998</v>
      </c>
      <c r="J822">
        <f t="shared" si="65"/>
        <v>80948.206631000008</v>
      </c>
      <c r="M822">
        <f t="shared" si="64"/>
        <v>52035</v>
      </c>
    </row>
    <row r="823" spans="1:13" x14ac:dyDescent="0.2">
      <c r="A823">
        <v>51</v>
      </c>
      <c r="B823">
        <v>36</v>
      </c>
      <c r="C823">
        <v>87</v>
      </c>
      <c r="D823" s="51" t="s">
        <v>34</v>
      </c>
      <c r="E823">
        <f>VLOOKUP(M823,'MASS - 2016'!$A$1:$G$3418,6,FALSE)</f>
        <v>-80709.521999999997</v>
      </c>
      <c r="F823">
        <f>VLOOKUP(M823,'MASS - 2016'!$A$1:$G$3418,7,FALSE)</f>
        <v>0.246</v>
      </c>
      <c r="G823">
        <f t="shared" si="66"/>
        <v>-80709.521999999997</v>
      </c>
      <c r="H823">
        <f t="shared" si="62"/>
        <v>86.913354764802946</v>
      </c>
      <c r="I823">
        <f t="shared" si="63"/>
        <v>80.959273784999993</v>
      </c>
      <c r="J823">
        <f t="shared" si="65"/>
        <v>80940.877785000004</v>
      </c>
      <c r="M823">
        <f t="shared" si="64"/>
        <v>51036</v>
      </c>
    </row>
    <row r="824" spans="1:13" x14ac:dyDescent="0.2">
      <c r="A824">
        <v>50</v>
      </c>
      <c r="B824">
        <v>37</v>
      </c>
      <c r="C824">
        <v>87</v>
      </c>
      <c r="D824" s="51" t="s">
        <v>35</v>
      </c>
      <c r="E824">
        <f>VLOOKUP(M824,'MASS - 2016'!$A$1:$G$3418,6,FALSE)</f>
        <v>-84597.790999999997</v>
      </c>
      <c r="F824">
        <f>VLOOKUP(M824,'MASS - 2016'!$A$1:$G$3418,7,FALSE)</f>
        <v>6.0000000000000001E-3</v>
      </c>
      <c r="G824">
        <f t="shared" si="66"/>
        <v>-84597.790999999997</v>
      </c>
      <c r="H824">
        <f t="shared" si="62"/>
        <v>86.909180536364161</v>
      </c>
      <c r="I824">
        <f t="shared" si="63"/>
        <v>80.955385516000007</v>
      </c>
      <c r="J824">
        <f t="shared" si="65"/>
        <v>80936.478516000003</v>
      </c>
      <c r="M824">
        <f t="shared" si="64"/>
        <v>50037</v>
      </c>
    </row>
    <row r="825" spans="1:13" x14ac:dyDescent="0.2">
      <c r="A825">
        <v>49</v>
      </c>
      <c r="B825">
        <v>38</v>
      </c>
      <c r="C825">
        <v>87</v>
      </c>
      <c r="D825" s="51" t="s">
        <v>36</v>
      </c>
      <c r="E825">
        <f>VLOOKUP(M825,'MASS - 2016'!$A$1:$G$3418,6,FALSE)</f>
        <v>-84880.065950000004</v>
      </c>
      <c r="F825">
        <f>VLOOKUP(M825,'MASS - 2016'!$A$1:$G$3418,7,FALSE)</f>
        <v>5.1000000000000004E-3</v>
      </c>
      <c r="G825">
        <f t="shared" si="66"/>
        <v>-84880.065950000004</v>
      </c>
      <c r="H825">
        <f t="shared" si="62"/>
        <v>86.908877501742865</v>
      </c>
      <c r="I825">
        <f t="shared" si="63"/>
        <v>80.955103241049997</v>
      </c>
      <c r="J825">
        <f t="shared" si="65"/>
        <v>80935.685241049985</v>
      </c>
      <c r="M825">
        <f t="shared" si="64"/>
        <v>49038</v>
      </c>
    </row>
    <row r="826" spans="1:13" x14ac:dyDescent="0.2">
      <c r="A826">
        <v>48</v>
      </c>
      <c r="B826">
        <v>39</v>
      </c>
      <c r="C826">
        <v>87</v>
      </c>
      <c r="D826" s="51" t="s">
        <v>37</v>
      </c>
      <c r="E826">
        <f>VLOOKUP(M826,'MASS - 2016'!$A$1:$G$3418,6,FALSE)</f>
        <v>-83018.376000000004</v>
      </c>
      <c r="F826">
        <f>VLOOKUP(M826,'MASS - 2016'!$A$1:$G$3418,7,FALSE)</f>
        <v>1.1279999999999999</v>
      </c>
      <c r="G826">
        <f t="shared" si="66"/>
        <v>-83018.376000000004</v>
      </c>
      <c r="H826">
        <f t="shared" si="62"/>
        <v>86.910876108097909</v>
      </c>
      <c r="I826">
        <f t="shared" si="63"/>
        <v>80.956964931000002</v>
      </c>
      <c r="J826">
        <f t="shared" si="65"/>
        <v>80937.035930999991</v>
      </c>
      <c r="M826">
        <f t="shared" si="64"/>
        <v>48039</v>
      </c>
    </row>
    <row r="827" spans="1:13" x14ac:dyDescent="0.2">
      <c r="A827">
        <v>47</v>
      </c>
      <c r="B827">
        <v>40</v>
      </c>
      <c r="C827">
        <v>87</v>
      </c>
      <c r="D827" s="51" t="s">
        <v>38</v>
      </c>
      <c r="E827">
        <f>VLOOKUP(M827,'MASS - 2016'!$A$1:$G$3418,6,FALSE)</f>
        <v>-79347.137000000002</v>
      </c>
      <c r="F827">
        <f>VLOOKUP(M827,'MASS - 2016'!$A$1:$G$3418,7,FALSE)</f>
        <v>4.1459999999999999</v>
      </c>
      <c r="G827">
        <f t="shared" si="66"/>
        <v>-79347.137000000002</v>
      </c>
      <c r="H827">
        <f t="shared" si="62"/>
        <v>86.91481734524983</v>
      </c>
      <c r="I827">
        <f t="shared" si="63"/>
        <v>80.960636170000001</v>
      </c>
      <c r="J827">
        <f t="shared" si="65"/>
        <v>80940.196169999996</v>
      </c>
      <c r="M827">
        <f t="shared" si="64"/>
        <v>47040</v>
      </c>
    </row>
    <row r="828" spans="1:13" x14ac:dyDescent="0.2">
      <c r="A828">
        <v>46</v>
      </c>
      <c r="B828">
        <v>41</v>
      </c>
      <c r="C828">
        <v>87</v>
      </c>
      <c r="D828" s="51" t="s">
        <v>39</v>
      </c>
      <c r="E828">
        <f>VLOOKUP(M828,'MASS - 2016'!$A$1:$G$3418,6,FALSE)</f>
        <v>-73874.486000000004</v>
      </c>
      <c r="F828">
        <f>VLOOKUP(M828,'MASS - 2016'!$A$1:$G$3418,7,FALSE)</f>
        <v>6.8019999999999996</v>
      </c>
      <c r="G828">
        <f t="shared" si="66"/>
        <v>-73874.486000000004</v>
      </c>
      <c r="H828">
        <f t="shared" si="62"/>
        <v>86.920692477716187</v>
      </c>
      <c r="I828">
        <f t="shared" si="63"/>
        <v>80.966108821000006</v>
      </c>
      <c r="J828">
        <f t="shared" si="65"/>
        <v>80945.157821000001</v>
      </c>
      <c r="M828">
        <f t="shared" si="64"/>
        <v>46041</v>
      </c>
    </row>
    <row r="829" spans="1:13" x14ac:dyDescent="0.2">
      <c r="A829">
        <v>45</v>
      </c>
      <c r="B829">
        <v>42</v>
      </c>
      <c r="C829">
        <v>87</v>
      </c>
      <c r="D829" s="51" t="s">
        <v>40</v>
      </c>
      <c r="E829">
        <f>VLOOKUP(M829,'MASS - 2016'!$A$1:$G$3418,6,FALSE)</f>
        <v>-66884.808000000005</v>
      </c>
      <c r="F829">
        <f>VLOOKUP(M829,'MASS - 2016'!$A$1:$G$3418,7,FALSE)</f>
        <v>2.8570000000000002</v>
      </c>
      <c r="G829">
        <f t="shared" si="66"/>
        <v>-66884.808000000005</v>
      </c>
      <c r="H829">
        <f t="shared" si="62"/>
        <v>86.928196205643872</v>
      </c>
      <c r="I829">
        <f t="shared" si="63"/>
        <v>80.973098499000002</v>
      </c>
      <c r="J829">
        <f t="shared" si="65"/>
        <v>80951.636499</v>
      </c>
      <c r="M829">
        <f t="shared" si="64"/>
        <v>45042</v>
      </c>
    </row>
    <row r="830" spans="1:13" x14ac:dyDescent="0.2">
      <c r="A830">
        <v>44</v>
      </c>
      <c r="B830">
        <v>43</v>
      </c>
      <c r="C830">
        <v>87</v>
      </c>
      <c r="D830" s="51" t="s">
        <v>41</v>
      </c>
      <c r="E830">
        <f>VLOOKUP(M830,'MASS - 2016'!$A$1:$G$3418,6,FALSE)</f>
        <v>-57690.044000000002</v>
      </c>
      <c r="F830">
        <f>VLOOKUP(M830,'MASS - 2016'!$A$1:$G$3418,7,FALSE)</f>
        <v>4.1920000000000002</v>
      </c>
      <c r="G830">
        <f t="shared" si="66"/>
        <v>-57690.044000000002</v>
      </c>
      <c r="H830">
        <f t="shared" si="62"/>
        <v>86.938067190747233</v>
      </c>
      <c r="I830">
        <f t="shared" si="63"/>
        <v>80.982293263000003</v>
      </c>
      <c r="J830">
        <f t="shared" si="65"/>
        <v>80960.320263000001</v>
      </c>
      <c r="M830">
        <f t="shared" si="64"/>
        <v>44043</v>
      </c>
    </row>
    <row r="831" spans="1:13" x14ac:dyDescent="0.2">
      <c r="A831">
        <v>43</v>
      </c>
      <c r="B831">
        <v>44</v>
      </c>
      <c r="C831">
        <v>87</v>
      </c>
      <c r="D831" s="51" t="s">
        <v>42</v>
      </c>
      <c r="E831" t="str">
        <f>VLOOKUP(M831,'MASS - 2016'!$A$1:$G$3418,6,FALSE)</f>
        <v>-45520#</v>
      </c>
      <c r="F831" t="str">
        <f>VLOOKUP(M831,'MASS - 2016'!$A$1:$G$3418,7,FALSE)</f>
        <v>400#</v>
      </c>
      <c r="G831">
        <f t="shared" si="66"/>
        <v>-45520.01</v>
      </c>
      <c r="H831">
        <f t="shared" si="62"/>
        <v>86.95113225955393</v>
      </c>
      <c r="I831">
        <f t="shared" si="63"/>
        <v>80.994463296999996</v>
      </c>
      <c r="J831">
        <f t="shared" si="65"/>
        <v>80971.979296999998</v>
      </c>
      <c r="M831">
        <f t="shared" si="64"/>
        <v>43044</v>
      </c>
    </row>
    <row r="832" spans="1:13" x14ac:dyDescent="0.2">
      <c r="A832">
        <v>55</v>
      </c>
      <c r="B832">
        <v>33</v>
      </c>
      <c r="C832">
        <v>88</v>
      </c>
      <c r="D832" s="51" t="s">
        <v>31</v>
      </c>
      <c r="E832" t="str">
        <f>VLOOKUP(M832,'MASS - 2016'!$A$1:$G$3418,6,FALSE)</f>
        <v>-50720#</v>
      </c>
      <c r="F832" t="str">
        <f>VLOOKUP(M832,'MASS - 2016'!$A$1:$G$3418,7,FALSE)</f>
        <v>196#</v>
      </c>
      <c r="G832">
        <f t="shared" si="66"/>
        <v>-50720.01</v>
      </c>
      <c r="H832">
        <f t="shared" si="62"/>
        <v>87.945549829973629</v>
      </c>
      <c r="I832">
        <f t="shared" si="63"/>
        <v>81.920757357999989</v>
      </c>
      <c r="J832">
        <f t="shared" si="65"/>
        <v>81903.89435799999</v>
      </c>
      <c r="M832">
        <f t="shared" si="64"/>
        <v>55033</v>
      </c>
    </row>
    <row r="833" spans="1:13" x14ac:dyDescent="0.2">
      <c r="A833">
        <v>54</v>
      </c>
      <c r="B833">
        <v>34</v>
      </c>
      <c r="C833">
        <v>88</v>
      </c>
      <c r="D833" s="51" t="s">
        <v>32</v>
      </c>
      <c r="E833">
        <f>VLOOKUP(M833,'MASS - 2016'!$A$1:$G$3418,6,FALSE)</f>
        <v>-63884.195</v>
      </c>
      <c r="F833">
        <f>VLOOKUP(M833,'MASS - 2016'!$A$1:$G$3418,7,FALSE)</f>
        <v>3.3570000000000002</v>
      </c>
      <c r="G833">
        <f t="shared" si="66"/>
        <v>-63884.195</v>
      </c>
      <c r="H833">
        <f t="shared" si="62"/>
        <v>87.931417496176607</v>
      </c>
      <c r="I833">
        <f t="shared" si="63"/>
        <v>81.907593172999995</v>
      </c>
      <c r="J833">
        <f t="shared" si="65"/>
        <v>81890.219173000005</v>
      </c>
      <c r="M833">
        <f t="shared" si="64"/>
        <v>54034</v>
      </c>
    </row>
    <row r="834" spans="1:13" x14ac:dyDescent="0.2">
      <c r="A834">
        <v>53</v>
      </c>
      <c r="B834">
        <v>35</v>
      </c>
      <c r="C834">
        <v>88</v>
      </c>
      <c r="D834" s="51" t="s">
        <v>33</v>
      </c>
      <c r="E834">
        <f>VLOOKUP(M834,'MASS - 2016'!$A$1:$G$3418,6,FALSE)</f>
        <v>-70715.959000000003</v>
      </c>
      <c r="F834">
        <f>VLOOKUP(M834,'MASS - 2016'!$A$1:$G$3418,7,FALSE)</f>
        <v>3.1709999999999998</v>
      </c>
      <c r="G834">
        <f t="shared" si="66"/>
        <v>-70715.959000000003</v>
      </c>
      <c r="H834">
        <f t="shared" si="62"/>
        <v>87.924083295899834</v>
      </c>
      <c r="I834">
        <f t="shared" si="63"/>
        <v>81.900761408999998</v>
      </c>
      <c r="J834">
        <f t="shared" si="65"/>
        <v>81882.876409000004</v>
      </c>
      <c r="M834">
        <f t="shared" si="64"/>
        <v>53035</v>
      </c>
    </row>
    <row r="835" spans="1:13" x14ac:dyDescent="0.2">
      <c r="A835">
        <v>52</v>
      </c>
      <c r="B835">
        <v>36</v>
      </c>
      <c r="C835">
        <v>88</v>
      </c>
      <c r="D835" s="51" t="s">
        <v>34</v>
      </c>
      <c r="E835">
        <f>VLOOKUP(M835,'MASS - 2016'!$A$1:$G$3418,6,FALSE)</f>
        <v>-79691.285999999993</v>
      </c>
      <c r="F835">
        <f>VLOOKUP(M835,'MASS - 2016'!$A$1:$G$3418,7,FALSE)</f>
        <v>2.6080000000000001</v>
      </c>
      <c r="G835">
        <f t="shared" si="66"/>
        <v>-79691.285999999993</v>
      </c>
      <c r="H835">
        <f t="shared" si="62"/>
        <v>87.914447886104128</v>
      </c>
      <c r="I835">
        <f t="shared" si="63"/>
        <v>81.891786081999996</v>
      </c>
      <c r="J835">
        <f t="shared" si="65"/>
        <v>81873.390081999998</v>
      </c>
      <c r="M835">
        <f t="shared" si="64"/>
        <v>52036</v>
      </c>
    </row>
    <row r="836" spans="1:13" x14ac:dyDescent="0.2">
      <c r="A836">
        <v>51</v>
      </c>
      <c r="B836">
        <v>37</v>
      </c>
      <c r="C836">
        <v>88</v>
      </c>
      <c r="D836" s="51" t="s">
        <v>35</v>
      </c>
      <c r="E836">
        <f>VLOOKUP(M836,'MASS - 2016'!$A$1:$G$3418,6,FALSE)</f>
        <v>-82608.994999999995</v>
      </c>
      <c r="F836">
        <f>VLOOKUP(M836,'MASS - 2016'!$A$1:$G$3418,7,FALSE)</f>
        <v>0.159</v>
      </c>
      <c r="G836">
        <f t="shared" si="66"/>
        <v>-82608.994999999995</v>
      </c>
      <c r="H836">
        <f t="shared" si="62"/>
        <v>87.911315596675607</v>
      </c>
      <c r="I836">
        <f t="shared" si="63"/>
        <v>81.888868372999994</v>
      </c>
      <c r="J836">
        <f t="shared" si="65"/>
        <v>81869.961372999984</v>
      </c>
      <c r="M836">
        <f t="shared" si="64"/>
        <v>51037</v>
      </c>
    </row>
    <row r="837" spans="1:13" x14ac:dyDescent="0.2">
      <c r="A837">
        <v>50</v>
      </c>
      <c r="B837">
        <v>38</v>
      </c>
      <c r="C837">
        <v>88</v>
      </c>
      <c r="D837" s="51" t="s">
        <v>36</v>
      </c>
      <c r="E837">
        <f>VLOOKUP(M837,'MASS - 2016'!$A$1:$G$3418,6,FALSE)</f>
        <v>-87921.617929999993</v>
      </c>
      <c r="F837">
        <f>VLOOKUP(M837,'MASS - 2016'!$A$1:$G$3418,7,FALSE)</f>
        <v>5.5799999999999999E-3</v>
      </c>
      <c r="G837">
        <f t="shared" si="66"/>
        <v>-87921.617929999993</v>
      </c>
      <c r="H837">
        <f t="shared" si="62"/>
        <v>87.905612261407654</v>
      </c>
      <c r="I837">
        <f t="shared" si="63"/>
        <v>81.883555750070002</v>
      </c>
      <c r="J837">
        <f t="shared" si="65"/>
        <v>81864.137750070004</v>
      </c>
      <c r="M837">
        <f t="shared" si="64"/>
        <v>50038</v>
      </c>
    </row>
    <row r="838" spans="1:13" x14ac:dyDescent="0.2">
      <c r="A838">
        <v>49</v>
      </c>
      <c r="B838">
        <v>39</v>
      </c>
      <c r="C838">
        <v>88</v>
      </c>
      <c r="D838" s="51" t="s">
        <v>37</v>
      </c>
      <c r="E838">
        <f>VLOOKUP(M838,'MASS - 2016'!$A$1:$G$3418,6,FALSE)</f>
        <v>-84299.017999999996</v>
      </c>
      <c r="F838">
        <f>VLOOKUP(M838,'MASS - 2016'!$A$1:$G$3418,7,FALSE)</f>
        <v>1.5</v>
      </c>
      <c r="G838">
        <f t="shared" si="66"/>
        <v>-84299.017999999996</v>
      </c>
      <c r="H838">
        <f t="shared" si="62"/>
        <v>87.909501282370499</v>
      </c>
      <c r="I838">
        <f t="shared" si="63"/>
        <v>81.887178349999999</v>
      </c>
      <c r="J838">
        <f t="shared" si="65"/>
        <v>81867.249349999998</v>
      </c>
      <c r="M838">
        <f t="shared" si="64"/>
        <v>49039</v>
      </c>
    </row>
    <row r="839" spans="1:13" x14ac:dyDescent="0.2">
      <c r="A839">
        <v>48</v>
      </c>
      <c r="B839">
        <v>40</v>
      </c>
      <c r="C839">
        <v>88</v>
      </c>
      <c r="D839" s="51" t="s">
        <v>38</v>
      </c>
      <c r="E839">
        <f>VLOOKUP(M839,'MASS - 2016'!$A$1:$G$3418,6,FALSE)</f>
        <v>-83628.870999999999</v>
      </c>
      <c r="F839">
        <f>VLOOKUP(M839,'MASS - 2016'!$A$1:$G$3418,7,FALSE)</f>
        <v>5.4029999999999996</v>
      </c>
      <c r="G839">
        <f t="shared" si="66"/>
        <v>-83628.870999999999</v>
      </c>
      <c r="H839">
        <f t="shared" si="62"/>
        <v>87.910220714762019</v>
      </c>
      <c r="I839">
        <f t="shared" si="63"/>
        <v>81.887848496999993</v>
      </c>
      <c r="J839">
        <f t="shared" si="65"/>
        <v>81867.408496999997</v>
      </c>
      <c r="M839">
        <f t="shared" si="64"/>
        <v>48040</v>
      </c>
    </row>
    <row r="840" spans="1:13" x14ac:dyDescent="0.2">
      <c r="A840">
        <v>47</v>
      </c>
      <c r="B840">
        <v>41</v>
      </c>
      <c r="C840">
        <v>88</v>
      </c>
      <c r="D840" s="51" t="s">
        <v>39</v>
      </c>
      <c r="E840">
        <f>VLOOKUP(M840,'MASS - 2016'!$A$1:$G$3418,6,FALSE)</f>
        <v>-76173.585999999996</v>
      </c>
      <c r="F840">
        <f>VLOOKUP(M840,'MASS - 2016'!$A$1:$G$3418,7,FALSE)</f>
        <v>58.81</v>
      </c>
      <c r="G840">
        <f t="shared" si="66"/>
        <v>-76173.585999999996</v>
      </c>
      <c r="H840">
        <f t="shared" si="62"/>
        <v>87.91822429236079</v>
      </c>
      <c r="I840">
        <f t="shared" si="63"/>
        <v>81.895303781999999</v>
      </c>
      <c r="J840">
        <f t="shared" si="65"/>
        <v>81874.352782000002</v>
      </c>
      <c r="M840">
        <f t="shared" si="64"/>
        <v>47041</v>
      </c>
    </row>
    <row r="841" spans="1:13" x14ac:dyDescent="0.2">
      <c r="A841">
        <v>46</v>
      </c>
      <c r="B841">
        <v>42</v>
      </c>
      <c r="C841">
        <v>88</v>
      </c>
      <c r="D841" s="51" t="s">
        <v>40</v>
      </c>
      <c r="E841">
        <f>VLOOKUP(M841,'MASS - 2016'!$A$1:$G$3418,6,FALSE)</f>
        <v>-72686.543999999994</v>
      </c>
      <c r="F841">
        <f>VLOOKUP(M841,'MASS - 2016'!$A$1:$G$3418,7,FALSE)</f>
        <v>3.819</v>
      </c>
      <c r="G841">
        <f t="shared" si="66"/>
        <v>-72686.543999999994</v>
      </c>
      <c r="H841">
        <f t="shared" ref="H841:H904" si="67">(C841*$A$3+G841/1000000)/$A$3</f>
        <v>87.921967785900875</v>
      </c>
      <c r="I841">
        <f t="shared" ref="I841:I904" si="68">H841*$A$3</f>
        <v>81.898790823999988</v>
      </c>
      <c r="J841">
        <f t="shared" si="65"/>
        <v>81877.328823999982</v>
      </c>
      <c r="M841">
        <f t="shared" ref="M841:M904" si="69">1000*A841+B841</f>
        <v>46042</v>
      </c>
    </row>
    <row r="842" spans="1:13" x14ac:dyDescent="0.2">
      <c r="A842">
        <v>45</v>
      </c>
      <c r="B842">
        <v>43</v>
      </c>
      <c r="C842">
        <v>88</v>
      </c>
      <c r="D842" s="51" t="s">
        <v>41</v>
      </c>
      <c r="E842">
        <f>VLOOKUP(M842,'MASS - 2016'!$A$1:$G$3418,6,FALSE)</f>
        <v>-61681.315000000002</v>
      </c>
      <c r="F842">
        <f>VLOOKUP(M842,'MASS - 2016'!$A$1:$G$3418,7,FALSE)</f>
        <v>149.03899999999999</v>
      </c>
      <c r="G842">
        <f t="shared" si="66"/>
        <v>-61681.315000000002</v>
      </c>
      <c r="H842">
        <f t="shared" si="67"/>
        <v>87.933782385113886</v>
      </c>
      <c r="I842">
        <f t="shared" si="68"/>
        <v>81.909796052999994</v>
      </c>
      <c r="J842">
        <f t="shared" si="65"/>
        <v>81887.823053</v>
      </c>
      <c r="M842">
        <f t="shared" si="69"/>
        <v>45043</v>
      </c>
    </row>
    <row r="843" spans="1:13" x14ac:dyDescent="0.2">
      <c r="A843">
        <v>44</v>
      </c>
      <c r="B843">
        <v>44</v>
      </c>
      <c r="C843">
        <v>88</v>
      </c>
      <c r="D843" s="51" t="s">
        <v>42</v>
      </c>
      <c r="E843" t="str">
        <f>VLOOKUP(M843,'MASS - 2016'!$A$1:$G$3418,6,FALSE)</f>
        <v>-54340#</v>
      </c>
      <c r="F843" t="str">
        <f>VLOOKUP(M843,'MASS - 2016'!$A$1:$G$3418,7,FALSE)</f>
        <v>300#</v>
      </c>
      <c r="G843">
        <f t="shared" si="66"/>
        <v>-54340.01</v>
      </c>
      <c r="H843">
        <f t="shared" si="67"/>
        <v>87.94166360015042</v>
      </c>
      <c r="I843">
        <f t="shared" si="68"/>
        <v>81.917137357999991</v>
      </c>
      <c r="J843">
        <f t="shared" si="65"/>
        <v>81894.653357999996</v>
      </c>
      <c r="M843">
        <f t="shared" si="69"/>
        <v>44044</v>
      </c>
    </row>
    <row r="844" spans="1:13" x14ac:dyDescent="0.2">
      <c r="A844">
        <v>56</v>
      </c>
      <c r="B844">
        <v>33</v>
      </c>
      <c r="C844">
        <v>89</v>
      </c>
      <c r="D844" s="51" t="s">
        <v>31</v>
      </c>
      <c r="E844" t="str">
        <f>VLOOKUP(M844,'MASS - 2016'!$A$1:$G$3418,6,FALSE)</f>
        <v>-46798#</v>
      </c>
      <c r="F844" t="str">
        <f>VLOOKUP(M844,'MASS - 2016'!$A$1:$G$3418,7,FALSE)</f>
        <v>298#</v>
      </c>
      <c r="G844">
        <f t="shared" si="66"/>
        <v>-46798.01</v>
      </c>
      <c r="H844">
        <f t="shared" si="67"/>
        <v>88.949760270130156</v>
      </c>
      <c r="I844">
        <f t="shared" si="68"/>
        <v>82.856173419000001</v>
      </c>
      <c r="J844">
        <f t="shared" ref="J844:J907" si="70">1000*I844-B844*0.511</f>
        <v>82839.310419000001</v>
      </c>
      <c r="M844">
        <f t="shared" si="69"/>
        <v>56033</v>
      </c>
    </row>
    <row r="845" spans="1:13" x14ac:dyDescent="0.2">
      <c r="A845">
        <v>55</v>
      </c>
      <c r="B845">
        <v>34</v>
      </c>
      <c r="C845">
        <v>89</v>
      </c>
      <c r="D845" s="51" t="s">
        <v>32</v>
      </c>
      <c r="E845">
        <f>VLOOKUP(M845,'MASS - 2016'!$A$1:$G$3418,6,FALSE)</f>
        <v>-58992.391000000003</v>
      </c>
      <c r="F845">
        <f>VLOOKUP(M845,'MASS - 2016'!$A$1:$G$3418,7,FALSE)</f>
        <v>3.7290000000000001</v>
      </c>
      <c r="G845">
        <f t="shared" si="66"/>
        <v>-58992.391000000003</v>
      </c>
      <c r="H845">
        <f t="shared" si="67"/>
        <v>88.936669063744034</v>
      </c>
      <c r="I845">
        <f t="shared" si="68"/>
        <v>82.843979038000001</v>
      </c>
      <c r="J845">
        <f t="shared" si="70"/>
        <v>82826.605038000009</v>
      </c>
      <c r="M845">
        <f t="shared" si="69"/>
        <v>55034</v>
      </c>
    </row>
    <row r="846" spans="1:13" x14ac:dyDescent="0.2">
      <c r="A846">
        <v>54</v>
      </c>
      <c r="B846">
        <v>35</v>
      </c>
      <c r="C846">
        <v>89</v>
      </c>
      <c r="D846" s="51" t="s">
        <v>33</v>
      </c>
      <c r="E846">
        <f>VLOOKUP(M846,'MASS - 2016'!$A$1:$G$3418,6,FALSE)</f>
        <v>-68274.263000000006</v>
      </c>
      <c r="F846">
        <f>VLOOKUP(M846,'MASS - 2016'!$A$1:$G$3418,7,FALSE)</f>
        <v>3.2639999999999998</v>
      </c>
      <c r="G846">
        <f t="shared" si="66"/>
        <v>-68274.263000000006</v>
      </c>
      <c r="H846">
        <f t="shared" si="67"/>
        <v>88.926704564356854</v>
      </c>
      <c r="I846">
        <f t="shared" si="68"/>
        <v>82.834697165999998</v>
      </c>
      <c r="J846">
        <f t="shared" si="70"/>
        <v>82816.812166000003</v>
      </c>
      <c r="M846">
        <f t="shared" si="69"/>
        <v>54035</v>
      </c>
    </row>
    <row r="847" spans="1:13" x14ac:dyDescent="0.2">
      <c r="A847">
        <v>53</v>
      </c>
      <c r="B847">
        <v>36</v>
      </c>
      <c r="C847">
        <v>89</v>
      </c>
      <c r="D847" s="51" t="s">
        <v>34</v>
      </c>
      <c r="E847">
        <f>VLOOKUP(M847,'MASS - 2016'!$A$1:$G$3418,6,FALSE)</f>
        <v>-76535.785000000003</v>
      </c>
      <c r="F847">
        <f>VLOOKUP(M847,'MASS - 2016'!$A$1:$G$3418,7,FALSE)</f>
        <v>2.1419999999999999</v>
      </c>
      <c r="G847">
        <f t="shared" ref="G847:G910" si="71">IF(ISNUMBER(E847),E847,VALUE(SUBSTITUTE(E847,"#",".01")))</f>
        <v>-76535.785000000003</v>
      </c>
      <c r="H847">
        <f t="shared" si="67"/>
        <v>88.917835455743187</v>
      </c>
      <c r="I847">
        <f t="shared" si="68"/>
        <v>82.826435644</v>
      </c>
      <c r="J847">
        <f t="shared" si="70"/>
        <v>82808.039644000004</v>
      </c>
      <c r="M847">
        <f t="shared" si="69"/>
        <v>53036</v>
      </c>
    </row>
    <row r="848" spans="1:13" x14ac:dyDescent="0.2">
      <c r="A848">
        <v>52</v>
      </c>
      <c r="B848">
        <v>37</v>
      </c>
      <c r="C848">
        <v>89</v>
      </c>
      <c r="D848" s="51" t="s">
        <v>35</v>
      </c>
      <c r="E848">
        <f>VLOOKUP(M848,'MASS - 2016'!$A$1:$G$3418,6,FALSE)</f>
        <v>-81712.388000000006</v>
      </c>
      <c r="F848">
        <f>VLOOKUP(M848,'MASS - 2016'!$A$1:$G$3418,7,FALSE)</f>
        <v>5.4269999999999996</v>
      </c>
      <c r="G848">
        <f t="shared" si="71"/>
        <v>-81712.388000000006</v>
      </c>
      <c r="H848">
        <f t="shared" si="67"/>
        <v>88.912278143875369</v>
      </c>
      <c r="I848">
        <f t="shared" si="68"/>
        <v>82.821259041000005</v>
      </c>
      <c r="J848">
        <f t="shared" si="70"/>
        <v>82802.352040999991</v>
      </c>
      <c r="M848">
        <f t="shared" si="69"/>
        <v>52037</v>
      </c>
    </row>
    <row r="849" spans="1:13" x14ac:dyDescent="0.2">
      <c r="A849">
        <v>51</v>
      </c>
      <c r="B849">
        <v>38</v>
      </c>
      <c r="C849">
        <v>89</v>
      </c>
      <c r="D849" s="51" t="s">
        <v>36</v>
      </c>
      <c r="E849">
        <f>VLOOKUP(M849,'MASS - 2016'!$A$1:$G$3418,6,FALSE)</f>
        <v>-86209.017000000007</v>
      </c>
      <c r="F849">
        <f>VLOOKUP(M849,'MASS - 2016'!$A$1:$G$3418,7,FALSE)</f>
        <v>9.1999999999999998E-2</v>
      </c>
      <c r="G849">
        <f t="shared" si="71"/>
        <v>-86209.017000000007</v>
      </c>
      <c r="H849">
        <f t="shared" si="67"/>
        <v>88.907450814117439</v>
      </c>
      <c r="I849">
        <f t="shared" si="68"/>
        <v>82.816762412000003</v>
      </c>
      <c r="J849">
        <f t="shared" si="70"/>
        <v>82797.344411999991</v>
      </c>
      <c r="M849">
        <f t="shared" si="69"/>
        <v>51038</v>
      </c>
    </row>
    <row r="850" spans="1:13" x14ac:dyDescent="0.2">
      <c r="A850">
        <v>50</v>
      </c>
      <c r="B850">
        <v>39</v>
      </c>
      <c r="C850">
        <v>89</v>
      </c>
      <c r="D850" s="51" t="s">
        <v>37</v>
      </c>
      <c r="E850">
        <f>VLOOKUP(M850,'MASS - 2016'!$A$1:$G$3418,6,FALSE)</f>
        <v>-87708.351999999999</v>
      </c>
      <c r="F850">
        <f>VLOOKUP(M850,'MASS - 2016'!$A$1:$G$3418,7,FALSE)</f>
        <v>1.6120000000000001</v>
      </c>
      <c r="G850">
        <f t="shared" si="71"/>
        <v>-87708.351999999999</v>
      </c>
      <c r="H850">
        <f t="shared" si="67"/>
        <v>88.905841211799199</v>
      </c>
      <c r="I850">
        <f t="shared" si="68"/>
        <v>82.815263076999997</v>
      </c>
      <c r="J850">
        <f t="shared" si="70"/>
        <v>82795.334076999992</v>
      </c>
      <c r="M850">
        <f t="shared" si="69"/>
        <v>50039</v>
      </c>
    </row>
    <row r="851" spans="1:13" x14ac:dyDescent="0.2">
      <c r="A851">
        <v>49</v>
      </c>
      <c r="B851">
        <v>40</v>
      </c>
      <c r="C851">
        <v>89</v>
      </c>
      <c r="D851" s="51" t="s">
        <v>38</v>
      </c>
      <c r="E851">
        <f>VLOOKUP(M851,'MASS - 2016'!$A$1:$G$3418,6,FALSE)</f>
        <v>-84875.561000000002</v>
      </c>
      <c r="F851">
        <f>VLOOKUP(M851,'MASS - 2016'!$A$1:$G$3418,7,FALSE)</f>
        <v>3.0830000000000002</v>
      </c>
      <c r="G851">
        <f t="shared" si="71"/>
        <v>-84875.561000000002</v>
      </c>
      <c r="H851">
        <f t="shared" si="67"/>
        <v>88.908882338005597</v>
      </c>
      <c r="I851">
        <f t="shared" si="68"/>
        <v>82.818095868</v>
      </c>
      <c r="J851">
        <f t="shared" si="70"/>
        <v>82797.655868000002</v>
      </c>
      <c r="M851">
        <f t="shared" si="69"/>
        <v>49040</v>
      </c>
    </row>
    <row r="852" spans="1:13" x14ac:dyDescent="0.2">
      <c r="A852">
        <v>48</v>
      </c>
      <c r="B852">
        <v>41</v>
      </c>
      <c r="C852">
        <v>89</v>
      </c>
      <c r="D852" s="51" t="s">
        <v>39</v>
      </c>
      <c r="E852">
        <f>VLOOKUP(M852,'MASS - 2016'!$A$1:$G$3418,6,FALSE)</f>
        <v>-80625.209000000003</v>
      </c>
      <c r="F852">
        <f>VLOOKUP(M852,'MASS - 2016'!$A$1:$G$3418,7,FALSE)</f>
        <v>23.631</v>
      </c>
      <c r="G852">
        <f t="shared" si="71"/>
        <v>-80625.209000000003</v>
      </c>
      <c r="H852">
        <f t="shared" si="67"/>
        <v>88.913445278530872</v>
      </c>
      <c r="I852">
        <f t="shared" si="68"/>
        <v>82.82234622</v>
      </c>
      <c r="J852">
        <f t="shared" si="70"/>
        <v>82801.395220000006</v>
      </c>
      <c r="M852">
        <f t="shared" si="69"/>
        <v>48041</v>
      </c>
    </row>
    <row r="853" spans="1:13" x14ac:dyDescent="0.2">
      <c r="A853">
        <v>47</v>
      </c>
      <c r="B853">
        <v>42</v>
      </c>
      <c r="C853">
        <v>89</v>
      </c>
      <c r="D853" s="51" t="s">
        <v>40</v>
      </c>
      <c r="E853">
        <f>VLOOKUP(M853,'MASS - 2016'!$A$1:$G$3418,6,FALSE)</f>
        <v>-75014.934999999998</v>
      </c>
      <c r="F853">
        <f>VLOOKUP(M853,'MASS - 2016'!$A$1:$G$3418,7,FALSE)</f>
        <v>3.9119999999999999</v>
      </c>
      <c r="G853">
        <f t="shared" si="71"/>
        <v>-75014.934999999998</v>
      </c>
      <c r="H853">
        <f t="shared" si="67"/>
        <v>88.919468155363802</v>
      </c>
      <c r="I853">
        <f t="shared" si="68"/>
        <v>82.827956494000006</v>
      </c>
      <c r="J853">
        <f t="shared" si="70"/>
        <v>82806.494494000013</v>
      </c>
      <c r="M853">
        <f t="shared" si="69"/>
        <v>47042</v>
      </c>
    </row>
    <row r="854" spans="1:13" x14ac:dyDescent="0.2">
      <c r="A854">
        <v>46</v>
      </c>
      <c r="B854">
        <v>43</v>
      </c>
      <c r="C854">
        <v>89</v>
      </c>
      <c r="D854" s="51" t="s">
        <v>41</v>
      </c>
      <c r="E854">
        <f>VLOOKUP(M854,'MASS - 2016'!$A$1:$G$3418,6,FALSE)</f>
        <v>-67394.847999999998</v>
      </c>
      <c r="F854">
        <f>VLOOKUP(M854,'MASS - 2016'!$A$1:$G$3418,7,FALSE)</f>
        <v>3.819</v>
      </c>
      <c r="G854">
        <f t="shared" si="71"/>
        <v>-67394.847999999998</v>
      </c>
      <c r="H854">
        <f t="shared" si="67"/>
        <v>88.927648655185578</v>
      </c>
      <c r="I854">
        <f t="shared" si="68"/>
        <v>82.835576580999998</v>
      </c>
      <c r="J854">
        <f t="shared" si="70"/>
        <v>82813.603581000003</v>
      </c>
      <c r="M854">
        <f t="shared" si="69"/>
        <v>46043</v>
      </c>
    </row>
    <row r="855" spans="1:13" x14ac:dyDescent="0.2">
      <c r="A855">
        <v>45</v>
      </c>
      <c r="B855">
        <v>44</v>
      </c>
      <c r="C855">
        <v>89</v>
      </c>
      <c r="D855" s="51" t="s">
        <v>42</v>
      </c>
      <c r="E855" t="str">
        <f>VLOOKUP(M855,'MASS - 2016'!$A$1:$G$3418,6,FALSE)</f>
        <v>-58260#</v>
      </c>
      <c r="F855" t="str">
        <f>VLOOKUP(M855,'MASS - 2016'!$A$1:$G$3418,7,FALSE)</f>
        <v>298#</v>
      </c>
      <c r="G855">
        <f t="shared" si="71"/>
        <v>-58260.01</v>
      </c>
      <c r="H855">
        <f t="shared" si="67"/>
        <v>88.937455307082203</v>
      </c>
      <c r="I855">
        <f t="shared" si="68"/>
        <v>82.844711419000006</v>
      </c>
      <c r="J855">
        <f t="shared" si="70"/>
        <v>82822.227419000003</v>
      </c>
      <c r="M855">
        <f t="shared" si="69"/>
        <v>45044</v>
      </c>
    </row>
    <row r="856" spans="1:13" x14ac:dyDescent="0.2">
      <c r="A856">
        <v>44</v>
      </c>
      <c r="B856">
        <v>45</v>
      </c>
      <c r="C856">
        <v>89</v>
      </c>
      <c r="D856" s="51" t="s">
        <v>43</v>
      </c>
      <c r="E856" t="str">
        <f>VLOOKUP(M856,'MASS - 2016'!$A$1:$G$3418,6,FALSE)</f>
        <v>-45861#</v>
      </c>
      <c r="F856" t="str">
        <f>VLOOKUP(M856,'MASS - 2016'!$A$1:$G$3418,7,FALSE)</f>
        <v>361#</v>
      </c>
      <c r="G856">
        <f t="shared" si="71"/>
        <v>-45861.01</v>
      </c>
      <c r="H856">
        <f t="shared" si="67"/>
        <v>88.95076618099877</v>
      </c>
      <c r="I856">
        <f t="shared" si="68"/>
        <v>82.857110419000009</v>
      </c>
      <c r="J856">
        <f t="shared" si="70"/>
        <v>82834.115419000009</v>
      </c>
      <c r="M856">
        <f t="shared" si="69"/>
        <v>44045</v>
      </c>
    </row>
    <row r="857" spans="1:13" x14ac:dyDescent="0.2">
      <c r="A857">
        <v>56</v>
      </c>
      <c r="B857">
        <v>34</v>
      </c>
      <c r="C857">
        <v>90</v>
      </c>
      <c r="D857" s="51" t="s">
        <v>32</v>
      </c>
      <c r="E857">
        <f>VLOOKUP(M857,'MASS - 2016'!$A$1:$G$3418,6,FALSE)</f>
        <v>-55800.216999999997</v>
      </c>
      <c r="F857">
        <f>VLOOKUP(M857,'MASS - 2016'!$A$1:$G$3418,7,FALSE)</f>
        <v>329.74900000000002</v>
      </c>
      <c r="G857">
        <f t="shared" si="71"/>
        <v>-55800.216999999997</v>
      </c>
      <c r="H857">
        <f t="shared" si="67"/>
        <v>89.940096003467701</v>
      </c>
      <c r="I857">
        <f t="shared" si="68"/>
        <v>83.778665273000001</v>
      </c>
      <c r="J857">
        <f t="shared" si="70"/>
        <v>83761.29127300001</v>
      </c>
      <c r="M857">
        <f t="shared" si="69"/>
        <v>56034</v>
      </c>
    </row>
    <row r="858" spans="1:13" x14ac:dyDescent="0.2">
      <c r="A858">
        <v>55</v>
      </c>
      <c r="B858">
        <v>35</v>
      </c>
      <c r="C858">
        <v>90</v>
      </c>
      <c r="D858" s="51" t="s">
        <v>33</v>
      </c>
      <c r="E858">
        <f>VLOOKUP(M858,'MASS - 2016'!$A$1:$G$3418,6,FALSE)</f>
        <v>-64000.298000000003</v>
      </c>
      <c r="F858">
        <f>VLOOKUP(M858,'MASS - 2016'!$A$1:$G$3418,7,FALSE)</f>
        <v>3.3570000000000002</v>
      </c>
      <c r="G858">
        <f t="shared" si="71"/>
        <v>-64000.298000000003</v>
      </c>
      <c r="H858">
        <f t="shared" si="67"/>
        <v>89.931292854480162</v>
      </c>
      <c r="I858">
        <f t="shared" si="68"/>
        <v>83.770465192000003</v>
      </c>
      <c r="J858">
        <f t="shared" si="70"/>
        <v>83752.580192000009</v>
      </c>
      <c r="M858">
        <f t="shared" si="69"/>
        <v>55035</v>
      </c>
    </row>
    <row r="859" spans="1:13" x14ac:dyDescent="0.2">
      <c r="A859">
        <v>54</v>
      </c>
      <c r="B859">
        <v>36</v>
      </c>
      <c r="C859">
        <v>90</v>
      </c>
      <c r="D859" s="51" t="s">
        <v>34</v>
      </c>
      <c r="E859">
        <f>VLOOKUP(M859,'MASS - 2016'!$A$1:$G$3418,6,FALSE)</f>
        <v>-74959.25</v>
      </c>
      <c r="F859">
        <f>VLOOKUP(M859,'MASS - 2016'!$A$1:$G$3418,7,FALSE)</f>
        <v>1.863</v>
      </c>
      <c r="G859">
        <f t="shared" si="71"/>
        <v>-74959.25</v>
      </c>
      <c r="H859">
        <f t="shared" si="67"/>
        <v>89.919527935669791</v>
      </c>
      <c r="I859">
        <f t="shared" si="68"/>
        <v>83.759506239999993</v>
      </c>
      <c r="J859">
        <f t="shared" si="70"/>
        <v>83741.110239999995</v>
      </c>
      <c r="M859">
        <f t="shared" si="69"/>
        <v>54036</v>
      </c>
    </row>
    <row r="860" spans="1:13" x14ac:dyDescent="0.2">
      <c r="A860">
        <v>53</v>
      </c>
      <c r="B860">
        <v>37</v>
      </c>
      <c r="C860">
        <v>90</v>
      </c>
      <c r="D860" s="51" t="s">
        <v>35</v>
      </c>
      <c r="E860">
        <f>VLOOKUP(M860,'MASS - 2016'!$A$1:$G$3418,6,FALSE)</f>
        <v>-79364.403999999995</v>
      </c>
      <c r="F860">
        <f>VLOOKUP(M860,'MASS - 2016'!$A$1:$G$3418,7,FALSE)</f>
        <v>6.484</v>
      </c>
      <c r="G860">
        <f t="shared" si="71"/>
        <v>-79364.403999999995</v>
      </c>
      <c r="H860">
        <f t="shared" si="67"/>
        <v>89.914798808362988</v>
      </c>
      <c r="I860">
        <f t="shared" si="68"/>
        <v>83.755101085999996</v>
      </c>
      <c r="J860">
        <f t="shared" si="70"/>
        <v>83736.194085999989</v>
      </c>
      <c r="M860">
        <f t="shared" si="69"/>
        <v>53037</v>
      </c>
    </row>
    <row r="861" spans="1:13" x14ac:dyDescent="0.2">
      <c r="A861">
        <v>52</v>
      </c>
      <c r="B861">
        <v>38</v>
      </c>
      <c r="C861">
        <v>90</v>
      </c>
      <c r="D861" s="51" t="s">
        <v>36</v>
      </c>
      <c r="E861">
        <f>VLOOKUP(M861,'MASS - 2016'!$A$1:$G$3418,6,FALSE)</f>
        <v>-85948.126999999993</v>
      </c>
      <c r="F861">
        <f>VLOOKUP(M861,'MASS - 2016'!$A$1:$G$3418,7,FALSE)</f>
        <v>2.1240000000000001</v>
      </c>
      <c r="G861">
        <f t="shared" si="71"/>
        <v>-85948.126999999993</v>
      </c>
      <c r="H861">
        <f t="shared" si="67"/>
        <v>89.907730891050747</v>
      </c>
      <c r="I861">
        <f t="shared" si="68"/>
        <v>83.748517363000005</v>
      </c>
      <c r="J861">
        <f t="shared" si="70"/>
        <v>83729.099363000001</v>
      </c>
      <c r="M861">
        <f t="shared" si="69"/>
        <v>52038</v>
      </c>
    </row>
    <row r="862" spans="1:13" x14ac:dyDescent="0.2">
      <c r="A862">
        <v>51</v>
      </c>
      <c r="B862">
        <v>39</v>
      </c>
      <c r="C862">
        <v>90</v>
      </c>
      <c r="D862" s="51" t="s">
        <v>37</v>
      </c>
      <c r="E862">
        <f>VLOOKUP(M862,'MASS - 2016'!$A$1:$G$3418,6,FALSE)</f>
        <v>-86494.062000000005</v>
      </c>
      <c r="F862">
        <f>VLOOKUP(M862,'MASS - 2016'!$A$1:$G$3418,7,FALSE)</f>
        <v>1.611</v>
      </c>
      <c r="G862">
        <f t="shared" si="71"/>
        <v>-86494.062000000005</v>
      </c>
      <c r="H862">
        <f t="shared" si="67"/>
        <v>89.907144805725181</v>
      </c>
      <c r="I862">
        <f t="shared" si="68"/>
        <v>83.747971428</v>
      </c>
      <c r="J862">
        <f t="shared" si="70"/>
        <v>83728.042428000001</v>
      </c>
      <c r="M862">
        <f t="shared" si="69"/>
        <v>51039</v>
      </c>
    </row>
    <row r="863" spans="1:13" x14ac:dyDescent="0.2">
      <c r="A863">
        <v>50</v>
      </c>
      <c r="B863">
        <v>40</v>
      </c>
      <c r="C863">
        <v>90</v>
      </c>
      <c r="D863" s="51" t="s">
        <v>38</v>
      </c>
      <c r="E863">
        <f>VLOOKUP(M863,'MASS - 2016'!$A$1:$G$3418,6,FALSE)</f>
        <v>-88772.535000000003</v>
      </c>
      <c r="F863">
        <f>VLOOKUP(M863,'MASS - 2016'!$A$1:$G$3418,7,FALSE)</f>
        <v>0.11799999999999999</v>
      </c>
      <c r="G863">
        <f t="shared" si="71"/>
        <v>-88772.535000000003</v>
      </c>
      <c r="H863">
        <f t="shared" si="67"/>
        <v>89.904698764364952</v>
      </c>
      <c r="I863">
        <f t="shared" si="68"/>
        <v>83.745692954999996</v>
      </c>
      <c r="J863">
        <f t="shared" si="70"/>
        <v>83725.252954999989</v>
      </c>
      <c r="M863">
        <f t="shared" si="69"/>
        <v>50040</v>
      </c>
    </row>
    <row r="864" spans="1:13" x14ac:dyDescent="0.2">
      <c r="A864">
        <v>49</v>
      </c>
      <c r="B864">
        <v>41</v>
      </c>
      <c r="C864">
        <v>90</v>
      </c>
      <c r="D864" s="51" t="s">
        <v>39</v>
      </c>
      <c r="E864">
        <f>VLOOKUP(M864,'MASS - 2016'!$A$1:$G$3418,6,FALSE)</f>
        <v>-82661.519</v>
      </c>
      <c r="F864">
        <f>VLOOKUP(M864,'MASS - 2016'!$A$1:$G$3418,7,FALSE)</f>
        <v>3.3170000000000002</v>
      </c>
      <c r="G864">
        <f t="shared" si="71"/>
        <v>-82661.519</v>
      </c>
      <c r="H864">
        <f t="shared" si="67"/>
        <v>89.911259209842669</v>
      </c>
      <c r="I864">
        <f t="shared" si="68"/>
        <v>83.751803971000001</v>
      </c>
      <c r="J864">
        <f t="shared" si="70"/>
        <v>83730.852971</v>
      </c>
      <c r="M864">
        <f t="shared" si="69"/>
        <v>49041</v>
      </c>
    </row>
    <row r="865" spans="1:13" x14ac:dyDescent="0.2">
      <c r="A865">
        <v>48</v>
      </c>
      <c r="B865">
        <v>42</v>
      </c>
      <c r="C865">
        <v>90</v>
      </c>
      <c r="D865" s="51" t="s">
        <v>40</v>
      </c>
      <c r="E865">
        <f>VLOOKUP(M865,'MASS - 2016'!$A$1:$G$3418,6,FALSE)</f>
        <v>-80172.502999999997</v>
      </c>
      <c r="F865">
        <f>VLOOKUP(M865,'MASS - 2016'!$A$1:$G$3418,7,FALSE)</f>
        <v>3.4630000000000001</v>
      </c>
      <c r="G865">
        <f t="shared" si="71"/>
        <v>-80172.502999999997</v>
      </c>
      <c r="H865">
        <f t="shared" si="67"/>
        <v>89.913931278408867</v>
      </c>
      <c r="I865">
        <f t="shared" si="68"/>
        <v>83.754292986999999</v>
      </c>
      <c r="J865">
        <f t="shared" si="70"/>
        <v>83732.830986999994</v>
      </c>
      <c r="M865">
        <f t="shared" si="69"/>
        <v>48042</v>
      </c>
    </row>
    <row r="866" spans="1:13" x14ac:dyDescent="0.2">
      <c r="A866">
        <v>47</v>
      </c>
      <c r="B866">
        <v>43</v>
      </c>
      <c r="C866">
        <v>90</v>
      </c>
      <c r="D866" s="51" t="s">
        <v>41</v>
      </c>
      <c r="E866">
        <f>VLOOKUP(M866,'MASS - 2016'!$A$1:$G$3418,6,FALSE)</f>
        <v>-70724.687000000005</v>
      </c>
      <c r="F866">
        <f>VLOOKUP(M866,'MASS - 2016'!$A$1:$G$3418,7,FALSE)</f>
        <v>1.0249999999999999</v>
      </c>
      <c r="G866">
        <f t="shared" si="71"/>
        <v>-70724.687000000005</v>
      </c>
      <c r="H866">
        <f t="shared" si="67"/>
        <v>89.9240739260065</v>
      </c>
      <c r="I866">
        <f t="shared" si="68"/>
        <v>83.763740803000005</v>
      </c>
      <c r="J866">
        <f t="shared" si="70"/>
        <v>83741.76780300001</v>
      </c>
      <c r="M866">
        <f t="shared" si="69"/>
        <v>47043</v>
      </c>
    </row>
    <row r="867" spans="1:13" x14ac:dyDescent="0.2">
      <c r="A867">
        <v>46</v>
      </c>
      <c r="B867">
        <v>44</v>
      </c>
      <c r="C867">
        <v>90</v>
      </c>
      <c r="D867" s="51" t="s">
        <v>42</v>
      </c>
      <c r="E867">
        <f>VLOOKUP(M867,'MASS - 2016'!$A$1:$G$3418,6,FALSE)</f>
        <v>-64883.792000000001</v>
      </c>
      <c r="F867">
        <f>VLOOKUP(M867,'MASS - 2016'!$A$1:$G$3418,7,FALSE)</f>
        <v>3.73</v>
      </c>
      <c r="G867">
        <f t="shared" si="71"/>
        <v>-64883.792000000001</v>
      </c>
      <c r="H867">
        <f t="shared" si="67"/>
        <v>89.930344384664835</v>
      </c>
      <c r="I867">
        <f t="shared" si="68"/>
        <v>83.769581697999996</v>
      </c>
      <c r="J867">
        <f t="shared" si="70"/>
        <v>83747.097697999998</v>
      </c>
      <c r="M867">
        <f t="shared" si="69"/>
        <v>46044</v>
      </c>
    </row>
    <row r="868" spans="1:13" x14ac:dyDescent="0.2">
      <c r="A868">
        <v>45</v>
      </c>
      <c r="B868">
        <v>45</v>
      </c>
      <c r="C868">
        <v>90</v>
      </c>
      <c r="D868" s="51" t="s">
        <v>43</v>
      </c>
      <c r="E868" t="str">
        <f>VLOOKUP(M868,'MASS - 2016'!$A$1:$G$3418,6,FALSE)</f>
        <v>-51700#</v>
      </c>
      <c r="F868" t="str">
        <f>VLOOKUP(M868,'MASS - 2016'!$A$1:$G$3418,7,FALSE)</f>
        <v>300#</v>
      </c>
      <c r="G868">
        <f t="shared" si="71"/>
        <v>-51700.01</v>
      </c>
      <c r="H868">
        <f t="shared" si="67"/>
        <v>89.944497756706568</v>
      </c>
      <c r="I868">
        <f t="shared" si="68"/>
        <v>83.782765479999995</v>
      </c>
      <c r="J868">
        <f t="shared" si="70"/>
        <v>83759.770480000007</v>
      </c>
      <c r="M868">
        <f t="shared" si="69"/>
        <v>45045</v>
      </c>
    </row>
    <row r="869" spans="1:13" x14ac:dyDescent="0.2">
      <c r="A869">
        <v>57</v>
      </c>
      <c r="B869">
        <v>34</v>
      </c>
      <c r="C869">
        <v>91</v>
      </c>
      <c r="D869" s="51" t="s">
        <v>32</v>
      </c>
      <c r="E869">
        <f>VLOOKUP(M869,'MASS - 2016'!$A$1:$G$3418,6,FALSE)</f>
        <v>-50580.124000000003</v>
      </c>
      <c r="F869">
        <f>VLOOKUP(M869,'MASS - 2016'!$A$1:$G$3418,7,FALSE)</f>
        <v>433.14499999999998</v>
      </c>
      <c r="G869">
        <f t="shared" si="71"/>
        <v>-50580.124000000003</v>
      </c>
      <c r="H869">
        <f t="shared" si="67"/>
        <v>90.945700003770597</v>
      </c>
      <c r="I869">
        <f t="shared" si="68"/>
        <v>84.715379426999988</v>
      </c>
      <c r="J869">
        <f t="shared" si="70"/>
        <v>84698.005426999996</v>
      </c>
      <c r="M869">
        <f t="shared" si="69"/>
        <v>57034</v>
      </c>
    </row>
    <row r="870" spans="1:13" x14ac:dyDescent="0.2">
      <c r="A870">
        <v>56</v>
      </c>
      <c r="B870">
        <v>35</v>
      </c>
      <c r="C870">
        <v>91</v>
      </c>
      <c r="D870" s="51" t="s">
        <v>33</v>
      </c>
      <c r="E870">
        <f>VLOOKUP(M870,'MASS - 2016'!$A$1:$G$3418,6,FALSE)</f>
        <v>-61107.294000000002</v>
      </c>
      <c r="F870">
        <f>VLOOKUP(M870,'MASS - 2016'!$A$1:$G$3418,7,FALSE)</f>
        <v>3.544</v>
      </c>
      <c r="G870">
        <f t="shared" si="71"/>
        <v>-61107.294000000002</v>
      </c>
      <c r="H870">
        <f t="shared" si="67"/>
        <v>90.934398622000444</v>
      </c>
      <c r="I870">
        <f t="shared" si="68"/>
        <v>84.704852256999999</v>
      </c>
      <c r="J870">
        <f t="shared" si="70"/>
        <v>84686.967257000011</v>
      </c>
      <c r="M870">
        <f t="shared" si="69"/>
        <v>56035</v>
      </c>
    </row>
    <row r="871" spans="1:13" x14ac:dyDescent="0.2">
      <c r="A871">
        <v>55</v>
      </c>
      <c r="B871">
        <v>36</v>
      </c>
      <c r="C871">
        <v>91</v>
      </c>
      <c r="D871" s="51" t="s">
        <v>34</v>
      </c>
      <c r="E871">
        <f>VLOOKUP(M871,'MASS - 2016'!$A$1:$G$3418,6,FALSE)</f>
        <v>-70973.964999999997</v>
      </c>
      <c r="F871">
        <f>VLOOKUP(M871,'MASS - 2016'!$A$1:$G$3418,7,FALSE)</f>
        <v>2.2360000000000002</v>
      </c>
      <c r="G871">
        <f t="shared" si="71"/>
        <v>-70973.964999999997</v>
      </c>
      <c r="H871">
        <f t="shared" si="67"/>
        <v>90.92380631506785</v>
      </c>
      <c r="I871">
        <f t="shared" si="68"/>
        <v>84.694985586000001</v>
      </c>
      <c r="J871">
        <f t="shared" si="70"/>
        <v>84676.589586000002</v>
      </c>
      <c r="M871">
        <f t="shared" si="69"/>
        <v>55036</v>
      </c>
    </row>
    <row r="872" spans="1:13" x14ac:dyDescent="0.2">
      <c r="A872">
        <v>54</v>
      </c>
      <c r="B872">
        <v>37</v>
      </c>
      <c r="C872">
        <v>91</v>
      </c>
      <c r="D872" s="51" t="s">
        <v>35</v>
      </c>
      <c r="E872">
        <f>VLOOKUP(M872,'MASS - 2016'!$A$1:$G$3418,6,FALSE)</f>
        <v>-77745.036999999997</v>
      </c>
      <c r="F872">
        <f>VLOOKUP(M872,'MASS - 2016'!$A$1:$G$3418,7,FALSE)</f>
        <v>7.8010000000000002</v>
      </c>
      <c r="G872">
        <f t="shared" si="71"/>
        <v>-77745.036999999997</v>
      </c>
      <c r="H872">
        <f t="shared" si="67"/>
        <v>90.916537270332626</v>
      </c>
      <c r="I872">
        <f t="shared" si="68"/>
        <v>84.688214513999995</v>
      </c>
      <c r="J872">
        <f t="shared" si="70"/>
        <v>84669.307513999986</v>
      </c>
      <c r="M872">
        <f t="shared" si="69"/>
        <v>54037</v>
      </c>
    </row>
    <row r="873" spans="1:13" x14ac:dyDescent="0.2">
      <c r="A873">
        <v>53</v>
      </c>
      <c r="B873">
        <v>38</v>
      </c>
      <c r="C873">
        <v>91</v>
      </c>
      <c r="D873" s="51" t="s">
        <v>36</v>
      </c>
      <c r="E873">
        <f>VLOOKUP(M873,'MASS - 2016'!$A$1:$G$3418,6,FALSE)</f>
        <v>-83651.926999999996</v>
      </c>
      <c r="F873">
        <f>VLOOKUP(M873,'MASS - 2016'!$A$1:$G$3418,7,FALSE)</f>
        <v>5.4530000000000003</v>
      </c>
      <c r="G873">
        <f t="shared" si="71"/>
        <v>-83651.926999999996</v>
      </c>
      <c r="H873">
        <f t="shared" si="67"/>
        <v>90.910195963128089</v>
      </c>
      <c r="I873">
        <f t="shared" si="68"/>
        <v>84.682307623999989</v>
      </c>
      <c r="J873">
        <f t="shared" si="70"/>
        <v>84662.889623999989</v>
      </c>
      <c r="M873">
        <f t="shared" si="69"/>
        <v>53038</v>
      </c>
    </row>
    <row r="874" spans="1:13" x14ac:dyDescent="0.2">
      <c r="A874">
        <v>52</v>
      </c>
      <c r="B874">
        <v>39</v>
      </c>
      <c r="C874">
        <v>91</v>
      </c>
      <c r="D874" s="51" t="s">
        <v>37</v>
      </c>
      <c r="E874">
        <f>VLOOKUP(M874,'MASS - 2016'!$A$1:$G$3418,6,FALSE)</f>
        <v>-86351.294999999998</v>
      </c>
      <c r="F874">
        <f>VLOOKUP(M874,'MASS - 2016'!$A$1:$G$3418,7,FALSE)</f>
        <v>1.843</v>
      </c>
      <c r="G874">
        <f t="shared" si="71"/>
        <v>-86351.294999999998</v>
      </c>
      <c r="H874">
        <f t="shared" si="67"/>
        <v>90.907298072402838</v>
      </c>
      <c r="I874">
        <f t="shared" si="68"/>
        <v>84.679608255999995</v>
      </c>
      <c r="J874">
        <f t="shared" si="70"/>
        <v>84659.679255999989</v>
      </c>
      <c r="M874">
        <f t="shared" si="69"/>
        <v>52039</v>
      </c>
    </row>
    <row r="875" spans="1:13" x14ac:dyDescent="0.2">
      <c r="A875">
        <v>51</v>
      </c>
      <c r="B875">
        <v>40</v>
      </c>
      <c r="C875">
        <v>91</v>
      </c>
      <c r="D875" s="51" t="s">
        <v>38</v>
      </c>
      <c r="E875">
        <f>VLOOKUP(M875,'MASS - 2016'!$A$1:$G$3418,6,FALSE)</f>
        <v>-87895.566000000006</v>
      </c>
      <c r="F875">
        <f>VLOOKUP(M875,'MASS - 2016'!$A$1:$G$3418,7,FALSE)</f>
        <v>0.105</v>
      </c>
      <c r="G875">
        <f t="shared" si="71"/>
        <v>-87895.566000000006</v>
      </c>
      <c r="H875">
        <f t="shared" si="67"/>
        <v>90.905640229304694</v>
      </c>
      <c r="I875">
        <f t="shared" si="68"/>
        <v>84.678063984999994</v>
      </c>
      <c r="J875">
        <f t="shared" si="70"/>
        <v>84657.623984999998</v>
      </c>
      <c r="M875">
        <f t="shared" si="69"/>
        <v>51040</v>
      </c>
    </row>
    <row r="876" spans="1:13" x14ac:dyDescent="0.2">
      <c r="A876">
        <v>50</v>
      </c>
      <c r="B876">
        <v>41</v>
      </c>
      <c r="C876">
        <v>91</v>
      </c>
      <c r="D876" s="51" t="s">
        <v>39</v>
      </c>
      <c r="E876">
        <f>VLOOKUP(M876,'MASS - 2016'!$A$1:$G$3418,6,FALSE)</f>
        <v>-86638.001000000004</v>
      </c>
      <c r="F876">
        <f>VLOOKUP(M876,'MASS - 2016'!$A$1:$G$3418,7,FALSE)</f>
        <v>2.9260000000000002</v>
      </c>
      <c r="G876">
        <f t="shared" si="71"/>
        <v>-86638.001000000004</v>
      </c>
      <c r="H876">
        <f t="shared" si="67"/>
        <v>90.906990280853762</v>
      </c>
      <c r="I876">
        <f t="shared" si="68"/>
        <v>84.679321549999997</v>
      </c>
      <c r="J876">
        <f t="shared" si="70"/>
        <v>84658.370549999992</v>
      </c>
      <c r="M876">
        <f t="shared" si="69"/>
        <v>50041</v>
      </c>
    </row>
    <row r="877" spans="1:13" x14ac:dyDescent="0.2">
      <c r="A877">
        <v>49</v>
      </c>
      <c r="B877">
        <v>42</v>
      </c>
      <c r="C877">
        <v>91</v>
      </c>
      <c r="D877" s="51" t="s">
        <v>40</v>
      </c>
      <c r="E877">
        <f>VLOOKUP(M877,'MASS - 2016'!$A$1:$G$3418,6,FALSE)</f>
        <v>-82208.820999999996</v>
      </c>
      <c r="F877">
        <f>VLOOKUP(M877,'MASS - 2016'!$A$1:$G$3418,7,FALSE)</f>
        <v>6.2380000000000004</v>
      </c>
      <c r="G877">
        <f t="shared" si="71"/>
        <v>-82208.820999999996</v>
      </c>
      <c r="H877">
        <f t="shared" si="67"/>
        <v>90.911745201132319</v>
      </c>
      <c r="I877">
        <f t="shared" si="68"/>
        <v>84.68375073</v>
      </c>
      <c r="J877">
        <f t="shared" si="70"/>
        <v>84662.28873</v>
      </c>
      <c r="M877">
        <f t="shared" si="69"/>
        <v>49042</v>
      </c>
    </row>
    <row r="878" spans="1:13" x14ac:dyDescent="0.2">
      <c r="A878">
        <v>48</v>
      </c>
      <c r="B878">
        <v>43</v>
      </c>
      <c r="C878">
        <v>91</v>
      </c>
      <c r="D878" s="51" t="s">
        <v>41</v>
      </c>
      <c r="E878">
        <f>VLOOKUP(M878,'MASS - 2016'!$A$1:$G$3418,6,FALSE)</f>
        <v>-75986.645999999993</v>
      </c>
      <c r="F878">
        <f>VLOOKUP(M878,'MASS - 2016'!$A$1:$G$3418,7,FALSE)</f>
        <v>2.363</v>
      </c>
      <c r="G878">
        <f t="shared" si="71"/>
        <v>-75986.645999999993</v>
      </c>
      <c r="H878">
        <f t="shared" si="67"/>
        <v>90.918424980704188</v>
      </c>
      <c r="I878">
        <f t="shared" si="68"/>
        <v>84.689972904999991</v>
      </c>
      <c r="J878">
        <f t="shared" si="70"/>
        <v>84667.99990499999</v>
      </c>
      <c r="M878">
        <f t="shared" si="69"/>
        <v>48043</v>
      </c>
    </row>
    <row r="879" spans="1:13" x14ac:dyDescent="0.2">
      <c r="A879">
        <v>47</v>
      </c>
      <c r="B879">
        <v>44</v>
      </c>
      <c r="C879">
        <v>91</v>
      </c>
      <c r="D879" s="51" t="s">
        <v>42</v>
      </c>
      <c r="E879">
        <f>VLOOKUP(M879,'MASS - 2016'!$A$1:$G$3418,6,FALSE)</f>
        <v>-68239.823000000004</v>
      </c>
      <c r="F879">
        <f>VLOOKUP(M879,'MASS - 2016'!$A$1:$G$3418,7,FALSE)</f>
        <v>2.2210000000000001</v>
      </c>
      <c r="G879">
        <f t="shared" si="71"/>
        <v>-68239.823000000004</v>
      </c>
      <c r="H879">
        <f t="shared" si="67"/>
        <v>90.926741537217382</v>
      </c>
      <c r="I879">
        <f t="shared" si="68"/>
        <v>84.697719727999996</v>
      </c>
      <c r="J879">
        <f t="shared" si="70"/>
        <v>84675.235728</v>
      </c>
      <c r="M879">
        <f t="shared" si="69"/>
        <v>47044</v>
      </c>
    </row>
    <row r="880" spans="1:13" x14ac:dyDescent="0.2">
      <c r="A880">
        <v>46</v>
      </c>
      <c r="B880">
        <v>45</v>
      </c>
      <c r="C880">
        <v>91</v>
      </c>
      <c r="D880" s="51" t="s">
        <v>43</v>
      </c>
      <c r="E880" t="str">
        <f>VLOOKUP(M880,'MASS - 2016'!$A$1:$G$3418,6,FALSE)</f>
        <v>-58570#</v>
      </c>
      <c r="F880" t="str">
        <f>VLOOKUP(M880,'MASS - 2016'!$A$1:$G$3418,7,FALSE)</f>
        <v>298#</v>
      </c>
      <c r="G880">
        <f t="shared" si="71"/>
        <v>-58570.01</v>
      </c>
      <c r="H880">
        <f t="shared" si="67"/>
        <v>90.937122508395674</v>
      </c>
      <c r="I880">
        <f t="shared" si="68"/>
        <v>84.707389540999998</v>
      </c>
      <c r="J880">
        <f t="shared" si="70"/>
        <v>84684.394541000001</v>
      </c>
      <c r="M880">
        <f t="shared" si="69"/>
        <v>46045</v>
      </c>
    </row>
    <row r="881" spans="1:13" x14ac:dyDescent="0.2">
      <c r="A881">
        <v>45</v>
      </c>
      <c r="B881">
        <v>46</v>
      </c>
      <c r="C881">
        <v>91</v>
      </c>
      <c r="D881" s="51" t="s">
        <v>44</v>
      </c>
      <c r="E881" t="str">
        <f>VLOOKUP(M881,'MASS - 2016'!$A$1:$G$3418,6,FALSE)</f>
        <v>-45930#</v>
      </c>
      <c r="F881" t="str">
        <f>VLOOKUP(M881,'MASS - 2016'!$A$1:$G$3418,7,FALSE)</f>
        <v>401#</v>
      </c>
      <c r="G881">
        <f t="shared" si="71"/>
        <v>-45930.01</v>
      </c>
      <c r="H881">
        <f t="shared" si="67"/>
        <v>90.950692106452394</v>
      </c>
      <c r="I881">
        <f t="shared" si="68"/>
        <v>84.720029540999988</v>
      </c>
      <c r="J881">
        <f t="shared" si="70"/>
        <v>84696.523540999988</v>
      </c>
      <c r="M881">
        <f t="shared" si="69"/>
        <v>45046</v>
      </c>
    </row>
    <row r="882" spans="1:13" x14ac:dyDescent="0.2">
      <c r="A882">
        <v>58</v>
      </c>
      <c r="B882">
        <v>34</v>
      </c>
      <c r="C882">
        <v>92</v>
      </c>
      <c r="D882" s="51" t="s">
        <v>32</v>
      </c>
      <c r="E882" t="str">
        <f>VLOOKUP(M882,'MASS - 2016'!$A$1:$G$3418,6,FALSE)</f>
        <v>-46724#</v>
      </c>
      <c r="F882" t="str">
        <f>VLOOKUP(M882,'MASS - 2016'!$A$1:$G$3418,7,FALSE)</f>
        <v>400#</v>
      </c>
      <c r="G882">
        <f t="shared" si="71"/>
        <v>-46724.01</v>
      </c>
      <c r="H882">
        <f t="shared" si="67"/>
        <v>91.949839712397264</v>
      </c>
      <c r="I882">
        <f t="shared" si="68"/>
        <v>85.650729601999998</v>
      </c>
      <c r="J882">
        <f t="shared" si="70"/>
        <v>85633.355601999996</v>
      </c>
      <c r="M882">
        <f t="shared" si="69"/>
        <v>58034</v>
      </c>
    </row>
    <row r="883" spans="1:13" x14ac:dyDescent="0.2">
      <c r="A883">
        <v>57</v>
      </c>
      <c r="B883">
        <v>35</v>
      </c>
      <c r="C883">
        <v>92</v>
      </c>
      <c r="D883" s="51" t="s">
        <v>33</v>
      </c>
      <c r="E883">
        <f>VLOOKUP(M883,'MASS - 2016'!$A$1:$G$3418,6,FALSE)</f>
        <v>-56232.805</v>
      </c>
      <c r="F883">
        <f>VLOOKUP(M883,'MASS - 2016'!$A$1:$G$3418,7,FALSE)</f>
        <v>6.7089999999999996</v>
      </c>
      <c r="G883">
        <f t="shared" si="71"/>
        <v>-56232.805</v>
      </c>
      <c r="H883">
        <f t="shared" si="67"/>
        <v>91.939631601150936</v>
      </c>
      <c r="I883">
        <f t="shared" si="68"/>
        <v>85.64122080700001</v>
      </c>
      <c r="J883">
        <f t="shared" si="70"/>
        <v>85623.33580700001</v>
      </c>
      <c r="M883">
        <f t="shared" si="69"/>
        <v>57035</v>
      </c>
    </row>
    <row r="884" spans="1:13" x14ac:dyDescent="0.2">
      <c r="A884">
        <v>56</v>
      </c>
      <c r="B884">
        <v>36</v>
      </c>
      <c r="C884">
        <v>92</v>
      </c>
      <c r="D884" s="51" t="s">
        <v>34</v>
      </c>
      <c r="E884">
        <f>VLOOKUP(M884,'MASS - 2016'!$A$1:$G$3418,6,FALSE)</f>
        <v>-68769.320000000007</v>
      </c>
      <c r="F884">
        <f>VLOOKUP(M884,'MASS - 2016'!$A$1:$G$3418,7,FALSE)</f>
        <v>2.7010000000000001</v>
      </c>
      <c r="G884">
        <f t="shared" si="71"/>
        <v>-68769.320000000007</v>
      </c>
      <c r="H884">
        <f t="shared" si="67"/>
        <v>91.926173098810565</v>
      </c>
      <c r="I884">
        <f t="shared" si="68"/>
        <v>85.628684292000003</v>
      </c>
      <c r="J884">
        <f t="shared" si="70"/>
        <v>85610.288292000012</v>
      </c>
      <c r="M884">
        <f t="shared" si="69"/>
        <v>56036</v>
      </c>
    </row>
    <row r="885" spans="1:13" x14ac:dyDescent="0.2">
      <c r="A885">
        <v>55</v>
      </c>
      <c r="B885">
        <v>37</v>
      </c>
      <c r="C885">
        <v>92</v>
      </c>
      <c r="D885" s="51" t="s">
        <v>35</v>
      </c>
      <c r="E885">
        <f>VLOOKUP(M885,'MASS - 2016'!$A$1:$G$3418,6,FALSE)</f>
        <v>-74772.437999999995</v>
      </c>
      <c r="F885">
        <f>VLOOKUP(M885,'MASS - 2016'!$A$1:$G$3418,7,FALSE)</f>
        <v>6.1230000000000002</v>
      </c>
      <c r="G885">
        <f t="shared" si="71"/>
        <v>-74772.437999999995</v>
      </c>
      <c r="H885">
        <f t="shared" si="67"/>
        <v>91.919728486599567</v>
      </c>
      <c r="I885">
        <f t="shared" si="68"/>
        <v>85.622681174000007</v>
      </c>
      <c r="J885">
        <f t="shared" si="70"/>
        <v>85603.774174000006</v>
      </c>
      <c r="M885">
        <f t="shared" si="69"/>
        <v>55037</v>
      </c>
    </row>
    <row r="886" spans="1:13" x14ac:dyDescent="0.2">
      <c r="A886">
        <v>54</v>
      </c>
      <c r="B886">
        <v>38</v>
      </c>
      <c r="C886">
        <v>92</v>
      </c>
      <c r="D886" s="51" t="s">
        <v>36</v>
      </c>
      <c r="E886">
        <f>VLOOKUP(M886,'MASS - 2016'!$A$1:$G$3418,6,FALSE)</f>
        <v>-82867.361000000004</v>
      </c>
      <c r="F886">
        <f>VLOOKUP(M886,'MASS - 2016'!$A$1:$G$3418,7,FALSE)</f>
        <v>3.423</v>
      </c>
      <c r="G886">
        <f t="shared" si="71"/>
        <v>-82867.361000000004</v>
      </c>
      <c r="H886">
        <f t="shared" si="67"/>
        <v>91.911038229367747</v>
      </c>
      <c r="I886">
        <f t="shared" si="68"/>
        <v>85.614586251000006</v>
      </c>
      <c r="J886">
        <f t="shared" si="70"/>
        <v>85595.168250999996</v>
      </c>
      <c r="M886">
        <f t="shared" si="69"/>
        <v>54038</v>
      </c>
    </row>
    <row r="887" spans="1:13" x14ac:dyDescent="0.2">
      <c r="A887">
        <v>53</v>
      </c>
      <c r="B887">
        <v>39</v>
      </c>
      <c r="C887">
        <v>92</v>
      </c>
      <c r="D887" s="51" t="s">
        <v>37</v>
      </c>
      <c r="E887">
        <f>VLOOKUP(M887,'MASS - 2016'!$A$1:$G$3418,6,FALSE)</f>
        <v>-84816.491999999998</v>
      </c>
      <c r="F887">
        <f>VLOOKUP(M887,'MASS - 2016'!$A$1:$G$3418,7,FALSE)</f>
        <v>9.1270000000000007</v>
      </c>
      <c r="G887">
        <f t="shared" si="71"/>
        <v>-84816.491999999998</v>
      </c>
      <c r="H887">
        <f t="shared" si="67"/>
        <v>91.908945751184987</v>
      </c>
      <c r="I887">
        <f t="shared" si="68"/>
        <v>85.612637120000002</v>
      </c>
      <c r="J887">
        <f t="shared" si="70"/>
        <v>85592.708119999996</v>
      </c>
      <c r="M887">
        <f t="shared" si="69"/>
        <v>53039</v>
      </c>
    </row>
    <row r="888" spans="1:13" x14ac:dyDescent="0.2">
      <c r="A888">
        <v>52</v>
      </c>
      <c r="B888">
        <v>40</v>
      </c>
      <c r="C888">
        <v>92</v>
      </c>
      <c r="D888" s="51" t="s">
        <v>38</v>
      </c>
      <c r="E888">
        <f>VLOOKUP(M888,'MASS - 2016'!$A$1:$G$3418,6,FALSE)</f>
        <v>-88459.028000000006</v>
      </c>
      <c r="F888">
        <f>VLOOKUP(M888,'MASS - 2016'!$A$1:$G$3418,7,FALSE)</f>
        <v>0.10199999999999999</v>
      </c>
      <c r="G888">
        <f t="shared" si="71"/>
        <v>-88459.028000000006</v>
      </c>
      <c r="H888">
        <f t="shared" si="67"/>
        <v>91.905035327970822</v>
      </c>
      <c r="I888">
        <f t="shared" si="68"/>
        <v>85.608994584000001</v>
      </c>
      <c r="J888">
        <f t="shared" si="70"/>
        <v>85588.554583999998</v>
      </c>
      <c r="M888">
        <f t="shared" si="69"/>
        <v>52040</v>
      </c>
    </row>
    <row r="889" spans="1:13" x14ac:dyDescent="0.2">
      <c r="A889">
        <v>51</v>
      </c>
      <c r="B889">
        <v>41</v>
      </c>
      <c r="C889">
        <v>92</v>
      </c>
      <c r="D889" s="51" t="s">
        <v>39</v>
      </c>
      <c r="E889">
        <f>VLOOKUP(M889,'MASS - 2016'!$A$1:$G$3418,6,FALSE)</f>
        <v>-86453.292000000001</v>
      </c>
      <c r="F889">
        <f>VLOOKUP(M889,'MASS - 2016'!$A$1:$G$3418,7,FALSE)</f>
        <v>1.7849999999999999</v>
      </c>
      <c r="G889">
        <f t="shared" si="71"/>
        <v>-86453.292000000001</v>
      </c>
      <c r="H889">
        <f t="shared" si="67"/>
        <v>91.907188574120184</v>
      </c>
      <c r="I889">
        <f t="shared" si="68"/>
        <v>85.611000320000002</v>
      </c>
      <c r="J889">
        <f t="shared" si="70"/>
        <v>85590.049320000006</v>
      </c>
      <c r="M889">
        <f t="shared" si="69"/>
        <v>51041</v>
      </c>
    </row>
    <row r="890" spans="1:13" x14ac:dyDescent="0.2">
      <c r="A890">
        <v>50</v>
      </c>
      <c r="B890">
        <v>42</v>
      </c>
      <c r="C890">
        <v>92</v>
      </c>
      <c r="D890" s="51" t="s">
        <v>40</v>
      </c>
      <c r="E890">
        <f>VLOOKUP(M890,'MASS - 2016'!$A$1:$G$3418,6,FALSE)</f>
        <v>-86808.576000000001</v>
      </c>
      <c r="F890">
        <f>VLOOKUP(M890,'MASS - 2016'!$A$1:$G$3418,7,FALSE)</f>
        <v>0.157</v>
      </c>
      <c r="G890">
        <f t="shared" si="71"/>
        <v>-86808.576000000001</v>
      </c>
      <c r="H890">
        <f t="shared" si="67"/>
        <v>91.906807161060371</v>
      </c>
      <c r="I890">
        <f t="shared" si="68"/>
        <v>85.610645036000008</v>
      </c>
      <c r="J890">
        <f t="shared" si="70"/>
        <v>85589.183036000002</v>
      </c>
      <c r="M890">
        <f t="shared" si="69"/>
        <v>50042</v>
      </c>
    </row>
    <row r="891" spans="1:13" x14ac:dyDescent="0.2">
      <c r="A891">
        <v>49</v>
      </c>
      <c r="B891">
        <v>43</v>
      </c>
      <c r="C891">
        <v>92</v>
      </c>
      <c r="D891" s="51" t="s">
        <v>41</v>
      </c>
      <c r="E891">
        <f>VLOOKUP(M891,'MASS - 2016'!$A$1:$G$3418,6,FALSE)</f>
        <v>-78925.692999999999</v>
      </c>
      <c r="F891">
        <f>VLOOKUP(M891,'MASS - 2016'!$A$1:$G$3418,7,FALSE)</f>
        <v>3.1019999999999999</v>
      </c>
      <c r="G891">
        <f t="shared" si="71"/>
        <v>-78925.692999999999</v>
      </c>
      <c r="H891">
        <f t="shared" si="67"/>
        <v>91.91526978399061</v>
      </c>
      <c r="I891">
        <f t="shared" si="68"/>
        <v>85.618527919000002</v>
      </c>
      <c r="J891">
        <f t="shared" si="70"/>
        <v>85596.554919000002</v>
      </c>
      <c r="M891">
        <f t="shared" si="69"/>
        <v>49043</v>
      </c>
    </row>
    <row r="892" spans="1:13" x14ac:dyDescent="0.2">
      <c r="A892">
        <v>48</v>
      </c>
      <c r="B892">
        <v>44</v>
      </c>
      <c r="C892">
        <v>92</v>
      </c>
      <c r="D892" s="51" t="s">
        <v>42</v>
      </c>
      <c r="E892">
        <f>VLOOKUP(M892,'MASS - 2016'!$A$1:$G$3418,6,FALSE)</f>
        <v>-74301.201000000001</v>
      </c>
      <c r="F892">
        <f>VLOOKUP(M892,'MASS - 2016'!$A$1:$G$3418,7,FALSE)</f>
        <v>2.718</v>
      </c>
      <c r="G892">
        <f t="shared" si="71"/>
        <v>-74301.201000000001</v>
      </c>
      <c r="H892">
        <f t="shared" si="67"/>
        <v>91.920234380324203</v>
      </c>
      <c r="I892">
        <f t="shared" si="68"/>
        <v>85.623152411000007</v>
      </c>
      <c r="J892">
        <f t="shared" si="70"/>
        <v>85600.668411000006</v>
      </c>
      <c r="M892">
        <f t="shared" si="69"/>
        <v>48044</v>
      </c>
    </row>
    <row r="893" spans="1:13" x14ac:dyDescent="0.2">
      <c r="A893">
        <v>47</v>
      </c>
      <c r="B893">
        <v>45</v>
      </c>
      <c r="C893">
        <v>92</v>
      </c>
      <c r="D893" s="51" t="s">
        <v>43</v>
      </c>
      <c r="E893">
        <f>VLOOKUP(M893,'MASS - 2016'!$A$1:$G$3418,6,FALSE)</f>
        <v>-62999.087</v>
      </c>
      <c r="F893">
        <f>VLOOKUP(M893,'MASS - 2016'!$A$1:$G$3418,7,FALSE)</f>
        <v>4.3780000000000001</v>
      </c>
      <c r="G893">
        <f t="shared" si="71"/>
        <v>-62999.087</v>
      </c>
      <c r="H893">
        <f t="shared" si="67"/>
        <v>91.93236769869219</v>
      </c>
      <c r="I893">
        <f t="shared" si="68"/>
        <v>85.63445452500001</v>
      </c>
      <c r="J893">
        <f t="shared" si="70"/>
        <v>85611.459525000013</v>
      </c>
      <c r="M893">
        <f t="shared" si="69"/>
        <v>47045</v>
      </c>
    </row>
    <row r="894" spans="1:13" x14ac:dyDescent="0.2">
      <c r="A894">
        <v>46</v>
      </c>
      <c r="B894">
        <v>46</v>
      </c>
      <c r="C894">
        <v>92</v>
      </c>
      <c r="D894" s="51" t="s">
        <v>44</v>
      </c>
      <c r="E894" t="str">
        <f>VLOOKUP(M894,'MASS - 2016'!$A$1:$G$3418,6,FALSE)</f>
        <v>-54580#</v>
      </c>
      <c r="F894" t="str">
        <f>VLOOKUP(M894,'MASS - 2016'!$A$1:$G$3418,7,FALSE)</f>
        <v>300#</v>
      </c>
      <c r="G894">
        <f t="shared" si="71"/>
        <v>-54580.01</v>
      </c>
      <c r="H894">
        <f t="shared" si="67"/>
        <v>91.941405949554422</v>
      </c>
      <c r="I894">
        <f t="shared" si="68"/>
        <v>85.642873602000009</v>
      </c>
      <c r="J894">
        <f t="shared" si="70"/>
        <v>85619.367602000013</v>
      </c>
      <c r="M894">
        <f t="shared" si="69"/>
        <v>46046</v>
      </c>
    </row>
    <row r="895" spans="1:13" x14ac:dyDescent="0.2">
      <c r="A895">
        <v>58</v>
      </c>
      <c r="B895">
        <v>35</v>
      </c>
      <c r="C895">
        <v>93</v>
      </c>
      <c r="D895" s="51" t="s">
        <v>33</v>
      </c>
      <c r="E895">
        <f>VLOOKUP(M895,'MASS - 2016'!$A$1:$G$3418,6,FALSE)</f>
        <v>-52890.23</v>
      </c>
      <c r="F895">
        <f>VLOOKUP(M895,'MASS - 2016'!$A$1:$G$3418,7,FALSE)</f>
        <v>430.81599999999997</v>
      </c>
      <c r="G895">
        <f t="shared" si="71"/>
        <v>-52890.23</v>
      </c>
      <c r="H895">
        <f t="shared" si="67"/>
        <v>92.943220002988298</v>
      </c>
      <c r="I895">
        <f t="shared" si="68"/>
        <v>86.576057442999996</v>
      </c>
      <c r="J895">
        <f t="shared" si="70"/>
        <v>86558.172443000003</v>
      </c>
      <c r="M895">
        <f t="shared" si="69"/>
        <v>58035</v>
      </c>
    </row>
    <row r="896" spans="1:13" x14ac:dyDescent="0.2">
      <c r="A896">
        <v>57</v>
      </c>
      <c r="B896">
        <v>36</v>
      </c>
      <c r="C896">
        <v>93</v>
      </c>
      <c r="D896" s="51" t="s">
        <v>34</v>
      </c>
      <c r="E896">
        <f>VLOOKUP(M896,'MASS - 2016'!$A$1:$G$3418,6,FALSE)</f>
        <v>-64135.993999999999</v>
      </c>
      <c r="F896">
        <f>VLOOKUP(M896,'MASS - 2016'!$A$1:$G$3418,7,FALSE)</f>
        <v>2.5150000000000001</v>
      </c>
      <c r="G896">
        <f t="shared" si="71"/>
        <v>-64135.993999999999</v>
      </c>
      <c r="H896">
        <f t="shared" si="67"/>
        <v>92.931147178833172</v>
      </c>
      <c r="I896">
        <f t="shared" si="68"/>
        <v>86.564811679000002</v>
      </c>
      <c r="J896">
        <f t="shared" si="70"/>
        <v>86546.415679000012</v>
      </c>
      <c r="M896">
        <f t="shared" si="69"/>
        <v>57036</v>
      </c>
    </row>
    <row r="897" spans="1:13" x14ac:dyDescent="0.2">
      <c r="A897">
        <v>56</v>
      </c>
      <c r="B897">
        <v>37</v>
      </c>
      <c r="C897">
        <v>93</v>
      </c>
      <c r="D897" s="51" t="s">
        <v>35</v>
      </c>
      <c r="E897">
        <f>VLOOKUP(M897,'MASS - 2016'!$A$1:$G$3418,6,FALSE)</f>
        <v>-72619.900999999998</v>
      </c>
      <c r="F897">
        <f>VLOOKUP(M897,'MASS - 2016'!$A$1:$G$3418,7,FALSE)</f>
        <v>7.83</v>
      </c>
      <c r="G897">
        <f t="shared" si="71"/>
        <v>-72619.900999999998</v>
      </c>
      <c r="H897">
        <f t="shared" si="67"/>
        <v>92.922039330103686</v>
      </c>
      <c r="I897">
        <f t="shared" si="68"/>
        <v>86.556327772000003</v>
      </c>
      <c r="J897">
        <f t="shared" si="70"/>
        <v>86537.420771999998</v>
      </c>
      <c r="M897">
        <f t="shared" si="69"/>
        <v>56037</v>
      </c>
    </row>
    <row r="898" spans="1:13" x14ac:dyDescent="0.2">
      <c r="A898">
        <v>55</v>
      </c>
      <c r="B898">
        <v>38</v>
      </c>
      <c r="C898">
        <v>93</v>
      </c>
      <c r="D898" s="51" t="s">
        <v>36</v>
      </c>
      <c r="E898">
        <f>VLOOKUP(M898,'MASS - 2016'!$A$1:$G$3418,6,FALSE)</f>
        <v>-80085.838000000003</v>
      </c>
      <c r="F898">
        <f>VLOOKUP(M898,'MASS - 2016'!$A$1:$G$3418,7,FALSE)</f>
        <v>7.5540000000000003</v>
      </c>
      <c r="G898">
        <f t="shared" si="71"/>
        <v>-80085.838000000003</v>
      </c>
      <c r="H898">
        <f t="shared" si="67"/>
        <v>92.914024317112634</v>
      </c>
      <c r="I898">
        <f t="shared" si="68"/>
        <v>86.548861834999997</v>
      </c>
      <c r="J898">
        <f t="shared" si="70"/>
        <v>86529.443834999998</v>
      </c>
      <c r="M898">
        <f t="shared" si="69"/>
        <v>55038</v>
      </c>
    </row>
    <row r="899" spans="1:13" x14ac:dyDescent="0.2">
      <c r="A899">
        <v>54</v>
      </c>
      <c r="B899">
        <v>39</v>
      </c>
      <c r="C899">
        <v>93</v>
      </c>
      <c r="D899" s="51" t="s">
        <v>37</v>
      </c>
      <c r="E899">
        <f>VLOOKUP(M899,'MASS - 2016'!$A$1:$G$3418,6,FALSE)</f>
        <v>-84227.157000000007</v>
      </c>
      <c r="F899">
        <f>VLOOKUP(M899,'MASS - 2016'!$A$1:$G$3418,7,FALSE)</f>
        <v>10.488</v>
      </c>
      <c r="G899">
        <f t="shared" si="71"/>
        <v>-84227.157000000007</v>
      </c>
      <c r="H899">
        <f t="shared" si="67"/>
        <v>92.909578428326668</v>
      </c>
      <c r="I899">
        <f t="shared" si="68"/>
        <v>86.544720515999998</v>
      </c>
      <c r="J899">
        <f t="shared" si="70"/>
        <v>86524.791515999998</v>
      </c>
      <c r="M899">
        <f t="shared" si="69"/>
        <v>54039</v>
      </c>
    </row>
    <row r="900" spans="1:13" x14ac:dyDescent="0.2">
      <c r="A900">
        <v>53</v>
      </c>
      <c r="B900">
        <v>40</v>
      </c>
      <c r="C900">
        <v>93</v>
      </c>
      <c r="D900" s="51" t="s">
        <v>38</v>
      </c>
      <c r="E900">
        <f>VLOOKUP(M900,'MASS - 2016'!$A$1:$G$3418,6,FALSE)</f>
        <v>-87122.032000000007</v>
      </c>
      <c r="F900">
        <f>VLOOKUP(M900,'MASS - 2016'!$A$1:$G$3418,7,FALSE)</f>
        <v>0.45700000000000002</v>
      </c>
      <c r="G900">
        <f t="shared" si="71"/>
        <v>-87122.032000000007</v>
      </c>
      <c r="H900">
        <f t="shared" si="67"/>
        <v>92.906470652205272</v>
      </c>
      <c r="I900">
        <f t="shared" si="68"/>
        <v>86.541825641000003</v>
      </c>
      <c r="J900">
        <f t="shared" si="70"/>
        <v>86521.385641000001</v>
      </c>
      <c r="M900">
        <f t="shared" si="69"/>
        <v>53040</v>
      </c>
    </row>
    <row r="901" spans="1:13" x14ac:dyDescent="0.2">
      <c r="A901">
        <v>52</v>
      </c>
      <c r="B901">
        <v>41</v>
      </c>
      <c r="C901">
        <v>93</v>
      </c>
      <c r="D901" s="51" t="s">
        <v>39</v>
      </c>
      <c r="E901">
        <f>VLOOKUP(M901,'MASS - 2016'!$A$1:$G$3418,6,FALSE)</f>
        <v>-87212.838000000003</v>
      </c>
      <c r="F901">
        <f>VLOOKUP(M901,'MASS - 2016'!$A$1:$G$3418,7,FALSE)</f>
        <v>1.4910000000000001</v>
      </c>
      <c r="G901">
        <f t="shared" si="71"/>
        <v>-87212.838000000003</v>
      </c>
      <c r="H901">
        <f t="shared" si="67"/>
        <v>92.906373167955181</v>
      </c>
      <c r="I901">
        <f t="shared" si="68"/>
        <v>86.541734835</v>
      </c>
      <c r="J901">
        <f t="shared" si="70"/>
        <v>86520.783834999995</v>
      </c>
      <c r="M901">
        <f t="shared" si="69"/>
        <v>52041</v>
      </c>
    </row>
    <row r="902" spans="1:13" x14ac:dyDescent="0.2">
      <c r="A902">
        <v>51</v>
      </c>
      <c r="B902">
        <v>42</v>
      </c>
      <c r="C902">
        <v>93</v>
      </c>
      <c r="D902" s="51" t="s">
        <v>40</v>
      </c>
      <c r="E902">
        <f>VLOOKUP(M902,'MASS - 2016'!$A$1:$G$3418,6,FALSE)</f>
        <v>-86807.069000000003</v>
      </c>
      <c r="F902">
        <f>VLOOKUP(M902,'MASS - 2016'!$A$1:$G$3418,7,FALSE)</f>
        <v>0.18099999999999999</v>
      </c>
      <c r="G902">
        <f t="shared" si="71"/>
        <v>-86807.069000000003</v>
      </c>
      <c r="H902">
        <f t="shared" si="67"/>
        <v>92.906808778891403</v>
      </c>
      <c r="I902">
        <f t="shared" si="68"/>
        <v>86.542140603999997</v>
      </c>
      <c r="J902">
        <f t="shared" si="70"/>
        <v>86520.678604000001</v>
      </c>
      <c r="M902">
        <f t="shared" si="69"/>
        <v>51042</v>
      </c>
    </row>
    <row r="903" spans="1:13" x14ac:dyDescent="0.2">
      <c r="A903">
        <v>50</v>
      </c>
      <c r="B903">
        <v>43</v>
      </c>
      <c r="C903">
        <v>93</v>
      </c>
      <c r="D903" s="51" t="s">
        <v>41</v>
      </c>
      <c r="E903">
        <f>VLOOKUP(M903,'MASS - 2016'!$A$1:$G$3418,6,FALSE)</f>
        <v>-83606.106</v>
      </c>
      <c r="F903">
        <f>VLOOKUP(M903,'MASS - 2016'!$A$1:$G$3418,7,FALSE)</f>
        <v>1.012</v>
      </c>
      <c r="G903">
        <f t="shared" si="71"/>
        <v>-83606.106</v>
      </c>
      <c r="H903">
        <f t="shared" si="67"/>
        <v>92.910245153994595</v>
      </c>
      <c r="I903">
        <f t="shared" si="68"/>
        <v>86.545341566999994</v>
      </c>
      <c r="J903">
        <f t="shared" si="70"/>
        <v>86523.368566999998</v>
      </c>
      <c r="M903">
        <f t="shared" si="69"/>
        <v>50043</v>
      </c>
    </row>
    <row r="904" spans="1:13" x14ac:dyDescent="0.2">
      <c r="A904">
        <v>49</v>
      </c>
      <c r="B904">
        <v>44</v>
      </c>
      <c r="C904">
        <v>93</v>
      </c>
      <c r="D904" s="51" t="s">
        <v>42</v>
      </c>
      <c r="E904">
        <f>VLOOKUP(M904,'MASS - 2016'!$A$1:$G$3418,6,FALSE)</f>
        <v>-77216.713000000003</v>
      </c>
      <c r="F904">
        <f>VLOOKUP(M904,'MASS - 2016'!$A$1:$G$3418,7,FALSE)</f>
        <v>2.0649999999999999</v>
      </c>
      <c r="G904">
        <f t="shared" si="71"/>
        <v>-77216.713000000003</v>
      </c>
      <c r="H904">
        <f t="shared" si="67"/>
        <v>92.917104449472177</v>
      </c>
      <c r="I904">
        <f t="shared" si="68"/>
        <v>86.55173096</v>
      </c>
      <c r="J904">
        <f t="shared" si="70"/>
        <v>86529.246960000004</v>
      </c>
      <c r="M904">
        <f t="shared" si="69"/>
        <v>49044</v>
      </c>
    </row>
    <row r="905" spans="1:13" x14ac:dyDescent="0.2">
      <c r="A905">
        <v>48</v>
      </c>
      <c r="B905">
        <v>45</v>
      </c>
      <c r="C905">
        <v>93</v>
      </c>
      <c r="D905" s="51" t="s">
        <v>43</v>
      </c>
      <c r="E905">
        <f>VLOOKUP(M905,'MASS - 2016'!$A$1:$G$3418,6,FALSE)</f>
        <v>-69011.8</v>
      </c>
      <c r="F905">
        <f>VLOOKUP(M905,'MASS - 2016'!$A$1:$G$3418,7,FALSE)</f>
        <v>2.629</v>
      </c>
      <c r="G905">
        <f t="shared" si="71"/>
        <v>-69011.8</v>
      </c>
      <c r="H905">
        <f t="shared" ref="H905:H968" si="72">(C905*$A$3+G905/1000000)/$A$3</f>
        <v>92.925912785825048</v>
      </c>
      <c r="I905">
        <f t="shared" ref="I905:I968" si="73">H905*$A$3</f>
        <v>86.559935873000001</v>
      </c>
      <c r="J905">
        <f t="shared" si="70"/>
        <v>86536.940873</v>
      </c>
      <c r="M905">
        <f t="shared" ref="M905:M968" si="74">1000*A905+B905</f>
        <v>48045</v>
      </c>
    </row>
    <row r="906" spans="1:13" x14ac:dyDescent="0.2">
      <c r="A906">
        <v>47</v>
      </c>
      <c r="B906">
        <v>46</v>
      </c>
      <c r="C906">
        <v>93</v>
      </c>
      <c r="D906" s="51" t="s">
        <v>44</v>
      </c>
      <c r="E906" t="str">
        <f>VLOOKUP(M906,'MASS - 2016'!$A$1:$G$3418,6,FALSE)</f>
        <v>-59001#</v>
      </c>
      <c r="F906" t="str">
        <f>VLOOKUP(M906,'MASS - 2016'!$A$1:$G$3418,7,FALSE)</f>
        <v>300#</v>
      </c>
      <c r="G906">
        <f t="shared" si="71"/>
        <v>-59001.01</v>
      </c>
      <c r="H906">
        <f t="shared" si="72"/>
        <v>92.936659810866999</v>
      </c>
      <c r="I906">
        <f t="shared" si="73"/>
        <v>86.569946662999996</v>
      </c>
      <c r="J906">
        <f t="shared" si="70"/>
        <v>86546.440663000001</v>
      </c>
      <c r="M906">
        <f t="shared" si="74"/>
        <v>47046</v>
      </c>
    </row>
    <row r="907" spans="1:13" x14ac:dyDescent="0.2">
      <c r="A907">
        <v>59</v>
      </c>
      <c r="B907">
        <v>35</v>
      </c>
      <c r="C907">
        <v>94</v>
      </c>
      <c r="D907" s="51" t="s">
        <v>33</v>
      </c>
      <c r="E907" t="str">
        <f>VLOOKUP(M907,'MASS - 2016'!$A$1:$G$3418,6,FALSE)</f>
        <v>-47400#</v>
      </c>
      <c r="F907" t="str">
        <f>VLOOKUP(M907,'MASS - 2016'!$A$1:$G$3418,7,FALSE)</f>
        <v>300#</v>
      </c>
      <c r="G907">
        <f t="shared" si="71"/>
        <v>-47400.01</v>
      </c>
      <c r="H907">
        <f t="shared" si="72"/>
        <v>93.949113996551816</v>
      </c>
      <c r="I907">
        <f t="shared" si="73"/>
        <v>87.51304172399999</v>
      </c>
      <c r="J907">
        <f t="shared" si="70"/>
        <v>87495.156724</v>
      </c>
      <c r="M907">
        <f t="shared" si="74"/>
        <v>59035</v>
      </c>
    </row>
    <row r="908" spans="1:13" x14ac:dyDescent="0.2">
      <c r="A908">
        <v>58</v>
      </c>
      <c r="B908">
        <v>36</v>
      </c>
      <c r="C908">
        <v>94</v>
      </c>
      <c r="D908" s="51" t="s">
        <v>34</v>
      </c>
      <c r="E908">
        <f>VLOOKUP(M908,'MASS - 2016'!$A$1:$G$3418,6,FALSE)</f>
        <v>-61347.771999999997</v>
      </c>
      <c r="F908">
        <f>VLOOKUP(M908,'MASS - 2016'!$A$1:$G$3418,7,FALSE)</f>
        <v>12.109</v>
      </c>
      <c r="G908">
        <f t="shared" si="71"/>
        <v>-61347.771999999997</v>
      </c>
      <c r="H908">
        <f t="shared" si="72"/>
        <v>93.934140458250326</v>
      </c>
      <c r="I908">
        <f t="shared" si="73"/>
        <v>87.499093961999989</v>
      </c>
      <c r="J908">
        <f t="shared" ref="J908:J971" si="75">1000*I908-B908*0.511</f>
        <v>87480.697961999991</v>
      </c>
      <c r="M908">
        <f t="shared" si="74"/>
        <v>58036</v>
      </c>
    </row>
    <row r="909" spans="1:13" x14ac:dyDescent="0.2">
      <c r="A909">
        <v>57</v>
      </c>
      <c r="B909">
        <v>37</v>
      </c>
      <c r="C909">
        <v>94</v>
      </c>
      <c r="D909" s="51" t="s">
        <v>35</v>
      </c>
      <c r="E909">
        <f>VLOOKUP(M909,'MASS - 2016'!$A$1:$G$3418,6,FALSE)</f>
        <v>-68562.785000000003</v>
      </c>
      <c r="F909">
        <f>VLOOKUP(M909,'MASS - 2016'!$A$1:$G$3418,7,FALSE)</f>
        <v>2.0289999999999999</v>
      </c>
      <c r="G909">
        <f t="shared" si="71"/>
        <v>-68562.785000000003</v>
      </c>
      <c r="H909">
        <f t="shared" si="72"/>
        <v>93.926394823251584</v>
      </c>
      <c r="I909">
        <f t="shared" si="73"/>
        <v>87.491878948999997</v>
      </c>
      <c r="J909">
        <f t="shared" si="75"/>
        <v>87472.971948999984</v>
      </c>
      <c r="M909">
        <f t="shared" si="74"/>
        <v>57037</v>
      </c>
    </row>
    <row r="910" spans="1:13" x14ac:dyDescent="0.2">
      <c r="A910">
        <v>56</v>
      </c>
      <c r="B910">
        <v>38</v>
      </c>
      <c r="C910">
        <v>94</v>
      </c>
      <c r="D910" s="51" t="s">
        <v>36</v>
      </c>
      <c r="E910">
        <f>VLOOKUP(M910,'MASS - 2016'!$A$1:$G$3418,6,FALSE)</f>
        <v>-78845.710999999996</v>
      </c>
      <c r="F910">
        <f>VLOOKUP(M910,'MASS - 2016'!$A$1:$G$3418,7,FALSE)</f>
        <v>1.663</v>
      </c>
      <c r="G910">
        <f t="shared" si="71"/>
        <v>-78845.710999999996</v>
      </c>
      <c r="H910">
        <f t="shared" si="72"/>
        <v>93.915355648198812</v>
      </c>
      <c r="I910">
        <f t="shared" si="73"/>
        <v>87.481596022999994</v>
      </c>
      <c r="J910">
        <f t="shared" si="75"/>
        <v>87462.178022999986</v>
      </c>
      <c r="M910">
        <f t="shared" si="74"/>
        <v>56038</v>
      </c>
    </row>
    <row r="911" spans="1:13" x14ac:dyDescent="0.2">
      <c r="A911">
        <v>55</v>
      </c>
      <c r="B911">
        <v>39</v>
      </c>
      <c r="C911">
        <v>94</v>
      </c>
      <c r="D911" s="51" t="s">
        <v>37</v>
      </c>
      <c r="E911">
        <f>VLOOKUP(M911,'MASS - 2016'!$A$1:$G$3418,6,FALSE)</f>
        <v>-82351.463000000003</v>
      </c>
      <c r="F911">
        <f>VLOOKUP(M911,'MASS - 2016'!$A$1:$G$3418,7,FALSE)</f>
        <v>6.38</v>
      </c>
      <c r="G911">
        <f t="shared" ref="G911:G974" si="76">IF(ISNUMBER(E911),E911,VALUE(SUBSTITUTE(E911,"#",".01")))</f>
        <v>-82351.463000000003</v>
      </c>
      <c r="H911">
        <f t="shared" si="72"/>
        <v>93.911592068647664</v>
      </c>
      <c r="I911">
        <f t="shared" si="73"/>
        <v>87.478090270999999</v>
      </c>
      <c r="J911">
        <f t="shared" si="75"/>
        <v>87458.16127099999</v>
      </c>
      <c r="M911">
        <f t="shared" si="74"/>
        <v>55039</v>
      </c>
    </row>
    <row r="912" spans="1:13" x14ac:dyDescent="0.2">
      <c r="A912">
        <v>54</v>
      </c>
      <c r="B912">
        <v>40</v>
      </c>
      <c r="C912">
        <v>94</v>
      </c>
      <c r="D912" s="51" t="s">
        <v>38</v>
      </c>
      <c r="E912">
        <f>VLOOKUP(M912,'MASS - 2016'!$A$1:$G$3418,6,FALSE)</f>
        <v>-87269.322</v>
      </c>
      <c r="F912">
        <f>VLOOKUP(M912,'MASS - 2016'!$A$1:$G$3418,7,FALSE)</f>
        <v>0.16400000000000001</v>
      </c>
      <c r="G912">
        <f t="shared" si="76"/>
        <v>-87269.322</v>
      </c>
      <c r="H912">
        <f t="shared" si="72"/>
        <v>93.906312529887401</v>
      </c>
      <c r="I912">
        <f t="shared" si="73"/>
        <v>87.473172411999997</v>
      </c>
      <c r="J912">
        <f t="shared" si="75"/>
        <v>87452.732411999998</v>
      </c>
      <c r="M912">
        <f t="shared" si="74"/>
        <v>54040</v>
      </c>
    </row>
    <row r="913" spans="1:13" x14ac:dyDescent="0.2">
      <c r="A913">
        <v>53</v>
      </c>
      <c r="B913">
        <v>41</v>
      </c>
      <c r="C913">
        <v>94</v>
      </c>
      <c r="D913" s="51" t="s">
        <v>39</v>
      </c>
      <c r="E913">
        <f>VLOOKUP(M913,'MASS - 2016'!$A$1:$G$3418,6,FALSE)</f>
        <v>-86369.062000000005</v>
      </c>
      <c r="F913">
        <f>VLOOKUP(M913,'MASS - 2016'!$A$1:$G$3418,7,FALSE)</f>
        <v>1.4910000000000001</v>
      </c>
      <c r="G913">
        <f t="shared" si="76"/>
        <v>-86369.062000000005</v>
      </c>
      <c r="H913">
        <f t="shared" si="72"/>
        <v>93.907278998743919</v>
      </c>
      <c r="I913">
        <f t="shared" si="73"/>
        <v>87.474072671999991</v>
      </c>
      <c r="J913">
        <f t="shared" si="75"/>
        <v>87453.121671999994</v>
      </c>
      <c r="M913">
        <f t="shared" si="74"/>
        <v>53041</v>
      </c>
    </row>
    <row r="914" spans="1:13" x14ac:dyDescent="0.2">
      <c r="A914">
        <v>52</v>
      </c>
      <c r="B914">
        <v>42</v>
      </c>
      <c r="C914">
        <v>94</v>
      </c>
      <c r="D914" s="51" t="s">
        <v>40</v>
      </c>
      <c r="E914">
        <f>VLOOKUP(M914,'MASS - 2016'!$A$1:$G$3418,6,FALSE)</f>
        <v>-88414.065000000002</v>
      </c>
      <c r="F914">
        <f>VLOOKUP(M914,'MASS - 2016'!$A$1:$G$3418,7,FALSE)</f>
        <v>0.14099999999999999</v>
      </c>
      <c r="G914">
        <f t="shared" si="76"/>
        <v>-88414.065000000002</v>
      </c>
      <c r="H914">
        <f t="shared" si="72"/>
        <v>93.905083597736436</v>
      </c>
      <c r="I914">
        <f t="shared" si="73"/>
        <v>87.472027668999999</v>
      </c>
      <c r="J914">
        <f t="shared" si="75"/>
        <v>87450.565669000003</v>
      </c>
      <c r="M914">
        <f t="shared" si="74"/>
        <v>52042</v>
      </c>
    </row>
    <row r="915" spans="1:13" x14ac:dyDescent="0.2">
      <c r="A915">
        <v>51</v>
      </c>
      <c r="B915">
        <v>43</v>
      </c>
      <c r="C915">
        <v>94</v>
      </c>
      <c r="D915" s="51" t="s">
        <v>41</v>
      </c>
      <c r="E915">
        <f>VLOOKUP(M915,'MASS - 2016'!$A$1:$G$3418,6,FALSE)</f>
        <v>-84158.316999999995</v>
      </c>
      <c r="F915">
        <f>VLOOKUP(M915,'MASS - 2016'!$A$1:$G$3418,7,FALSE)</f>
        <v>4.0709999999999997</v>
      </c>
      <c r="G915">
        <f t="shared" si="76"/>
        <v>-84158.316999999995</v>
      </c>
      <c r="H915">
        <f t="shared" si="72"/>
        <v>93.909652331105946</v>
      </c>
      <c r="I915">
        <f t="shared" si="73"/>
        <v>87.476283416999991</v>
      </c>
      <c r="J915">
        <f t="shared" si="75"/>
        <v>87454.310416999986</v>
      </c>
      <c r="M915">
        <f t="shared" si="74"/>
        <v>51043</v>
      </c>
    </row>
    <row r="916" spans="1:13" x14ac:dyDescent="0.2">
      <c r="A916">
        <v>50</v>
      </c>
      <c r="B916">
        <v>44</v>
      </c>
      <c r="C916">
        <v>94</v>
      </c>
      <c r="D916" s="51" t="s">
        <v>42</v>
      </c>
      <c r="E916">
        <f>VLOOKUP(M916,'MASS - 2016'!$A$1:$G$3418,6,FALSE)</f>
        <v>-82583.591</v>
      </c>
      <c r="F916">
        <f>VLOOKUP(M916,'MASS - 2016'!$A$1:$G$3418,7,FALSE)</f>
        <v>3.1429999999999998</v>
      </c>
      <c r="G916">
        <f t="shared" si="76"/>
        <v>-82583.591</v>
      </c>
      <c r="H916">
        <f t="shared" si="72"/>
        <v>93.911342868991184</v>
      </c>
      <c r="I916">
        <f t="shared" si="73"/>
        <v>87.477858142999992</v>
      </c>
      <c r="J916">
        <f t="shared" si="75"/>
        <v>87455.374142999994</v>
      </c>
      <c r="M916">
        <f t="shared" si="74"/>
        <v>50044</v>
      </c>
    </row>
    <row r="917" spans="1:13" x14ac:dyDescent="0.2">
      <c r="A917">
        <v>49</v>
      </c>
      <c r="B917">
        <v>45</v>
      </c>
      <c r="C917">
        <v>94</v>
      </c>
      <c r="D917" s="51" t="s">
        <v>43</v>
      </c>
      <c r="E917">
        <f>VLOOKUP(M917,'MASS - 2016'!$A$1:$G$3418,6,FALSE)</f>
        <v>-72907.612999999998</v>
      </c>
      <c r="F917">
        <f>VLOOKUP(M917,'MASS - 2016'!$A$1:$G$3418,7,FALSE)</f>
        <v>3.379</v>
      </c>
      <c r="G917">
        <f t="shared" si="76"/>
        <v>-72907.612999999998</v>
      </c>
      <c r="H917">
        <f t="shared" si="72"/>
        <v>93.921730458569186</v>
      </c>
      <c r="I917">
        <f t="shared" si="73"/>
        <v>87.487534120999996</v>
      </c>
      <c r="J917">
        <f t="shared" si="75"/>
        <v>87464.539120999994</v>
      </c>
      <c r="M917">
        <f t="shared" si="74"/>
        <v>49045</v>
      </c>
    </row>
    <row r="918" spans="1:13" x14ac:dyDescent="0.2">
      <c r="A918">
        <v>48</v>
      </c>
      <c r="B918">
        <v>46</v>
      </c>
      <c r="C918">
        <v>94</v>
      </c>
      <c r="D918" s="51" t="s">
        <v>44</v>
      </c>
      <c r="E918">
        <f>VLOOKUP(M918,'MASS - 2016'!$A$1:$G$3418,6,FALSE)</f>
        <v>-66102.267999999996</v>
      </c>
      <c r="F918">
        <f>VLOOKUP(M918,'MASS - 2016'!$A$1:$G$3418,7,FALSE)</f>
        <v>4.2869999999999999</v>
      </c>
      <c r="G918">
        <f t="shared" si="76"/>
        <v>-66102.267999999996</v>
      </c>
      <c r="H918">
        <f t="shared" si="72"/>
        <v>93.929036296883055</v>
      </c>
      <c r="I918">
        <f t="shared" si="73"/>
        <v>87.494339466</v>
      </c>
      <c r="J918">
        <f t="shared" si="75"/>
        <v>87470.833466000011</v>
      </c>
      <c r="M918">
        <f t="shared" si="74"/>
        <v>48046</v>
      </c>
    </row>
    <row r="919" spans="1:13" x14ac:dyDescent="0.2">
      <c r="A919">
        <v>47</v>
      </c>
      <c r="B919">
        <v>47</v>
      </c>
      <c r="C919">
        <v>94</v>
      </c>
      <c r="D919" s="51" t="s">
        <v>45</v>
      </c>
      <c r="E919" t="str">
        <f>VLOOKUP(M919,'MASS - 2016'!$A$1:$G$3418,6,FALSE)</f>
        <v>-52410#</v>
      </c>
      <c r="F919" t="str">
        <f>VLOOKUP(M919,'MASS - 2016'!$A$1:$G$3418,7,FALSE)</f>
        <v>400#</v>
      </c>
      <c r="G919">
        <f t="shared" si="76"/>
        <v>-52410.01</v>
      </c>
      <c r="H919">
        <f t="shared" si="72"/>
        <v>93.943735540360024</v>
      </c>
      <c r="I919">
        <f t="shared" si="73"/>
        <v>87.508031723999991</v>
      </c>
      <c r="J919">
        <f t="shared" si="75"/>
        <v>87484.014723999979</v>
      </c>
      <c r="M919">
        <f t="shared" si="74"/>
        <v>47047</v>
      </c>
    </row>
    <row r="920" spans="1:13" x14ac:dyDescent="0.2">
      <c r="A920">
        <v>59</v>
      </c>
      <c r="B920">
        <v>36</v>
      </c>
      <c r="C920">
        <v>95</v>
      </c>
      <c r="D920" s="51" t="s">
        <v>34</v>
      </c>
      <c r="E920">
        <f>VLOOKUP(M920,'MASS - 2016'!$A$1:$G$3418,6,FALSE)</f>
        <v>-56158.913</v>
      </c>
      <c r="F920">
        <f>VLOOKUP(M920,'MASS - 2016'!$A$1:$G$3418,7,FALSE)</f>
        <v>18.63</v>
      </c>
      <c r="G920">
        <f t="shared" si="76"/>
        <v>-56158.913</v>
      </c>
      <c r="H920">
        <f t="shared" si="72"/>
        <v>94.939710927475247</v>
      </c>
      <c r="I920">
        <f t="shared" si="73"/>
        <v>88.435776881999999</v>
      </c>
      <c r="J920">
        <f t="shared" si="75"/>
        <v>88417.380882000012</v>
      </c>
      <c r="M920">
        <f t="shared" si="74"/>
        <v>59036</v>
      </c>
    </row>
    <row r="921" spans="1:13" x14ac:dyDescent="0.2">
      <c r="A921">
        <v>58</v>
      </c>
      <c r="B921">
        <v>37</v>
      </c>
      <c r="C921">
        <v>95</v>
      </c>
      <c r="D921" s="51" t="s">
        <v>35</v>
      </c>
      <c r="E921">
        <f>VLOOKUP(M921,'MASS - 2016'!$A$1:$G$3418,6,FALSE)</f>
        <v>-65891.493000000002</v>
      </c>
      <c r="F921">
        <f>VLOOKUP(M921,'MASS - 2016'!$A$1:$G$3418,7,FALSE)</f>
        <v>20.245000000000001</v>
      </c>
      <c r="G921">
        <f t="shared" si="76"/>
        <v>-65891.493000000002</v>
      </c>
      <c r="H921">
        <f t="shared" si="72"/>
        <v>94.929262573151291</v>
      </c>
      <c r="I921">
        <f t="shared" si="73"/>
        <v>88.426044302000008</v>
      </c>
      <c r="J921">
        <f t="shared" si="75"/>
        <v>88407.137302000003</v>
      </c>
      <c r="M921">
        <f t="shared" si="74"/>
        <v>58037</v>
      </c>
    </row>
    <row r="922" spans="1:13" x14ac:dyDescent="0.2">
      <c r="A922">
        <v>57</v>
      </c>
      <c r="B922">
        <v>38</v>
      </c>
      <c r="C922">
        <v>95</v>
      </c>
      <c r="D922" s="51" t="s">
        <v>36</v>
      </c>
      <c r="E922">
        <f>VLOOKUP(M922,'MASS - 2016'!$A$1:$G$3418,6,FALSE)</f>
        <v>-75119.551000000007</v>
      </c>
      <c r="F922">
        <f>VLOOKUP(M922,'MASS - 2016'!$A$1:$G$3418,7,FALSE)</f>
        <v>5.8120000000000003</v>
      </c>
      <c r="G922">
        <f t="shared" si="76"/>
        <v>-75119.551000000007</v>
      </c>
      <c r="H922">
        <f t="shared" si="72"/>
        <v>94.919355845468999</v>
      </c>
      <c r="I922">
        <f t="shared" si="73"/>
        <v>88.416816244000003</v>
      </c>
      <c r="J922">
        <f t="shared" si="75"/>
        <v>88397.398243999996</v>
      </c>
      <c r="M922">
        <f t="shared" si="74"/>
        <v>57038</v>
      </c>
    </row>
    <row r="923" spans="1:13" x14ac:dyDescent="0.2">
      <c r="A923">
        <v>56</v>
      </c>
      <c r="B923">
        <v>39</v>
      </c>
      <c r="C923">
        <v>95</v>
      </c>
      <c r="D923" s="51" t="s">
        <v>37</v>
      </c>
      <c r="E923">
        <f>VLOOKUP(M923,'MASS - 2016'!$A$1:$G$3418,6,FALSE)</f>
        <v>-81208.847999999998</v>
      </c>
      <c r="F923">
        <f>VLOOKUP(M923,'MASS - 2016'!$A$1:$G$3418,7,FALSE)</f>
        <v>6.7789999999999999</v>
      </c>
      <c r="G923">
        <f t="shared" si="76"/>
        <v>-81208.847999999998</v>
      </c>
      <c r="H923">
        <f t="shared" si="72"/>
        <v>94.912818716296684</v>
      </c>
      <c r="I923">
        <f t="shared" si="73"/>
        <v>88.410726947000001</v>
      </c>
      <c r="J923">
        <f t="shared" si="75"/>
        <v>88390.797946999999</v>
      </c>
      <c r="M923">
        <f t="shared" si="74"/>
        <v>56039</v>
      </c>
    </row>
    <row r="924" spans="1:13" x14ac:dyDescent="0.2">
      <c r="A924">
        <v>55</v>
      </c>
      <c r="B924">
        <v>40</v>
      </c>
      <c r="C924">
        <v>95</v>
      </c>
      <c r="D924" s="51" t="s">
        <v>38</v>
      </c>
      <c r="E924">
        <f>VLOOKUP(M924,'MASS - 2016'!$A$1:$G$3418,6,FALSE)</f>
        <v>-85659.94</v>
      </c>
      <c r="F924">
        <f>VLOOKUP(M924,'MASS - 2016'!$A$1:$G$3418,7,FALSE)</f>
        <v>0.86899999999999999</v>
      </c>
      <c r="G924">
        <f t="shared" si="76"/>
        <v>-85659.94</v>
      </c>
      <c r="H924">
        <f t="shared" si="72"/>
        <v>94.908040272518718</v>
      </c>
      <c r="I924">
        <f t="shared" si="73"/>
        <v>88.406275855000004</v>
      </c>
      <c r="J924">
        <f t="shared" si="75"/>
        <v>88385.835854999998</v>
      </c>
      <c r="M924">
        <f t="shared" si="74"/>
        <v>55040</v>
      </c>
    </row>
    <row r="925" spans="1:13" x14ac:dyDescent="0.2">
      <c r="A925">
        <v>54</v>
      </c>
      <c r="B925">
        <v>41</v>
      </c>
      <c r="C925">
        <v>95</v>
      </c>
      <c r="D925" s="51" t="s">
        <v>39</v>
      </c>
      <c r="E925">
        <f>VLOOKUP(M925,'MASS - 2016'!$A$1:$G$3418,6,FALSE)</f>
        <v>-86786.258000000002</v>
      </c>
      <c r="F925">
        <f>VLOOKUP(M925,'MASS - 2016'!$A$1:$G$3418,7,FALSE)</f>
        <v>0.50800000000000001</v>
      </c>
      <c r="G925">
        <f t="shared" si="76"/>
        <v>-86786.258000000002</v>
      </c>
      <c r="H925">
        <f t="shared" si="72"/>
        <v>94.906831120418701</v>
      </c>
      <c r="I925">
        <f t="shared" si="73"/>
        <v>88.405149537</v>
      </c>
      <c r="J925">
        <f t="shared" si="75"/>
        <v>88384.198537000004</v>
      </c>
      <c r="M925">
        <f t="shared" si="74"/>
        <v>54041</v>
      </c>
    </row>
    <row r="926" spans="1:13" x14ac:dyDescent="0.2">
      <c r="A926">
        <v>53</v>
      </c>
      <c r="B926">
        <v>42</v>
      </c>
      <c r="C926">
        <v>95</v>
      </c>
      <c r="D926" s="51" t="s">
        <v>40</v>
      </c>
      <c r="E926">
        <f>VLOOKUP(M926,'MASS - 2016'!$A$1:$G$3418,6,FALSE)</f>
        <v>-87711.857999999993</v>
      </c>
      <c r="F926">
        <f>VLOOKUP(M926,'MASS - 2016'!$A$1:$G$3418,7,FALSE)</f>
        <v>0.123</v>
      </c>
      <c r="G926">
        <f t="shared" si="76"/>
        <v>-87711.857999999993</v>
      </c>
      <c r="H926">
        <f t="shared" si="72"/>
        <v>94.905837447953417</v>
      </c>
      <c r="I926">
        <f t="shared" si="73"/>
        <v>88.404223936999998</v>
      </c>
      <c r="J926">
        <f t="shared" si="75"/>
        <v>88382.761937000003</v>
      </c>
      <c r="M926">
        <f t="shared" si="74"/>
        <v>53042</v>
      </c>
    </row>
    <row r="927" spans="1:13" x14ac:dyDescent="0.2">
      <c r="A927">
        <v>52</v>
      </c>
      <c r="B927">
        <v>43</v>
      </c>
      <c r="C927">
        <v>95</v>
      </c>
      <c r="D927" s="51" t="s">
        <v>41</v>
      </c>
      <c r="E927">
        <f>VLOOKUP(M927,'MASS - 2016'!$A$1:$G$3418,6,FALSE)</f>
        <v>-86021.341</v>
      </c>
      <c r="F927">
        <f>VLOOKUP(M927,'MASS - 2016'!$A$1:$G$3418,7,FALSE)</f>
        <v>5.08</v>
      </c>
      <c r="G927">
        <f t="shared" si="76"/>
        <v>-86021.341</v>
      </c>
      <c r="H927">
        <f t="shared" si="72"/>
        <v>94.907652292589333</v>
      </c>
      <c r="I927">
        <f t="shared" si="73"/>
        <v>88.405914453999998</v>
      </c>
      <c r="J927">
        <f t="shared" si="75"/>
        <v>88383.941454</v>
      </c>
      <c r="M927">
        <f t="shared" si="74"/>
        <v>52043</v>
      </c>
    </row>
    <row r="928" spans="1:13" x14ac:dyDescent="0.2">
      <c r="A928">
        <v>51</v>
      </c>
      <c r="B928">
        <v>44</v>
      </c>
      <c r="C928">
        <v>95</v>
      </c>
      <c r="D928" s="51" t="s">
        <v>42</v>
      </c>
      <c r="E928">
        <f>VLOOKUP(M928,'MASS - 2016'!$A$1:$G$3418,6,FALSE)</f>
        <v>-83457.744999999995</v>
      </c>
      <c r="F928">
        <f>VLOOKUP(M928,'MASS - 2016'!$A$1:$G$3418,7,FALSE)</f>
        <v>9.5020000000000007</v>
      </c>
      <c r="G928">
        <f t="shared" si="76"/>
        <v>-83457.744999999995</v>
      </c>
      <c r="H928">
        <f t="shared" si="72"/>
        <v>94.910404426078244</v>
      </c>
      <c r="I928">
        <f t="shared" si="73"/>
        <v>88.408478049999999</v>
      </c>
      <c r="J928">
        <f t="shared" si="75"/>
        <v>88385.994050000008</v>
      </c>
      <c r="M928">
        <f t="shared" si="74"/>
        <v>51044</v>
      </c>
    </row>
    <row r="929" spans="1:13" x14ac:dyDescent="0.2">
      <c r="A929">
        <v>50</v>
      </c>
      <c r="B929">
        <v>45</v>
      </c>
      <c r="C929">
        <v>95</v>
      </c>
      <c r="D929" s="51" t="s">
        <v>43</v>
      </c>
      <c r="E929">
        <f>VLOOKUP(M929,'MASS - 2016'!$A$1:$G$3418,6,FALSE)</f>
        <v>-78340.606</v>
      </c>
      <c r="F929">
        <f>VLOOKUP(M929,'MASS - 2016'!$A$1:$G$3418,7,FALSE)</f>
        <v>3.8860000000000001</v>
      </c>
      <c r="G929">
        <f t="shared" si="76"/>
        <v>-78340.606</v>
      </c>
      <c r="H929">
        <f t="shared" si="72"/>
        <v>94.915897900716743</v>
      </c>
      <c r="I929">
        <f t="shared" si="73"/>
        <v>88.413595189000006</v>
      </c>
      <c r="J929">
        <f t="shared" si="75"/>
        <v>88390.600189000004</v>
      </c>
      <c r="M929">
        <f t="shared" si="74"/>
        <v>50045</v>
      </c>
    </row>
    <row r="930" spans="1:13" x14ac:dyDescent="0.2">
      <c r="A930">
        <v>49</v>
      </c>
      <c r="B930">
        <v>46</v>
      </c>
      <c r="C930">
        <v>95</v>
      </c>
      <c r="D930" s="51" t="s">
        <v>44</v>
      </c>
      <c r="E930">
        <f>VLOOKUP(M930,'MASS - 2016'!$A$1:$G$3418,6,FALSE)</f>
        <v>-69965.899999999994</v>
      </c>
      <c r="F930">
        <f>VLOOKUP(M930,'MASS - 2016'!$A$1:$G$3418,7,FALSE)</f>
        <v>3.0310000000000001</v>
      </c>
      <c r="G930">
        <f t="shared" si="76"/>
        <v>-69965.899999999994</v>
      </c>
      <c r="H930">
        <f t="shared" si="72"/>
        <v>94.924888517351491</v>
      </c>
      <c r="I930">
        <f t="shared" si="73"/>
        <v>88.421969895000004</v>
      </c>
      <c r="J930">
        <f t="shared" si="75"/>
        <v>88398.463895000008</v>
      </c>
      <c r="M930">
        <f t="shared" si="74"/>
        <v>49046</v>
      </c>
    </row>
    <row r="931" spans="1:13" x14ac:dyDescent="0.2">
      <c r="A931">
        <v>48</v>
      </c>
      <c r="B931">
        <v>47</v>
      </c>
      <c r="C931">
        <v>95</v>
      </c>
      <c r="D931" s="51" t="s">
        <v>45</v>
      </c>
      <c r="E931" t="str">
        <f>VLOOKUP(M931,'MASS - 2016'!$A$1:$G$3418,6,FALSE)</f>
        <v>-59597#</v>
      </c>
      <c r="F931" t="str">
        <f>VLOOKUP(M931,'MASS - 2016'!$A$1:$G$3418,7,FALSE)</f>
        <v>298#</v>
      </c>
      <c r="G931">
        <f t="shared" si="76"/>
        <v>-59597.01</v>
      </c>
      <c r="H931">
        <f t="shared" si="72"/>
        <v>94.936019978553574</v>
      </c>
      <c r="I931">
        <f t="shared" si="73"/>
        <v>88.432338784999999</v>
      </c>
      <c r="J931">
        <f t="shared" si="75"/>
        <v>88408.321784999993</v>
      </c>
      <c r="M931">
        <f t="shared" si="74"/>
        <v>48047</v>
      </c>
    </row>
    <row r="932" spans="1:13" x14ac:dyDescent="0.2">
      <c r="A932">
        <v>60</v>
      </c>
      <c r="B932">
        <v>36</v>
      </c>
      <c r="C932">
        <v>96</v>
      </c>
      <c r="D932" s="51" t="s">
        <v>34</v>
      </c>
      <c r="E932">
        <f>VLOOKUP(M932,'MASS - 2016'!$A$1:$G$3418,6,FALSE)</f>
        <v>-53079.678</v>
      </c>
      <c r="F932">
        <f>VLOOKUP(M932,'MASS - 2016'!$A$1:$G$3418,7,FALSE)</f>
        <v>20.492999999999999</v>
      </c>
      <c r="G932">
        <f t="shared" si="76"/>
        <v>-53079.678</v>
      </c>
      <c r="H932">
        <f t="shared" si="72"/>
        <v>95.943016622196154</v>
      </c>
      <c r="I932">
        <f t="shared" si="73"/>
        <v>89.370350177999995</v>
      </c>
      <c r="J932">
        <f t="shared" si="75"/>
        <v>89351.954178</v>
      </c>
      <c r="M932">
        <f t="shared" si="74"/>
        <v>60036</v>
      </c>
    </row>
    <row r="933" spans="1:13" x14ac:dyDescent="0.2">
      <c r="A933">
        <v>59</v>
      </c>
      <c r="B933">
        <v>37</v>
      </c>
      <c r="C933">
        <v>96</v>
      </c>
      <c r="D933" s="51" t="s">
        <v>35</v>
      </c>
      <c r="E933">
        <f>VLOOKUP(M933,'MASS - 2016'!$A$1:$G$3418,6,FALSE)</f>
        <v>-61354.349000000002</v>
      </c>
      <c r="F933">
        <f>VLOOKUP(M933,'MASS - 2016'!$A$1:$G$3418,7,FALSE)</f>
        <v>3.3530000000000002</v>
      </c>
      <c r="G933">
        <f t="shared" si="76"/>
        <v>-61354.349000000002</v>
      </c>
      <c r="H933">
        <f t="shared" si="72"/>
        <v>95.934133397550454</v>
      </c>
      <c r="I933">
        <f t="shared" si="73"/>
        <v>89.362075507</v>
      </c>
      <c r="J933">
        <f t="shared" si="75"/>
        <v>89343.168506999995</v>
      </c>
      <c r="M933">
        <f t="shared" si="74"/>
        <v>59037</v>
      </c>
    </row>
    <row r="934" spans="1:13" x14ac:dyDescent="0.2">
      <c r="A934">
        <v>58</v>
      </c>
      <c r="B934">
        <v>38</v>
      </c>
      <c r="C934">
        <v>96</v>
      </c>
      <c r="D934" s="51" t="s">
        <v>36</v>
      </c>
      <c r="E934">
        <f>VLOOKUP(M934,'MASS - 2016'!$A$1:$G$3418,6,FALSE)</f>
        <v>-72924.157000000007</v>
      </c>
      <c r="F934">
        <f>VLOOKUP(M934,'MASS - 2016'!$A$1:$G$3418,7,FALSE)</f>
        <v>8.4749999999999996</v>
      </c>
      <c r="G934">
        <f t="shared" si="76"/>
        <v>-72924.157000000007</v>
      </c>
      <c r="H934">
        <f t="shared" si="72"/>
        <v>95.921712697854758</v>
      </c>
      <c r="I934">
        <f t="shared" si="73"/>
        <v>89.350505698999996</v>
      </c>
      <c r="J934">
        <f t="shared" si="75"/>
        <v>89331.087698999996</v>
      </c>
      <c r="M934">
        <f t="shared" si="74"/>
        <v>58038</v>
      </c>
    </row>
    <row r="935" spans="1:13" x14ac:dyDescent="0.2">
      <c r="A935">
        <v>57</v>
      </c>
      <c r="B935">
        <v>39</v>
      </c>
      <c r="C935">
        <v>96</v>
      </c>
      <c r="D935" s="51" t="s">
        <v>37</v>
      </c>
      <c r="E935">
        <f>VLOOKUP(M935,'MASS - 2016'!$A$1:$G$3418,6,FALSE)</f>
        <v>-78335.895000000004</v>
      </c>
      <c r="F935">
        <f>VLOOKUP(M935,'MASS - 2016'!$A$1:$G$3418,7,FALSE)</f>
        <v>6.0880000000000001</v>
      </c>
      <c r="G935">
        <f t="shared" si="76"/>
        <v>-78335.895000000004</v>
      </c>
      <c r="H935">
        <f t="shared" si="72"/>
        <v>95.915902958183224</v>
      </c>
      <c r="I935">
        <f t="shared" si="73"/>
        <v>89.345093961000003</v>
      </c>
      <c r="J935">
        <f t="shared" si="75"/>
        <v>89325.164961000002</v>
      </c>
      <c r="M935">
        <f t="shared" si="74"/>
        <v>57039</v>
      </c>
    </row>
    <row r="936" spans="1:13" x14ac:dyDescent="0.2">
      <c r="A936">
        <v>56</v>
      </c>
      <c r="B936">
        <v>40</v>
      </c>
      <c r="C936">
        <v>96</v>
      </c>
      <c r="D936" s="51" t="s">
        <v>38</v>
      </c>
      <c r="E936">
        <f>VLOOKUP(M936,'MASS - 2016'!$A$1:$G$3418,6,FALSE)</f>
        <v>-85438.846000000005</v>
      </c>
      <c r="F936">
        <f>VLOOKUP(M936,'MASS - 2016'!$A$1:$G$3418,7,FALSE)</f>
        <v>0.114</v>
      </c>
      <c r="G936">
        <f t="shared" si="76"/>
        <v>-85438.846000000005</v>
      </c>
      <c r="H936">
        <f t="shared" si="72"/>
        <v>95.908277626689014</v>
      </c>
      <c r="I936">
        <f t="shared" si="73"/>
        <v>89.337991009999996</v>
      </c>
      <c r="J936">
        <f t="shared" si="75"/>
        <v>89317.551009999996</v>
      </c>
      <c r="M936">
        <f t="shared" si="74"/>
        <v>56040</v>
      </c>
    </row>
    <row r="937" spans="1:13" x14ac:dyDescent="0.2">
      <c r="A937">
        <v>55</v>
      </c>
      <c r="B937">
        <v>41</v>
      </c>
      <c r="C937">
        <v>96</v>
      </c>
      <c r="D937" s="51" t="s">
        <v>39</v>
      </c>
      <c r="E937">
        <f>VLOOKUP(M937,'MASS - 2016'!$A$1:$G$3418,6,FALSE)</f>
        <v>-85602.816000000006</v>
      </c>
      <c r="F937">
        <f>VLOOKUP(M937,'MASS - 2016'!$A$1:$G$3418,7,FALSE)</f>
        <v>0.14699999999999999</v>
      </c>
      <c r="G937">
        <f t="shared" si="76"/>
        <v>-85602.816000000006</v>
      </c>
      <c r="H937">
        <f t="shared" si="72"/>
        <v>95.908101597654735</v>
      </c>
      <c r="I937">
        <f t="shared" si="73"/>
        <v>89.337827039999993</v>
      </c>
      <c r="J937">
        <f t="shared" si="75"/>
        <v>89316.876039999988</v>
      </c>
      <c r="M937">
        <f t="shared" si="74"/>
        <v>55041</v>
      </c>
    </row>
    <row r="938" spans="1:13" x14ac:dyDescent="0.2">
      <c r="A938">
        <v>54</v>
      </c>
      <c r="B938">
        <v>42</v>
      </c>
      <c r="C938">
        <v>96</v>
      </c>
      <c r="D938" s="51" t="s">
        <v>40</v>
      </c>
      <c r="E938">
        <f>VLOOKUP(M938,'MASS - 2016'!$A$1:$G$3418,6,FALSE)</f>
        <v>-88794.876000000004</v>
      </c>
      <c r="F938">
        <f>VLOOKUP(M938,'MASS - 2016'!$A$1:$G$3418,7,FALSE)</f>
        <v>0.12</v>
      </c>
      <c r="G938">
        <f t="shared" si="76"/>
        <v>-88794.876000000004</v>
      </c>
      <c r="H938">
        <f t="shared" si="72"/>
        <v>95.904674780315105</v>
      </c>
      <c r="I938">
        <f t="shared" si="73"/>
        <v>89.334634980000004</v>
      </c>
      <c r="J938">
        <f t="shared" si="75"/>
        <v>89313.172980000003</v>
      </c>
      <c r="M938">
        <f t="shared" si="74"/>
        <v>54042</v>
      </c>
    </row>
    <row r="939" spans="1:13" x14ac:dyDescent="0.2">
      <c r="A939">
        <v>53</v>
      </c>
      <c r="B939">
        <v>43</v>
      </c>
      <c r="C939">
        <v>96</v>
      </c>
      <c r="D939" s="51" t="s">
        <v>41</v>
      </c>
      <c r="E939">
        <f>VLOOKUP(M939,'MASS - 2016'!$A$1:$G$3418,6,FALSE)</f>
        <v>-85821.634000000005</v>
      </c>
      <c r="F939">
        <f>VLOOKUP(M939,'MASS - 2016'!$A$1:$G$3418,7,FALSE)</f>
        <v>5.1459999999999999</v>
      </c>
      <c r="G939">
        <f t="shared" si="76"/>
        <v>-85821.634000000005</v>
      </c>
      <c r="H939">
        <f t="shared" si="72"/>
        <v>95.907866686870918</v>
      </c>
      <c r="I939">
        <f t="shared" si="73"/>
        <v>89.337608222</v>
      </c>
      <c r="J939">
        <f t="shared" si="75"/>
        <v>89315.635221999997</v>
      </c>
      <c r="M939">
        <f t="shared" si="74"/>
        <v>53043</v>
      </c>
    </row>
    <row r="940" spans="1:13" x14ac:dyDescent="0.2">
      <c r="A940">
        <v>52</v>
      </c>
      <c r="B940">
        <v>44</v>
      </c>
      <c r="C940">
        <v>96</v>
      </c>
      <c r="D940" s="51" t="s">
        <v>42</v>
      </c>
      <c r="E940">
        <f>VLOOKUP(M940,'MASS - 2016'!$A$1:$G$3418,6,FALSE)</f>
        <v>-86080.372000000003</v>
      </c>
      <c r="F940">
        <f>VLOOKUP(M940,'MASS - 2016'!$A$1:$G$3418,7,FALSE)</f>
        <v>0.17</v>
      </c>
      <c r="G940">
        <f t="shared" si="76"/>
        <v>-86080.372000000003</v>
      </c>
      <c r="H940">
        <f t="shared" si="72"/>
        <v>95.907588920204617</v>
      </c>
      <c r="I940">
        <f t="shared" si="73"/>
        <v>89.337349484000001</v>
      </c>
      <c r="J940">
        <f t="shared" si="75"/>
        <v>89314.865484000009</v>
      </c>
      <c r="M940">
        <f t="shared" si="74"/>
        <v>52044</v>
      </c>
    </row>
    <row r="941" spans="1:13" x14ac:dyDescent="0.2">
      <c r="A941">
        <v>51</v>
      </c>
      <c r="B941">
        <v>45</v>
      </c>
      <c r="C941">
        <v>96</v>
      </c>
      <c r="D941" s="51" t="s">
        <v>43</v>
      </c>
      <c r="E941">
        <f>VLOOKUP(M941,'MASS - 2016'!$A$1:$G$3418,6,FALSE)</f>
        <v>-79687.717999999993</v>
      </c>
      <c r="F941">
        <f>VLOOKUP(M941,'MASS - 2016'!$A$1:$G$3418,7,FALSE)</f>
        <v>10.000999999999999</v>
      </c>
      <c r="G941">
        <f t="shared" si="76"/>
        <v>-79687.717999999993</v>
      </c>
      <c r="H941">
        <f t="shared" si="72"/>
        <v>95.91445171650966</v>
      </c>
      <c r="I941">
        <f t="shared" si="73"/>
        <v>89.343742137999996</v>
      </c>
      <c r="J941">
        <f t="shared" si="75"/>
        <v>89320.747138000006</v>
      </c>
      <c r="M941">
        <f t="shared" si="74"/>
        <v>51045</v>
      </c>
    </row>
    <row r="942" spans="1:13" x14ac:dyDescent="0.2">
      <c r="A942">
        <v>50</v>
      </c>
      <c r="B942">
        <v>46</v>
      </c>
      <c r="C942">
        <v>96</v>
      </c>
      <c r="D942" s="51" t="s">
        <v>44</v>
      </c>
      <c r="E942">
        <f>VLOOKUP(M942,'MASS - 2016'!$A$1:$G$3418,6,FALSE)</f>
        <v>-76183.406000000003</v>
      </c>
      <c r="F942">
        <f>VLOOKUP(M942,'MASS - 2016'!$A$1:$G$3418,7,FALSE)</f>
        <v>4.194</v>
      </c>
      <c r="G942">
        <f t="shared" si="76"/>
        <v>-76183.406000000003</v>
      </c>
      <c r="H942">
        <f t="shared" si="72"/>
        <v>95.918213750157236</v>
      </c>
      <c r="I942">
        <f t="shared" si="73"/>
        <v>89.34724645</v>
      </c>
      <c r="J942">
        <f t="shared" si="75"/>
        <v>89323.740450000012</v>
      </c>
      <c r="M942">
        <f t="shared" si="74"/>
        <v>50046</v>
      </c>
    </row>
    <row r="943" spans="1:13" x14ac:dyDescent="0.2">
      <c r="A943">
        <v>49</v>
      </c>
      <c r="B943">
        <v>47</v>
      </c>
      <c r="C943">
        <v>96</v>
      </c>
      <c r="D943" s="51" t="s">
        <v>45</v>
      </c>
      <c r="E943">
        <f>VLOOKUP(M943,'MASS - 2016'!$A$1:$G$3418,6,FALSE)</f>
        <v>-64511.635999999999</v>
      </c>
      <c r="F943">
        <f>VLOOKUP(M943,'MASS - 2016'!$A$1:$G$3418,7,FALSE)</f>
        <v>90.084000000000003</v>
      </c>
      <c r="G943">
        <f t="shared" si="76"/>
        <v>-64511.635999999999</v>
      </c>
      <c r="H943">
        <f t="shared" si="72"/>
        <v>95.930743910561546</v>
      </c>
      <c r="I943">
        <f t="shared" si="73"/>
        <v>89.358918219999993</v>
      </c>
      <c r="J943">
        <f t="shared" si="75"/>
        <v>89334.901219999985</v>
      </c>
      <c r="M943">
        <f t="shared" si="74"/>
        <v>49047</v>
      </c>
    </row>
    <row r="944" spans="1:13" x14ac:dyDescent="0.2">
      <c r="A944">
        <v>48</v>
      </c>
      <c r="B944">
        <v>48</v>
      </c>
      <c r="C944">
        <v>96</v>
      </c>
      <c r="D944" s="51" t="s">
        <v>46</v>
      </c>
      <c r="E944" t="str">
        <f>VLOOKUP(M944,'MASS - 2016'!$A$1:$G$3418,6,FALSE)</f>
        <v>-55573#</v>
      </c>
      <c r="F944" t="str">
        <f>VLOOKUP(M944,'MASS - 2016'!$A$1:$G$3418,7,FALSE)</f>
        <v>401#</v>
      </c>
      <c r="G944">
        <f t="shared" si="76"/>
        <v>-55573.01</v>
      </c>
      <c r="H944">
        <f t="shared" si="72"/>
        <v>95.940339920213404</v>
      </c>
      <c r="I944">
        <f t="shared" si="73"/>
        <v>89.367856845999995</v>
      </c>
      <c r="J944">
        <f t="shared" si="75"/>
        <v>89343.328845999989</v>
      </c>
      <c r="M944">
        <f t="shared" si="74"/>
        <v>48048</v>
      </c>
    </row>
    <row r="945" spans="1:13" x14ac:dyDescent="0.2">
      <c r="A945">
        <v>61</v>
      </c>
      <c r="B945">
        <v>36</v>
      </c>
      <c r="C945">
        <v>97</v>
      </c>
      <c r="D945" s="51" t="s">
        <v>34</v>
      </c>
      <c r="E945">
        <f>VLOOKUP(M945,'MASS - 2016'!$A$1:$G$3418,6,FALSE)</f>
        <v>-47423.491999999998</v>
      </c>
      <c r="F945">
        <f>VLOOKUP(M945,'MASS - 2016'!$A$1:$G$3418,7,FALSE)</f>
        <v>130.40899999999999</v>
      </c>
      <c r="G945">
        <f t="shared" si="76"/>
        <v>-47423.491999999998</v>
      </c>
      <c r="H945">
        <f t="shared" si="72"/>
        <v>96.949088787588096</v>
      </c>
      <c r="I945">
        <f t="shared" si="73"/>
        <v>90.307500425000001</v>
      </c>
      <c r="J945">
        <f t="shared" si="75"/>
        <v>90289.104425000012</v>
      </c>
      <c r="M945">
        <f t="shared" si="74"/>
        <v>61036</v>
      </c>
    </row>
    <row r="946" spans="1:13" x14ac:dyDescent="0.2">
      <c r="A946">
        <v>60</v>
      </c>
      <c r="B946">
        <v>37</v>
      </c>
      <c r="C946">
        <v>97</v>
      </c>
      <c r="D946" s="51" t="s">
        <v>35</v>
      </c>
      <c r="E946">
        <f>VLOOKUP(M946,'MASS - 2016'!$A$1:$G$3418,6,FALSE)</f>
        <v>-58519.137000000002</v>
      </c>
      <c r="F946">
        <f>VLOOKUP(M946,'MASS - 2016'!$A$1:$G$3418,7,FALSE)</f>
        <v>1.9119999999999999</v>
      </c>
      <c r="G946">
        <f t="shared" si="76"/>
        <v>-58519.137000000002</v>
      </c>
      <c r="H946">
        <f t="shared" si="72"/>
        <v>96.937177122807213</v>
      </c>
      <c r="I946">
        <f t="shared" si="73"/>
        <v>90.296404779999989</v>
      </c>
      <c r="J946">
        <f t="shared" si="75"/>
        <v>90277.497779999976</v>
      </c>
      <c r="M946">
        <f t="shared" si="74"/>
        <v>60037</v>
      </c>
    </row>
    <row r="947" spans="1:13" x14ac:dyDescent="0.2">
      <c r="A947">
        <v>59</v>
      </c>
      <c r="B947">
        <v>38</v>
      </c>
      <c r="C947">
        <v>97</v>
      </c>
      <c r="D947" s="51" t="s">
        <v>36</v>
      </c>
      <c r="E947">
        <f>VLOOKUP(M947,'MASS - 2016'!$A$1:$G$3418,6,FALSE)</f>
        <v>-68581.453999999998</v>
      </c>
      <c r="F947">
        <f>VLOOKUP(M947,'MASS - 2016'!$A$1:$G$3418,7,FALSE)</f>
        <v>3.3849999999999998</v>
      </c>
      <c r="G947">
        <f t="shared" si="76"/>
        <v>-68581.453999999998</v>
      </c>
      <c r="H947">
        <f t="shared" si="72"/>
        <v>96.926374781255845</v>
      </c>
      <c r="I947">
        <f t="shared" si="73"/>
        <v>90.286342462999997</v>
      </c>
      <c r="J947">
        <f t="shared" si="75"/>
        <v>90266.924462999988</v>
      </c>
      <c r="M947">
        <f t="shared" si="74"/>
        <v>59038</v>
      </c>
    </row>
    <row r="948" spans="1:13" x14ac:dyDescent="0.2">
      <c r="A948">
        <v>58</v>
      </c>
      <c r="B948">
        <v>39</v>
      </c>
      <c r="C948">
        <v>97</v>
      </c>
      <c r="D948" s="51" t="s">
        <v>37</v>
      </c>
      <c r="E948">
        <f>VLOOKUP(M948,'MASS - 2016'!$A$1:$G$3418,6,FALSE)</f>
        <v>-76121.423999999999</v>
      </c>
      <c r="F948">
        <f>VLOOKUP(M948,'MASS - 2016'!$A$1:$G$3418,7,FALSE)</f>
        <v>6.7190000000000003</v>
      </c>
      <c r="G948">
        <f t="shared" si="76"/>
        <v>-76121.423999999999</v>
      </c>
      <c r="H948">
        <f t="shared" si="72"/>
        <v>96.918280290570749</v>
      </c>
      <c r="I948">
        <f t="shared" si="73"/>
        <v>90.278802493000001</v>
      </c>
      <c r="J948">
        <f t="shared" si="75"/>
        <v>90258.873492999992</v>
      </c>
      <c r="M948">
        <f t="shared" si="74"/>
        <v>58039</v>
      </c>
    </row>
    <row r="949" spans="1:13" x14ac:dyDescent="0.2">
      <c r="A949">
        <v>57</v>
      </c>
      <c r="B949">
        <v>40</v>
      </c>
      <c r="C949">
        <v>97</v>
      </c>
      <c r="D949" s="51" t="s">
        <v>38</v>
      </c>
      <c r="E949">
        <f>VLOOKUP(M949,'MASS - 2016'!$A$1:$G$3418,6,FALSE)</f>
        <v>-82942.660999999993</v>
      </c>
      <c r="F949">
        <f>VLOOKUP(M949,'MASS - 2016'!$A$1:$G$3418,7,FALSE)</f>
        <v>0.41399999999999998</v>
      </c>
      <c r="G949">
        <f t="shared" si="76"/>
        <v>-82942.660999999993</v>
      </c>
      <c r="H949">
        <f t="shared" si="72"/>
        <v>96.910957391493227</v>
      </c>
      <c r="I949">
        <f t="shared" si="73"/>
        <v>90.271981255999989</v>
      </c>
      <c r="J949">
        <f t="shared" si="75"/>
        <v>90251.541255999982</v>
      </c>
      <c r="M949">
        <f t="shared" si="74"/>
        <v>57040</v>
      </c>
    </row>
    <row r="950" spans="1:13" x14ac:dyDescent="0.2">
      <c r="A950">
        <v>56</v>
      </c>
      <c r="B950">
        <v>41</v>
      </c>
      <c r="C950">
        <v>97</v>
      </c>
      <c r="D950" s="51" t="s">
        <v>39</v>
      </c>
      <c r="E950">
        <f>VLOOKUP(M950,'MASS - 2016'!$A$1:$G$3418,6,FALSE)</f>
        <v>-85605.775999999998</v>
      </c>
      <c r="F950">
        <f>VLOOKUP(M950,'MASS - 2016'!$A$1:$G$3418,7,FALSE)</f>
        <v>4.2489999999999997</v>
      </c>
      <c r="G950">
        <f t="shared" si="76"/>
        <v>-85605.775999999998</v>
      </c>
      <c r="H950">
        <f t="shared" si="72"/>
        <v>96.908098419964048</v>
      </c>
      <c r="I950">
        <f t="shared" si="73"/>
        <v>90.269318140999999</v>
      </c>
      <c r="J950">
        <f t="shared" si="75"/>
        <v>90248.367140999995</v>
      </c>
      <c r="M950">
        <f t="shared" si="74"/>
        <v>56041</v>
      </c>
    </row>
    <row r="951" spans="1:13" x14ac:dyDescent="0.2">
      <c r="A951">
        <v>55</v>
      </c>
      <c r="B951">
        <v>42</v>
      </c>
      <c r="C951">
        <v>97</v>
      </c>
      <c r="D951" s="51" t="s">
        <v>40</v>
      </c>
      <c r="E951">
        <f>VLOOKUP(M951,'MASS - 2016'!$A$1:$G$3418,6,FALSE)</f>
        <v>-87544.691000000006</v>
      </c>
      <c r="F951">
        <f>VLOOKUP(M951,'MASS - 2016'!$A$1:$G$3418,7,FALSE)</f>
        <v>0.16500000000000001</v>
      </c>
      <c r="G951">
        <f t="shared" si="76"/>
        <v>-87544.691000000006</v>
      </c>
      <c r="H951">
        <f t="shared" si="72"/>
        <v>96.906016909108331</v>
      </c>
      <c r="I951">
        <f t="shared" si="73"/>
        <v>90.267379225999989</v>
      </c>
      <c r="J951">
        <f t="shared" si="75"/>
        <v>90245.91722599999</v>
      </c>
      <c r="M951">
        <f t="shared" si="74"/>
        <v>55042</v>
      </c>
    </row>
    <row r="952" spans="1:13" x14ac:dyDescent="0.2">
      <c r="A952">
        <v>54</v>
      </c>
      <c r="B952">
        <v>43</v>
      </c>
      <c r="C952">
        <v>97</v>
      </c>
      <c r="D952" s="51" t="s">
        <v>41</v>
      </c>
      <c r="E952">
        <f>VLOOKUP(M952,'MASS - 2016'!$A$1:$G$3418,6,FALSE)</f>
        <v>-87224.423999999999</v>
      </c>
      <c r="F952">
        <f>VLOOKUP(M952,'MASS - 2016'!$A$1:$G$3418,7,FALSE)</f>
        <v>4.1180000000000003</v>
      </c>
      <c r="G952">
        <f t="shared" si="76"/>
        <v>-87224.423999999999</v>
      </c>
      <c r="H952">
        <f t="shared" si="72"/>
        <v>96.906360729872645</v>
      </c>
      <c r="I952">
        <f t="shared" si="73"/>
        <v>90.267699492999995</v>
      </c>
      <c r="J952">
        <f t="shared" si="75"/>
        <v>90245.726492999995</v>
      </c>
      <c r="M952">
        <f t="shared" si="74"/>
        <v>54043</v>
      </c>
    </row>
    <row r="953" spans="1:13" x14ac:dyDescent="0.2">
      <c r="A953">
        <v>53</v>
      </c>
      <c r="B953">
        <v>44</v>
      </c>
      <c r="C953">
        <v>97</v>
      </c>
      <c r="D953" s="51" t="s">
        <v>42</v>
      </c>
      <c r="E953">
        <f>VLOOKUP(M953,'MASS - 2016'!$A$1:$G$3418,6,FALSE)</f>
        <v>-86120.551999999996</v>
      </c>
      <c r="F953">
        <f>VLOOKUP(M953,'MASS - 2016'!$A$1:$G$3418,7,FALSE)</f>
        <v>2.7629999999999999</v>
      </c>
      <c r="G953">
        <f t="shared" si="76"/>
        <v>-86120.551999999996</v>
      </c>
      <c r="H953">
        <f t="shared" si="72"/>
        <v>96.907545785200668</v>
      </c>
      <c r="I953">
        <f t="shared" si="73"/>
        <v>90.268803364999997</v>
      </c>
      <c r="J953">
        <f t="shared" si="75"/>
        <v>90246.319365000003</v>
      </c>
      <c r="M953">
        <f t="shared" si="74"/>
        <v>53044</v>
      </c>
    </row>
    <row r="954" spans="1:13" x14ac:dyDescent="0.2">
      <c r="A954">
        <v>52</v>
      </c>
      <c r="B954">
        <v>45</v>
      </c>
      <c r="C954">
        <v>97</v>
      </c>
      <c r="D954" s="51" t="s">
        <v>43</v>
      </c>
      <c r="E954">
        <f>VLOOKUP(M954,'MASS - 2016'!$A$1:$G$3418,6,FALSE)</f>
        <v>-82597.551999999996</v>
      </c>
      <c r="F954">
        <f>VLOOKUP(M954,'MASS - 2016'!$A$1:$G$3418,7,FALSE)</f>
        <v>35.463000000000001</v>
      </c>
      <c r="G954">
        <f t="shared" si="76"/>
        <v>-82597.551999999996</v>
      </c>
      <c r="H954">
        <f t="shared" si="72"/>
        <v>96.91132788124132</v>
      </c>
      <c r="I954">
        <f t="shared" si="73"/>
        <v>90.272326364999998</v>
      </c>
      <c r="J954">
        <f t="shared" si="75"/>
        <v>90249.331365000005</v>
      </c>
      <c r="M954">
        <f t="shared" si="74"/>
        <v>52045</v>
      </c>
    </row>
    <row r="955" spans="1:13" x14ac:dyDescent="0.2">
      <c r="A955">
        <v>51</v>
      </c>
      <c r="B955">
        <v>46</v>
      </c>
      <c r="C955">
        <v>97</v>
      </c>
      <c r="D955" s="51" t="s">
        <v>44</v>
      </c>
      <c r="E955">
        <f>VLOOKUP(M955,'MASS - 2016'!$A$1:$G$3418,6,FALSE)</f>
        <v>-77805.842999999993</v>
      </c>
      <c r="F955">
        <f>VLOOKUP(M955,'MASS - 2016'!$A$1:$G$3418,7,FALSE)</f>
        <v>4.8440000000000003</v>
      </c>
      <c r="G955">
        <f t="shared" si="76"/>
        <v>-77805.842999999993</v>
      </c>
      <c r="H955">
        <f t="shared" si="72"/>
        <v>96.916471992407054</v>
      </c>
      <c r="I955">
        <f t="shared" si="73"/>
        <v>90.277118074000001</v>
      </c>
      <c r="J955">
        <f t="shared" si="75"/>
        <v>90253.612074000004</v>
      </c>
      <c r="M955">
        <f t="shared" si="74"/>
        <v>51046</v>
      </c>
    </row>
    <row r="956" spans="1:13" x14ac:dyDescent="0.2">
      <c r="A956">
        <v>50</v>
      </c>
      <c r="B956">
        <v>47</v>
      </c>
      <c r="C956">
        <v>97</v>
      </c>
      <c r="D956" s="51" t="s">
        <v>45</v>
      </c>
      <c r="E956">
        <f>VLOOKUP(M956,'MASS - 2016'!$A$1:$G$3418,6,FALSE)</f>
        <v>-70825.842999999993</v>
      </c>
      <c r="F956">
        <f>VLOOKUP(M956,'MASS - 2016'!$A$1:$G$3418,7,FALSE)</f>
        <v>110.107</v>
      </c>
      <c r="G956">
        <f t="shared" si="76"/>
        <v>-70825.842999999993</v>
      </c>
      <c r="H956">
        <f t="shared" si="72"/>
        <v>96.923965330574447</v>
      </c>
      <c r="I956">
        <f t="shared" si="73"/>
        <v>90.284098073999999</v>
      </c>
      <c r="J956">
        <f t="shared" si="75"/>
        <v>90260.081073999987</v>
      </c>
      <c r="M956">
        <f t="shared" si="74"/>
        <v>50047</v>
      </c>
    </row>
    <row r="957" spans="1:13" x14ac:dyDescent="0.2">
      <c r="A957">
        <v>49</v>
      </c>
      <c r="B957">
        <v>48</v>
      </c>
      <c r="C957">
        <v>97</v>
      </c>
      <c r="D957" s="51" t="s">
        <v>46</v>
      </c>
      <c r="E957" t="str">
        <f>VLOOKUP(M957,'MASS - 2016'!$A$1:$G$3418,6,FALSE)</f>
        <v>-60454#</v>
      </c>
      <c r="F957" t="str">
        <f>VLOOKUP(M957,'MASS - 2016'!$A$1:$G$3418,7,FALSE)</f>
        <v>298#</v>
      </c>
      <c r="G957">
        <f t="shared" si="76"/>
        <v>-60454.01</v>
      </c>
      <c r="H957">
        <f t="shared" si="72"/>
        <v>96.935099951216969</v>
      </c>
      <c r="I957">
        <f t="shared" si="73"/>
        <v>90.294469906999993</v>
      </c>
      <c r="J957">
        <f t="shared" si="75"/>
        <v>90269.941906999986</v>
      </c>
      <c r="M957">
        <f t="shared" si="74"/>
        <v>49048</v>
      </c>
    </row>
    <row r="958" spans="1:13" x14ac:dyDescent="0.2">
      <c r="A958">
        <v>61</v>
      </c>
      <c r="B958">
        <v>37</v>
      </c>
      <c r="C958">
        <v>98</v>
      </c>
      <c r="D958" s="51" t="s">
        <v>35</v>
      </c>
      <c r="E958">
        <f>VLOOKUP(M958,'MASS - 2016'!$A$1:$G$3418,6,FALSE)</f>
        <v>-54369.146000000001</v>
      </c>
      <c r="F958">
        <f>VLOOKUP(M958,'MASS - 2016'!$A$1:$G$3418,7,FALSE)</f>
        <v>16.082999999999998</v>
      </c>
      <c r="G958">
        <f t="shared" si="76"/>
        <v>-54369.146000000001</v>
      </c>
      <c r="H958">
        <f t="shared" si="72"/>
        <v>97.941632321368076</v>
      </c>
      <c r="I958">
        <f t="shared" si="73"/>
        <v>91.232048832000004</v>
      </c>
      <c r="J958">
        <f t="shared" si="75"/>
        <v>91213.141831999994</v>
      </c>
      <c r="M958">
        <f t="shared" si="74"/>
        <v>61037</v>
      </c>
    </row>
    <row r="959" spans="1:13" x14ac:dyDescent="0.2">
      <c r="A959">
        <v>60</v>
      </c>
      <c r="B959">
        <v>38</v>
      </c>
      <c r="C959">
        <v>98</v>
      </c>
      <c r="D959" s="51" t="s">
        <v>36</v>
      </c>
      <c r="E959">
        <f>VLOOKUP(M959,'MASS - 2016'!$A$1:$G$3418,6,FALSE)</f>
        <v>-66423.104000000007</v>
      </c>
      <c r="F959">
        <f>VLOOKUP(M959,'MASS - 2016'!$A$1:$G$3418,7,FALSE)</f>
        <v>3.226</v>
      </c>
      <c r="G959">
        <f t="shared" si="76"/>
        <v>-66423.104000000007</v>
      </c>
      <c r="H959">
        <f t="shared" si="72"/>
        <v>97.928691865272143</v>
      </c>
      <c r="I959">
        <f t="shared" si="73"/>
        <v>91.219994874000008</v>
      </c>
      <c r="J959">
        <f t="shared" si="75"/>
        <v>91200.576874000006</v>
      </c>
      <c r="M959">
        <f t="shared" si="74"/>
        <v>60038</v>
      </c>
    </row>
    <row r="960" spans="1:13" x14ac:dyDescent="0.2">
      <c r="A960">
        <v>59</v>
      </c>
      <c r="B960">
        <v>39</v>
      </c>
      <c r="C960">
        <v>98</v>
      </c>
      <c r="D960" s="51" t="s">
        <v>37</v>
      </c>
      <c r="E960">
        <f>VLOOKUP(M960,'MASS - 2016'!$A$1:$G$3418,6,FALSE)</f>
        <v>-72294.777000000002</v>
      </c>
      <c r="F960">
        <f>VLOOKUP(M960,'MASS - 2016'!$A$1:$G$3418,7,FALSE)</f>
        <v>7.9290000000000003</v>
      </c>
      <c r="G960">
        <f t="shared" si="76"/>
        <v>-72294.777000000002</v>
      </c>
      <c r="H960">
        <f t="shared" si="72"/>
        <v>97.922388365071939</v>
      </c>
      <c r="I960">
        <f t="shared" si="73"/>
        <v>91.214123201000007</v>
      </c>
      <c r="J960">
        <f t="shared" si="75"/>
        <v>91194.194201000006</v>
      </c>
      <c r="M960">
        <f t="shared" si="74"/>
        <v>59039</v>
      </c>
    </row>
    <row r="961" spans="1:13" x14ac:dyDescent="0.2">
      <c r="A961">
        <v>58</v>
      </c>
      <c r="B961">
        <v>40</v>
      </c>
      <c r="C961">
        <v>98</v>
      </c>
      <c r="D961" s="51" t="s">
        <v>38</v>
      </c>
      <c r="E961">
        <f>VLOOKUP(M961,'MASS - 2016'!$A$1:$G$3418,6,FALSE)</f>
        <v>-81286.709000000003</v>
      </c>
      <c r="F961">
        <f>VLOOKUP(M961,'MASS - 2016'!$A$1:$G$3418,7,FALSE)</f>
        <v>8.4510000000000005</v>
      </c>
      <c r="G961">
        <f t="shared" si="76"/>
        <v>-81286.709000000003</v>
      </c>
      <c r="H961">
        <f t="shared" si="72"/>
        <v>97.912735129075614</v>
      </c>
      <c r="I961">
        <f t="shared" si="73"/>
        <v>91.205131269000006</v>
      </c>
      <c r="J961">
        <f t="shared" si="75"/>
        <v>91184.691269000003</v>
      </c>
      <c r="M961">
        <f t="shared" si="74"/>
        <v>58040</v>
      </c>
    </row>
    <row r="962" spans="1:13" x14ac:dyDescent="0.2">
      <c r="A962">
        <v>57</v>
      </c>
      <c r="B962">
        <v>41</v>
      </c>
      <c r="C962">
        <v>98</v>
      </c>
      <c r="D962" s="51" t="s">
        <v>39</v>
      </c>
      <c r="E962">
        <f>VLOOKUP(M962,'MASS - 2016'!$A$1:$G$3418,6,FALSE)</f>
        <v>-83524.597999999998</v>
      </c>
      <c r="F962">
        <f>VLOOKUP(M962,'MASS - 2016'!$A$1:$G$3418,7,FALSE)</f>
        <v>5.0010000000000003</v>
      </c>
      <c r="G962">
        <f t="shared" si="76"/>
        <v>-83524.597999999998</v>
      </c>
      <c r="H962">
        <f t="shared" si="72"/>
        <v>97.910332656431194</v>
      </c>
      <c r="I962">
        <f t="shared" si="73"/>
        <v>91.202893380000006</v>
      </c>
      <c r="J962">
        <f t="shared" si="75"/>
        <v>91181.942380000008</v>
      </c>
      <c r="M962">
        <f t="shared" si="74"/>
        <v>57041</v>
      </c>
    </row>
    <row r="963" spans="1:13" x14ac:dyDescent="0.2">
      <c r="A963">
        <v>56</v>
      </c>
      <c r="B963">
        <v>42</v>
      </c>
      <c r="C963">
        <v>98</v>
      </c>
      <c r="D963" s="51" t="s">
        <v>40</v>
      </c>
      <c r="E963">
        <f>VLOOKUP(M963,'MASS - 2016'!$A$1:$G$3418,6,FALSE)</f>
        <v>-88115.971999999994</v>
      </c>
      <c r="F963">
        <f>VLOOKUP(M963,'MASS - 2016'!$A$1:$G$3418,7,FALSE)</f>
        <v>0.17399999999999999</v>
      </c>
      <c r="G963">
        <f t="shared" si="76"/>
        <v>-88115.971999999994</v>
      </c>
      <c r="H963">
        <f t="shared" si="72"/>
        <v>97.905403613732759</v>
      </c>
      <c r="I963">
        <f t="shared" si="73"/>
        <v>91.198302006000006</v>
      </c>
      <c r="J963">
        <f t="shared" si="75"/>
        <v>91176.840006000013</v>
      </c>
      <c r="M963">
        <f t="shared" si="74"/>
        <v>56042</v>
      </c>
    </row>
    <row r="964" spans="1:13" x14ac:dyDescent="0.2">
      <c r="A964">
        <v>55</v>
      </c>
      <c r="B964">
        <v>43</v>
      </c>
      <c r="C964">
        <v>98</v>
      </c>
      <c r="D964" s="51" t="s">
        <v>41</v>
      </c>
      <c r="E964">
        <f>VLOOKUP(M964,'MASS - 2016'!$A$1:$G$3418,6,FALSE)</f>
        <v>-86432.205000000002</v>
      </c>
      <c r="F964">
        <f>VLOOKUP(M964,'MASS - 2016'!$A$1:$G$3418,7,FALSE)</f>
        <v>3.38</v>
      </c>
      <c r="G964">
        <f t="shared" si="76"/>
        <v>-86432.205000000002</v>
      </c>
      <c r="H964">
        <f t="shared" si="72"/>
        <v>97.907211211945679</v>
      </c>
      <c r="I964">
        <f t="shared" si="73"/>
        <v>91.199985773000009</v>
      </c>
      <c r="J964">
        <f t="shared" si="75"/>
        <v>91178.012773000009</v>
      </c>
      <c r="M964">
        <f t="shared" si="74"/>
        <v>55043</v>
      </c>
    </row>
    <row r="965" spans="1:13" x14ac:dyDescent="0.2">
      <c r="A965">
        <v>54</v>
      </c>
      <c r="B965">
        <v>44</v>
      </c>
      <c r="C965">
        <v>98</v>
      </c>
      <c r="D965" s="51" t="s">
        <v>42</v>
      </c>
      <c r="E965">
        <f>VLOOKUP(M965,'MASS - 2016'!$A$1:$G$3418,6,FALSE)</f>
        <v>-88224.857999999993</v>
      </c>
      <c r="F965">
        <f>VLOOKUP(M965,'MASS - 2016'!$A$1:$G$3418,7,FALSE)</f>
        <v>6.4630000000000001</v>
      </c>
      <c r="G965">
        <f t="shared" si="76"/>
        <v>-88224.857999999993</v>
      </c>
      <c r="H965">
        <f t="shared" si="72"/>
        <v>97.905286719804437</v>
      </c>
      <c r="I965">
        <f t="shared" si="73"/>
        <v>91.198193119999999</v>
      </c>
      <c r="J965">
        <f t="shared" si="75"/>
        <v>91175.70912</v>
      </c>
      <c r="M965">
        <f t="shared" si="74"/>
        <v>54044</v>
      </c>
    </row>
    <row r="966" spans="1:13" x14ac:dyDescent="0.2">
      <c r="A966">
        <v>53</v>
      </c>
      <c r="B966">
        <v>45</v>
      </c>
      <c r="C966">
        <v>98</v>
      </c>
      <c r="D966" s="51" t="s">
        <v>43</v>
      </c>
      <c r="E966">
        <f>VLOOKUP(M966,'MASS - 2016'!$A$1:$G$3418,6,FALSE)</f>
        <v>-83175.205000000002</v>
      </c>
      <c r="F966">
        <f>VLOOKUP(M966,'MASS - 2016'!$A$1:$G$3418,7,FALSE)</f>
        <v>11.906000000000001</v>
      </c>
      <c r="G966">
        <f t="shared" si="76"/>
        <v>-83175.205000000002</v>
      </c>
      <c r="H966">
        <f t="shared" si="72"/>
        <v>97.910707745242405</v>
      </c>
      <c r="I966">
        <f t="shared" si="73"/>
        <v>91.203242772999999</v>
      </c>
      <c r="J966">
        <f t="shared" si="75"/>
        <v>91180.24777300001</v>
      </c>
      <c r="M966">
        <f t="shared" si="74"/>
        <v>53045</v>
      </c>
    </row>
    <row r="967" spans="1:13" x14ac:dyDescent="0.2">
      <c r="A967">
        <v>52</v>
      </c>
      <c r="B967">
        <v>46</v>
      </c>
      <c r="C967">
        <v>98</v>
      </c>
      <c r="D967" s="51" t="s">
        <v>44</v>
      </c>
      <c r="E967">
        <f>VLOOKUP(M967,'MASS - 2016'!$A$1:$G$3418,6,FALSE)</f>
        <v>-81320.975000000006</v>
      </c>
      <c r="F967">
        <f>VLOOKUP(M967,'MASS - 2016'!$A$1:$G$3418,7,FALSE)</f>
        <v>4.742</v>
      </c>
      <c r="G967">
        <f t="shared" si="76"/>
        <v>-81320.975000000006</v>
      </c>
      <c r="H967">
        <f t="shared" si="72"/>
        <v>97.912698343011769</v>
      </c>
      <c r="I967">
        <f t="shared" si="73"/>
        <v>91.205097003000006</v>
      </c>
      <c r="J967">
        <f t="shared" si="75"/>
        <v>91181.591003000009</v>
      </c>
      <c r="M967">
        <f t="shared" si="74"/>
        <v>52046</v>
      </c>
    </row>
    <row r="968" spans="1:13" x14ac:dyDescent="0.2">
      <c r="A968">
        <v>51</v>
      </c>
      <c r="B968">
        <v>47</v>
      </c>
      <c r="C968">
        <v>98</v>
      </c>
      <c r="D968" s="51" t="s">
        <v>45</v>
      </c>
      <c r="E968">
        <f>VLOOKUP(M968,'MASS - 2016'!$A$1:$G$3418,6,FALSE)</f>
        <v>-73066.414999999994</v>
      </c>
      <c r="F968">
        <f>VLOOKUP(M968,'MASS - 2016'!$A$1:$G$3418,7,FALSE)</f>
        <v>32.906999999999996</v>
      </c>
      <c r="G968">
        <f t="shared" si="76"/>
        <v>-73066.414999999994</v>
      </c>
      <c r="H968">
        <f t="shared" si="72"/>
        <v>97.921559977611068</v>
      </c>
      <c r="I968">
        <f t="shared" si="73"/>
        <v>91.213351563000003</v>
      </c>
      <c r="J968">
        <f t="shared" si="75"/>
        <v>91189.334562999997</v>
      </c>
      <c r="M968">
        <f t="shared" si="74"/>
        <v>51047</v>
      </c>
    </row>
    <row r="969" spans="1:13" x14ac:dyDescent="0.2">
      <c r="A969">
        <v>50</v>
      </c>
      <c r="B969">
        <v>48</v>
      </c>
      <c r="C969">
        <v>98</v>
      </c>
      <c r="D969" s="51" t="s">
        <v>46</v>
      </c>
      <c r="E969">
        <f>VLOOKUP(M969,'MASS - 2016'!$A$1:$G$3418,6,FALSE)</f>
        <v>-67636.414999999994</v>
      </c>
      <c r="F969">
        <f>VLOOKUP(M969,'MASS - 2016'!$A$1:$G$3418,7,FALSE)</f>
        <v>51.796999999999997</v>
      </c>
      <c r="G969">
        <f t="shared" si="76"/>
        <v>-67636.414999999994</v>
      </c>
      <c r="H969">
        <f t="shared" ref="H969:H1032" si="77">(C969*$A$3+G969/1000000)/$A$3</f>
        <v>97.927389322345888</v>
      </c>
      <c r="I969">
        <f t="shared" ref="I969:I1032" si="78">H969*$A$3</f>
        <v>91.218781563000007</v>
      </c>
      <c r="J969">
        <f t="shared" si="75"/>
        <v>91194.253563000006</v>
      </c>
      <c r="M969">
        <f t="shared" ref="M969:M1032" si="79">1000*A969+B969</f>
        <v>50048</v>
      </c>
    </row>
    <row r="970" spans="1:13" x14ac:dyDescent="0.2">
      <c r="A970">
        <v>49</v>
      </c>
      <c r="B970">
        <v>49</v>
      </c>
      <c r="C970">
        <v>98</v>
      </c>
      <c r="D970" s="51" t="s">
        <v>47</v>
      </c>
      <c r="E970" t="str">
        <f>VLOOKUP(M970,'MASS - 2016'!$A$1:$G$3418,6,FALSE)</f>
        <v>-53896#</v>
      </c>
      <c r="F970" t="str">
        <f>VLOOKUP(M970,'MASS - 2016'!$A$1:$G$3418,7,FALSE)</f>
        <v>298#</v>
      </c>
      <c r="G970">
        <f t="shared" si="76"/>
        <v>-53896.01</v>
      </c>
      <c r="H970">
        <f t="shared" si="77"/>
        <v>97.942140253753053</v>
      </c>
      <c r="I970">
        <f t="shared" si="78"/>
        <v>91.232521968</v>
      </c>
      <c r="J970">
        <f t="shared" si="75"/>
        <v>91207.482967999997</v>
      </c>
      <c r="M970">
        <f t="shared" si="79"/>
        <v>49049</v>
      </c>
    </row>
    <row r="971" spans="1:13" x14ac:dyDescent="0.2">
      <c r="A971">
        <v>62</v>
      </c>
      <c r="B971">
        <v>37</v>
      </c>
      <c r="C971">
        <v>99</v>
      </c>
      <c r="D971" s="51" t="s">
        <v>35</v>
      </c>
      <c r="E971">
        <f>VLOOKUP(M971,'MASS - 2016'!$A$1:$G$3418,6,FALSE)</f>
        <v>-51121.142999999996</v>
      </c>
      <c r="F971">
        <f>VLOOKUP(M971,'MASS - 2016'!$A$1:$G$3418,7,FALSE)</f>
        <v>4.0309999999999997</v>
      </c>
      <c r="G971">
        <f t="shared" si="76"/>
        <v>-51121.142999999996</v>
      </c>
      <c r="H971">
        <f t="shared" si="77"/>
        <v>98.945119195988084</v>
      </c>
      <c r="I971">
        <f t="shared" si="78"/>
        <v>92.166790895999995</v>
      </c>
      <c r="J971">
        <f t="shared" si="75"/>
        <v>92147.883895999985</v>
      </c>
      <c r="M971">
        <f t="shared" si="79"/>
        <v>62037</v>
      </c>
    </row>
    <row r="972" spans="1:13" x14ac:dyDescent="0.2">
      <c r="A972">
        <v>61</v>
      </c>
      <c r="B972">
        <v>38</v>
      </c>
      <c r="C972">
        <v>99</v>
      </c>
      <c r="D972" s="51" t="s">
        <v>36</v>
      </c>
      <c r="E972">
        <f>VLOOKUP(M972,'MASS - 2016'!$A$1:$G$3418,6,FALSE)</f>
        <v>-62521.400999999998</v>
      </c>
      <c r="F972">
        <f>VLOOKUP(M972,'MASS - 2016'!$A$1:$G$3418,7,FALSE)</f>
        <v>4.7409999999999997</v>
      </c>
      <c r="G972">
        <f t="shared" si="76"/>
        <v>-62521.400999999998</v>
      </c>
      <c r="H972">
        <f t="shared" si="77"/>
        <v>98.932880515703047</v>
      </c>
      <c r="I972">
        <f t="shared" si="78"/>
        <v>92.155390638</v>
      </c>
      <c r="J972">
        <f t="shared" ref="J972:J1035" si="80">1000*I972-B972*0.511</f>
        <v>92135.972637999992</v>
      </c>
      <c r="M972">
        <f t="shared" si="79"/>
        <v>61038</v>
      </c>
    </row>
    <row r="973" spans="1:13" x14ac:dyDescent="0.2">
      <c r="A973">
        <v>60</v>
      </c>
      <c r="B973">
        <v>39</v>
      </c>
      <c r="C973">
        <v>99</v>
      </c>
      <c r="D973" s="51" t="s">
        <v>37</v>
      </c>
      <c r="E973">
        <f>VLOOKUP(M973,'MASS - 2016'!$A$1:$G$3418,6,FALSE)</f>
        <v>-70649.824999999997</v>
      </c>
      <c r="F973">
        <f>VLOOKUP(M973,'MASS - 2016'!$A$1:$G$3418,7,FALSE)</f>
        <v>6.6269999999999998</v>
      </c>
      <c r="G973">
        <f t="shared" si="76"/>
        <v>-70649.824999999997</v>
      </c>
      <c r="H973">
        <f t="shared" si="77"/>
        <v>98.92415429366865</v>
      </c>
      <c r="I973">
        <f t="shared" si="78"/>
        <v>92.147262213999994</v>
      </c>
      <c r="J973">
        <f t="shared" si="80"/>
        <v>92127.333213999984</v>
      </c>
      <c r="M973">
        <f t="shared" si="79"/>
        <v>60039</v>
      </c>
    </row>
    <row r="974" spans="1:13" x14ac:dyDescent="0.2">
      <c r="A974">
        <v>59</v>
      </c>
      <c r="B974">
        <v>40</v>
      </c>
      <c r="C974">
        <v>99</v>
      </c>
      <c r="D974" s="51" t="s">
        <v>38</v>
      </c>
      <c r="E974">
        <f>VLOOKUP(M974,'MASS - 2016'!$A$1:$G$3418,6,FALSE)</f>
        <v>-77620.616999999998</v>
      </c>
      <c r="F974">
        <f>VLOOKUP(M974,'MASS - 2016'!$A$1:$G$3418,7,FALSE)</f>
        <v>10.502000000000001</v>
      </c>
      <c r="G974">
        <f t="shared" si="76"/>
        <v>-77620.616999999998</v>
      </c>
      <c r="H974">
        <f t="shared" si="77"/>
        <v>98.916670840695787</v>
      </c>
      <c r="I974">
        <f t="shared" si="78"/>
        <v>92.140291422000004</v>
      </c>
      <c r="J974">
        <f t="shared" si="80"/>
        <v>92119.851422000007</v>
      </c>
      <c r="M974">
        <f t="shared" si="79"/>
        <v>59040</v>
      </c>
    </row>
    <row r="975" spans="1:13" x14ac:dyDescent="0.2">
      <c r="A975">
        <v>58</v>
      </c>
      <c r="B975">
        <v>41</v>
      </c>
      <c r="C975">
        <v>99</v>
      </c>
      <c r="D975" s="51" t="s">
        <v>39</v>
      </c>
      <c r="E975">
        <f>VLOOKUP(M975,'MASS - 2016'!$A$1:$G$3418,6,FALSE)</f>
        <v>-82335.341</v>
      </c>
      <c r="F975">
        <f>VLOOKUP(M975,'MASS - 2016'!$A$1:$G$3418,7,FALSE)</f>
        <v>12.004</v>
      </c>
      <c r="G975">
        <f t="shared" ref="G975:G1038" si="81">IF(ISNUMBER(E975),E975,VALUE(SUBSTITUTE(E975,"#",".01")))</f>
        <v>-82335.341</v>
      </c>
      <c r="H975">
        <f t="shared" si="77"/>
        <v>98.911609376326439</v>
      </c>
      <c r="I975">
        <f t="shared" si="78"/>
        <v>92.135576697999994</v>
      </c>
      <c r="J975">
        <f t="shared" si="80"/>
        <v>92114.625697999989</v>
      </c>
      <c r="M975">
        <f t="shared" si="79"/>
        <v>58041</v>
      </c>
    </row>
    <row r="976" spans="1:13" x14ac:dyDescent="0.2">
      <c r="A976">
        <v>57</v>
      </c>
      <c r="B976">
        <v>42</v>
      </c>
      <c r="C976">
        <v>99</v>
      </c>
      <c r="D976" s="51" t="s">
        <v>40</v>
      </c>
      <c r="E976">
        <f>VLOOKUP(M976,'MASS - 2016'!$A$1:$G$3418,6,FALSE)</f>
        <v>-85970.097999999998</v>
      </c>
      <c r="F976">
        <f>VLOOKUP(M976,'MASS - 2016'!$A$1:$G$3418,7,FALSE)</f>
        <v>0.22900000000000001</v>
      </c>
      <c r="G976">
        <f t="shared" si="81"/>
        <v>-85970.097999999998</v>
      </c>
      <c r="H976">
        <f t="shared" si="77"/>
        <v>98.907707304212209</v>
      </c>
      <c r="I976">
        <f t="shared" si="78"/>
        <v>92.131941940999994</v>
      </c>
      <c r="J976">
        <f t="shared" si="80"/>
        <v>92110.479940999998</v>
      </c>
      <c r="M976">
        <f t="shared" si="79"/>
        <v>57042</v>
      </c>
    </row>
    <row r="977" spans="1:13" x14ac:dyDescent="0.2">
      <c r="A977">
        <v>56</v>
      </c>
      <c r="B977">
        <v>43</v>
      </c>
      <c r="C977">
        <v>99</v>
      </c>
      <c r="D977" s="51" t="s">
        <v>41</v>
      </c>
      <c r="E977">
        <f>VLOOKUP(M977,'MASS - 2016'!$A$1:$G$3418,6,FALSE)</f>
        <v>-87327.861999999994</v>
      </c>
      <c r="F977">
        <f>VLOOKUP(M977,'MASS - 2016'!$A$1:$G$3418,7,FALSE)</f>
        <v>0.90800000000000003</v>
      </c>
      <c r="G977">
        <f t="shared" si="81"/>
        <v>-87327.861999999994</v>
      </c>
      <c r="H977">
        <f t="shared" si="77"/>
        <v>98.90624968461286</v>
      </c>
      <c r="I977">
        <f t="shared" si="78"/>
        <v>92.130584177000003</v>
      </c>
      <c r="J977">
        <f t="shared" si="80"/>
        <v>92108.611176999999</v>
      </c>
      <c r="M977">
        <f t="shared" si="79"/>
        <v>56043</v>
      </c>
    </row>
    <row r="978" spans="1:13" x14ac:dyDescent="0.2">
      <c r="A978">
        <v>55</v>
      </c>
      <c r="B978">
        <v>44</v>
      </c>
      <c r="C978">
        <v>99</v>
      </c>
      <c r="D978" s="51" t="s">
        <v>42</v>
      </c>
      <c r="E978">
        <f>VLOOKUP(M978,'MASS - 2016'!$A$1:$G$3418,6,FALSE)</f>
        <v>-87625.380999999994</v>
      </c>
      <c r="F978">
        <f>VLOOKUP(M978,'MASS - 2016'!$A$1:$G$3418,7,FALSE)</f>
        <v>0.34399999999999997</v>
      </c>
      <c r="G978">
        <f t="shared" si="81"/>
        <v>-87625.380999999994</v>
      </c>
      <c r="H978">
        <f t="shared" si="77"/>
        <v>98.905930284830887</v>
      </c>
      <c r="I978">
        <f t="shared" si="78"/>
        <v>92.130286658000003</v>
      </c>
      <c r="J978">
        <f t="shared" si="80"/>
        <v>92107.802658000001</v>
      </c>
      <c r="M978">
        <f t="shared" si="79"/>
        <v>55044</v>
      </c>
    </row>
    <row r="979" spans="1:13" x14ac:dyDescent="0.2">
      <c r="A979">
        <v>54</v>
      </c>
      <c r="B979">
        <v>45</v>
      </c>
      <c r="C979">
        <v>99</v>
      </c>
      <c r="D979" s="51" t="s">
        <v>43</v>
      </c>
      <c r="E979">
        <f>VLOOKUP(M979,'MASS - 2016'!$A$1:$G$3418,6,FALSE)</f>
        <v>-85581.3</v>
      </c>
      <c r="F979">
        <f>VLOOKUP(M979,'MASS - 2016'!$A$1:$G$3418,7,FALSE)</f>
        <v>6.6970000000000001</v>
      </c>
      <c r="G979">
        <f t="shared" si="81"/>
        <v>-85581.3</v>
      </c>
      <c r="H979">
        <f t="shared" si="77"/>
        <v>98.908124696030669</v>
      </c>
      <c r="I979">
        <f t="shared" si="78"/>
        <v>92.132330738999997</v>
      </c>
      <c r="J979">
        <f t="shared" si="80"/>
        <v>92109.335739000002</v>
      </c>
      <c r="M979">
        <f t="shared" si="79"/>
        <v>54045</v>
      </c>
    </row>
    <row r="980" spans="1:13" x14ac:dyDescent="0.2">
      <c r="A980">
        <v>53</v>
      </c>
      <c r="B980">
        <v>46</v>
      </c>
      <c r="C980">
        <v>99</v>
      </c>
      <c r="D980" s="51" t="s">
        <v>44</v>
      </c>
      <c r="E980">
        <f>VLOOKUP(M980,'MASS - 2016'!$A$1:$G$3418,6,FALSE)</f>
        <v>-82182.650999999998</v>
      </c>
      <c r="F980">
        <f>VLOOKUP(M980,'MASS - 2016'!$A$1:$G$3418,7,FALSE)</f>
        <v>4.9809999999999999</v>
      </c>
      <c r="G980">
        <f t="shared" si="81"/>
        <v>-82182.650999999998</v>
      </c>
      <c r="H980">
        <f t="shared" si="77"/>
        <v>98.911773295782723</v>
      </c>
      <c r="I980">
        <f t="shared" si="78"/>
        <v>92.135729388000001</v>
      </c>
      <c r="J980">
        <f t="shared" si="80"/>
        <v>92112.223388000013</v>
      </c>
      <c r="M980">
        <f t="shared" si="79"/>
        <v>53046</v>
      </c>
    </row>
    <row r="981" spans="1:13" x14ac:dyDescent="0.2">
      <c r="A981">
        <v>52</v>
      </c>
      <c r="B981">
        <v>47</v>
      </c>
      <c r="C981">
        <v>99</v>
      </c>
      <c r="D981" s="51" t="s">
        <v>45</v>
      </c>
      <c r="E981">
        <f>VLOOKUP(M981,'MASS - 2016'!$A$1:$G$3418,6,FALSE)</f>
        <v>-76712.472999999998</v>
      </c>
      <c r="F981">
        <f>VLOOKUP(M981,'MASS - 2016'!$A$1:$G$3418,7,FALSE)</f>
        <v>6.2649999999999997</v>
      </c>
      <c r="G981">
        <f t="shared" si="81"/>
        <v>-76712.472999999998</v>
      </c>
      <c r="H981">
        <f t="shared" si="77"/>
        <v>98.917645773374389</v>
      </c>
      <c r="I981">
        <f t="shared" si="78"/>
        <v>92.141199565999997</v>
      </c>
      <c r="J981">
        <f t="shared" si="80"/>
        <v>92117.182565999989</v>
      </c>
      <c r="M981">
        <f t="shared" si="79"/>
        <v>52047</v>
      </c>
    </row>
    <row r="982" spans="1:13" x14ac:dyDescent="0.2">
      <c r="A982">
        <v>51</v>
      </c>
      <c r="B982">
        <v>48</v>
      </c>
      <c r="C982">
        <v>99</v>
      </c>
      <c r="D982" s="51" t="s">
        <v>46</v>
      </c>
      <c r="E982">
        <f>VLOOKUP(M982,'MASS - 2016'!$A$1:$G$3418,6,FALSE)</f>
        <v>-69931.123000000007</v>
      </c>
      <c r="F982">
        <f>VLOOKUP(M982,'MASS - 2016'!$A$1:$G$3418,7,FALSE)</f>
        <v>1.5840000000000001</v>
      </c>
      <c r="G982">
        <f t="shared" si="81"/>
        <v>-69931.123000000007</v>
      </c>
      <c r="H982">
        <f t="shared" si="77"/>
        <v>98.924925851996377</v>
      </c>
      <c r="I982">
        <f t="shared" si="78"/>
        <v>92.147980915999995</v>
      </c>
      <c r="J982">
        <f t="shared" si="80"/>
        <v>92123.452915999995</v>
      </c>
      <c r="M982">
        <f t="shared" si="79"/>
        <v>51048</v>
      </c>
    </row>
    <row r="983" spans="1:13" x14ac:dyDescent="0.2">
      <c r="A983">
        <v>50</v>
      </c>
      <c r="B983">
        <v>49</v>
      </c>
      <c r="C983">
        <v>99</v>
      </c>
      <c r="D983" s="51" t="s">
        <v>47</v>
      </c>
      <c r="E983" t="str">
        <f>VLOOKUP(M983,'MASS - 2016'!$A$1:$G$3418,6,FALSE)</f>
        <v>-61376#</v>
      </c>
      <c r="F983" t="str">
        <f>VLOOKUP(M983,'MASS - 2016'!$A$1:$G$3418,7,FALSE)</f>
        <v>298#</v>
      </c>
      <c r="G983">
        <f t="shared" si="81"/>
        <v>-61376.01</v>
      </c>
      <c r="H983">
        <f t="shared" si="77"/>
        <v>98.934110143510622</v>
      </c>
      <c r="I983">
        <f t="shared" si="78"/>
        <v>92.156536028999994</v>
      </c>
      <c r="J983">
        <f t="shared" si="80"/>
        <v>92131.497028999991</v>
      </c>
      <c r="M983">
        <f t="shared" si="79"/>
        <v>50049</v>
      </c>
    </row>
    <row r="984" spans="1:13" x14ac:dyDescent="0.2">
      <c r="A984">
        <v>63</v>
      </c>
      <c r="B984">
        <v>37</v>
      </c>
      <c r="C984">
        <v>100</v>
      </c>
      <c r="D984" s="51" t="s">
        <v>35</v>
      </c>
      <c r="E984">
        <f>VLOOKUP(M984,'MASS - 2016'!$A$1:$G$3418,6,FALSE)</f>
        <v>-46247.063999999998</v>
      </c>
      <c r="F984">
        <f>VLOOKUP(M984,'MASS - 2016'!$A$1:$G$3418,7,FALSE)</f>
        <v>19.561</v>
      </c>
      <c r="G984">
        <f t="shared" si="81"/>
        <v>-46247.063999999998</v>
      </c>
      <c r="H984">
        <f t="shared" si="77"/>
        <v>99.950351734985446</v>
      </c>
      <c r="I984">
        <f t="shared" si="78"/>
        <v>93.103159035999994</v>
      </c>
      <c r="J984">
        <f t="shared" si="80"/>
        <v>93084.252035999991</v>
      </c>
      <c r="M984">
        <f t="shared" si="79"/>
        <v>63037</v>
      </c>
    </row>
    <row r="985" spans="1:13" x14ac:dyDescent="0.2">
      <c r="A985">
        <v>62</v>
      </c>
      <c r="B985">
        <v>38</v>
      </c>
      <c r="C985">
        <v>100</v>
      </c>
      <c r="D985" s="51" t="s">
        <v>36</v>
      </c>
      <c r="E985">
        <f>VLOOKUP(M985,'MASS - 2016'!$A$1:$G$3418,6,FALSE)</f>
        <v>-59820.902999999998</v>
      </c>
      <c r="F985">
        <f>VLOOKUP(M985,'MASS - 2016'!$A$1:$G$3418,7,FALSE)</f>
        <v>7.16</v>
      </c>
      <c r="G985">
        <f t="shared" si="81"/>
        <v>-59820.902999999998</v>
      </c>
      <c r="H985">
        <f t="shared" si="77"/>
        <v>99.935779619533179</v>
      </c>
      <c r="I985">
        <f t="shared" si="78"/>
        <v>93.089585196999991</v>
      </c>
      <c r="J985">
        <f t="shared" si="80"/>
        <v>93070.167196999988</v>
      </c>
      <c r="M985">
        <f t="shared" si="79"/>
        <v>62038</v>
      </c>
    </row>
    <row r="986" spans="1:13" x14ac:dyDescent="0.2">
      <c r="A986">
        <v>61</v>
      </c>
      <c r="B986">
        <v>39</v>
      </c>
      <c r="C986">
        <v>100</v>
      </c>
      <c r="D986" s="51" t="s">
        <v>37</v>
      </c>
      <c r="E986">
        <f>VLOOKUP(M986,'MASS - 2016'!$A$1:$G$3418,6,FALSE)</f>
        <v>-67327.395999999993</v>
      </c>
      <c r="F986">
        <f>VLOOKUP(M986,'MASS - 2016'!$A$1:$G$3418,7,FALSE)</f>
        <v>11.186</v>
      </c>
      <c r="G986">
        <f t="shared" si="81"/>
        <v>-67327.395999999993</v>
      </c>
      <c r="H986">
        <f t="shared" si="77"/>
        <v>99.927721067885585</v>
      </c>
      <c r="I986">
        <f t="shared" si="78"/>
        <v>93.082078703999997</v>
      </c>
      <c r="J986">
        <f t="shared" si="80"/>
        <v>93062.149703999996</v>
      </c>
      <c r="M986">
        <f t="shared" si="79"/>
        <v>61039</v>
      </c>
    </row>
    <row r="987" spans="1:13" x14ac:dyDescent="0.2">
      <c r="A987">
        <v>60</v>
      </c>
      <c r="B987">
        <v>40</v>
      </c>
      <c r="C987">
        <v>100</v>
      </c>
      <c r="D987" s="51" t="s">
        <v>38</v>
      </c>
      <c r="E987">
        <f>VLOOKUP(M987,'MASS - 2016'!$A$1:$G$3418,6,FALSE)</f>
        <v>-76377.437000000005</v>
      </c>
      <c r="F987">
        <f>VLOOKUP(M987,'MASS - 2016'!$A$1:$G$3418,7,FALSE)</f>
        <v>8.1489999999999991</v>
      </c>
      <c r="G987">
        <f t="shared" si="81"/>
        <v>-76377.437000000005</v>
      </c>
      <c r="H987">
        <f t="shared" si="77"/>
        <v>99.918005449312247</v>
      </c>
      <c r="I987">
        <f t="shared" si="78"/>
        <v>93.073028662999988</v>
      </c>
      <c r="J987">
        <f t="shared" si="80"/>
        <v>93052.588662999988</v>
      </c>
      <c r="M987">
        <f t="shared" si="79"/>
        <v>60040</v>
      </c>
    </row>
    <row r="988" spans="1:13" x14ac:dyDescent="0.2">
      <c r="A988">
        <v>59</v>
      </c>
      <c r="B988">
        <v>41</v>
      </c>
      <c r="C988">
        <v>100</v>
      </c>
      <c r="D988" s="51" t="s">
        <v>39</v>
      </c>
      <c r="E988">
        <f>VLOOKUP(M988,'MASS - 2016'!$A$1:$G$3418,6,FALSE)</f>
        <v>-79797.399000000005</v>
      </c>
      <c r="F988">
        <f>VLOOKUP(M988,'MASS - 2016'!$A$1:$G$3418,7,FALSE)</f>
        <v>7.9859999999999998</v>
      </c>
      <c r="G988">
        <f t="shared" si="81"/>
        <v>-79797.399000000005</v>
      </c>
      <c r="H988">
        <f t="shared" si="77"/>
        <v>99.914333969113727</v>
      </c>
      <c r="I988">
        <f t="shared" si="78"/>
        <v>93.069608700999993</v>
      </c>
      <c r="J988">
        <f t="shared" si="80"/>
        <v>93048.657700999989</v>
      </c>
      <c r="M988">
        <f t="shared" si="79"/>
        <v>59041</v>
      </c>
    </row>
    <row r="989" spans="1:13" x14ac:dyDescent="0.2">
      <c r="A989">
        <v>58</v>
      </c>
      <c r="B989">
        <v>42</v>
      </c>
      <c r="C989">
        <v>100</v>
      </c>
      <c r="D989" s="51" t="s">
        <v>40</v>
      </c>
      <c r="E989">
        <f>VLOOKUP(M989,'MASS - 2016'!$A$1:$G$3418,6,FALSE)</f>
        <v>-86193.024999999994</v>
      </c>
      <c r="F989">
        <f>VLOOKUP(M989,'MASS - 2016'!$A$1:$G$3418,7,FALSE)</f>
        <v>0.30199999999999999</v>
      </c>
      <c r="G989">
        <f t="shared" si="81"/>
        <v>-86193.024999999994</v>
      </c>
      <c r="H989">
        <f t="shared" si="77"/>
        <v>99.907467982235474</v>
      </c>
      <c r="I989">
        <f t="shared" si="78"/>
        <v>93.063213074999993</v>
      </c>
      <c r="J989">
        <f t="shared" si="80"/>
        <v>93041.751074999993</v>
      </c>
      <c r="M989">
        <f t="shared" si="79"/>
        <v>58042</v>
      </c>
    </row>
    <row r="990" spans="1:13" x14ac:dyDescent="0.2">
      <c r="A990">
        <v>57</v>
      </c>
      <c r="B990">
        <v>43</v>
      </c>
      <c r="C990">
        <v>100</v>
      </c>
      <c r="D990" s="51" t="s">
        <v>41</v>
      </c>
      <c r="E990">
        <f>VLOOKUP(M990,'MASS - 2016'!$A$1:$G$3418,6,FALSE)</f>
        <v>-86020.945000000007</v>
      </c>
      <c r="F990">
        <f>VLOOKUP(M990,'MASS - 2016'!$A$1:$G$3418,7,FALSE)</f>
        <v>1.351</v>
      </c>
      <c r="G990">
        <f t="shared" si="81"/>
        <v>-86020.945000000007</v>
      </c>
      <c r="H990">
        <f t="shared" si="77"/>
        <v>99.907652717712807</v>
      </c>
      <c r="I990">
        <f t="shared" si="78"/>
        <v>93.063385154999992</v>
      </c>
      <c r="J990">
        <f t="shared" si="80"/>
        <v>93041.412154999998</v>
      </c>
      <c r="M990">
        <f t="shared" si="79"/>
        <v>57043</v>
      </c>
    </row>
    <row r="991" spans="1:13" x14ac:dyDescent="0.2">
      <c r="A991">
        <v>56</v>
      </c>
      <c r="B991">
        <v>44</v>
      </c>
      <c r="C991">
        <v>100</v>
      </c>
      <c r="D991" s="51" t="s">
        <v>42</v>
      </c>
      <c r="E991">
        <f>VLOOKUP(M991,'MASS - 2016'!$A$1:$G$3418,6,FALSE)</f>
        <v>-89227.388999999996</v>
      </c>
      <c r="F991">
        <f>VLOOKUP(M991,'MASS - 2016'!$A$1:$G$3418,7,FALSE)</f>
        <v>0.34300000000000003</v>
      </c>
      <c r="G991">
        <f t="shared" si="81"/>
        <v>-89227.388999999996</v>
      </c>
      <c r="H991">
        <f t="shared" si="77"/>
        <v>99.904210458514129</v>
      </c>
      <c r="I991">
        <f t="shared" si="78"/>
        <v>93.060178710999992</v>
      </c>
      <c r="J991">
        <f t="shared" si="80"/>
        <v>93037.694710999989</v>
      </c>
      <c r="M991">
        <f t="shared" si="79"/>
        <v>56044</v>
      </c>
    </row>
    <row r="992" spans="1:13" x14ac:dyDescent="0.2">
      <c r="A992">
        <v>55</v>
      </c>
      <c r="B992">
        <v>45</v>
      </c>
      <c r="C992">
        <v>100</v>
      </c>
      <c r="D992" s="51" t="s">
        <v>43</v>
      </c>
      <c r="E992">
        <f>VLOOKUP(M992,'MASS - 2016'!$A$1:$G$3418,6,FALSE)</f>
        <v>-85591.126000000004</v>
      </c>
      <c r="F992">
        <f>VLOOKUP(M992,'MASS - 2016'!$A$1:$G$3418,7,FALSE)</f>
        <v>18.125</v>
      </c>
      <c r="G992">
        <f t="shared" si="81"/>
        <v>-85591.126000000004</v>
      </c>
      <c r="H992">
        <f t="shared" si="77"/>
        <v>99.908114147385845</v>
      </c>
      <c r="I992">
        <f t="shared" si="78"/>
        <v>93.063814973999996</v>
      </c>
      <c r="J992">
        <f t="shared" si="80"/>
        <v>93040.819973999998</v>
      </c>
      <c r="M992">
        <f t="shared" si="79"/>
        <v>55045</v>
      </c>
    </row>
    <row r="993" spans="1:13" x14ac:dyDescent="0.2">
      <c r="A993">
        <v>54</v>
      </c>
      <c r="B993">
        <v>46</v>
      </c>
      <c r="C993">
        <v>100</v>
      </c>
      <c r="D993" s="51" t="s">
        <v>44</v>
      </c>
      <c r="E993">
        <f>VLOOKUP(M993,'MASS - 2016'!$A$1:$G$3418,6,FALSE)</f>
        <v>-85212.778000000006</v>
      </c>
      <c r="F993">
        <f>VLOOKUP(M993,'MASS - 2016'!$A$1:$G$3418,7,FALSE)</f>
        <v>17.638000000000002</v>
      </c>
      <c r="G993">
        <f t="shared" si="81"/>
        <v>-85212.778000000006</v>
      </c>
      <c r="H993">
        <f t="shared" si="77"/>
        <v>99.908520320667932</v>
      </c>
      <c r="I993">
        <f t="shared" si="78"/>
        <v>93.064193321999994</v>
      </c>
      <c r="J993">
        <f t="shared" si="80"/>
        <v>93040.687321999998</v>
      </c>
      <c r="M993">
        <f t="shared" si="79"/>
        <v>54046</v>
      </c>
    </row>
    <row r="994" spans="1:13" x14ac:dyDescent="0.2">
      <c r="A994">
        <v>53</v>
      </c>
      <c r="B994">
        <v>47</v>
      </c>
      <c r="C994">
        <v>100</v>
      </c>
      <c r="D994" s="51" t="s">
        <v>45</v>
      </c>
      <c r="E994">
        <f>VLOOKUP(M994,'MASS - 2016'!$A$1:$G$3418,6,FALSE)</f>
        <v>-78137.959000000003</v>
      </c>
      <c r="F994">
        <f>VLOOKUP(M994,'MASS - 2016'!$A$1:$G$3418,7,FALSE)</f>
        <v>5</v>
      </c>
      <c r="G994">
        <f t="shared" si="81"/>
        <v>-78137.959000000003</v>
      </c>
      <c r="H994">
        <f t="shared" si="77"/>
        <v>99.91611545121809</v>
      </c>
      <c r="I994">
        <f t="shared" si="78"/>
        <v>93.07126814099999</v>
      </c>
      <c r="J994">
        <f t="shared" si="80"/>
        <v>93047.251140999986</v>
      </c>
      <c r="M994">
        <f t="shared" si="79"/>
        <v>53047</v>
      </c>
    </row>
    <row r="995" spans="1:13" x14ac:dyDescent="0.2">
      <c r="A995">
        <v>52</v>
      </c>
      <c r="B995">
        <v>48</v>
      </c>
      <c r="C995">
        <v>100</v>
      </c>
      <c r="D995" s="51" t="s">
        <v>46</v>
      </c>
      <c r="E995">
        <f>VLOOKUP(M995,'MASS - 2016'!$A$1:$G$3418,6,FALSE)</f>
        <v>-74194.596000000005</v>
      </c>
      <c r="F995">
        <f>VLOOKUP(M995,'MASS - 2016'!$A$1:$G$3418,7,FALSE)</f>
        <v>1.677</v>
      </c>
      <c r="G995">
        <f t="shared" si="81"/>
        <v>-74194.596000000005</v>
      </c>
      <c r="H995">
        <f t="shared" si="77"/>
        <v>99.920348825498309</v>
      </c>
      <c r="I995">
        <f t="shared" si="78"/>
        <v>93.075211503999995</v>
      </c>
      <c r="J995">
        <f t="shared" si="80"/>
        <v>93050.683503999986</v>
      </c>
      <c r="M995">
        <f t="shared" si="79"/>
        <v>52048</v>
      </c>
    </row>
    <row r="996" spans="1:13" x14ac:dyDescent="0.2">
      <c r="A996">
        <v>51</v>
      </c>
      <c r="B996">
        <v>49</v>
      </c>
      <c r="C996">
        <v>100</v>
      </c>
      <c r="D996" s="51" t="s">
        <v>47</v>
      </c>
      <c r="E996">
        <f>VLOOKUP(M996,'MASS - 2016'!$A$1:$G$3418,6,FALSE)</f>
        <v>-64312.972000000002</v>
      </c>
      <c r="F996">
        <f>VLOOKUP(M996,'MASS - 2016'!$A$1:$G$3418,7,FALSE)</f>
        <v>182.51900000000001</v>
      </c>
      <c r="G996">
        <f t="shared" si="81"/>
        <v>-64312.972000000002</v>
      </c>
      <c r="H996">
        <f t="shared" si="77"/>
        <v>99.930957185136577</v>
      </c>
      <c r="I996">
        <f t="shared" si="78"/>
        <v>93.085093127999997</v>
      </c>
      <c r="J996">
        <f t="shared" si="80"/>
        <v>93060.054127999989</v>
      </c>
      <c r="M996">
        <f t="shared" si="79"/>
        <v>51049</v>
      </c>
    </row>
    <row r="997" spans="1:13" x14ac:dyDescent="0.2">
      <c r="A997">
        <v>50</v>
      </c>
      <c r="B997">
        <v>50</v>
      </c>
      <c r="C997">
        <v>100</v>
      </c>
      <c r="D997" s="51" t="s">
        <v>48</v>
      </c>
      <c r="E997">
        <f>VLOOKUP(M997,'MASS - 2016'!$A$1:$G$3418,6,FALSE)</f>
        <v>-57282.972000000002</v>
      </c>
      <c r="F997">
        <f>VLOOKUP(M997,'MASS - 2016'!$A$1:$G$3418,7,FALSE)</f>
        <v>301.51799999999997</v>
      </c>
      <c r="G997">
        <f t="shared" si="81"/>
        <v>-57282.972000000002</v>
      </c>
      <c r="H997">
        <f t="shared" si="77"/>
        <v>99.938504200511488</v>
      </c>
      <c r="I997">
        <f t="shared" si="78"/>
        <v>93.092123127999997</v>
      </c>
      <c r="J997">
        <f t="shared" si="80"/>
        <v>93066.573127999989</v>
      </c>
      <c r="M997">
        <f t="shared" si="79"/>
        <v>50050</v>
      </c>
    </row>
    <row r="998" spans="1:13" x14ac:dyDescent="0.2">
      <c r="A998">
        <v>64</v>
      </c>
      <c r="B998">
        <v>37</v>
      </c>
      <c r="C998">
        <v>101</v>
      </c>
      <c r="D998" s="51" t="s">
        <v>35</v>
      </c>
      <c r="E998" t="str">
        <f>VLOOKUP(M998,'MASS - 2016'!$A$1:$G$3418,6,FALSE)</f>
        <v>-42845#</v>
      </c>
      <c r="F998" t="str">
        <f>VLOOKUP(M998,'MASS - 2016'!$A$1:$G$3418,7,FALSE)</f>
        <v>200#</v>
      </c>
      <c r="G998">
        <f t="shared" si="81"/>
        <v>-42845.01</v>
      </c>
      <c r="H998">
        <f t="shared" si="77"/>
        <v>100.95400399015534</v>
      </c>
      <c r="I998">
        <f t="shared" si="78"/>
        <v>94.038055151000009</v>
      </c>
      <c r="J998">
        <f t="shared" si="80"/>
        <v>94019.148151000001</v>
      </c>
      <c r="M998">
        <f t="shared" si="79"/>
        <v>64037</v>
      </c>
    </row>
    <row r="999" spans="1:13" x14ac:dyDescent="0.2">
      <c r="A999">
        <v>63</v>
      </c>
      <c r="B999">
        <v>38</v>
      </c>
      <c r="C999">
        <v>101</v>
      </c>
      <c r="D999" s="51" t="s">
        <v>36</v>
      </c>
      <c r="E999">
        <f>VLOOKUP(M999,'MASS - 2016'!$A$1:$G$3418,6,FALSE)</f>
        <v>-55324.906999999999</v>
      </c>
      <c r="F999">
        <f>VLOOKUP(M999,'MASS - 2016'!$A$1:$G$3418,7,FALSE)</f>
        <v>8.48</v>
      </c>
      <c r="G999">
        <f t="shared" si="81"/>
        <v>-55324.906999999999</v>
      </c>
      <c r="H999">
        <f t="shared" si="77"/>
        <v>100.94060626973767</v>
      </c>
      <c r="I999">
        <f t="shared" si="78"/>
        <v>94.025575254000003</v>
      </c>
      <c r="J999">
        <f t="shared" si="80"/>
        <v>94006.157254000005</v>
      </c>
      <c r="M999">
        <f t="shared" si="79"/>
        <v>63038</v>
      </c>
    </row>
    <row r="1000" spans="1:13" x14ac:dyDescent="0.2">
      <c r="A1000">
        <v>62</v>
      </c>
      <c r="B1000">
        <v>39</v>
      </c>
      <c r="C1000">
        <v>101</v>
      </c>
      <c r="D1000" s="51" t="s">
        <v>37</v>
      </c>
      <c r="E1000">
        <f>VLOOKUP(M1000,'MASS - 2016'!$A$1:$G$3418,6,FALSE)</f>
        <v>-65061.002</v>
      </c>
      <c r="F1000">
        <f>VLOOKUP(M1000,'MASS - 2016'!$A$1:$G$3418,7,FALSE)</f>
        <v>7.0919999999999996</v>
      </c>
      <c r="G1000">
        <f t="shared" si="81"/>
        <v>-65061.002</v>
      </c>
      <c r="H1000">
        <f t="shared" si="77"/>
        <v>100.93015414190602</v>
      </c>
      <c r="I1000">
        <f t="shared" si="78"/>
        <v>94.015839159000009</v>
      </c>
      <c r="J1000">
        <f t="shared" si="80"/>
        <v>93995.910159000006</v>
      </c>
      <c r="M1000">
        <f t="shared" si="79"/>
        <v>62039</v>
      </c>
    </row>
    <row r="1001" spans="1:13" x14ac:dyDescent="0.2">
      <c r="A1001">
        <v>61</v>
      </c>
      <c r="B1001">
        <v>40</v>
      </c>
      <c r="C1001">
        <v>101</v>
      </c>
      <c r="D1001" s="51" t="s">
        <v>38</v>
      </c>
      <c r="E1001">
        <f>VLOOKUP(M1001,'MASS - 2016'!$A$1:$G$3418,6,FALSE)</f>
        <v>-73165.956999999995</v>
      </c>
      <c r="F1001">
        <f>VLOOKUP(M1001,'MASS - 2016'!$A$1:$G$3418,7,FALSE)</f>
        <v>8.3390000000000004</v>
      </c>
      <c r="G1001">
        <f t="shared" si="81"/>
        <v>-73165.956999999995</v>
      </c>
      <c r="H1001">
        <f t="shared" si="77"/>
        <v>100.92145311487928</v>
      </c>
      <c r="I1001">
        <f t="shared" si="78"/>
        <v>94.007734204000002</v>
      </c>
      <c r="J1001">
        <f t="shared" si="80"/>
        <v>93987.294204000005</v>
      </c>
      <c r="M1001">
        <f t="shared" si="79"/>
        <v>61040</v>
      </c>
    </row>
    <row r="1002" spans="1:13" x14ac:dyDescent="0.2">
      <c r="A1002">
        <v>60</v>
      </c>
      <c r="B1002">
        <v>41</v>
      </c>
      <c r="C1002">
        <v>101</v>
      </c>
      <c r="D1002" s="51" t="s">
        <v>39</v>
      </c>
      <c r="E1002">
        <f>VLOOKUP(M1002,'MASS - 2016'!$A$1:$G$3418,6,FALSE)</f>
        <v>-78891.490999999995</v>
      </c>
      <c r="F1002">
        <f>VLOOKUP(M1002,'MASS - 2016'!$A$1:$G$3418,7,FALSE)</f>
        <v>3.7490000000000001</v>
      </c>
      <c r="G1002">
        <f t="shared" si="81"/>
        <v>-78891.490999999995</v>
      </c>
      <c r="H1002">
        <f t="shared" si="77"/>
        <v>100.91530650134763</v>
      </c>
      <c r="I1002">
        <f t="shared" si="78"/>
        <v>94.002008670000009</v>
      </c>
      <c r="J1002">
        <f t="shared" si="80"/>
        <v>93981.057670000009</v>
      </c>
      <c r="M1002">
        <f t="shared" si="79"/>
        <v>60041</v>
      </c>
    </row>
    <row r="1003" spans="1:13" x14ac:dyDescent="0.2">
      <c r="A1003">
        <v>59</v>
      </c>
      <c r="B1003">
        <v>42</v>
      </c>
      <c r="C1003">
        <v>101</v>
      </c>
      <c r="D1003" s="51" t="s">
        <v>40</v>
      </c>
      <c r="E1003">
        <f>VLOOKUP(M1003,'MASS - 2016'!$A$1:$G$3418,6,FALSE)</f>
        <v>-83519.948999999993</v>
      </c>
      <c r="F1003">
        <f>VLOOKUP(M1003,'MASS - 2016'!$A$1:$G$3418,7,FALSE)</f>
        <v>0.309</v>
      </c>
      <c r="G1003">
        <f t="shared" si="81"/>
        <v>-83519.948999999993</v>
      </c>
      <c r="H1003">
        <f t="shared" si="77"/>
        <v>100.91033764733794</v>
      </c>
      <c r="I1003">
        <f t="shared" si="78"/>
        <v>93.997380211999996</v>
      </c>
      <c r="J1003">
        <f t="shared" si="80"/>
        <v>93975.91821199999</v>
      </c>
      <c r="M1003">
        <f t="shared" si="79"/>
        <v>59042</v>
      </c>
    </row>
    <row r="1004" spans="1:13" x14ac:dyDescent="0.2">
      <c r="A1004">
        <v>58</v>
      </c>
      <c r="B1004">
        <v>43</v>
      </c>
      <c r="C1004">
        <v>101</v>
      </c>
      <c r="D1004" s="51" t="s">
        <v>41</v>
      </c>
      <c r="E1004">
        <f>VLOOKUP(M1004,'MASS - 2016'!$A$1:$G$3418,6,FALSE)</f>
        <v>-86344.593999999997</v>
      </c>
      <c r="F1004">
        <f>VLOOKUP(M1004,'MASS - 2016'!$A$1:$G$3418,7,FALSE)</f>
        <v>24.004000000000001</v>
      </c>
      <c r="G1004">
        <f t="shared" si="81"/>
        <v>-86344.593999999997</v>
      </c>
      <c r="H1004">
        <f t="shared" si="77"/>
        <v>100.90730526622221</v>
      </c>
      <c r="I1004">
        <f t="shared" si="78"/>
        <v>93.994555567000006</v>
      </c>
      <c r="J1004">
        <f t="shared" si="80"/>
        <v>93972.582567000005</v>
      </c>
      <c r="M1004">
        <f t="shared" si="79"/>
        <v>58043</v>
      </c>
    </row>
    <row r="1005" spans="1:13" x14ac:dyDescent="0.2">
      <c r="A1005">
        <v>57</v>
      </c>
      <c r="B1005">
        <v>44</v>
      </c>
      <c r="C1005">
        <v>101</v>
      </c>
      <c r="D1005" s="51" t="s">
        <v>42</v>
      </c>
      <c r="E1005">
        <f>VLOOKUP(M1005,'MASS - 2016'!$A$1:$G$3418,6,FALSE)</f>
        <v>-87958.114000000001</v>
      </c>
      <c r="F1005">
        <f>VLOOKUP(M1005,'MASS - 2016'!$A$1:$G$3418,7,FALSE)</f>
        <v>0.41499999999999998</v>
      </c>
      <c r="G1005">
        <f t="shared" si="81"/>
        <v>-87958.114000000001</v>
      </c>
      <c r="H1005">
        <f t="shared" si="77"/>
        <v>100.9055730812652</v>
      </c>
      <c r="I1005">
        <f t="shared" si="78"/>
        <v>93.992942047</v>
      </c>
      <c r="J1005">
        <f t="shared" si="80"/>
        <v>93970.458047000007</v>
      </c>
      <c r="M1005">
        <f t="shared" si="79"/>
        <v>57044</v>
      </c>
    </row>
    <row r="1006" spans="1:13" x14ac:dyDescent="0.2">
      <c r="A1006">
        <v>56</v>
      </c>
      <c r="B1006">
        <v>45</v>
      </c>
      <c r="C1006">
        <v>101</v>
      </c>
      <c r="D1006" s="51" t="s">
        <v>43</v>
      </c>
      <c r="E1006">
        <f>VLOOKUP(M1006,'MASS - 2016'!$A$1:$G$3418,6,FALSE)</f>
        <v>-87412.415999999997</v>
      </c>
      <c r="F1006">
        <f>VLOOKUP(M1006,'MASS - 2016'!$A$1:$G$3418,7,FALSE)</f>
        <v>5.8410000000000002</v>
      </c>
      <c r="G1006">
        <f t="shared" si="81"/>
        <v>-87412.415999999997</v>
      </c>
      <c r="H1006">
        <f t="shared" si="77"/>
        <v>100.90615891216079</v>
      </c>
      <c r="I1006">
        <f t="shared" si="78"/>
        <v>93.993487744999996</v>
      </c>
      <c r="J1006">
        <f t="shared" si="80"/>
        <v>93970.492744999996</v>
      </c>
      <c r="M1006">
        <f t="shared" si="79"/>
        <v>56045</v>
      </c>
    </row>
    <row r="1007" spans="1:13" x14ac:dyDescent="0.2">
      <c r="A1007">
        <v>55</v>
      </c>
      <c r="B1007">
        <v>46</v>
      </c>
      <c r="C1007">
        <v>101</v>
      </c>
      <c r="D1007" s="51" t="s">
        <v>44</v>
      </c>
      <c r="E1007">
        <f>VLOOKUP(M1007,'MASS - 2016'!$A$1:$G$3418,6,FALSE)</f>
        <v>-85432.131999999998</v>
      </c>
      <c r="F1007">
        <f>VLOOKUP(M1007,'MASS - 2016'!$A$1:$G$3418,7,FALSE)</f>
        <v>4.5880000000000001</v>
      </c>
      <c r="G1007">
        <f t="shared" si="81"/>
        <v>-85432.131999999998</v>
      </c>
      <c r="H1007">
        <f t="shared" si="77"/>
        <v>100.90828483446445</v>
      </c>
      <c r="I1007">
        <f t="shared" si="78"/>
        <v>93.995468029000008</v>
      </c>
      <c r="J1007">
        <f t="shared" si="80"/>
        <v>93971.962029000017</v>
      </c>
      <c r="M1007">
        <f t="shared" si="79"/>
        <v>55046</v>
      </c>
    </row>
    <row r="1008" spans="1:13" x14ac:dyDescent="0.2">
      <c r="A1008">
        <v>54</v>
      </c>
      <c r="B1008">
        <v>47</v>
      </c>
      <c r="C1008">
        <v>101</v>
      </c>
      <c r="D1008" s="51" t="s">
        <v>45</v>
      </c>
      <c r="E1008">
        <f>VLOOKUP(M1008,'MASS - 2016'!$A$1:$G$3418,6,FALSE)</f>
        <v>-81334.373999999996</v>
      </c>
      <c r="F1008">
        <f>VLOOKUP(M1008,'MASS - 2016'!$A$1:$G$3418,7,FALSE)</f>
        <v>4.8380000000000001</v>
      </c>
      <c r="G1008">
        <f t="shared" si="81"/>
        <v>-81334.373999999996</v>
      </c>
      <c r="H1008">
        <f t="shared" si="77"/>
        <v>100.9126839585937</v>
      </c>
      <c r="I1008">
        <f t="shared" si="78"/>
        <v>93.999565787000009</v>
      </c>
      <c r="J1008">
        <f t="shared" si="80"/>
        <v>93975.548787000007</v>
      </c>
      <c r="M1008">
        <f t="shared" si="79"/>
        <v>54047</v>
      </c>
    </row>
    <row r="1009" spans="1:13" x14ac:dyDescent="0.2">
      <c r="A1009">
        <v>53</v>
      </c>
      <c r="B1009">
        <v>48</v>
      </c>
      <c r="C1009">
        <v>101</v>
      </c>
      <c r="D1009" s="51" t="s">
        <v>46</v>
      </c>
      <c r="E1009">
        <f>VLOOKUP(M1009,'MASS - 2016'!$A$1:$G$3418,6,FALSE)</f>
        <v>-75836.456000000006</v>
      </c>
      <c r="F1009">
        <f>VLOOKUP(M1009,'MASS - 2016'!$A$1:$G$3418,7,FALSE)</f>
        <v>1.49</v>
      </c>
      <c r="G1009">
        <f t="shared" si="81"/>
        <v>-75836.456000000006</v>
      </c>
      <c r="H1009">
        <f t="shared" si="77"/>
        <v>100.9185862163001</v>
      </c>
      <c r="I1009">
        <f t="shared" si="78"/>
        <v>94.005063704999998</v>
      </c>
      <c r="J1009">
        <f t="shared" si="80"/>
        <v>93980.535704999988</v>
      </c>
      <c r="M1009">
        <f t="shared" si="79"/>
        <v>53048</v>
      </c>
    </row>
    <row r="1010" spans="1:13" x14ac:dyDescent="0.2">
      <c r="A1010">
        <v>52</v>
      </c>
      <c r="B1010">
        <v>49</v>
      </c>
      <c r="C1010">
        <v>101</v>
      </c>
      <c r="D1010" s="51" t="s">
        <v>47</v>
      </c>
      <c r="E1010" t="str">
        <f>VLOOKUP(M1010,'MASS - 2016'!$A$1:$G$3418,6,FALSE)</f>
        <v>-68614#</v>
      </c>
      <c r="F1010" t="str">
        <f>VLOOKUP(M1010,'MASS - 2016'!$A$1:$G$3418,7,FALSE)</f>
        <v>196#</v>
      </c>
      <c r="G1010">
        <f t="shared" si="81"/>
        <v>-68614.009999999995</v>
      </c>
      <c r="H1010">
        <f t="shared" si="77"/>
        <v>100.9263398309525</v>
      </c>
      <c r="I1010">
        <f t="shared" si="78"/>
        <v>94.012286150999998</v>
      </c>
      <c r="J1010">
        <f t="shared" si="80"/>
        <v>93987.247150999989</v>
      </c>
      <c r="M1010">
        <f t="shared" si="79"/>
        <v>52049</v>
      </c>
    </row>
    <row r="1011" spans="1:13" x14ac:dyDescent="0.2">
      <c r="A1011">
        <v>51</v>
      </c>
      <c r="B1011">
        <v>50</v>
      </c>
      <c r="C1011">
        <v>101</v>
      </c>
      <c r="D1011" s="51" t="s">
        <v>48</v>
      </c>
      <c r="E1011">
        <f>VLOOKUP(M1011,'MASS - 2016'!$A$1:$G$3418,6,FALSE)</f>
        <v>-60305.625999999997</v>
      </c>
      <c r="F1011">
        <f>VLOOKUP(M1011,'MASS - 2016'!$A$1:$G$3418,7,FALSE)</f>
        <v>300.005</v>
      </c>
      <c r="G1011">
        <f t="shared" si="81"/>
        <v>-60305.625999999997</v>
      </c>
      <c r="H1011">
        <f t="shared" si="77"/>
        <v>100.93525924799214</v>
      </c>
      <c r="I1011">
        <f t="shared" si="78"/>
        <v>94.020594535000001</v>
      </c>
      <c r="J1011">
        <f t="shared" si="80"/>
        <v>93995.044534999994</v>
      </c>
      <c r="M1011">
        <f t="shared" si="79"/>
        <v>51050</v>
      </c>
    </row>
    <row r="1012" spans="1:13" x14ac:dyDescent="0.2">
      <c r="A1012">
        <v>65</v>
      </c>
      <c r="B1012">
        <v>37</v>
      </c>
      <c r="C1012">
        <v>102</v>
      </c>
      <c r="D1012" s="51" t="s">
        <v>35</v>
      </c>
      <c r="E1012" t="str">
        <f>VLOOKUP(M1012,'MASS - 2016'!$A$1:$G$3418,6,FALSE)</f>
        <v>-37707#</v>
      </c>
      <c r="F1012" t="str">
        <f>VLOOKUP(M1012,'MASS - 2016'!$A$1:$G$3418,7,FALSE)</f>
        <v>298#</v>
      </c>
      <c r="G1012">
        <f t="shared" si="81"/>
        <v>-37707.01</v>
      </c>
      <c r="H1012">
        <f t="shared" si="77"/>
        <v>101.95951985999832</v>
      </c>
      <c r="I1012">
        <f t="shared" si="78"/>
        <v>94.974687211999992</v>
      </c>
      <c r="J1012">
        <f t="shared" si="80"/>
        <v>94955.780211999983</v>
      </c>
      <c r="M1012">
        <f t="shared" si="79"/>
        <v>65037</v>
      </c>
    </row>
    <row r="1013" spans="1:13" x14ac:dyDescent="0.2">
      <c r="A1013">
        <v>64</v>
      </c>
      <c r="B1013">
        <v>38</v>
      </c>
      <c r="C1013">
        <v>102</v>
      </c>
      <c r="D1013" s="51" t="s">
        <v>36</v>
      </c>
      <c r="E1013">
        <f>VLOOKUP(M1013,'MASS - 2016'!$A$1:$G$3418,6,FALSE)</f>
        <v>-52159.303999999996</v>
      </c>
      <c r="F1013">
        <f>VLOOKUP(M1013,'MASS - 2016'!$A$1:$G$3418,7,FALSE)</f>
        <v>67.067999999999998</v>
      </c>
      <c r="G1013">
        <f t="shared" si="81"/>
        <v>-52159.303999999996</v>
      </c>
      <c r="H1013">
        <f t="shared" si="77"/>
        <v>101.94400468431972</v>
      </c>
      <c r="I1013">
        <f t="shared" si="78"/>
        <v>94.960234917999998</v>
      </c>
      <c r="J1013">
        <f t="shared" si="80"/>
        <v>94940.816917999997</v>
      </c>
      <c r="M1013">
        <f t="shared" si="79"/>
        <v>64038</v>
      </c>
    </row>
    <row r="1014" spans="1:13" x14ac:dyDescent="0.2">
      <c r="A1014">
        <v>63</v>
      </c>
      <c r="B1014">
        <v>39</v>
      </c>
      <c r="C1014">
        <v>102</v>
      </c>
      <c r="D1014" s="51" t="s">
        <v>37</v>
      </c>
      <c r="E1014">
        <f>VLOOKUP(M1014,'MASS - 2016'!$A$1:$G$3418,6,FALSE)</f>
        <v>-61173.177000000003</v>
      </c>
      <c r="F1014">
        <f>VLOOKUP(M1014,'MASS - 2016'!$A$1:$G$3418,7,FALSE)</f>
        <v>4.077</v>
      </c>
      <c r="G1014">
        <f t="shared" si="81"/>
        <v>-61173.177000000003</v>
      </c>
      <c r="H1014">
        <f t="shared" si="77"/>
        <v>101.9343278936912</v>
      </c>
      <c r="I1014">
        <f t="shared" si="78"/>
        <v>94.951221044999997</v>
      </c>
      <c r="J1014">
        <f t="shared" si="80"/>
        <v>94931.292044999995</v>
      </c>
      <c r="M1014">
        <f t="shared" si="79"/>
        <v>63039</v>
      </c>
    </row>
    <row r="1015" spans="1:13" x14ac:dyDescent="0.2">
      <c r="A1015">
        <v>62</v>
      </c>
      <c r="B1015">
        <v>40</v>
      </c>
      <c r="C1015">
        <v>102</v>
      </c>
      <c r="D1015" s="51" t="s">
        <v>38</v>
      </c>
      <c r="E1015">
        <f>VLOOKUP(M1015,'MASS - 2016'!$A$1:$G$3418,6,FALSE)</f>
        <v>-71587.706999999995</v>
      </c>
      <c r="F1015">
        <f>VLOOKUP(M1015,'MASS - 2016'!$A$1:$G$3418,7,FALSE)</f>
        <v>8.7669999999999995</v>
      </c>
      <c r="G1015">
        <f t="shared" si="81"/>
        <v>-71587.706999999995</v>
      </c>
      <c r="H1015">
        <f t="shared" si="77"/>
        <v>101.9231474359341</v>
      </c>
      <c r="I1015">
        <f t="shared" si="78"/>
        <v>94.940806514999991</v>
      </c>
      <c r="J1015">
        <f t="shared" si="80"/>
        <v>94920.366514999987</v>
      </c>
      <c r="M1015">
        <f t="shared" si="79"/>
        <v>62040</v>
      </c>
    </row>
    <row r="1016" spans="1:13" x14ac:dyDescent="0.2">
      <c r="A1016">
        <v>61</v>
      </c>
      <c r="B1016">
        <v>41</v>
      </c>
      <c r="C1016">
        <v>102</v>
      </c>
      <c r="D1016" s="51" t="s">
        <v>39</v>
      </c>
      <c r="E1016">
        <f>VLOOKUP(M1016,'MASS - 2016'!$A$1:$G$3418,6,FALSE)</f>
        <v>-76304.543999999994</v>
      </c>
      <c r="F1016">
        <f>VLOOKUP(M1016,'MASS - 2016'!$A$1:$G$3418,7,FALSE)</f>
        <v>2.5449999999999999</v>
      </c>
      <c r="G1016">
        <f t="shared" si="81"/>
        <v>-76304.543999999994</v>
      </c>
      <c r="H1016">
        <f t="shared" si="77"/>
        <v>101.91808370316599</v>
      </c>
      <c r="I1016">
        <f t="shared" si="78"/>
        <v>94.936089678000002</v>
      </c>
      <c r="J1016">
        <f t="shared" si="80"/>
        <v>94915.138678000003</v>
      </c>
      <c r="M1016">
        <f t="shared" si="79"/>
        <v>61041</v>
      </c>
    </row>
    <row r="1017" spans="1:13" x14ac:dyDescent="0.2">
      <c r="A1017">
        <v>60</v>
      </c>
      <c r="B1017">
        <v>42</v>
      </c>
      <c r="C1017">
        <v>102</v>
      </c>
      <c r="D1017" s="51" t="s">
        <v>40</v>
      </c>
      <c r="E1017">
        <f>VLOOKUP(M1017,'MASS - 2016'!$A$1:$G$3418,6,FALSE)</f>
        <v>-83566.061000000002</v>
      </c>
      <c r="F1017">
        <f>VLOOKUP(M1017,'MASS - 2016'!$A$1:$G$3418,7,FALSE)</f>
        <v>8.3119999999999994</v>
      </c>
      <c r="G1017">
        <f t="shared" si="81"/>
        <v>-83566.061000000002</v>
      </c>
      <c r="H1017">
        <f t="shared" si="77"/>
        <v>101.91028814407009</v>
      </c>
      <c r="I1017">
        <f t="shared" si="78"/>
        <v>94.928828160999998</v>
      </c>
      <c r="J1017">
        <f t="shared" si="80"/>
        <v>94907.366160999998</v>
      </c>
      <c r="M1017">
        <f t="shared" si="79"/>
        <v>60042</v>
      </c>
    </row>
    <row r="1018" spans="1:13" x14ac:dyDescent="0.2">
      <c r="A1018">
        <v>59</v>
      </c>
      <c r="B1018">
        <v>43</v>
      </c>
      <c r="C1018">
        <v>102</v>
      </c>
      <c r="D1018" s="51" t="s">
        <v>41</v>
      </c>
      <c r="E1018">
        <f>VLOOKUP(M1018,'MASS - 2016'!$A$1:$G$3418,6,FALSE)</f>
        <v>-84572.877999999997</v>
      </c>
      <c r="F1018">
        <f>VLOOKUP(M1018,'MASS - 2016'!$A$1:$G$3418,7,FALSE)</f>
        <v>9.1660000000000004</v>
      </c>
      <c r="G1018">
        <f t="shared" si="81"/>
        <v>-84572.877999999997</v>
      </c>
      <c r="H1018">
        <f t="shared" si="77"/>
        <v>101.90920728156955</v>
      </c>
      <c r="I1018">
        <f t="shared" si="78"/>
        <v>94.927821343999994</v>
      </c>
      <c r="J1018">
        <f t="shared" si="80"/>
        <v>94905.848343999998</v>
      </c>
      <c r="M1018">
        <f t="shared" si="79"/>
        <v>59043</v>
      </c>
    </row>
    <row r="1019" spans="1:13" x14ac:dyDescent="0.2">
      <c r="A1019">
        <v>58</v>
      </c>
      <c r="B1019">
        <v>44</v>
      </c>
      <c r="C1019">
        <v>102</v>
      </c>
      <c r="D1019" s="51" t="s">
        <v>42</v>
      </c>
      <c r="E1019">
        <f>VLOOKUP(M1019,'MASS - 2016'!$A$1:$G$3418,6,FALSE)</f>
        <v>-89106.437000000005</v>
      </c>
      <c r="F1019">
        <f>VLOOKUP(M1019,'MASS - 2016'!$A$1:$G$3418,7,FALSE)</f>
        <v>0.41799999999999998</v>
      </c>
      <c r="G1019">
        <f t="shared" si="81"/>
        <v>-89106.437000000005</v>
      </c>
      <c r="H1019">
        <f t="shared" si="77"/>
        <v>101.90434030582617</v>
      </c>
      <c r="I1019">
        <f t="shared" si="78"/>
        <v>94.923287784999999</v>
      </c>
      <c r="J1019">
        <f t="shared" si="80"/>
        <v>94900.803784999996</v>
      </c>
      <c r="M1019">
        <f t="shared" si="79"/>
        <v>58044</v>
      </c>
    </row>
    <row r="1020" spans="1:13" x14ac:dyDescent="0.2">
      <c r="A1020">
        <v>57</v>
      </c>
      <c r="B1020">
        <v>45</v>
      </c>
      <c r="C1020">
        <v>102</v>
      </c>
      <c r="D1020" s="51" t="s">
        <v>43</v>
      </c>
      <c r="E1020">
        <f>VLOOKUP(M1020,'MASS - 2016'!$A$1:$G$3418,6,FALSE)</f>
        <v>-86783.317999999999</v>
      </c>
      <c r="F1020">
        <f>VLOOKUP(M1020,'MASS - 2016'!$A$1:$G$3418,7,FALSE)</f>
        <v>6.41</v>
      </c>
      <c r="G1020">
        <f t="shared" si="81"/>
        <v>-86783.317999999999</v>
      </c>
      <c r="H1020">
        <f t="shared" si="77"/>
        <v>101.90683427663851</v>
      </c>
      <c r="I1020">
        <f t="shared" si="78"/>
        <v>94.925610903999996</v>
      </c>
      <c r="J1020">
        <f t="shared" si="80"/>
        <v>94902.615904000006</v>
      </c>
      <c r="M1020">
        <f t="shared" si="79"/>
        <v>57045</v>
      </c>
    </row>
    <row r="1021" spans="1:13" x14ac:dyDescent="0.2">
      <c r="A1021">
        <v>56</v>
      </c>
      <c r="B1021">
        <v>46</v>
      </c>
      <c r="C1021">
        <v>102</v>
      </c>
      <c r="D1021" s="51" t="s">
        <v>44</v>
      </c>
      <c r="E1021">
        <f>VLOOKUP(M1021,'MASS - 2016'!$A$1:$G$3418,6,FALSE)</f>
        <v>-87903.171000000002</v>
      </c>
      <c r="F1021">
        <f>VLOOKUP(M1021,'MASS - 2016'!$A$1:$G$3418,7,FALSE)</f>
        <v>0.55400000000000005</v>
      </c>
      <c r="G1021">
        <f t="shared" si="81"/>
        <v>-87903.171000000002</v>
      </c>
      <c r="H1021">
        <f t="shared" si="77"/>
        <v>101.90563206500144</v>
      </c>
      <c r="I1021">
        <f t="shared" si="78"/>
        <v>94.924491051000004</v>
      </c>
      <c r="J1021">
        <f t="shared" si="80"/>
        <v>94900.985051000011</v>
      </c>
      <c r="M1021">
        <f t="shared" si="79"/>
        <v>56046</v>
      </c>
    </row>
    <row r="1022" spans="1:13" x14ac:dyDescent="0.2">
      <c r="A1022">
        <v>55</v>
      </c>
      <c r="B1022">
        <v>47</v>
      </c>
      <c r="C1022">
        <v>102</v>
      </c>
      <c r="D1022" s="51" t="s">
        <v>45</v>
      </c>
      <c r="E1022">
        <f>VLOOKUP(M1022,'MASS - 2016'!$A$1:$G$3418,6,FALSE)</f>
        <v>-82246.691000000006</v>
      </c>
      <c r="F1022">
        <f>VLOOKUP(M1022,'MASS - 2016'!$A$1:$G$3418,7,FALSE)</f>
        <v>8.1709999999999994</v>
      </c>
      <c r="G1022">
        <f t="shared" si="81"/>
        <v>-82246.691000000006</v>
      </c>
      <c r="H1022">
        <f t="shared" si="77"/>
        <v>101.91170454601536</v>
      </c>
      <c r="I1022">
        <f t="shared" si="78"/>
        <v>94.930147531000003</v>
      </c>
      <c r="J1022">
        <f t="shared" si="80"/>
        <v>94906.130531000003</v>
      </c>
      <c r="M1022">
        <f t="shared" si="79"/>
        <v>55047</v>
      </c>
    </row>
    <row r="1023" spans="1:13" x14ac:dyDescent="0.2">
      <c r="A1023">
        <v>54</v>
      </c>
      <c r="B1023">
        <v>48</v>
      </c>
      <c r="C1023">
        <v>102</v>
      </c>
      <c r="D1023" s="51" t="s">
        <v>46</v>
      </c>
      <c r="E1023">
        <f>VLOOKUP(M1023,'MASS - 2016'!$A$1:$G$3418,6,FALSE)</f>
        <v>-79659.691000000006</v>
      </c>
      <c r="F1023">
        <f>VLOOKUP(M1023,'MASS - 2016'!$A$1:$G$3418,7,FALSE)</f>
        <v>1.6619999999999999</v>
      </c>
      <c r="G1023">
        <f t="shared" si="81"/>
        <v>-79659.691000000006</v>
      </c>
      <c r="H1023">
        <f t="shared" si="77"/>
        <v>101.91448180473155</v>
      </c>
      <c r="I1023">
        <f t="shared" si="78"/>
        <v>94.932734530999994</v>
      </c>
      <c r="J1023">
        <f t="shared" si="80"/>
        <v>94908.206530999989</v>
      </c>
      <c r="M1023">
        <f t="shared" si="79"/>
        <v>54048</v>
      </c>
    </row>
    <row r="1024" spans="1:13" x14ac:dyDescent="0.2">
      <c r="A1024">
        <v>53</v>
      </c>
      <c r="B1024">
        <v>49</v>
      </c>
      <c r="C1024">
        <v>102</v>
      </c>
      <c r="D1024" s="51" t="s">
        <v>47</v>
      </c>
      <c r="E1024">
        <f>VLOOKUP(M1024,'MASS - 2016'!$A$1:$G$3418,6,FALSE)</f>
        <v>-70694.884000000005</v>
      </c>
      <c r="F1024">
        <f>VLOOKUP(M1024,'MASS - 2016'!$A$1:$G$3418,7,FALSE)</f>
        <v>4.5730000000000004</v>
      </c>
      <c r="G1024">
        <f t="shared" si="81"/>
        <v>-70694.884000000005</v>
      </c>
      <c r="H1024">
        <f t="shared" si="77"/>
        <v>101.92410592084279</v>
      </c>
      <c r="I1024">
        <f t="shared" si="78"/>
        <v>94.941699337999992</v>
      </c>
      <c r="J1024">
        <f t="shared" si="80"/>
        <v>94916.660337999987</v>
      </c>
      <c r="M1024">
        <f t="shared" si="79"/>
        <v>53049</v>
      </c>
    </row>
    <row r="1025" spans="1:13" x14ac:dyDescent="0.2">
      <c r="A1025">
        <v>52</v>
      </c>
      <c r="B1025">
        <v>50</v>
      </c>
      <c r="C1025">
        <v>102</v>
      </c>
      <c r="D1025" s="51" t="s">
        <v>48</v>
      </c>
      <c r="E1025">
        <f>VLOOKUP(M1025,'MASS - 2016'!$A$1:$G$3418,6,FALSE)</f>
        <v>-64934.883999999998</v>
      </c>
      <c r="F1025">
        <f>VLOOKUP(M1025,'MASS - 2016'!$A$1:$G$3418,7,FALSE)</f>
        <v>100.105</v>
      </c>
      <c r="G1025">
        <f t="shared" si="81"/>
        <v>-64934.883999999998</v>
      </c>
      <c r="H1025">
        <f t="shared" si="77"/>
        <v>101.93028953514712</v>
      </c>
      <c r="I1025">
        <f t="shared" si="78"/>
        <v>94.947459338000002</v>
      </c>
      <c r="J1025">
        <f t="shared" si="80"/>
        <v>94921.909337999998</v>
      </c>
      <c r="M1025">
        <f t="shared" si="79"/>
        <v>52050</v>
      </c>
    </row>
    <row r="1026" spans="1:13" x14ac:dyDescent="0.2">
      <c r="A1026">
        <v>65</v>
      </c>
      <c r="B1026">
        <v>38</v>
      </c>
      <c r="C1026">
        <v>103</v>
      </c>
      <c r="D1026" s="51" t="s">
        <v>36</v>
      </c>
      <c r="E1026" t="str">
        <f>VLOOKUP(M1026,'MASS - 2016'!$A$1:$G$3418,6,FALSE)</f>
        <v>-47422#</v>
      </c>
      <c r="F1026" t="str">
        <f>VLOOKUP(M1026,'MASS - 2016'!$A$1:$G$3418,7,FALSE)</f>
        <v>196#</v>
      </c>
      <c r="G1026">
        <f t="shared" si="81"/>
        <v>-47422.01</v>
      </c>
      <c r="H1026">
        <f t="shared" si="77"/>
        <v>102.94909037858051</v>
      </c>
      <c r="I1026">
        <f t="shared" si="78"/>
        <v>95.896466272999987</v>
      </c>
      <c r="J1026">
        <f t="shared" si="80"/>
        <v>95877.048272999979</v>
      </c>
      <c r="M1026">
        <f t="shared" si="79"/>
        <v>65038</v>
      </c>
    </row>
    <row r="1027" spans="1:13" x14ac:dyDescent="0.2">
      <c r="A1027">
        <v>64</v>
      </c>
      <c r="B1027">
        <v>39</v>
      </c>
      <c r="C1027">
        <v>103</v>
      </c>
      <c r="D1027" s="51" t="s">
        <v>37</v>
      </c>
      <c r="E1027">
        <f>VLOOKUP(M1027,'MASS - 2016'!$A$1:$G$3418,6,FALSE)</f>
        <v>-58457.574999999997</v>
      </c>
      <c r="F1027">
        <f>VLOOKUP(M1027,'MASS - 2016'!$A$1:$G$3418,7,FALSE)</f>
        <v>11.204000000000001</v>
      </c>
      <c r="G1027">
        <f t="shared" si="81"/>
        <v>-58457.574999999997</v>
      </c>
      <c r="H1027">
        <f t="shared" si="77"/>
        <v>102.93724321233218</v>
      </c>
      <c r="I1027">
        <f t="shared" si="78"/>
        <v>95.885430707999987</v>
      </c>
      <c r="J1027">
        <f t="shared" si="80"/>
        <v>95865.501707999982</v>
      </c>
      <c r="M1027">
        <f t="shared" si="79"/>
        <v>64039</v>
      </c>
    </row>
    <row r="1028" spans="1:13" x14ac:dyDescent="0.2">
      <c r="A1028">
        <v>63</v>
      </c>
      <c r="B1028">
        <v>40</v>
      </c>
      <c r="C1028">
        <v>103</v>
      </c>
      <c r="D1028" s="51" t="s">
        <v>38</v>
      </c>
      <c r="E1028">
        <f>VLOOKUP(M1028,'MASS - 2016'!$A$1:$G$3418,6,FALSE)</f>
        <v>-67815.334000000003</v>
      </c>
      <c r="F1028">
        <f>VLOOKUP(M1028,'MASS - 2016'!$A$1:$G$3418,7,FALSE)</f>
        <v>9.2319999999999993</v>
      </c>
      <c r="G1028">
        <f t="shared" si="81"/>
        <v>-67815.334000000003</v>
      </c>
      <c r="H1028">
        <f t="shared" si="77"/>
        <v>102.92719724490009</v>
      </c>
      <c r="I1028">
        <f t="shared" si="78"/>
        <v>95.87607294899999</v>
      </c>
      <c r="J1028">
        <f t="shared" si="80"/>
        <v>95855.632948999992</v>
      </c>
      <c r="M1028">
        <f t="shared" si="79"/>
        <v>63040</v>
      </c>
    </row>
    <row r="1029" spans="1:13" x14ac:dyDescent="0.2">
      <c r="A1029">
        <v>62</v>
      </c>
      <c r="B1029">
        <v>41</v>
      </c>
      <c r="C1029">
        <v>103</v>
      </c>
      <c r="D1029" s="51" t="s">
        <v>39</v>
      </c>
      <c r="E1029">
        <f>VLOOKUP(M1029,'MASS - 2016'!$A$1:$G$3418,6,FALSE)</f>
        <v>-75028.671000000002</v>
      </c>
      <c r="F1029">
        <f>VLOOKUP(M1029,'MASS - 2016'!$A$1:$G$3418,7,FALSE)</f>
        <v>3.9350000000000001</v>
      </c>
      <c r="G1029">
        <f t="shared" si="81"/>
        <v>-75028.671000000002</v>
      </c>
      <c r="H1029">
        <f t="shared" si="77"/>
        <v>102.91945340916135</v>
      </c>
      <c r="I1029">
        <f t="shared" si="78"/>
        <v>95.868859611999994</v>
      </c>
      <c r="J1029">
        <f t="shared" si="80"/>
        <v>95847.908611999999</v>
      </c>
      <c r="M1029">
        <f t="shared" si="79"/>
        <v>62041</v>
      </c>
    </row>
    <row r="1030" spans="1:13" x14ac:dyDescent="0.2">
      <c r="A1030">
        <v>61</v>
      </c>
      <c r="B1030">
        <v>42</v>
      </c>
      <c r="C1030">
        <v>103</v>
      </c>
      <c r="D1030" s="51" t="s">
        <v>40</v>
      </c>
      <c r="E1030">
        <f>VLOOKUP(M1030,'MASS - 2016'!$A$1:$G$3418,6,FALSE)</f>
        <v>-80960.67</v>
      </c>
      <c r="F1030">
        <f>VLOOKUP(M1030,'MASS - 2016'!$A$1:$G$3418,7,FALSE)</f>
        <v>9.2319999999999993</v>
      </c>
      <c r="G1030">
        <f t="shared" si="81"/>
        <v>-80960.67</v>
      </c>
      <c r="H1030">
        <f t="shared" si="77"/>
        <v>102.91308514633675</v>
      </c>
      <c r="I1030">
        <f t="shared" si="78"/>
        <v>95.862927612999997</v>
      </c>
      <c r="J1030">
        <f t="shared" si="80"/>
        <v>95841.465612999993</v>
      </c>
      <c r="M1030">
        <f t="shared" si="79"/>
        <v>61042</v>
      </c>
    </row>
    <row r="1031" spans="1:13" x14ac:dyDescent="0.2">
      <c r="A1031">
        <v>60</v>
      </c>
      <c r="B1031">
        <v>43</v>
      </c>
      <c r="C1031">
        <v>103</v>
      </c>
      <c r="D1031" s="51" t="s">
        <v>41</v>
      </c>
      <c r="E1031">
        <f>VLOOKUP(M1031,'MASS - 2016'!$A$1:$G$3418,6,FALSE)</f>
        <v>-84603.866999999998</v>
      </c>
      <c r="F1031">
        <f>VLOOKUP(M1031,'MASS - 2016'!$A$1:$G$3418,7,FALSE)</f>
        <v>9.81</v>
      </c>
      <c r="G1031">
        <f t="shared" si="81"/>
        <v>-84603.866999999998</v>
      </c>
      <c r="H1031">
        <f t="shared" si="77"/>
        <v>102.90917401350988</v>
      </c>
      <c r="I1031">
        <f t="shared" si="78"/>
        <v>95.859284415999994</v>
      </c>
      <c r="J1031">
        <f t="shared" si="80"/>
        <v>95837.311415999997</v>
      </c>
      <c r="M1031">
        <f t="shared" si="79"/>
        <v>60043</v>
      </c>
    </row>
    <row r="1032" spans="1:13" x14ac:dyDescent="0.2">
      <c r="A1032">
        <v>59</v>
      </c>
      <c r="B1032">
        <v>44</v>
      </c>
      <c r="C1032">
        <v>103</v>
      </c>
      <c r="D1032" s="51" t="s">
        <v>42</v>
      </c>
      <c r="E1032">
        <f>VLOOKUP(M1032,'MASS - 2016'!$A$1:$G$3418,6,FALSE)</f>
        <v>-87267.171000000002</v>
      </c>
      <c r="F1032">
        <f>VLOOKUP(M1032,'MASS - 2016'!$A$1:$G$3418,7,FALSE)</f>
        <v>0.443</v>
      </c>
      <c r="G1032">
        <f t="shared" si="81"/>
        <v>-87267.171000000002</v>
      </c>
      <c r="H1032">
        <f t="shared" si="77"/>
        <v>102.90631483908086</v>
      </c>
      <c r="I1032">
        <f t="shared" si="78"/>
        <v>95.856621111999999</v>
      </c>
      <c r="J1032">
        <f t="shared" si="80"/>
        <v>95834.137111999997</v>
      </c>
      <c r="M1032">
        <f t="shared" si="79"/>
        <v>59044</v>
      </c>
    </row>
    <row r="1033" spans="1:13" x14ac:dyDescent="0.2">
      <c r="A1033">
        <v>58</v>
      </c>
      <c r="B1033">
        <v>45</v>
      </c>
      <c r="C1033">
        <v>103</v>
      </c>
      <c r="D1033" s="51" t="s">
        <v>43</v>
      </c>
      <c r="E1033">
        <f>VLOOKUP(M1033,'MASS - 2016'!$A$1:$G$3418,6,FALSE)</f>
        <v>-88031.707999999999</v>
      </c>
      <c r="F1033">
        <f>VLOOKUP(M1033,'MASS - 2016'!$A$1:$G$3418,7,FALSE)</f>
        <v>2.3010000000000002</v>
      </c>
      <c r="G1033">
        <f t="shared" si="81"/>
        <v>-88031.707999999999</v>
      </c>
      <c r="H1033">
        <f t="shared" ref="H1033:H1096" si="82">(C1033*$A$3+G1033/1000000)/$A$3</f>
        <v>102.905494074857</v>
      </c>
      <c r="I1033">
        <f t="shared" ref="I1033:I1096" si="83">H1033*$A$3</f>
        <v>95.85585657499999</v>
      </c>
      <c r="J1033">
        <f t="shared" si="80"/>
        <v>95832.861574999988</v>
      </c>
      <c r="M1033">
        <f t="shared" ref="M1033:M1096" si="84">1000*A1033+B1033</f>
        <v>58045</v>
      </c>
    </row>
    <row r="1034" spans="1:13" x14ac:dyDescent="0.2">
      <c r="A1034">
        <v>57</v>
      </c>
      <c r="B1034">
        <v>46</v>
      </c>
      <c r="C1034">
        <v>103</v>
      </c>
      <c r="D1034" s="51" t="s">
        <v>44</v>
      </c>
      <c r="E1034">
        <f>VLOOKUP(M1034,'MASS - 2016'!$A$1:$G$3418,6,FALSE)</f>
        <v>-87457.188999999998</v>
      </c>
      <c r="F1034">
        <f>VLOOKUP(M1034,'MASS - 2016'!$A$1:$G$3418,7,FALSE)</f>
        <v>0.95</v>
      </c>
      <c r="G1034">
        <f t="shared" si="81"/>
        <v>-87457.188999999998</v>
      </c>
      <c r="H1034">
        <f t="shared" si="82"/>
        <v>102.90611084636855</v>
      </c>
      <c r="I1034">
        <f t="shared" si="83"/>
        <v>95.856431093999987</v>
      </c>
      <c r="J1034">
        <f t="shared" si="80"/>
        <v>95832.925093999991</v>
      </c>
      <c r="M1034">
        <f t="shared" si="84"/>
        <v>57046</v>
      </c>
    </row>
    <row r="1035" spans="1:13" x14ac:dyDescent="0.2">
      <c r="A1035">
        <v>56</v>
      </c>
      <c r="B1035">
        <v>47</v>
      </c>
      <c r="C1035">
        <v>103</v>
      </c>
      <c r="D1035" s="51" t="s">
        <v>45</v>
      </c>
      <c r="E1035">
        <f>VLOOKUP(M1035,'MASS - 2016'!$A$1:$G$3418,6,FALSE)</f>
        <v>-84802.691999999995</v>
      </c>
      <c r="F1035">
        <f>VLOOKUP(M1035,'MASS - 2016'!$A$1:$G$3418,7,FALSE)</f>
        <v>4.0990000000000002</v>
      </c>
      <c r="G1035">
        <f t="shared" si="81"/>
        <v>-84802.691999999995</v>
      </c>
      <c r="H1035">
        <f t="shared" si="82"/>
        <v>102.90896056609425</v>
      </c>
      <c r="I1035">
        <f t="shared" si="83"/>
        <v>95.859085590999996</v>
      </c>
      <c r="J1035">
        <f t="shared" si="80"/>
        <v>95835.068590999988</v>
      </c>
      <c r="M1035">
        <f t="shared" si="84"/>
        <v>56047</v>
      </c>
    </row>
    <row r="1036" spans="1:13" x14ac:dyDescent="0.2">
      <c r="A1036">
        <v>55</v>
      </c>
      <c r="B1036">
        <v>48</v>
      </c>
      <c r="C1036">
        <v>103</v>
      </c>
      <c r="D1036" s="51" t="s">
        <v>46</v>
      </c>
      <c r="E1036">
        <f>VLOOKUP(M1036,'MASS - 2016'!$A$1:$G$3418,6,FALSE)</f>
        <v>-80651.615999999995</v>
      </c>
      <c r="F1036">
        <f>VLOOKUP(M1036,'MASS - 2016'!$A$1:$G$3418,7,FALSE)</f>
        <v>1.8109999999999999</v>
      </c>
      <c r="G1036">
        <f t="shared" si="81"/>
        <v>-80651.615999999995</v>
      </c>
      <c r="H1036">
        <f t="shared" si="82"/>
        <v>102.91341692945051</v>
      </c>
      <c r="I1036">
        <f t="shared" si="83"/>
        <v>95.863236666999995</v>
      </c>
      <c r="J1036">
        <f t="shared" ref="J1036:J1099" si="85">1000*I1036-B1036*0.511</f>
        <v>95838.708666999984</v>
      </c>
      <c r="M1036">
        <f t="shared" si="84"/>
        <v>55048</v>
      </c>
    </row>
    <row r="1037" spans="1:13" x14ac:dyDescent="0.2">
      <c r="A1037">
        <v>54</v>
      </c>
      <c r="B1037">
        <v>49</v>
      </c>
      <c r="C1037">
        <v>103</v>
      </c>
      <c r="D1037" s="51" t="s">
        <v>47</v>
      </c>
      <c r="E1037">
        <f>VLOOKUP(M1037,'MASS - 2016'!$A$1:$G$3418,6,FALSE)</f>
        <v>-74632.591</v>
      </c>
      <c r="F1037">
        <f>VLOOKUP(M1037,'MASS - 2016'!$A$1:$G$3418,7,FALSE)</f>
        <v>9.625</v>
      </c>
      <c r="G1037">
        <f t="shared" si="81"/>
        <v>-74632.591</v>
      </c>
      <c r="H1037">
        <f t="shared" si="82"/>
        <v>102.9198786185283</v>
      </c>
      <c r="I1037">
        <f t="shared" si="83"/>
        <v>95.869255691999996</v>
      </c>
      <c r="J1037">
        <f t="shared" si="85"/>
        <v>95844.216691999987</v>
      </c>
      <c r="M1037">
        <f t="shared" si="84"/>
        <v>54049</v>
      </c>
    </row>
    <row r="1038" spans="1:13" x14ac:dyDescent="0.2">
      <c r="A1038">
        <v>53</v>
      </c>
      <c r="B1038">
        <v>50</v>
      </c>
      <c r="C1038">
        <v>103</v>
      </c>
      <c r="D1038" s="51" t="s">
        <v>48</v>
      </c>
      <c r="E1038">
        <f>VLOOKUP(M1038,'MASS - 2016'!$A$1:$G$3418,6,FALSE)</f>
        <v>-66972.591</v>
      </c>
      <c r="F1038">
        <f>VLOOKUP(M1038,'MASS - 2016'!$A$1:$G$3418,7,FALSE)</f>
        <v>70.659000000000006</v>
      </c>
      <c r="G1038">
        <f t="shared" si="81"/>
        <v>-66972.591</v>
      </c>
      <c r="H1038">
        <f t="shared" si="82"/>
        <v>102.92810196671775</v>
      </c>
      <c r="I1038">
        <f t="shared" si="83"/>
        <v>95.876915691999997</v>
      </c>
      <c r="J1038">
        <f t="shared" si="85"/>
        <v>95851.365691999992</v>
      </c>
      <c r="M1038">
        <f t="shared" si="84"/>
        <v>53050</v>
      </c>
    </row>
    <row r="1039" spans="1:13" x14ac:dyDescent="0.2">
      <c r="A1039">
        <v>52</v>
      </c>
      <c r="B1039">
        <v>51</v>
      </c>
      <c r="C1039">
        <v>103</v>
      </c>
      <c r="D1039" s="51" t="s">
        <v>49</v>
      </c>
      <c r="E1039" t="str">
        <f>VLOOKUP(M1039,'MASS - 2016'!$A$1:$G$3418,6,FALSE)</f>
        <v>-56178#</v>
      </c>
      <c r="F1039" t="str">
        <f>VLOOKUP(M1039,'MASS - 2016'!$A$1:$G$3418,7,FALSE)</f>
        <v>298#</v>
      </c>
      <c r="G1039">
        <f t="shared" ref="G1039:G1102" si="86">IF(ISNUMBER(E1039),E1039,VALUE(SUBSTITUTE(E1039,"#",".01")))</f>
        <v>-56178.01</v>
      </c>
      <c r="H1039">
        <f t="shared" si="82"/>
        <v>102.93969042600261</v>
      </c>
      <c r="I1039">
        <f t="shared" si="83"/>
        <v>95.887710272999996</v>
      </c>
      <c r="J1039">
        <f t="shared" si="85"/>
        <v>95861.649272999988</v>
      </c>
      <c r="M1039">
        <f t="shared" si="84"/>
        <v>52051</v>
      </c>
    </row>
    <row r="1040" spans="1:13" x14ac:dyDescent="0.2">
      <c r="A1040">
        <v>66</v>
      </c>
      <c r="B1040">
        <v>38</v>
      </c>
      <c r="C1040">
        <v>104</v>
      </c>
      <c r="D1040" s="51" t="s">
        <v>36</v>
      </c>
      <c r="E1040" t="str">
        <f>VLOOKUP(M1040,'MASS - 2016'!$A$1:$G$3418,6,FALSE)</f>
        <v>-44106#</v>
      </c>
      <c r="F1040" t="str">
        <f>VLOOKUP(M1040,'MASS - 2016'!$A$1:$G$3418,7,FALSE)</f>
        <v>298#</v>
      </c>
      <c r="G1040">
        <f t="shared" si="86"/>
        <v>-44106.01</v>
      </c>
      <c r="H1040">
        <f t="shared" si="82"/>
        <v>103.95265025098213</v>
      </c>
      <c r="I1040">
        <f t="shared" si="83"/>
        <v>96.831276334000009</v>
      </c>
      <c r="J1040">
        <f t="shared" si="85"/>
        <v>96811.858334000004</v>
      </c>
      <c r="M1040">
        <f t="shared" si="84"/>
        <v>66038</v>
      </c>
    </row>
    <row r="1041" spans="1:13" x14ac:dyDescent="0.2">
      <c r="A1041">
        <v>65</v>
      </c>
      <c r="B1041">
        <v>39</v>
      </c>
      <c r="C1041">
        <v>104</v>
      </c>
      <c r="D1041" s="51" t="s">
        <v>37</v>
      </c>
      <c r="E1041" t="str">
        <f>VLOOKUP(M1041,'MASS - 2016'!$A$1:$G$3418,6,FALSE)</f>
        <v>-54064#</v>
      </c>
      <c r="F1041" t="str">
        <f>VLOOKUP(M1041,'MASS - 2016'!$A$1:$G$3418,7,FALSE)</f>
        <v>401#</v>
      </c>
      <c r="G1041">
        <f t="shared" si="86"/>
        <v>-54064.01</v>
      </c>
      <c r="H1041">
        <f t="shared" si="82"/>
        <v>103.94195989833584</v>
      </c>
      <c r="I1041">
        <f t="shared" si="83"/>
        <v>96.821318333999997</v>
      </c>
      <c r="J1041">
        <f t="shared" si="85"/>
        <v>96801.389333999992</v>
      </c>
      <c r="M1041">
        <f t="shared" si="84"/>
        <v>65039</v>
      </c>
    </row>
    <row r="1042" spans="1:13" x14ac:dyDescent="0.2">
      <c r="A1042">
        <v>64</v>
      </c>
      <c r="B1042">
        <v>40</v>
      </c>
      <c r="C1042">
        <v>104</v>
      </c>
      <c r="D1042" s="51" t="s">
        <v>38</v>
      </c>
      <c r="E1042">
        <f>VLOOKUP(M1042,'MASS - 2016'!$A$1:$G$3418,6,FALSE)</f>
        <v>-65724.06</v>
      </c>
      <c r="F1042">
        <f>VLOOKUP(M1042,'MASS - 2016'!$A$1:$G$3418,7,FALSE)</f>
        <v>9.3249999999999993</v>
      </c>
      <c r="G1042">
        <f t="shared" si="86"/>
        <v>-65724.06</v>
      </c>
      <c r="H1042">
        <f t="shared" si="82"/>
        <v>103.92944231986897</v>
      </c>
      <c r="I1042">
        <f t="shared" si="83"/>
        <v>96.809658284000008</v>
      </c>
      <c r="J1042">
        <f t="shared" si="85"/>
        <v>96789.218284000002</v>
      </c>
      <c r="M1042">
        <f t="shared" si="84"/>
        <v>64040</v>
      </c>
    </row>
    <row r="1043" spans="1:13" x14ac:dyDescent="0.2">
      <c r="A1043">
        <v>63</v>
      </c>
      <c r="B1043">
        <v>41</v>
      </c>
      <c r="C1043">
        <v>104</v>
      </c>
      <c r="D1043" s="51" t="s">
        <v>39</v>
      </c>
      <c r="E1043">
        <f>VLOOKUP(M1043,'MASS - 2016'!$A$1:$G$3418,6,FALSE)</f>
        <v>-71819.012000000002</v>
      </c>
      <c r="F1043">
        <f>VLOOKUP(M1043,'MASS - 2016'!$A$1:$G$3418,7,FALSE)</f>
        <v>2.7370000000000001</v>
      </c>
      <c r="G1043">
        <f t="shared" si="86"/>
        <v>-71819.012000000002</v>
      </c>
      <c r="H1043">
        <f t="shared" si="82"/>
        <v>103.92289911980448</v>
      </c>
      <c r="I1043">
        <f t="shared" si="83"/>
        <v>96.803563331999996</v>
      </c>
      <c r="J1043">
        <f t="shared" si="85"/>
        <v>96782.61233199999</v>
      </c>
      <c r="M1043">
        <f t="shared" si="84"/>
        <v>63041</v>
      </c>
    </row>
    <row r="1044" spans="1:13" x14ac:dyDescent="0.2">
      <c r="A1044">
        <v>62</v>
      </c>
      <c r="B1044">
        <v>42</v>
      </c>
      <c r="C1044">
        <v>104</v>
      </c>
      <c r="D1044" s="51" t="s">
        <v>40</v>
      </c>
      <c r="E1044">
        <f>VLOOKUP(M1044,'MASS - 2016'!$A$1:$G$3418,6,FALSE)</f>
        <v>-80349.967999999993</v>
      </c>
      <c r="F1044">
        <f>VLOOKUP(M1044,'MASS - 2016'!$A$1:$G$3418,7,FALSE)</f>
        <v>8.9209999999999994</v>
      </c>
      <c r="G1044">
        <f t="shared" si="86"/>
        <v>-80349.967999999993</v>
      </c>
      <c r="H1044">
        <f t="shared" si="82"/>
        <v>103.91374076189629</v>
      </c>
      <c r="I1044">
        <f t="shared" si="83"/>
        <v>96.795032376000009</v>
      </c>
      <c r="J1044">
        <f t="shared" si="85"/>
        <v>96773.570376000003</v>
      </c>
      <c r="M1044">
        <f t="shared" si="84"/>
        <v>62042</v>
      </c>
    </row>
    <row r="1045" spans="1:13" x14ac:dyDescent="0.2">
      <c r="A1045">
        <v>61</v>
      </c>
      <c r="B1045">
        <v>43</v>
      </c>
      <c r="C1045">
        <v>104</v>
      </c>
      <c r="D1045" s="51" t="s">
        <v>41</v>
      </c>
      <c r="E1045">
        <f>VLOOKUP(M1045,'MASS - 2016'!$A$1:$G$3418,6,FALSE)</f>
        <v>-82503.444000000003</v>
      </c>
      <c r="F1045">
        <f>VLOOKUP(M1045,'MASS - 2016'!$A$1:$G$3418,7,FALSE)</f>
        <v>24.888000000000002</v>
      </c>
      <c r="G1045">
        <f t="shared" si="86"/>
        <v>-82503.444000000003</v>
      </c>
      <c r="H1045">
        <f t="shared" si="82"/>
        <v>103.91142891033419</v>
      </c>
      <c r="I1045">
        <f t="shared" si="83"/>
        <v>96.792878900000005</v>
      </c>
      <c r="J1045">
        <f t="shared" si="85"/>
        <v>96770.905900000012</v>
      </c>
      <c r="M1045">
        <f t="shared" si="84"/>
        <v>61043</v>
      </c>
    </row>
    <row r="1046" spans="1:13" x14ac:dyDescent="0.2">
      <c r="A1046">
        <v>60</v>
      </c>
      <c r="B1046">
        <v>44</v>
      </c>
      <c r="C1046">
        <v>104</v>
      </c>
      <c r="D1046" s="51" t="s">
        <v>42</v>
      </c>
      <c r="E1046">
        <f>VLOOKUP(M1046,'MASS - 2016'!$A$1:$G$3418,6,FALSE)</f>
        <v>-88095.71</v>
      </c>
      <c r="F1046">
        <f>VLOOKUP(M1046,'MASS - 2016'!$A$1:$G$3418,7,FALSE)</f>
        <v>2.4980000000000002</v>
      </c>
      <c r="G1046">
        <f t="shared" si="86"/>
        <v>-88095.71</v>
      </c>
      <c r="H1046">
        <f t="shared" si="82"/>
        <v>103.90542536588433</v>
      </c>
      <c r="I1046">
        <f t="shared" si="83"/>
        <v>96.787286633999997</v>
      </c>
      <c r="J1046">
        <f t="shared" si="85"/>
        <v>96764.802634000007</v>
      </c>
      <c r="M1046">
        <f t="shared" si="84"/>
        <v>60044</v>
      </c>
    </row>
    <row r="1047" spans="1:13" x14ac:dyDescent="0.2">
      <c r="A1047">
        <v>59</v>
      </c>
      <c r="B1047">
        <v>45</v>
      </c>
      <c r="C1047">
        <v>104</v>
      </c>
      <c r="D1047" s="51" t="s">
        <v>43</v>
      </c>
      <c r="E1047">
        <f>VLOOKUP(M1047,'MASS - 2016'!$A$1:$G$3418,6,FALSE)</f>
        <v>-86959.347999999998</v>
      </c>
      <c r="F1047">
        <f>VLOOKUP(M1047,'MASS - 2016'!$A$1:$G$3418,7,FALSE)</f>
        <v>2.3029999999999999</v>
      </c>
      <c r="G1047">
        <f t="shared" si="86"/>
        <v>-86959.347999999998</v>
      </c>
      <c r="H1047">
        <f t="shared" si="82"/>
        <v>103.90664530066178</v>
      </c>
      <c r="I1047">
        <f t="shared" si="83"/>
        <v>96.788422996000008</v>
      </c>
      <c r="J1047">
        <f t="shared" si="85"/>
        <v>96765.427996000013</v>
      </c>
      <c r="M1047">
        <f t="shared" si="84"/>
        <v>59045</v>
      </c>
    </row>
    <row r="1048" spans="1:13" x14ac:dyDescent="0.2">
      <c r="A1048">
        <v>58</v>
      </c>
      <c r="B1048">
        <v>46</v>
      </c>
      <c r="C1048">
        <v>104</v>
      </c>
      <c r="D1048" s="51" t="s">
        <v>44</v>
      </c>
      <c r="E1048">
        <f>VLOOKUP(M1048,'MASS - 2016'!$A$1:$G$3418,6,FALSE)</f>
        <v>-89395.104999999996</v>
      </c>
      <c r="F1048">
        <f>VLOOKUP(M1048,'MASS - 2016'!$A$1:$G$3418,7,FALSE)</f>
        <v>1.3360000000000001</v>
      </c>
      <c r="G1048">
        <f t="shared" si="86"/>
        <v>-89395.104999999996</v>
      </c>
      <c r="H1048">
        <f t="shared" si="82"/>
        <v>103.90403040798347</v>
      </c>
      <c r="I1048">
        <f t="shared" si="83"/>
        <v>96.785987239000008</v>
      </c>
      <c r="J1048">
        <f t="shared" si="85"/>
        <v>96762.481239000015</v>
      </c>
      <c r="M1048">
        <f t="shared" si="84"/>
        <v>58046</v>
      </c>
    </row>
    <row r="1049" spans="1:13" x14ac:dyDescent="0.2">
      <c r="A1049">
        <v>57</v>
      </c>
      <c r="B1049">
        <v>47</v>
      </c>
      <c r="C1049">
        <v>104</v>
      </c>
      <c r="D1049" s="51" t="s">
        <v>45</v>
      </c>
      <c r="E1049">
        <f>VLOOKUP(M1049,'MASS - 2016'!$A$1:$G$3418,6,FALSE)</f>
        <v>-85116.452000000005</v>
      </c>
      <c r="F1049">
        <f>VLOOKUP(M1049,'MASS - 2016'!$A$1:$G$3418,7,FALSE)</f>
        <v>4.2169999999999996</v>
      </c>
      <c r="G1049">
        <f t="shared" si="86"/>
        <v>-85116.452000000005</v>
      </c>
      <c r="H1049">
        <f t="shared" si="82"/>
        <v>103.90862373088174</v>
      </c>
      <c r="I1049">
        <f t="shared" si="83"/>
        <v>96.790265892000008</v>
      </c>
      <c r="J1049">
        <f t="shared" si="85"/>
        <v>96766.248892000003</v>
      </c>
      <c r="M1049">
        <f t="shared" si="84"/>
        <v>57047</v>
      </c>
    </row>
    <row r="1050" spans="1:13" x14ac:dyDescent="0.2">
      <c r="A1050">
        <v>56</v>
      </c>
      <c r="B1050">
        <v>48</v>
      </c>
      <c r="C1050">
        <v>104</v>
      </c>
      <c r="D1050" s="51" t="s">
        <v>46</v>
      </c>
      <c r="E1050">
        <f>VLOOKUP(M1050,'MASS - 2016'!$A$1:$G$3418,6,FALSE)</f>
        <v>-83968.38</v>
      </c>
      <c r="F1050">
        <f>VLOOKUP(M1050,'MASS - 2016'!$A$1:$G$3418,7,FALSE)</f>
        <v>1.673</v>
      </c>
      <c r="G1050">
        <f t="shared" si="86"/>
        <v>-83968.38</v>
      </c>
      <c r="H1050">
        <f t="shared" si="82"/>
        <v>103.90985623686119</v>
      </c>
      <c r="I1050">
        <f t="shared" si="83"/>
        <v>96.791413964</v>
      </c>
      <c r="J1050">
        <f t="shared" si="85"/>
        <v>96766.885964000001</v>
      </c>
      <c r="M1050">
        <f t="shared" si="84"/>
        <v>56048</v>
      </c>
    </row>
    <row r="1051" spans="1:13" x14ac:dyDescent="0.2">
      <c r="A1051">
        <v>55</v>
      </c>
      <c r="B1051">
        <v>49</v>
      </c>
      <c r="C1051">
        <v>104</v>
      </c>
      <c r="D1051" s="51" t="s">
        <v>47</v>
      </c>
      <c r="E1051">
        <f>VLOOKUP(M1051,'MASS - 2016'!$A$1:$G$3418,6,FALSE)</f>
        <v>-76182.664999999994</v>
      </c>
      <c r="F1051">
        <f>VLOOKUP(M1051,'MASS - 2016'!$A$1:$G$3418,7,FALSE)</f>
        <v>5.7750000000000004</v>
      </c>
      <c r="G1051">
        <f t="shared" si="86"/>
        <v>-76182.664999999994</v>
      </c>
      <c r="H1051">
        <f t="shared" si="82"/>
        <v>103.91821454565344</v>
      </c>
      <c r="I1051">
        <f t="shared" si="83"/>
        <v>96.799199678999997</v>
      </c>
      <c r="J1051">
        <f t="shared" si="85"/>
        <v>96774.160678999993</v>
      </c>
      <c r="M1051">
        <f t="shared" si="84"/>
        <v>55049</v>
      </c>
    </row>
    <row r="1052" spans="1:13" x14ac:dyDescent="0.2">
      <c r="A1052">
        <v>54</v>
      </c>
      <c r="B1052">
        <v>50</v>
      </c>
      <c r="C1052">
        <v>104</v>
      </c>
      <c r="D1052" s="51" t="s">
        <v>48</v>
      </c>
      <c r="E1052">
        <f>VLOOKUP(M1052,'MASS - 2016'!$A$1:$G$3418,6,FALSE)</f>
        <v>-71627.047000000006</v>
      </c>
      <c r="F1052">
        <f>VLOOKUP(M1052,'MASS - 2016'!$A$1:$G$3418,7,FALSE)</f>
        <v>5.7450000000000001</v>
      </c>
      <c r="G1052">
        <f t="shared" si="86"/>
        <v>-71627.047000000006</v>
      </c>
      <c r="H1052">
        <f t="shared" si="82"/>
        <v>103.92310520270725</v>
      </c>
      <c r="I1052">
        <f t="shared" si="83"/>
        <v>96.803755296999995</v>
      </c>
      <c r="J1052">
        <f t="shared" si="85"/>
        <v>96778.205296999993</v>
      </c>
      <c r="M1052">
        <f t="shared" si="84"/>
        <v>54050</v>
      </c>
    </row>
    <row r="1053" spans="1:13" x14ac:dyDescent="0.2">
      <c r="A1053">
        <v>53</v>
      </c>
      <c r="B1053">
        <v>51</v>
      </c>
      <c r="C1053">
        <v>104</v>
      </c>
      <c r="D1053" s="51" t="s">
        <v>49</v>
      </c>
      <c r="E1053">
        <f>VLOOKUP(M1053,'MASS - 2016'!$A$1:$G$3418,6,FALSE)</f>
        <v>-59173.62</v>
      </c>
      <c r="F1053">
        <f>VLOOKUP(M1053,'MASS - 2016'!$A$1:$G$3418,7,FALSE)</f>
        <v>122.444</v>
      </c>
      <c r="G1053">
        <f t="shared" si="86"/>
        <v>-59173.62</v>
      </c>
      <c r="H1053">
        <f t="shared" si="82"/>
        <v>103.93647450641127</v>
      </c>
      <c r="I1053">
        <f t="shared" si="83"/>
        <v>96.816208724000006</v>
      </c>
      <c r="J1053">
        <f t="shared" si="85"/>
        <v>96790.147724000009</v>
      </c>
      <c r="M1053">
        <f t="shared" si="84"/>
        <v>53051</v>
      </c>
    </row>
    <row r="1054" spans="1:13" x14ac:dyDescent="0.2">
      <c r="A1054">
        <v>66</v>
      </c>
      <c r="B1054">
        <v>39</v>
      </c>
      <c r="C1054">
        <v>105</v>
      </c>
      <c r="D1054" s="51" t="s">
        <v>37</v>
      </c>
      <c r="E1054">
        <f>VLOOKUP(M1054,'MASS - 2016'!$A$1:$G$3418,6,FALSE)</f>
        <v>-51270.360999999997</v>
      </c>
      <c r="F1054">
        <f>VLOOKUP(M1054,'MASS - 2016'!$A$1:$G$3418,7,FALSE)</f>
        <v>1336.694</v>
      </c>
      <c r="G1054">
        <f t="shared" si="86"/>
        <v>-51270.360999999997</v>
      </c>
      <c r="H1054">
        <f t="shared" si="82"/>
        <v>104.94495900387712</v>
      </c>
      <c r="I1054">
        <f t="shared" si="83"/>
        <v>97.755606044000004</v>
      </c>
      <c r="J1054">
        <f t="shared" si="85"/>
        <v>97735.677043999996</v>
      </c>
      <c r="M1054">
        <f t="shared" si="84"/>
        <v>66039</v>
      </c>
    </row>
    <row r="1055" spans="1:13" x14ac:dyDescent="0.2">
      <c r="A1055">
        <v>65</v>
      </c>
      <c r="B1055">
        <v>40</v>
      </c>
      <c r="C1055">
        <v>105</v>
      </c>
      <c r="D1055" s="51" t="s">
        <v>38</v>
      </c>
      <c r="E1055">
        <f>VLOOKUP(M1055,'MASS - 2016'!$A$1:$G$3418,6,FALSE)</f>
        <v>-61464.733999999997</v>
      </c>
      <c r="F1055">
        <f>VLOOKUP(M1055,'MASS - 2016'!$A$1:$G$3418,7,FALSE)</f>
        <v>12.118</v>
      </c>
      <c r="G1055">
        <f t="shared" si="86"/>
        <v>-61464.733999999997</v>
      </c>
      <c r="H1055">
        <f t="shared" si="82"/>
        <v>104.93401489437944</v>
      </c>
      <c r="I1055">
        <f t="shared" si="83"/>
        <v>97.745411670999999</v>
      </c>
      <c r="J1055">
        <f t="shared" si="85"/>
        <v>97724.971670999992</v>
      </c>
      <c r="M1055">
        <f t="shared" si="84"/>
        <v>65040</v>
      </c>
    </row>
    <row r="1056" spans="1:13" x14ac:dyDescent="0.2">
      <c r="A1056">
        <v>64</v>
      </c>
      <c r="B1056">
        <v>41</v>
      </c>
      <c r="C1056">
        <v>105</v>
      </c>
      <c r="D1056" s="51" t="s">
        <v>39</v>
      </c>
      <c r="E1056">
        <f>VLOOKUP(M1056,'MASS - 2016'!$A$1:$G$3418,6,FALSE)</f>
        <v>-69915.551000000007</v>
      </c>
      <c r="F1056">
        <f>VLOOKUP(M1056,'MASS - 2016'!$A$1:$G$3418,7,FALSE)</f>
        <v>4.0279999999999996</v>
      </c>
      <c r="G1056">
        <f t="shared" si="86"/>
        <v>-69915.551000000007</v>
      </c>
      <c r="H1056">
        <f t="shared" si="82"/>
        <v>104.92494256922589</v>
      </c>
      <c r="I1056">
        <f t="shared" si="83"/>
        <v>97.736960854000003</v>
      </c>
      <c r="J1056">
        <f t="shared" si="85"/>
        <v>97716.009854000004</v>
      </c>
      <c r="M1056">
        <f t="shared" si="84"/>
        <v>64041</v>
      </c>
    </row>
    <row r="1057" spans="1:13" x14ac:dyDescent="0.2">
      <c r="A1057">
        <v>63</v>
      </c>
      <c r="B1057">
        <v>42</v>
      </c>
      <c r="C1057">
        <v>105</v>
      </c>
      <c r="D1057" s="51" t="s">
        <v>40</v>
      </c>
      <c r="E1057">
        <f>VLOOKUP(M1057,'MASS - 2016'!$A$1:$G$3418,6,FALSE)</f>
        <v>-77337.141000000003</v>
      </c>
      <c r="F1057">
        <f>VLOOKUP(M1057,'MASS - 2016'!$A$1:$G$3418,7,FALSE)</f>
        <v>9.0649999999999995</v>
      </c>
      <c r="G1057">
        <f t="shared" si="86"/>
        <v>-77337.141000000003</v>
      </c>
      <c r="H1057">
        <f t="shared" si="82"/>
        <v>104.91697516469726</v>
      </c>
      <c r="I1057">
        <f t="shared" si="83"/>
        <v>97.729539263999996</v>
      </c>
      <c r="J1057">
        <f t="shared" si="85"/>
        <v>97708.077263999992</v>
      </c>
      <c r="M1057">
        <f t="shared" si="84"/>
        <v>63042</v>
      </c>
    </row>
    <row r="1058" spans="1:13" x14ac:dyDescent="0.2">
      <c r="A1058">
        <v>62</v>
      </c>
      <c r="B1058">
        <v>43</v>
      </c>
      <c r="C1058">
        <v>105</v>
      </c>
      <c r="D1058" s="51" t="s">
        <v>41</v>
      </c>
      <c r="E1058">
        <f>VLOOKUP(M1058,'MASS - 2016'!$A$1:$G$3418,6,FALSE)</f>
        <v>-82290.088000000003</v>
      </c>
      <c r="F1058">
        <f>VLOOKUP(M1058,'MASS - 2016'!$A$1:$G$3418,7,FALSE)</f>
        <v>35.264000000000003</v>
      </c>
      <c r="G1058">
        <f t="shared" si="86"/>
        <v>-82290.088000000003</v>
      </c>
      <c r="H1058">
        <f t="shared" si="82"/>
        <v>104.91165795741988</v>
      </c>
      <c r="I1058">
        <f t="shared" si="83"/>
        <v>97.724586317000004</v>
      </c>
      <c r="J1058">
        <f t="shared" si="85"/>
        <v>97702.61331700001</v>
      </c>
      <c r="M1058">
        <f t="shared" si="84"/>
        <v>62043</v>
      </c>
    </row>
    <row r="1059" spans="1:13" x14ac:dyDescent="0.2">
      <c r="A1059">
        <v>61</v>
      </c>
      <c r="B1059">
        <v>44</v>
      </c>
      <c r="C1059">
        <v>105</v>
      </c>
      <c r="D1059" s="51" t="s">
        <v>42</v>
      </c>
      <c r="E1059">
        <f>VLOOKUP(M1059,'MASS - 2016'!$A$1:$G$3418,6,FALSE)</f>
        <v>-85934.49</v>
      </c>
      <c r="F1059">
        <f>VLOOKUP(M1059,'MASS - 2016'!$A$1:$G$3418,7,FALSE)</f>
        <v>2.4990000000000001</v>
      </c>
      <c r="G1059">
        <f t="shared" si="86"/>
        <v>-85934.49</v>
      </c>
      <c r="H1059">
        <f t="shared" si="82"/>
        <v>104.90774553097231</v>
      </c>
      <c r="I1059">
        <f t="shared" si="83"/>
        <v>97.720941914999997</v>
      </c>
      <c r="J1059">
        <f t="shared" si="85"/>
        <v>97698.457915000006</v>
      </c>
      <c r="M1059">
        <f t="shared" si="84"/>
        <v>61044</v>
      </c>
    </row>
    <row r="1060" spans="1:13" x14ac:dyDescent="0.2">
      <c r="A1060">
        <v>60</v>
      </c>
      <c r="B1060">
        <v>45</v>
      </c>
      <c r="C1060">
        <v>105</v>
      </c>
      <c r="D1060" s="51" t="s">
        <v>43</v>
      </c>
      <c r="E1060">
        <f>VLOOKUP(M1060,'MASS - 2016'!$A$1:$G$3418,6,FALSE)</f>
        <v>-87851.243000000002</v>
      </c>
      <c r="F1060">
        <f>VLOOKUP(M1060,'MASS - 2016'!$A$1:$G$3418,7,FALSE)</f>
        <v>2.5019999999999998</v>
      </c>
      <c r="G1060">
        <f t="shared" si="86"/>
        <v>-87851.243000000002</v>
      </c>
      <c r="H1060">
        <f t="shared" si="82"/>
        <v>104.90568781200206</v>
      </c>
      <c r="I1060">
        <f t="shared" si="83"/>
        <v>97.719025161999994</v>
      </c>
      <c r="J1060">
        <f t="shared" si="85"/>
        <v>97696.030161999995</v>
      </c>
      <c r="M1060">
        <f t="shared" si="84"/>
        <v>60045</v>
      </c>
    </row>
    <row r="1061" spans="1:13" x14ac:dyDescent="0.2">
      <c r="A1061">
        <v>59</v>
      </c>
      <c r="B1061">
        <v>46</v>
      </c>
      <c r="C1061">
        <v>105</v>
      </c>
      <c r="D1061" s="51" t="s">
        <v>44</v>
      </c>
      <c r="E1061">
        <f>VLOOKUP(M1061,'MASS - 2016'!$A$1:$G$3418,6,FALSE)</f>
        <v>-88417.888000000006</v>
      </c>
      <c r="F1061">
        <f>VLOOKUP(M1061,'MASS - 2016'!$A$1:$G$3418,7,FALSE)</f>
        <v>1.1379999999999999</v>
      </c>
      <c r="G1061">
        <f t="shared" si="86"/>
        <v>-88417.888000000006</v>
      </c>
      <c r="H1061">
        <f t="shared" si="82"/>
        <v>104.90507949357715</v>
      </c>
      <c r="I1061">
        <f t="shared" si="83"/>
        <v>97.718458517000002</v>
      </c>
      <c r="J1061">
        <f t="shared" si="85"/>
        <v>97694.952517000012</v>
      </c>
      <c r="M1061">
        <f t="shared" si="84"/>
        <v>59046</v>
      </c>
    </row>
    <row r="1062" spans="1:13" x14ac:dyDescent="0.2">
      <c r="A1062">
        <v>58</v>
      </c>
      <c r="B1062">
        <v>47</v>
      </c>
      <c r="C1062">
        <v>105</v>
      </c>
      <c r="D1062" s="51" t="s">
        <v>45</v>
      </c>
      <c r="E1062">
        <f>VLOOKUP(M1062,'MASS - 2016'!$A$1:$G$3418,6,FALSE)</f>
        <v>-87070.835999999996</v>
      </c>
      <c r="F1062">
        <f>VLOOKUP(M1062,'MASS - 2016'!$A$1:$G$3418,7,FALSE)</f>
        <v>4.5439999999999996</v>
      </c>
      <c r="G1062">
        <f t="shared" si="86"/>
        <v>-87070.835999999996</v>
      </c>
      <c r="H1062">
        <f t="shared" si="82"/>
        <v>104.90652561337157</v>
      </c>
      <c r="I1062">
        <f t="shared" si="83"/>
        <v>97.719805569000002</v>
      </c>
      <c r="J1062">
        <f t="shared" si="85"/>
        <v>97695.788568999997</v>
      </c>
      <c r="M1062">
        <f t="shared" si="84"/>
        <v>58047</v>
      </c>
    </row>
    <row r="1063" spans="1:13" x14ac:dyDescent="0.2">
      <c r="A1063">
        <v>57</v>
      </c>
      <c r="B1063">
        <v>48</v>
      </c>
      <c r="C1063">
        <v>105</v>
      </c>
      <c r="D1063" s="51" t="s">
        <v>46</v>
      </c>
      <c r="E1063">
        <f>VLOOKUP(M1063,'MASS - 2016'!$A$1:$G$3418,6,FALSE)</f>
        <v>-84333.839000000007</v>
      </c>
      <c r="F1063">
        <f>VLOOKUP(M1063,'MASS - 2016'!$A$1:$G$3418,7,FALSE)</f>
        <v>1.3919999999999999</v>
      </c>
      <c r="G1063">
        <f t="shared" si="86"/>
        <v>-84333.839000000007</v>
      </c>
      <c r="H1063">
        <f t="shared" si="82"/>
        <v>104.90946390048965</v>
      </c>
      <c r="I1063">
        <f t="shared" si="83"/>
        <v>97.722542566000001</v>
      </c>
      <c r="J1063">
        <f t="shared" si="85"/>
        <v>97698.014565999998</v>
      </c>
      <c r="M1063">
        <f t="shared" si="84"/>
        <v>57048</v>
      </c>
    </row>
    <row r="1064" spans="1:13" x14ac:dyDescent="0.2">
      <c r="A1064">
        <v>56</v>
      </c>
      <c r="B1064">
        <v>49</v>
      </c>
      <c r="C1064">
        <v>105</v>
      </c>
      <c r="D1064" s="51" t="s">
        <v>47</v>
      </c>
      <c r="E1064">
        <f>VLOOKUP(M1064,'MASS - 2016'!$A$1:$G$3418,6,FALSE)</f>
        <v>-79640.572</v>
      </c>
      <c r="F1064">
        <f>VLOOKUP(M1064,'MASS - 2016'!$A$1:$G$3418,7,FALSE)</f>
        <v>10.246</v>
      </c>
      <c r="G1064">
        <f t="shared" si="86"/>
        <v>-79640.572</v>
      </c>
      <c r="H1064">
        <f t="shared" si="82"/>
        <v>104.91450232982216</v>
      </c>
      <c r="I1064">
        <f t="shared" si="83"/>
        <v>97.727235832999995</v>
      </c>
      <c r="J1064">
        <f t="shared" si="85"/>
        <v>97702.196832999995</v>
      </c>
      <c r="M1064">
        <f t="shared" si="84"/>
        <v>56049</v>
      </c>
    </row>
    <row r="1065" spans="1:13" x14ac:dyDescent="0.2">
      <c r="A1065">
        <v>55</v>
      </c>
      <c r="B1065">
        <v>50</v>
      </c>
      <c r="C1065">
        <v>105</v>
      </c>
      <c r="D1065" s="51" t="s">
        <v>48</v>
      </c>
      <c r="E1065">
        <f>VLOOKUP(M1065,'MASS - 2016'!$A$1:$G$3418,6,FALSE)</f>
        <v>-73337.991999999998</v>
      </c>
      <c r="F1065">
        <f>VLOOKUP(M1065,'MASS - 2016'!$A$1:$G$3418,7,FALSE)</f>
        <v>3.9710000000000001</v>
      </c>
      <c r="G1065">
        <f t="shared" si="86"/>
        <v>-73337.991999999998</v>
      </c>
      <c r="H1065">
        <f t="shared" si="82"/>
        <v>104.92126842771141</v>
      </c>
      <c r="I1065">
        <f t="shared" si="83"/>
        <v>97.733538412999991</v>
      </c>
      <c r="J1065">
        <f t="shared" si="85"/>
        <v>97707.988412999985</v>
      </c>
      <c r="M1065">
        <f t="shared" si="84"/>
        <v>55050</v>
      </c>
    </row>
    <row r="1066" spans="1:13" x14ac:dyDescent="0.2">
      <c r="A1066">
        <v>54</v>
      </c>
      <c r="B1066">
        <v>51</v>
      </c>
      <c r="C1066">
        <v>105</v>
      </c>
      <c r="D1066" s="51" t="s">
        <v>49</v>
      </c>
      <c r="E1066">
        <f>VLOOKUP(M1066,'MASS - 2016'!$A$1:$G$3418,6,FALSE)</f>
        <v>-64015.482000000004</v>
      </c>
      <c r="F1066">
        <f>VLOOKUP(M1066,'MASS - 2016'!$A$1:$G$3418,7,FALSE)</f>
        <v>21.827000000000002</v>
      </c>
      <c r="G1066">
        <f t="shared" si="86"/>
        <v>-64015.482000000004</v>
      </c>
      <c r="H1066">
        <f t="shared" si="82"/>
        <v>104.93127655378578</v>
      </c>
      <c r="I1066">
        <f t="shared" si="83"/>
        <v>97.742860922999995</v>
      </c>
      <c r="J1066">
        <f t="shared" si="85"/>
        <v>97716.799922999999</v>
      </c>
      <c r="M1066">
        <f t="shared" si="84"/>
        <v>54051</v>
      </c>
    </row>
    <row r="1067" spans="1:13" x14ac:dyDescent="0.2">
      <c r="A1067">
        <v>67</v>
      </c>
      <c r="B1067">
        <v>39</v>
      </c>
      <c r="C1067">
        <v>106</v>
      </c>
      <c r="D1067" s="51" t="s">
        <v>37</v>
      </c>
      <c r="E1067" t="str">
        <f>VLOOKUP(M1067,'MASS - 2016'!$A$1:$G$3418,6,FALSE)</f>
        <v>-46053#</v>
      </c>
      <c r="F1067" t="str">
        <f>VLOOKUP(M1067,'MASS - 2016'!$A$1:$G$3418,7,FALSE)</f>
        <v>503#</v>
      </c>
      <c r="G1067">
        <f t="shared" si="86"/>
        <v>-46053.01</v>
      </c>
      <c r="H1067">
        <f t="shared" si="82"/>
        <v>105.95056006052195</v>
      </c>
      <c r="I1067">
        <f t="shared" si="83"/>
        <v>98.692317455999998</v>
      </c>
      <c r="J1067">
        <f t="shared" si="85"/>
        <v>98672.388456000001</v>
      </c>
      <c r="M1067">
        <f t="shared" si="84"/>
        <v>67039</v>
      </c>
    </row>
    <row r="1068" spans="1:13" x14ac:dyDescent="0.2">
      <c r="A1068">
        <v>66</v>
      </c>
      <c r="B1068">
        <v>40</v>
      </c>
      <c r="C1068">
        <v>106</v>
      </c>
      <c r="D1068" s="51" t="s">
        <v>38</v>
      </c>
      <c r="E1068">
        <f>VLOOKUP(M1068,'MASS - 2016'!$A$1:$G$3418,6,FALSE)</f>
        <v>-58549.987000000001</v>
      </c>
      <c r="F1068">
        <f>VLOOKUP(M1068,'MASS - 2016'!$A$1:$G$3418,7,FALSE)</f>
        <v>433.14499999999998</v>
      </c>
      <c r="G1068">
        <f t="shared" si="86"/>
        <v>-58549.987000000001</v>
      </c>
      <c r="H1068">
        <f t="shared" si="82"/>
        <v>105.93714400397019</v>
      </c>
      <c r="I1068">
        <f t="shared" si="83"/>
        <v>98.679820478999986</v>
      </c>
      <c r="J1068">
        <f t="shared" si="85"/>
        <v>98659.380478999985</v>
      </c>
      <c r="M1068">
        <f t="shared" si="84"/>
        <v>66040</v>
      </c>
    </row>
    <row r="1069" spans="1:13" x14ac:dyDescent="0.2">
      <c r="A1069">
        <v>65</v>
      </c>
      <c r="B1069">
        <v>41</v>
      </c>
      <c r="C1069">
        <v>106</v>
      </c>
      <c r="D1069" s="51" t="s">
        <v>39</v>
      </c>
      <c r="E1069">
        <f>VLOOKUP(M1069,'MASS - 2016'!$A$1:$G$3418,6,FALSE)</f>
        <v>-66203.357000000004</v>
      </c>
      <c r="F1069">
        <f>VLOOKUP(M1069,'MASS - 2016'!$A$1:$G$3418,7,FALSE)</f>
        <v>4.1219999999999999</v>
      </c>
      <c r="G1069">
        <f t="shared" si="86"/>
        <v>-66203.357000000004</v>
      </c>
      <c r="H1069">
        <f t="shared" si="82"/>
        <v>105.92892777337846</v>
      </c>
      <c r="I1069">
        <f t="shared" si="83"/>
        <v>98.672167108999986</v>
      </c>
      <c r="J1069">
        <f t="shared" si="85"/>
        <v>98651.216108999986</v>
      </c>
      <c r="M1069">
        <f t="shared" si="84"/>
        <v>65041</v>
      </c>
    </row>
    <row r="1070" spans="1:13" x14ac:dyDescent="0.2">
      <c r="A1070">
        <v>64</v>
      </c>
      <c r="B1070">
        <v>42</v>
      </c>
      <c r="C1070">
        <v>106</v>
      </c>
      <c r="D1070" s="51" t="s">
        <v>40</v>
      </c>
      <c r="E1070">
        <f>VLOOKUP(M1070,'MASS - 2016'!$A$1:$G$3418,6,FALSE)</f>
        <v>-76134.528000000006</v>
      </c>
      <c r="F1070">
        <f>VLOOKUP(M1070,'MASS - 2016'!$A$1:$G$3418,7,FALSE)</f>
        <v>9.14</v>
      </c>
      <c r="G1070">
        <f t="shared" si="86"/>
        <v>-76134.528000000006</v>
      </c>
      <c r="H1070">
        <f t="shared" si="82"/>
        <v>105.91826622284819</v>
      </c>
      <c r="I1070">
        <f t="shared" si="83"/>
        <v>98.662235937999995</v>
      </c>
      <c r="J1070">
        <f t="shared" si="85"/>
        <v>98640.773937999998</v>
      </c>
      <c r="M1070">
        <f t="shared" si="84"/>
        <v>64042</v>
      </c>
    </row>
    <row r="1071" spans="1:13" x14ac:dyDescent="0.2">
      <c r="A1071">
        <v>63</v>
      </c>
      <c r="B1071">
        <v>43</v>
      </c>
      <c r="C1071">
        <v>106</v>
      </c>
      <c r="D1071" s="51" t="s">
        <v>41</v>
      </c>
      <c r="E1071">
        <f>VLOOKUP(M1071,'MASS - 2016'!$A$1:$G$3418,6,FALSE)</f>
        <v>-79776.222999999998</v>
      </c>
      <c r="F1071">
        <f>VLOOKUP(M1071,'MASS - 2016'!$A$1:$G$3418,7,FALSE)</f>
        <v>12.25</v>
      </c>
      <c r="G1071">
        <f t="shared" si="86"/>
        <v>-79776.222999999998</v>
      </c>
      <c r="H1071">
        <f t="shared" si="82"/>
        <v>105.91435670248465</v>
      </c>
      <c r="I1071">
        <f t="shared" si="83"/>
        <v>98.658594242999996</v>
      </c>
      <c r="J1071">
        <f t="shared" si="85"/>
        <v>98636.621243000001</v>
      </c>
      <c r="M1071">
        <f t="shared" si="84"/>
        <v>63043</v>
      </c>
    </row>
    <row r="1072" spans="1:13" x14ac:dyDescent="0.2">
      <c r="A1072">
        <v>62</v>
      </c>
      <c r="B1072">
        <v>44</v>
      </c>
      <c r="C1072">
        <v>106</v>
      </c>
      <c r="D1072" s="51" t="s">
        <v>42</v>
      </c>
      <c r="E1072">
        <f>VLOOKUP(M1072,'MASS - 2016'!$A$1:$G$3418,6,FALSE)</f>
        <v>-86323.222999999998</v>
      </c>
      <c r="F1072">
        <f>VLOOKUP(M1072,'MASS - 2016'!$A$1:$G$3418,7,FALSE)</f>
        <v>5.391</v>
      </c>
      <c r="G1072">
        <f t="shared" si="86"/>
        <v>-86323.222999999998</v>
      </c>
      <c r="H1072">
        <f t="shared" si="82"/>
        <v>105.90732820893423</v>
      </c>
      <c r="I1072">
        <f t="shared" si="83"/>
        <v>98.652047242999998</v>
      </c>
      <c r="J1072">
        <f t="shared" si="85"/>
        <v>98629.563242999997</v>
      </c>
      <c r="M1072">
        <f t="shared" si="84"/>
        <v>62044</v>
      </c>
    </row>
    <row r="1073" spans="1:13" x14ac:dyDescent="0.2">
      <c r="A1073">
        <v>61</v>
      </c>
      <c r="B1073">
        <v>45</v>
      </c>
      <c r="C1073">
        <v>106</v>
      </c>
      <c r="D1073" s="51" t="s">
        <v>43</v>
      </c>
      <c r="E1073">
        <f>VLOOKUP(M1073,'MASS - 2016'!$A$1:$G$3418,6,FALSE)</f>
        <v>-86362.626999999993</v>
      </c>
      <c r="F1073">
        <f>VLOOKUP(M1073,'MASS - 2016'!$A$1:$G$3418,7,FALSE)</f>
        <v>5.39</v>
      </c>
      <c r="G1073">
        <f t="shared" si="86"/>
        <v>-86362.626999999993</v>
      </c>
      <c r="H1073">
        <f t="shared" si="82"/>
        <v>105.90728590700053</v>
      </c>
      <c r="I1073">
        <f t="shared" si="83"/>
        <v>98.652007838999992</v>
      </c>
      <c r="J1073">
        <f t="shared" si="85"/>
        <v>98629.012839000003</v>
      </c>
      <c r="M1073">
        <f t="shared" si="84"/>
        <v>61045</v>
      </c>
    </row>
    <row r="1074" spans="1:13" x14ac:dyDescent="0.2">
      <c r="A1074">
        <v>60</v>
      </c>
      <c r="B1074">
        <v>46</v>
      </c>
      <c r="C1074">
        <v>106</v>
      </c>
      <c r="D1074" s="51" t="s">
        <v>44</v>
      </c>
      <c r="E1074">
        <f>VLOOKUP(M1074,'MASS - 2016'!$A$1:$G$3418,6,FALSE)</f>
        <v>-89907.527000000002</v>
      </c>
      <c r="F1074">
        <f>VLOOKUP(M1074,'MASS - 2016'!$A$1:$G$3418,7,FALSE)</f>
        <v>1.1060000000000001</v>
      </c>
      <c r="G1074">
        <f t="shared" si="86"/>
        <v>-89907.527000000002</v>
      </c>
      <c r="H1074">
        <f t="shared" si="82"/>
        <v>105.90348030034301</v>
      </c>
      <c r="I1074">
        <f t="shared" si="83"/>
        <v>98.648462938999998</v>
      </c>
      <c r="J1074">
        <f t="shared" si="85"/>
        <v>98624.956939000011</v>
      </c>
      <c r="M1074">
        <f t="shared" si="84"/>
        <v>60046</v>
      </c>
    </row>
    <row r="1075" spans="1:13" x14ac:dyDescent="0.2">
      <c r="A1075">
        <v>59</v>
      </c>
      <c r="B1075">
        <v>47</v>
      </c>
      <c r="C1075">
        <v>106</v>
      </c>
      <c r="D1075" s="51" t="s">
        <v>45</v>
      </c>
      <c r="E1075">
        <f>VLOOKUP(M1075,'MASS - 2016'!$A$1:$G$3418,6,FALSE)</f>
        <v>-86942.383000000002</v>
      </c>
      <c r="F1075">
        <f>VLOOKUP(M1075,'MASS - 2016'!$A$1:$G$3418,7,FALSE)</f>
        <v>3.016</v>
      </c>
      <c r="G1075">
        <f t="shared" si="86"/>
        <v>-86942.383000000002</v>
      </c>
      <c r="H1075">
        <f t="shared" si="82"/>
        <v>105.90666351333827</v>
      </c>
      <c r="I1075">
        <f t="shared" si="83"/>
        <v>98.651428082999999</v>
      </c>
      <c r="J1075">
        <f t="shared" si="85"/>
        <v>98627.411082999999</v>
      </c>
      <c r="M1075">
        <f t="shared" si="84"/>
        <v>59047</v>
      </c>
    </row>
    <row r="1076" spans="1:13" x14ac:dyDescent="0.2">
      <c r="A1076">
        <v>58</v>
      </c>
      <c r="B1076">
        <v>48</v>
      </c>
      <c r="C1076">
        <v>106</v>
      </c>
      <c r="D1076" s="51" t="s">
        <v>46</v>
      </c>
      <c r="E1076">
        <f>VLOOKUP(M1076,'MASS - 2016'!$A$1:$G$3418,6,FALSE)</f>
        <v>-87132.138000000006</v>
      </c>
      <c r="F1076">
        <f>VLOOKUP(M1076,'MASS - 2016'!$A$1:$G$3418,7,FALSE)</f>
        <v>1.1040000000000001</v>
      </c>
      <c r="G1076">
        <f t="shared" si="86"/>
        <v>-87132.138000000006</v>
      </c>
      <c r="H1076">
        <f t="shared" si="82"/>
        <v>105.90645980296807</v>
      </c>
      <c r="I1076">
        <f t="shared" si="83"/>
        <v>98.651238327999991</v>
      </c>
      <c r="J1076">
        <f t="shared" si="85"/>
        <v>98626.710327999986</v>
      </c>
      <c r="M1076">
        <f t="shared" si="84"/>
        <v>58048</v>
      </c>
    </row>
    <row r="1077" spans="1:13" x14ac:dyDescent="0.2">
      <c r="A1077">
        <v>57</v>
      </c>
      <c r="B1077">
        <v>49</v>
      </c>
      <c r="C1077">
        <v>106</v>
      </c>
      <c r="D1077" s="51" t="s">
        <v>47</v>
      </c>
      <c r="E1077">
        <f>VLOOKUP(M1077,'MASS - 2016'!$A$1:$G$3418,6,FALSE)</f>
        <v>-80608.134000000005</v>
      </c>
      <c r="F1077">
        <f>VLOOKUP(M1077,'MASS - 2016'!$A$1:$G$3418,7,FALSE)</f>
        <v>12.226000000000001</v>
      </c>
      <c r="G1077">
        <f t="shared" si="86"/>
        <v>-80608.134000000005</v>
      </c>
      <c r="H1077">
        <f t="shared" si="82"/>
        <v>105.91346360929722</v>
      </c>
      <c r="I1077">
        <f t="shared" si="83"/>
        <v>98.65776233199999</v>
      </c>
      <c r="J1077">
        <f t="shared" si="85"/>
        <v>98632.72333199998</v>
      </c>
      <c r="M1077">
        <f t="shared" si="84"/>
        <v>57049</v>
      </c>
    </row>
    <row r="1078" spans="1:13" x14ac:dyDescent="0.2">
      <c r="A1078">
        <v>56</v>
      </c>
      <c r="B1078">
        <v>50</v>
      </c>
      <c r="C1078">
        <v>106</v>
      </c>
      <c r="D1078" s="51" t="s">
        <v>48</v>
      </c>
      <c r="E1078">
        <f>VLOOKUP(M1078,'MASS - 2016'!$A$1:$G$3418,6,FALSE)</f>
        <v>-77353.687000000005</v>
      </c>
      <c r="F1078">
        <f>VLOOKUP(M1078,'MASS - 2016'!$A$1:$G$3418,7,FALSE)</f>
        <v>5.0910000000000002</v>
      </c>
      <c r="G1078">
        <f t="shared" si="86"/>
        <v>-77353.687000000005</v>
      </c>
      <c r="H1078">
        <f t="shared" si="82"/>
        <v>105.91695740183576</v>
      </c>
      <c r="I1078">
        <f t="shared" si="83"/>
        <v>98.661016778999993</v>
      </c>
      <c r="J1078">
        <f t="shared" si="85"/>
        <v>98635.466778999995</v>
      </c>
      <c r="M1078">
        <f t="shared" si="84"/>
        <v>56050</v>
      </c>
    </row>
    <row r="1079" spans="1:13" x14ac:dyDescent="0.2">
      <c r="A1079">
        <v>55</v>
      </c>
      <c r="B1079">
        <v>51</v>
      </c>
      <c r="C1079">
        <v>106</v>
      </c>
      <c r="D1079" s="51" t="s">
        <v>49</v>
      </c>
      <c r="E1079">
        <f>VLOOKUP(M1079,'MASS - 2016'!$A$1:$G$3418,6,FALSE)</f>
        <v>-66473.292000000001</v>
      </c>
      <c r="F1079">
        <f>VLOOKUP(M1079,'MASS - 2016'!$A$1:$G$3418,7,FALSE)</f>
        <v>7.452</v>
      </c>
      <c r="G1079">
        <f t="shared" si="86"/>
        <v>-66473.292000000001</v>
      </c>
      <c r="H1079">
        <f t="shared" si="82"/>
        <v>105.92863798623831</v>
      </c>
      <c r="I1079">
        <f t="shared" si="83"/>
        <v>98.671897173999994</v>
      </c>
      <c r="J1079">
        <f t="shared" si="85"/>
        <v>98645.836173999996</v>
      </c>
      <c r="M1079">
        <f t="shared" si="84"/>
        <v>55051</v>
      </c>
    </row>
    <row r="1080" spans="1:13" x14ac:dyDescent="0.2">
      <c r="A1080">
        <v>54</v>
      </c>
      <c r="B1080">
        <v>52</v>
      </c>
      <c r="C1080">
        <v>106</v>
      </c>
      <c r="D1080" s="51" t="s">
        <v>50</v>
      </c>
      <c r="E1080">
        <f>VLOOKUP(M1080,'MASS - 2016'!$A$1:$G$3418,6,FALSE)</f>
        <v>-58219.748</v>
      </c>
      <c r="F1080">
        <f>VLOOKUP(M1080,'MASS - 2016'!$A$1:$G$3418,7,FALSE)</f>
        <v>100.541</v>
      </c>
      <c r="G1080">
        <f t="shared" si="86"/>
        <v>-58219.748</v>
      </c>
      <c r="H1080">
        <f t="shared" si="82"/>
        <v>105.93749853011677</v>
      </c>
      <c r="I1080">
        <f t="shared" si="83"/>
        <v>98.680150717999993</v>
      </c>
      <c r="J1080">
        <f t="shared" si="85"/>
        <v>98653.57871799999</v>
      </c>
      <c r="M1080">
        <f t="shared" si="84"/>
        <v>54052</v>
      </c>
    </row>
    <row r="1081" spans="1:13" x14ac:dyDescent="0.2">
      <c r="A1081">
        <v>67</v>
      </c>
      <c r="B1081">
        <v>40</v>
      </c>
      <c r="C1081">
        <v>107</v>
      </c>
      <c r="D1081" s="51" t="s">
        <v>38</v>
      </c>
      <c r="E1081">
        <f>VLOOKUP(M1081,'MASS - 2016'!$A$1:$G$3418,6,FALSE)</f>
        <v>-54379.688000000002</v>
      </c>
      <c r="F1081">
        <f>VLOOKUP(M1081,'MASS - 2016'!$A$1:$G$3418,7,FALSE)</f>
        <v>1122.45</v>
      </c>
      <c r="G1081">
        <f t="shared" si="86"/>
        <v>-54379.688000000002</v>
      </c>
      <c r="H1081">
        <f t="shared" si="82"/>
        <v>106.94162100406565</v>
      </c>
      <c r="I1081">
        <f t="shared" si="83"/>
        <v>99.615484839000004</v>
      </c>
      <c r="J1081">
        <f t="shared" si="85"/>
        <v>99595.044838999995</v>
      </c>
      <c r="M1081">
        <f t="shared" si="84"/>
        <v>67040</v>
      </c>
    </row>
    <row r="1082" spans="1:13" x14ac:dyDescent="0.2">
      <c r="A1082">
        <v>66</v>
      </c>
      <c r="B1082">
        <v>41</v>
      </c>
      <c r="C1082">
        <v>107</v>
      </c>
      <c r="D1082" s="51" t="s">
        <v>39</v>
      </c>
      <c r="E1082">
        <f>VLOOKUP(M1082,'MASS - 2016'!$A$1:$G$3418,6,FALSE)</f>
        <v>-63723.81</v>
      </c>
      <c r="F1082">
        <f>VLOOKUP(M1082,'MASS - 2016'!$A$1:$G$3418,7,FALSE)</f>
        <v>8.0229999999999997</v>
      </c>
      <c r="G1082">
        <f t="shared" si="86"/>
        <v>-63723.81</v>
      </c>
      <c r="H1082">
        <f t="shared" si="82"/>
        <v>106.93158967655512</v>
      </c>
      <c r="I1082">
        <f t="shared" si="83"/>
        <v>99.606140717000002</v>
      </c>
      <c r="J1082">
        <f t="shared" si="85"/>
        <v>99585.189717000001</v>
      </c>
      <c r="M1082">
        <f t="shared" si="84"/>
        <v>66041</v>
      </c>
    </row>
    <row r="1083" spans="1:13" x14ac:dyDescent="0.2">
      <c r="A1083">
        <v>65</v>
      </c>
      <c r="B1083">
        <v>42</v>
      </c>
      <c r="C1083">
        <v>107</v>
      </c>
      <c r="D1083" s="51" t="s">
        <v>40</v>
      </c>
      <c r="E1083">
        <f>VLOOKUP(M1083,'MASS - 2016'!$A$1:$G$3418,6,FALSE)</f>
        <v>-72551.56</v>
      </c>
      <c r="F1083">
        <f>VLOOKUP(M1083,'MASS - 2016'!$A$1:$G$3418,7,FALSE)</f>
        <v>9.2330000000000005</v>
      </c>
      <c r="G1083">
        <f t="shared" si="86"/>
        <v>-72551.56</v>
      </c>
      <c r="H1083">
        <f t="shared" si="82"/>
        <v>106.92211269718446</v>
      </c>
      <c r="I1083">
        <f t="shared" si="83"/>
        <v>99.597312967000008</v>
      </c>
      <c r="J1083">
        <f t="shared" si="85"/>
        <v>99575.850967000006</v>
      </c>
      <c r="M1083">
        <f t="shared" si="84"/>
        <v>65042</v>
      </c>
    </row>
    <row r="1084" spans="1:13" x14ac:dyDescent="0.2">
      <c r="A1084">
        <v>64</v>
      </c>
      <c r="B1084">
        <v>43</v>
      </c>
      <c r="C1084">
        <v>107</v>
      </c>
      <c r="D1084" s="51" t="s">
        <v>41</v>
      </c>
      <c r="E1084">
        <f>VLOOKUP(M1084,'MASS - 2016'!$A$1:$G$3418,6,FALSE)</f>
        <v>-78749.914000000004</v>
      </c>
      <c r="F1084">
        <f>VLOOKUP(M1084,'MASS - 2016'!$A$1:$G$3418,7,FALSE)</f>
        <v>8.673</v>
      </c>
      <c r="G1084">
        <f t="shared" si="86"/>
        <v>-78749.914000000004</v>
      </c>
      <c r="H1084">
        <f t="shared" si="82"/>
        <v>106.91545849050776</v>
      </c>
      <c r="I1084">
        <f t="shared" si="83"/>
        <v>99.591114613000002</v>
      </c>
      <c r="J1084">
        <f t="shared" si="85"/>
        <v>99569.141613</v>
      </c>
      <c r="M1084">
        <f t="shared" si="84"/>
        <v>64043</v>
      </c>
    </row>
    <row r="1085" spans="1:13" x14ac:dyDescent="0.2">
      <c r="A1085">
        <v>63</v>
      </c>
      <c r="B1085">
        <v>44</v>
      </c>
      <c r="C1085">
        <v>107</v>
      </c>
      <c r="D1085" s="51" t="s">
        <v>42</v>
      </c>
      <c r="E1085">
        <f>VLOOKUP(M1085,'MASS - 2016'!$A$1:$G$3418,6,FALSE)</f>
        <v>-83862.512000000002</v>
      </c>
      <c r="F1085">
        <f>VLOOKUP(M1085,'MASS - 2016'!$A$1:$G$3418,7,FALSE)</f>
        <v>8.673</v>
      </c>
      <c r="G1085">
        <f t="shared" si="86"/>
        <v>-83862.512000000002</v>
      </c>
      <c r="H1085">
        <f t="shared" si="82"/>
        <v>106.90996989083327</v>
      </c>
      <c r="I1085">
        <f t="shared" si="83"/>
        <v>99.586002015000005</v>
      </c>
      <c r="J1085">
        <f t="shared" si="85"/>
        <v>99563.518015000009</v>
      </c>
      <c r="M1085">
        <f t="shared" si="84"/>
        <v>63044</v>
      </c>
    </row>
    <row r="1086" spans="1:13" x14ac:dyDescent="0.2">
      <c r="A1086">
        <v>62</v>
      </c>
      <c r="B1086">
        <v>45</v>
      </c>
      <c r="C1086">
        <v>107</v>
      </c>
      <c r="D1086" s="51" t="s">
        <v>43</v>
      </c>
      <c r="E1086">
        <f>VLOOKUP(M1086,'MASS - 2016'!$A$1:$G$3418,6,FALSE)</f>
        <v>-86863.702999999994</v>
      </c>
      <c r="F1086">
        <f>VLOOKUP(M1086,'MASS - 2016'!$A$1:$G$3418,7,FALSE)</f>
        <v>12.051</v>
      </c>
      <c r="G1086">
        <f t="shared" si="86"/>
        <v>-86863.702999999994</v>
      </c>
      <c r="H1086">
        <f t="shared" si="82"/>
        <v>106.906747979792</v>
      </c>
      <c r="I1086">
        <f t="shared" si="83"/>
        <v>99.583000823999996</v>
      </c>
      <c r="J1086">
        <f t="shared" si="85"/>
        <v>99560.005824000007</v>
      </c>
      <c r="M1086">
        <f t="shared" si="84"/>
        <v>62045</v>
      </c>
    </row>
    <row r="1087" spans="1:13" x14ac:dyDescent="0.2">
      <c r="A1087">
        <v>61</v>
      </c>
      <c r="B1087">
        <v>46</v>
      </c>
      <c r="C1087">
        <v>107</v>
      </c>
      <c r="D1087" s="51" t="s">
        <v>44</v>
      </c>
      <c r="E1087">
        <f>VLOOKUP(M1087,'MASS - 2016'!$A$1:$G$3418,6,FALSE)</f>
        <v>-88372.638999999996</v>
      </c>
      <c r="F1087">
        <f>VLOOKUP(M1087,'MASS - 2016'!$A$1:$G$3418,7,FALSE)</f>
        <v>1.2010000000000001</v>
      </c>
      <c r="G1087">
        <f t="shared" si="86"/>
        <v>-88372.638999999996</v>
      </c>
      <c r="H1087">
        <f t="shared" si="82"/>
        <v>106.90512807037639</v>
      </c>
      <c r="I1087">
        <f t="shared" si="83"/>
        <v>99.581491888000002</v>
      </c>
      <c r="J1087">
        <f t="shared" si="85"/>
        <v>99557.98588800001</v>
      </c>
      <c r="M1087">
        <f t="shared" si="84"/>
        <v>61046</v>
      </c>
    </row>
    <row r="1088" spans="1:13" x14ac:dyDescent="0.2">
      <c r="A1088">
        <v>60</v>
      </c>
      <c r="B1088">
        <v>47</v>
      </c>
      <c r="C1088">
        <v>107</v>
      </c>
      <c r="D1088" s="51" t="s">
        <v>45</v>
      </c>
      <c r="E1088">
        <f>VLOOKUP(M1088,'MASS - 2016'!$A$1:$G$3418,6,FALSE)</f>
        <v>-88406.67</v>
      </c>
      <c r="F1088">
        <f>VLOOKUP(M1088,'MASS - 2016'!$A$1:$G$3418,7,FALSE)</f>
        <v>2.3820000000000001</v>
      </c>
      <c r="G1088">
        <f t="shared" si="86"/>
        <v>-88406.67</v>
      </c>
      <c r="H1088">
        <f t="shared" si="82"/>
        <v>106.90509153659542</v>
      </c>
      <c r="I1088">
        <f t="shared" si="83"/>
        <v>99.581457857000004</v>
      </c>
      <c r="J1088">
        <f t="shared" si="85"/>
        <v>99557.440856999994</v>
      </c>
      <c r="M1088">
        <f t="shared" si="84"/>
        <v>60047</v>
      </c>
    </row>
    <row r="1089" spans="1:13" x14ac:dyDescent="0.2">
      <c r="A1089">
        <v>59</v>
      </c>
      <c r="B1089">
        <v>48</v>
      </c>
      <c r="C1089">
        <v>107</v>
      </c>
      <c r="D1089" s="51" t="s">
        <v>46</v>
      </c>
      <c r="E1089">
        <f>VLOOKUP(M1089,'MASS - 2016'!$A$1:$G$3418,6,FALSE)</f>
        <v>-86990.260999999999</v>
      </c>
      <c r="F1089">
        <f>VLOOKUP(M1089,'MASS - 2016'!$A$1:$G$3418,7,FALSE)</f>
        <v>1.665</v>
      </c>
      <c r="G1089">
        <f t="shared" si="86"/>
        <v>-86990.260999999999</v>
      </c>
      <c r="H1089">
        <f t="shared" si="82"/>
        <v>106.90661211419147</v>
      </c>
      <c r="I1089">
        <f t="shared" si="83"/>
        <v>99.582874266000005</v>
      </c>
      <c r="J1089">
        <f t="shared" si="85"/>
        <v>99558.346265999993</v>
      </c>
      <c r="M1089">
        <f t="shared" si="84"/>
        <v>59048</v>
      </c>
    </row>
    <row r="1090" spans="1:13" x14ac:dyDescent="0.2">
      <c r="A1090">
        <v>58</v>
      </c>
      <c r="B1090">
        <v>49</v>
      </c>
      <c r="C1090">
        <v>107</v>
      </c>
      <c r="D1090" s="51" t="s">
        <v>47</v>
      </c>
      <c r="E1090">
        <f>VLOOKUP(M1090,'MASS - 2016'!$A$1:$G$3418,6,FALSE)</f>
        <v>-83564.260999999999</v>
      </c>
      <c r="F1090">
        <f>VLOOKUP(M1090,'MASS - 2016'!$A$1:$G$3418,7,FALSE)</f>
        <v>11.125</v>
      </c>
      <c r="G1090">
        <f t="shared" si="86"/>
        <v>-83564.260999999999</v>
      </c>
      <c r="H1090">
        <f t="shared" si="82"/>
        <v>106.91029007644956</v>
      </c>
      <c r="I1090">
        <f t="shared" si="83"/>
        <v>99.586300265999995</v>
      </c>
      <c r="J1090">
        <f t="shared" si="85"/>
        <v>99561.261265999987</v>
      </c>
      <c r="M1090">
        <f t="shared" si="84"/>
        <v>58049</v>
      </c>
    </row>
    <row r="1091" spans="1:13" x14ac:dyDescent="0.2">
      <c r="A1091">
        <v>57</v>
      </c>
      <c r="B1091">
        <v>50</v>
      </c>
      <c r="C1091">
        <v>107</v>
      </c>
      <c r="D1091" s="51" t="s">
        <v>48</v>
      </c>
      <c r="E1091">
        <f>VLOOKUP(M1091,'MASS - 2016'!$A$1:$G$3418,6,FALSE)</f>
        <v>-78512.228000000003</v>
      </c>
      <c r="F1091">
        <f>VLOOKUP(M1091,'MASS - 2016'!$A$1:$G$3418,7,FALSE)</f>
        <v>5.31</v>
      </c>
      <c r="G1091">
        <f t="shared" si="86"/>
        <v>-78512.228000000003</v>
      </c>
      <c r="H1091">
        <f t="shared" si="82"/>
        <v>106.91571365692262</v>
      </c>
      <c r="I1091">
        <f t="shared" si="83"/>
        <v>99.591352299000008</v>
      </c>
      <c r="J1091">
        <f t="shared" si="85"/>
        <v>99565.802299000003</v>
      </c>
      <c r="M1091">
        <f t="shared" si="84"/>
        <v>57050</v>
      </c>
    </row>
    <row r="1092" spans="1:13" x14ac:dyDescent="0.2">
      <c r="A1092">
        <v>56</v>
      </c>
      <c r="B1092">
        <v>51</v>
      </c>
      <c r="C1092">
        <v>107</v>
      </c>
      <c r="D1092" s="51" t="s">
        <v>49</v>
      </c>
      <c r="E1092">
        <f>VLOOKUP(M1092,'MASS - 2016'!$A$1:$G$3418,6,FALSE)</f>
        <v>-70653.239000000001</v>
      </c>
      <c r="F1092">
        <f>VLOOKUP(M1092,'MASS - 2016'!$A$1:$G$3418,7,FALSE)</f>
        <v>4.1479999999999997</v>
      </c>
      <c r="G1092">
        <f t="shared" si="86"/>
        <v>-70653.239000000001</v>
      </c>
      <c r="H1092">
        <f t="shared" si="82"/>
        <v>106.92415062858893</v>
      </c>
      <c r="I1092">
        <f t="shared" si="83"/>
        <v>99.599211288000006</v>
      </c>
      <c r="J1092">
        <f t="shared" si="85"/>
        <v>99573.150288000004</v>
      </c>
      <c r="M1092">
        <f t="shared" si="84"/>
        <v>56051</v>
      </c>
    </row>
    <row r="1093" spans="1:13" x14ac:dyDescent="0.2">
      <c r="A1093">
        <v>55</v>
      </c>
      <c r="B1093">
        <v>52</v>
      </c>
      <c r="C1093">
        <v>107</v>
      </c>
      <c r="D1093" s="51" t="s">
        <v>50</v>
      </c>
      <c r="E1093">
        <f>VLOOKUP(M1093,'MASS - 2016'!$A$1:$G$3418,6,FALSE)</f>
        <v>-60539.326000000001</v>
      </c>
      <c r="F1093">
        <f>VLOOKUP(M1093,'MASS - 2016'!$A$1:$G$3418,7,FALSE)</f>
        <v>70.83</v>
      </c>
      <c r="G1093">
        <f t="shared" si="86"/>
        <v>-60539.326000000001</v>
      </c>
      <c r="H1093">
        <f t="shared" si="82"/>
        <v>106.93500836072427</v>
      </c>
      <c r="I1093">
        <f t="shared" si="83"/>
        <v>99.609325201000004</v>
      </c>
      <c r="J1093">
        <f t="shared" si="85"/>
        <v>99582.753201</v>
      </c>
      <c r="M1093">
        <f t="shared" si="84"/>
        <v>55052</v>
      </c>
    </row>
    <row r="1094" spans="1:13" x14ac:dyDescent="0.2">
      <c r="A1094">
        <v>68</v>
      </c>
      <c r="B1094">
        <v>40</v>
      </c>
      <c r="C1094">
        <v>108</v>
      </c>
      <c r="D1094" s="51" t="s">
        <v>38</v>
      </c>
      <c r="E1094" t="str">
        <f>VLOOKUP(M1094,'MASS - 2016'!$A$1:$G$3418,6,FALSE)</f>
        <v>-51353#</v>
      </c>
      <c r="F1094" t="str">
        <f>VLOOKUP(M1094,'MASS - 2016'!$A$1:$G$3418,7,FALSE)</f>
        <v>401#</v>
      </c>
      <c r="G1094">
        <f t="shared" si="86"/>
        <v>-51353.01</v>
      </c>
      <c r="H1094">
        <f t="shared" si="82"/>
        <v>107.94487027652664</v>
      </c>
      <c r="I1094">
        <f t="shared" si="83"/>
        <v>100.550005578</v>
      </c>
      <c r="J1094">
        <f t="shared" si="85"/>
        <v>100529.56557799999</v>
      </c>
      <c r="M1094">
        <f t="shared" si="84"/>
        <v>68040</v>
      </c>
    </row>
    <row r="1095" spans="1:13" x14ac:dyDescent="0.2">
      <c r="A1095">
        <v>67</v>
      </c>
      <c r="B1095">
        <v>41</v>
      </c>
      <c r="C1095">
        <v>108</v>
      </c>
      <c r="D1095" s="51" t="s">
        <v>39</v>
      </c>
      <c r="E1095">
        <f>VLOOKUP(M1095,'MASS - 2016'!$A$1:$G$3418,6,FALSE)</f>
        <v>-59545.764999999999</v>
      </c>
      <c r="F1095">
        <f>VLOOKUP(M1095,'MASS - 2016'!$A$1:$G$3418,7,FALSE)</f>
        <v>8.2370000000000001</v>
      </c>
      <c r="G1095">
        <f t="shared" si="86"/>
        <v>-59545.764999999999</v>
      </c>
      <c r="H1095">
        <f t="shared" si="82"/>
        <v>107.93607499232354</v>
      </c>
      <c r="I1095">
        <f t="shared" si="83"/>
        <v>100.541812823</v>
      </c>
      <c r="J1095">
        <f t="shared" si="85"/>
        <v>100520.861823</v>
      </c>
      <c r="M1095">
        <f t="shared" si="84"/>
        <v>67041</v>
      </c>
    </row>
    <row r="1096" spans="1:13" x14ac:dyDescent="0.2">
      <c r="A1096">
        <v>66</v>
      </c>
      <c r="B1096">
        <v>42</v>
      </c>
      <c r="C1096">
        <v>108</v>
      </c>
      <c r="D1096" s="51" t="s">
        <v>40</v>
      </c>
      <c r="E1096">
        <f>VLOOKUP(M1096,'MASS - 2016'!$A$1:$G$3418,6,FALSE)</f>
        <v>-70755.941999999995</v>
      </c>
      <c r="F1096">
        <f>VLOOKUP(M1096,'MASS - 2016'!$A$1:$G$3418,7,FALSE)</f>
        <v>9.2330000000000005</v>
      </c>
      <c r="G1096">
        <f t="shared" si="86"/>
        <v>-70755.941999999995</v>
      </c>
      <c r="H1096">
        <f t="shared" si="82"/>
        <v>107.92404037238407</v>
      </c>
      <c r="I1096">
        <f t="shared" si="83"/>
        <v>100.53060264599999</v>
      </c>
      <c r="J1096">
        <f t="shared" si="85"/>
        <v>100509.14064599999</v>
      </c>
      <c r="M1096">
        <f t="shared" si="84"/>
        <v>66042</v>
      </c>
    </row>
    <row r="1097" spans="1:13" x14ac:dyDescent="0.2">
      <c r="A1097">
        <v>65</v>
      </c>
      <c r="B1097">
        <v>43</v>
      </c>
      <c r="C1097">
        <v>108</v>
      </c>
      <c r="D1097" s="51" t="s">
        <v>41</v>
      </c>
      <c r="E1097">
        <f>VLOOKUP(M1097,'MASS - 2016'!$A$1:$G$3418,6,FALSE)</f>
        <v>-75922.778000000006</v>
      </c>
      <c r="F1097">
        <f>VLOOKUP(M1097,'MASS - 2016'!$A$1:$G$3418,7,FALSE)</f>
        <v>8.7690000000000001</v>
      </c>
      <c r="G1097">
        <f t="shared" si="86"/>
        <v>-75922.778000000006</v>
      </c>
      <c r="H1097">
        <f t="shared" ref="H1097:H1160" si="87">(C1097*$A$3+G1097/1000000)/$A$3</f>
        <v>107.91849354582196</v>
      </c>
      <c r="I1097">
        <f t="shared" ref="I1097:I1160" si="88">H1097*$A$3</f>
        <v>100.52543580999999</v>
      </c>
      <c r="J1097">
        <f t="shared" si="85"/>
        <v>100503.46281</v>
      </c>
      <c r="M1097">
        <f t="shared" ref="M1097:M1160" si="89">1000*A1097+B1097</f>
        <v>65043</v>
      </c>
    </row>
    <row r="1098" spans="1:13" x14ac:dyDescent="0.2">
      <c r="A1098">
        <v>64</v>
      </c>
      <c r="B1098">
        <v>44</v>
      </c>
      <c r="C1098">
        <v>108</v>
      </c>
      <c r="D1098" s="51" t="s">
        <v>42</v>
      </c>
      <c r="E1098">
        <f>VLOOKUP(M1098,'MASS - 2016'!$A$1:$G$3418,6,FALSE)</f>
        <v>-83661.350000000006</v>
      </c>
      <c r="F1098">
        <f>VLOOKUP(M1098,'MASS - 2016'!$A$1:$G$3418,7,FALSE)</f>
        <v>8.68</v>
      </c>
      <c r="G1098">
        <f t="shared" si="86"/>
        <v>-83661.350000000006</v>
      </c>
      <c r="H1098">
        <f t="shared" si="87"/>
        <v>107.91018584712157</v>
      </c>
      <c r="I1098">
        <f t="shared" si="88"/>
        <v>100.517697238</v>
      </c>
      <c r="J1098">
        <f t="shared" si="85"/>
        <v>100495.213238</v>
      </c>
      <c r="M1098">
        <f t="shared" si="89"/>
        <v>64044</v>
      </c>
    </row>
    <row r="1099" spans="1:13" x14ac:dyDescent="0.2">
      <c r="A1099">
        <v>63</v>
      </c>
      <c r="B1099">
        <v>45</v>
      </c>
      <c r="C1099">
        <v>108</v>
      </c>
      <c r="D1099" s="51" t="s">
        <v>43</v>
      </c>
      <c r="E1099">
        <f>VLOOKUP(M1099,'MASS - 2016'!$A$1:$G$3418,6,FALSE)</f>
        <v>-85031.721000000005</v>
      </c>
      <c r="F1099">
        <f>VLOOKUP(M1099,'MASS - 2016'!$A$1:$G$3418,7,FALSE)</f>
        <v>13.996</v>
      </c>
      <c r="G1099">
        <f t="shared" si="86"/>
        <v>-85031.721000000005</v>
      </c>
      <c r="H1099">
        <f t="shared" si="87"/>
        <v>107.90871469335111</v>
      </c>
      <c r="I1099">
        <f t="shared" si="88"/>
        <v>100.516326867</v>
      </c>
      <c r="J1099">
        <f t="shared" si="85"/>
        <v>100493.33186700002</v>
      </c>
      <c r="M1099">
        <f t="shared" si="89"/>
        <v>63045</v>
      </c>
    </row>
    <row r="1100" spans="1:13" x14ac:dyDescent="0.2">
      <c r="A1100">
        <v>62</v>
      </c>
      <c r="B1100">
        <v>46</v>
      </c>
      <c r="C1100">
        <v>108</v>
      </c>
      <c r="D1100" s="51" t="s">
        <v>44</v>
      </c>
      <c r="E1100">
        <f>VLOOKUP(M1100,'MASS - 2016'!$A$1:$G$3418,6,FALSE)</f>
        <v>-89524.206000000006</v>
      </c>
      <c r="F1100">
        <f>VLOOKUP(M1100,'MASS - 2016'!$A$1:$G$3418,7,FALSE)</f>
        <v>1.1080000000000001</v>
      </c>
      <c r="G1100">
        <f t="shared" si="86"/>
        <v>-89524.206000000006</v>
      </c>
      <c r="H1100">
        <f t="shared" si="87"/>
        <v>107.90389181236014</v>
      </c>
      <c r="I1100">
        <f t="shared" si="88"/>
        <v>100.511834382</v>
      </c>
      <c r="J1100">
        <f t="shared" ref="J1100:J1163" si="90">1000*I1100-B1100*0.511</f>
        <v>100488.32838200001</v>
      </c>
      <c r="M1100">
        <f t="shared" si="89"/>
        <v>62046</v>
      </c>
    </row>
    <row r="1101" spans="1:13" x14ac:dyDescent="0.2">
      <c r="A1101">
        <v>61</v>
      </c>
      <c r="B1101">
        <v>47</v>
      </c>
      <c r="C1101">
        <v>108</v>
      </c>
      <c r="D1101" s="51" t="s">
        <v>45</v>
      </c>
      <c r="E1101">
        <f>VLOOKUP(M1101,'MASS - 2016'!$A$1:$G$3418,6,FALSE)</f>
        <v>-87606.763000000006</v>
      </c>
      <c r="F1101">
        <f>VLOOKUP(M1101,'MASS - 2016'!$A$1:$G$3418,7,FALSE)</f>
        <v>2.3879999999999999</v>
      </c>
      <c r="G1101">
        <f t="shared" si="86"/>
        <v>-87606.763000000006</v>
      </c>
      <c r="H1101">
        <f t="shared" si="87"/>
        <v>107.90595027207587</v>
      </c>
      <c r="I1101">
        <f t="shared" si="88"/>
        <v>100.513751825</v>
      </c>
      <c r="J1101">
        <f t="shared" si="90"/>
        <v>100489.73482499999</v>
      </c>
      <c r="M1101">
        <f t="shared" si="89"/>
        <v>61047</v>
      </c>
    </row>
    <row r="1102" spans="1:13" x14ac:dyDescent="0.2">
      <c r="A1102">
        <v>60</v>
      </c>
      <c r="B1102">
        <v>48</v>
      </c>
      <c r="C1102">
        <v>108</v>
      </c>
      <c r="D1102" s="51" t="s">
        <v>46</v>
      </c>
      <c r="E1102">
        <f>VLOOKUP(M1102,'MASS - 2016'!$A$1:$G$3418,6,FALSE)</f>
        <v>-89252.414000000004</v>
      </c>
      <c r="F1102">
        <f>VLOOKUP(M1102,'MASS - 2016'!$A$1:$G$3418,7,FALSE)</f>
        <v>1.123</v>
      </c>
      <c r="G1102">
        <f t="shared" si="86"/>
        <v>-89252.414000000004</v>
      </c>
      <c r="H1102">
        <f t="shared" si="87"/>
        <v>107.90418359307178</v>
      </c>
      <c r="I1102">
        <f t="shared" si="88"/>
        <v>100.512106174</v>
      </c>
      <c r="J1102">
        <f t="shared" si="90"/>
        <v>100487.57817399999</v>
      </c>
      <c r="M1102">
        <f t="shared" si="89"/>
        <v>60048</v>
      </c>
    </row>
    <row r="1103" spans="1:13" x14ac:dyDescent="0.2">
      <c r="A1103">
        <v>59</v>
      </c>
      <c r="B1103">
        <v>49</v>
      </c>
      <c r="C1103">
        <v>108</v>
      </c>
      <c r="D1103" s="51" t="s">
        <v>47</v>
      </c>
      <c r="E1103">
        <f>VLOOKUP(M1103,'MASS - 2016'!$A$1:$G$3418,6,FALSE)</f>
        <v>-84119.819000000003</v>
      </c>
      <c r="F1103">
        <f>VLOOKUP(M1103,'MASS - 2016'!$A$1:$G$3418,7,FALSE)</f>
        <v>8.641</v>
      </c>
      <c r="G1103">
        <f t="shared" ref="G1103:G1166" si="91">IF(ISNUMBER(E1103),E1103,VALUE(SUBSTITUTE(E1103,"#",".01")))</f>
        <v>-84119.819000000003</v>
      </c>
      <c r="H1103">
        <f t="shared" si="87"/>
        <v>107.90969366040865</v>
      </c>
      <c r="I1103">
        <f t="shared" si="88"/>
        <v>100.517238769</v>
      </c>
      <c r="J1103">
        <f t="shared" si="90"/>
        <v>100492.199769</v>
      </c>
      <c r="M1103">
        <f t="shared" si="89"/>
        <v>59049</v>
      </c>
    </row>
    <row r="1104" spans="1:13" x14ac:dyDescent="0.2">
      <c r="A1104">
        <v>58</v>
      </c>
      <c r="B1104">
        <v>50</v>
      </c>
      <c r="C1104">
        <v>108</v>
      </c>
      <c r="D1104" s="51" t="s">
        <v>48</v>
      </c>
      <c r="E1104">
        <f>VLOOKUP(M1104,'MASS - 2016'!$A$1:$G$3418,6,FALSE)</f>
        <v>-82069.937999999995</v>
      </c>
      <c r="F1104">
        <f>VLOOKUP(M1104,'MASS - 2016'!$A$1:$G$3418,7,FALSE)</f>
        <v>5.3819999999999997</v>
      </c>
      <c r="G1104">
        <f t="shared" si="91"/>
        <v>-82069.937999999995</v>
      </c>
      <c r="H1104">
        <f t="shared" si="87"/>
        <v>107.9118942981645</v>
      </c>
      <c r="I1104">
        <f t="shared" si="88"/>
        <v>100.51928864999999</v>
      </c>
      <c r="J1104">
        <f t="shared" si="90"/>
        <v>100493.73864999998</v>
      </c>
      <c r="M1104">
        <f t="shared" si="89"/>
        <v>58050</v>
      </c>
    </row>
    <row r="1105" spans="1:13" x14ac:dyDescent="0.2">
      <c r="A1105">
        <v>57</v>
      </c>
      <c r="B1105">
        <v>51</v>
      </c>
      <c r="C1105">
        <v>108</v>
      </c>
      <c r="D1105" s="51" t="s">
        <v>49</v>
      </c>
      <c r="E1105">
        <f>VLOOKUP(M1105,'MASS - 2016'!$A$1:$G$3418,6,FALSE)</f>
        <v>-72445.331000000006</v>
      </c>
      <c r="F1105">
        <f>VLOOKUP(M1105,'MASS - 2016'!$A$1:$G$3418,7,FALSE)</f>
        <v>5.4960000000000004</v>
      </c>
      <c r="G1105">
        <f t="shared" si="91"/>
        <v>-72445.331000000006</v>
      </c>
      <c r="H1105">
        <f t="shared" si="87"/>
        <v>107.92222673870596</v>
      </c>
      <c r="I1105">
        <f t="shared" si="88"/>
        <v>100.528913257</v>
      </c>
      <c r="J1105">
        <f t="shared" si="90"/>
        <v>100502.85225699999</v>
      </c>
      <c r="M1105">
        <f t="shared" si="89"/>
        <v>57051</v>
      </c>
    </row>
    <row r="1106" spans="1:13" x14ac:dyDescent="0.2">
      <c r="A1106">
        <v>56</v>
      </c>
      <c r="B1106">
        <v>52</v>
      </c>
      <c r="C1106">
        <v>108</v>
      </c>
      <c r="D1106" s="51" t="s">
        <v>50</v>
      </c>
      <c r="E1106">
        <f>VLOOKUP(M1106,'MASS - 2016'!$A$1:$G$3418,6,FALSE)</f>
        <v>-65781.667000000001</v>
      </c>
      <c r="F1106">
        <f>VLOOKUP(M1106,'MASS - 2016'!$A$1:$G$3418,7,FALSE)</f>
        <v>5.4109999999999996</v>
      </c>
      <c r="G1106">
        <f t="shared" si="91"/>
        <v>-65781.667000000001</v>
      </c>
      <c r="H1106">
        <f t="shared" si="87"/>
        <v>107.92938047621111</v>
      </c>
      <c r="I1106">
        <f t="shared" si="88"/>
        <v>100.535576921</v>
      </c>
      <c r="J1106">
        <f t="shared" si="90"/>
        <v>100509.004921</v>
      </c>
      <c r="M1106">
        <f t="shared" si="89"/>
        <v>56052</v>
      </c>
    </row>
    <row r="1107" spans="1:13" x14ac:dyDescent="0.2">
      <c r="A1107">
        <v>55</v>
      </c>
      <c r="B1107">
        <v>53</v>
      </c>
      <c r="C1107">
        <v>108</v>
      </c>
      <c r="D1107" s="51" t="s">
        <v>51</v>
      </c>
      <c r="E1107">
        <f>VLOOKUP(M1107,'MASS - 2016'!$A$1:$G$3418,6,FALSE)</f>
        <v>-52649.605000000003</v>
      </c>
      <c r="F1107">
        <f>VLOOKUP(M1107,'MASS - 2016'!$A$1:$G$3418,7,FALSE)</f>
        <v>132.26</v>
      </c>
      <c r="G1107">
        <f t="shared" si="91"/>
        <v>-52649.605000000003</v>
      </c>
      <c r="H1107">
        <f t="shared" si="87"/>
        <v>107.9434783245494</v>
      </c>
      <c r="I1107">
        <f t="shared" si="88"/>
        <v>100.548708983</v>
      </c>
      <c r="J1107">
        <f t="shared" si="90"/>
        <v>100521.62598300001</v>
      </c>
      <c r="M1107">
        <f t="shared" si="89"/>
        <v>55053</v>
      </c>
    </row>
    <row r="1108" spans="1:13" x14ac:dyDescent="0.2">
      <c r="A1108">
        <v>68</v>
      </c>
      <c r="B1108">
        <v>41</v>
      </c>
      <c r="C1108">
        <v>109</v>
      </c>
      <c r="D1108" s="51" t="s">
        <v>39</v>
      </c>
      <c r="E1108">
        <f>VLOOKUP(M1108,'MASS - 2016'!$A$1:$G$3418,6,FALSE)</f>
        <v>-56689.794000000002</v>
      </c>
      <c r="F1108">
        <f>VLOOKUP(M1108,'MASS - 2016'!$A$1:$G$3418,7,FALSE)</f>
        <v>258.49</v>
      </c>
      <c r="G1108">
        <f t="shared" si="91"/>
        <v>-56689.794000000002</v>
      </c>
      <c r="H1108">
        <f t="shared" si="87"/>
        <v>108.93914100328332</v>
      </c>
      <c r="I1108">
        <f t="shared" si="88"/>
        <v>101.476162855</v>
      </c>
      <c r="J1108">
        <f t="shared" si="90"/>
        <v>101455.211855</v>
      </c>
      <c r="M1108">
        <f t="shared" si="89"/>
        <v>68041</v>
      </c>
    </row>
    <row r="1109" spans="1:13" x14ac:dyDescent="0.2">
      <c r="A1109">
        <v>67</v>
      </c>
      <c r="B1109">
        <v>42</v>
      </c>
      <c r="C1109">
        <v>109</v>
      </c>
      <c r="D1109" s="51" t="s">
        <v>40</v>
      </c>
      <c r="E1109">
        <f>VLOOKUP(M1109,'MASS - 2016'!$A$1:$G$3418,6,FALSE)</f>
        <v>-66665.995999999999</v>
      </c>
      <c r="F1109">
        <f>VLOOKUP(M1109,'MASS - 2016'!$A$1:$G$3418,7,FALSE)</f>
        <v>11.188000000000001</v>
      </c>
      <c r="G1109">
        <f t="shared" si="91"/>
        <v>-66665.995999999999</v>
      </c>
      <c r="H1109">
        <f t="shared" si="87"/>
        <v>108.92843110998643</v>
      </c>
      <c r="I1109">
        <f t="shared" si="88"/>
        <v>101.46618665299999</v>
      </c>
      <c r="J1109">
        <f t="shared" si="90"/>
        <v>101444.724653</v>
      </c>
      <c r="M1109">
        <f t="shared" si="89"/>
        <v>67042</v>
      </c>
    </row>
    <row r="1110" spans="1:13" x14ac:dyDescent="0.2">
      <c r="A1110">
        <v>66</v>
      </c>
      <c r="B1110">
        <v>43</v>
      </c>
      <c r="C1110">
        <v>109</v>
      </c>
      <c r="D1110" s="51" t="s">
        <v>41</v>
      </c>
      <c r="E1110">
        <f>VLOOKUP(M1110,'MASS - 2016'!$A$1:$G$3418,6,FALSE)</f>
        <v>-74282.774999999994</v>
      </c>
      <c r="F1110">
        <f>VLOOKUP(M1110,'MASS - 2016'!$A$1:$G$3418,7,FALSE)</f>
        <v>9.6690000000000005</v>
      </c>
      <c r="G1110">
        <f t="shared" si="91"/>
        <v>-74282.774999999994</v>
      </c>
      <c r="H1110">
        <f t="shared" si="87"/>
        <v>108.9202541614487</v>
      </c>
      <c r="I1110">
        <f t="shared" si="88"/>
        <v>101.45856987399999</v>
      </c>
      <c r="J1110">
        <f t="shared" si="90"/>
        <v>101436.596874</v>
      </c>
      <c r="M1110">
        <f t="shared" si="89"/>
        <v>66043</v>
      </c>
    </row>
    <row r="1111" spans="1:13" x14ac:dyDescent="0.2">
      <c r="A1111">
        <v>65</v>
      </c>
      <c r="B1111">
        <v>44</v>
      </c>
      <c r="C1111">
        <v>109</v>
      </c>
      <c r="D1111" s="51" t="s">
        <v>42</v>
      </c>
      <c r="E1111">
        <f>VLOOKUP(M1111,'MASS - 2016'!$A$1:$G$3418,6,FALSE)</f>
        <v>-80738.400999999998</v>
      </c>
      <c r="F1111">
        <f>VLOOKUP(M1111,'MASS - 2016'!$A$1:$G$3418,7,FALSE)</f>
        <v>8.9540000000000006</v>
      </c>
      <c r="G1111">
        <f t="shared" si="91"/>
        <v>-80738.400999999998</v>
      </c>
      <c r="H1111">
        <f t="shared" si="87"/>
        <v>108.91332376192143</v>
      </c>
      <c r="I1111">
        <f t="shared" si="88"/>
        <v>101.45211424799999</v>
      </c>
      <c r="J1111">
        <f t="shared" si="90"/>
        <v>101429.63024799999</v>
      </c>
      <c r="M1111">
        <f t="shared" si="89"/>
        <v>65044</v>
      </c>
    </row>
    <row r="1112" spans="1:13" x14ac:dyDescent="0.2">
      <c r="A1112">
        <v>64</v>
      </c>
      <c r="B1112">
        <v>45</v>
      </c>
      <c r="C1112">
        <v>109</v>
      </c>
      <c r="D1112" s="51" t="s">
        <v>43</v>
      </c>
      <c r="E1112">
        <f>VLOOKUP(M1112,'MASS - 2016'!$A$1:$G$3418,6,FALSE)</f>
        <v>-84999.455000000002</v>
      </c>
      <c r="F1112">
        <f>VLOOKUP(M1112,'MASS - 2016'!$A$1:$G$3418,7,FALSE)</f>
        <v>4.0389999999999997</v>
      </c>
      <c r="G1112">
        <f t="shared" si="91"/>
        <v>-84999.455000000002</v>
      </c>
      <c r="H1112">
        <f t="shared" si="87"/>
        <v>108.90874933232665</v>
      </c>
      <c r="I1112">
        <f t="shared" si="88"/>
        <v>101.44785319399999</v>
      </c>
      <c r="J1112">
        <f t="shared" si="90"/>
        <v>101424.858194</v>
      </c>
      <c r="M1112">
        <f t="shared" si="89"/>
        <v>64045</v>
      </c>
    </row>
    <row r="1113" spans="1:13" x14ac:dyDescent="0.2">
      <c r="A1113">
        <v>63</v>
      </c>
      <c r="B1113">
        <v>46</v>
      </c>
      <c r="C1113">
        <v>109</v>
      </c>
      <c r="D1113" s="51" t="s">
        <v>44</v>
      </c>
      <c r="E1113">
        <f>VLOOKUP(M1113,'MASS - 2016'!$A$1:$G$3418,6,FALSE)</f>
        <v>-87606.475999999995</v>
      </c>
      <c r="F1113">
        <f>VLOOKUP(M1113,'MASS - 2016'!$A$1:$G$3418,7,FALSE)</f>
        <v>1.1140000000000001</v>
      </c>
      <c r="G1113">
        <f t="shared" si="91"/>
        <v>-87606.475999999995</v>
      </c>
      <c r="H1113">
        <f t="shared" si="87"/>
        <v>108.90595058018302</v>
      </c>
      <c r="I1113">
        <f t="shared" si="88"/>
        <v>101.44524617299999</v>
      </c>
      <c r="J1113">
        <f t="shared" si="90"/>
        <v>101421.740173</v>
      </c>
      <c r="M1113">
        <f t="shared" si="89"/>
        <v>63046</v>
      </c>
    </row>
    <row r="1114" spans="1:13" x14ac:dyDescent="0.2">
      <c r="A1114">
        <v>62</v>
      </c>
      <c r="B1114">
        <v>47</v>
      </c>
      <c r="C1114">
        <v>109</v>
      </c>
      <c r="D1114" s="51" t="s">
        <v>45</v>
      </c>
      <c r="E1114">
        <f>VLOOKUP(M1114,'MASS - 2016'!$A$1:$G$3418,6,FALSE)</f>
        <v>-88719.426000000007</v>
      </c>
      <c r="F1114">
        <f>VLOOKUP(M1114,'MASS - 2016'!$A$1:$G$3418,7,FALSE)</f>
        <v>1.2869999999999999</v>
      </c>
      <c r="G1114">
        <f t="shared" si="91"/>
        <v>-88719.426000000007</v>
      </c>
      <c r="H1114">
        <f t="shared" si="87"/>
        <v>108.90475577922122</v>
      </c>
      <c r="I1114">
        <f t="shared" si="88"/>
        <v>101.44413322299999</v>
      </c>
      <c r="J1114">
        <f t="shared" si="90"/>
        <v>101420.11622299999</v>
      </c>
      <c r="M1114">
        <f t="shared" si="89"/>
        <v>62047</v>
      </c>
    </row>
    <row r="1115" spans="1:13" x14ac:dyDescent="0.2">
      <c r="A1115">
        <v>61</v>
      </c>
      <c r="B1115">
        <v>48</v>
      </c>
      <c r="C1115">
        <v>109</v>
      </c>
      <c r="D1115" s="51" t="s">
        <v>46</v>
      </c>
      <c r="E1115">
        <f>VLOOKUP(M1115,'MASS - 2016'!$A$1:$G$3418,6,FALSE)</f>
        <v>-88504.320999999996</v>
      </c>
      <c r="F1115">
        <f>VLOOKUP(M1115,'MASS - 2016'!$A$1:$G$3418,7,FALSE)</f>
        <v>1.536</v>
      </c>
      <c r="G1115">
        <f t="shared" si="91"/>
        <v>-88504.320999999996</v>
      </c>
      <c r="H1115">
        <f t="shared" si="87"/>
        <v>108.90498670393562</v>
      </c>
      <c r="I1115">
        <f t="shared" si="88"/>
        <v>101.44434832799999</v>
      </c>
      <c r="J1115">
        <f t="shared" si="90"/>
        <v>101419.82032799999</v>
      </c>
      <c r="M1115">
        <f t="shared" si="89"/>
        <v>61048</v>
      </c>
    </row>
    <row r="1116" spans="1:13" x14ac:dyDescent="0.2">
      <c r="A1116">
        <v>60</v>
      </c>
      <c r="B1116">
        <v>49</v>
      </c>
      <c r="C1116">
        <v>109</v>
      </c>
      <c r="D1116" s="51" t="s">
        <v>47</v>
      </c>
      <c r="E1116">
        <f>VLOOKUP(M1116,'MASS - 2016'!$A$1:$G$3418,6,FALSE)</f>
        <v>-86489.510999999999</v>
      </c>
      <c r="F1116">
        <f>VLOOKUP(M1116,'MASS - 2016'!$A$1:$G$3418,7,FALSE)</f>
        <v>3.9689999999999999</v>
      </c>
      <c r="G1116">
        <f t="shared" si="91"/>
        <v>-86489.510999999999</v>
      </c>
      <c r="H1116">
        <f t="shared" si="87"/>
        <v>108.90714969142459</v>
      </c>
      <c r="I1116">
        <f t="shared" si="88"/>
        <v>101.446363138</v>
      </c>
      <c r="J1116">
        <f t="shared" si="90"/>
        <v>101421.324138</v>
      </c>
      <c r="M1116">
        <f t="shared" si="89"/>
        <v>60049</v>
      </c>
    </row>
    <row r="1117" spans="1:13" x14ac:dyDescent="0.2">
      <c r="A1117">
        <v>59</v>
      </c>
      <c r="B1117">
        <v>50</v>
      </c>
      <c r="C1117">
        <v>109</v>
      </c>
      <c r="D1117" s="51" t="s">
        <v>48</v>
      </c>
      <c r="E1117">
        <f>VLOOKUP(M1117,'MASS - 2016'!$A$1:$G$3418,6,FALSE)</f>
        <v>-82630.183999999994</v>
      </c>
      <c r="F1117">
        <f>VLOOKUP(M1117,'MASS - 2016'!$A$1:$G$3418,7,FALSE)</f>
        <v>7.9489999999999998</v>
      </c>
      <c r="G1117">
        <f t="shared" si="91"/>
        <v>-82630.183999999994</v>
      </c>
      <c r="H1117">
        <f t="shared" si="87"/>
        <v>108.91129284934861</v>
      </c>
      <c r="I1117">
        <f t="shared" si="88"/>
        <v>101.450222465</v>
      </c>
      <c r="J1117">
        <f t="shared" si="90"/>
        <v>101424.672465</v>
      </c>
      <c r="M1117">
        <f t="shared" si="89"/>
        <v>59050</v>
      </c>
    </row>
    <row r="1118" spans="1:13" x14ac:dyDescent="0.2">
      <c r="A1118">
        <v>58</v>
      </c>
      <c r="B1118">
        <v>51</v>
      </c>
      <c r="C1118">
        <v>109</v>
      </c>
      <c r="D1118" s="51" t="s">
        <v>49</v>
      </c>
      <c r="E1118">
        <f>VLOOKUP(M1118,'MASS - 2016'!$A$1:$G$3418,6,FALSE)</f>
        <v>-76250.976999999999</v>
      </c>
      <c r="F1118">
        <f>VLOOKUP(M1118,'MASS - 2016'!$A$1:$G$3418,7,FALSE)</f>
        <v>5.2649999999999997</v>
      </c>
      <c r="G1118">
        <f t="shared" si="91"/>
        <v>-76250.976999999999</v>
      </c>
      <c r="H1118">
        <f t="shared" si="87"/>
        <v>108.91814120970547</v>
      </c>
      <c r="I1118">
        <f t="shared" si="88"/>
        <v>101.45660167199999</v>
      </c>
      <c r="J1118">
        <f t="shared" si="90"/>
        <v>101430.54067199999</v>
      </c>
      <c r="M1118">
        <f t="shared" si="89"/>
        <v>58051</v>
      </c>
    </row>
    <row r="1119" spans="1:13" x14ac:dyDescent="0.2">
      <c r="A1119">
        <v>57</v>
      </c>
      <c r="B1119">
        <v>52</v>
      </c>
      <c r="C1119">
        <v>109</v>
      </c>
      <c r="D1119" s="51" t="s">
        <v>50</v>
      </c>
      <c r="E1119">
        <f>VLOOKUP(M1119,'MASS - 2016'!$A$1:$G$3418,6,FALSE)</f>
        <v>-67715.39</v>
      </c>
      <c r="F1119">
        <f>VLOOKUP(M1119,'MASS - 2016'!$A$1:$G$3418,7,FALSE)</f>
        <v>4.3819999999999997</v>
      </c>
      <c r="G1119">
        <f t="shared" si="91"/>
        <v>-67715.39</v>
      </c>
      <c r="H1119">
        <f t="shared" si="87"/>
        <v>108.92730453919661</v>
      </c>
      <c r="I1119">
        <f t="shared" si="88"/>
        <v>101.46513725899999</v>
      </c>
      <c r="J1119">
        <f t="shared" si="90"/>
        <v>101438.56525899998</v>
      </c>
      <c r="M1119">
        <f t="shared" si="89"/>
        <v>57052</v>
      </c>
    </row>
    <row r="1120" spans="1:13" x14ac:dyDescent="0.2">
      <c r="A1120">
        <v>56</v>
      </c>
      <c r="B1120">
        <v>53</v>
      </c>
      <c r="C1120">
        <v>109</v>
      </c>
      <c r="D1120" s="51" t="s">
        <v>51</v>
      </c>
      <c r="E1120">
        <f>VLOOKUP(M1120,'MASS - 2016'!$A$1:$G$3418,6,FALSE)</f>
        <v>-57672.495999999999</v>
      </c>
      <c r="F1120">
        <f>VLOOKUP(M1120,'MASS - 2016'!$A$1:$G$3418,7,FALSE)</f>
        <v>6.7290000000000001</v>
      </c>
      <c r="G1120">
        <f t="shared" si="91"/>
        <v>-57672.495999999999</v>
      </c>
      <c r="H1120">
        <f t="shared" si="87"/>
        <v>108.93808602929998</v>
      </c>
      <c r="I1120">
        <f t="shared" si="88"/>
        <v>101.475180153</v>
      </c>
      <c r="J1120">
        <f t="shared" si="90"/>
        <v>101448.097153</v>
      </c>
      <c r="M1120">
        <f t="shared" si="89"/>
        <v>56053</v>
      </c>
    </row>
    <row r="1121" spans="1:13" x14ac:dyDescent="0.2">
      <c r="A1121">
        <v>69</v>
      </c>
      <c r="B1121">
        <v>41</v>
      </c>
      <c r="C1121">
        <v>110</v>
      </c>
      <c r="D1121" s="51" t="s">
        <v>39</v>
      </c>
      <c r="E1121">
        <f>VLOOKUP(M1121,'MASS - 2016'!$A$1:$G$3418,6,FALSE)</f>
        <v>-52309.909</v>
      </c>
      <c r="F1121">
        <f>VLOOKUP(M1121,'MASS - 2016'!$A$1:$G$3418,7,FALSE)</f>
        <v>838.34500000000003</v>
      </c>
      <c r="G1121">
        <f t="shared" si="91"/>
        <v>-52309.909</v>
      </c>
      <c r="H1121">
        <f t="shared" si="87"/>
        <v>109.943843003203</v>
      </c>
      <c r="I1121">
        <f t="shared" si="88"/>
        <v>102.412036801</v>
      </c>
      <c r="J1121">
        <f t="shared" si="90"/>
        <v>102391.08580099999</v>
      </c>
      <c r="M1121">
        <f t="shared" si="89"/>
        <v>69041</v>
      </c>
    </row>
    <row r="1122" spans="1:13" x14ac:dyDescent="0.2">
      <c r="A1122">
        <v>68</v>
      </c>
      <c r="B1122">
        <v>42</v>
      </c>
      <c r="C1122">
        <v>110</v>
      </c>
      <c r="D1122" s="51" t="s">
        <v>40</v>
      </c>
      <c r="E1122">
        <f>VLOOKUP(M1122,'MASS - 2016'!$A$1:$G$3418,6,FALSE)</f>
        <v>-64542.584999999999</v>
      </c>
      <c r="F1122">
        <f>VLOOKUP(M1122,'MASS - 2016'!$A$1:$G$3418,7,FALSE)</f>
        <v>24.222999999999999</v>
      </c>
      <c r="G1122">
        <f t="shared" si="91"/>
        <v>-64542.584999999999</v>
      </c>
      <c r="H1122">
        <f t="shared" si="87"/>
        <v>109.93071068544366</v>
      </c>
      <c r="I1122">
        <f t="shared" si="88"/>
        <v>102.399804125</v>
      </c>
      <c r="J1122">
        <f t="shared" si="90"/>
        <v>102378.34212500001</v>
      </c>
      <c r="M1122">
        <f t="shared" si="89"/>
        <v>68042</v>
      </c>
    </row>
    <row r="1123" spans="1:13" x14ac:dyDescent="0.2">
      <c r="A1123">
        <v>67</v>
      </c>
      <c r="B1123">
        <v>43</v>
      </c>
      <c r="C1123">
        <v>110</v>
      </c>
      <c r="D1123" s="51" t="s">
        <v>41</v>
      </c>
      <c r="E1123">
        <f>VLOOKUP(M1123,'MASS - 2016'!$A$1:$G$3418,6,FALSE)</f>
        <v>-71034.509999999995</v>
      </c>
      <c r="F1123">
        <f>VLOOKUP(M1123,'MASS - 2016'!$A$1:$G$3418,7,FALSE)</f>
        <v>9.4969999999999999</v>
      </c>
      <c r="G1123">
        <f t="shared" si="91"/>
        <v>-71034.509999999995</v>
      </c>
      <c r="H1123">
        <f t="shared" si="87"/>
        <v>109.92374131733729</v>
      </c>
      <c r="I1123">
        <f t="shared" si="88"/>
        <v>102.3933122</v>
      </c>
      <c r="J1123">
        <f t="shared" si="90"/>
        <v>102371.3392</v>
      </c>
      <c r="M1123">
        <f t="shared" si="89"/>
        <v>67043</v>
      </c>
    </row>
    <row r="1124" spans="1:13" x14ac:dyDescent="0.2">
      <c r="A1124">
        <v>66</v>
      </c>
      <c r="B1124">
        <v>44</v>
      </c>
      <c r="C1124">
        <v>110</v>
      </c>
      <c r="D1124" s="51" t="s">
        <v>42</v>
      </c>
      <c r="E1124">
        <f>VLOOKUP(M1124,'MASS - 2016'!$A$1:$G$3418,6,FALSE)</f>
        <v>-80072.576000000001</v>
      </c>
      <c r="F1124">
        <f>VLOOKUP(M1124,'MASS - 2016'!$A$1:$G$3418,7,FALSE)</f>
        <v>8.9239999999999995</v>
      </c>
      <c r="G1124">
        <f t="shared" si="91"/>
        <v>-80072.576000000001</v>
      </c>
      <c r="H1124">
        <f t="shared" si="87"/>
        <v>109.91403855445515</v>
      </c>
      <c r="I1124">
        <f t="shared" si="88"/>
        <v>102.38427413399999</v>
      </c>
      <c r="J1124">
        <f t="shared" si="90"/>
        <v>102361.790134</v>
      </c>
      <c r="M1124">
        <f t="shared" si="89"/>
        <v>66044</v>
      </c>
    </row>
    <row r="1125" spans="1:13" x14ac:dyDescent="0.2">
      <c r="A1125">
        <v>65</v>
      </c>
      <c r="B1125">
        <v>45</v>
      </c>
      <c r="C1125">
        <v>110</v>
      </c>
      <c r="D1125" s="51" t="s">
        <v>43</v>
      </c>
      <c r="E1125">
        <f>VLOOKUP(M1125,'MASS - 2016'!$A$1:$G$3418,6,FALSE)</f>
        <v>-82828.686000000002</v>
      </c>
      <c r="F1125">
        <f>VLOOKUP(M1125,'MASS - 2016'!$A$1:$G$3418,7,FALSE)</f>
        <v>17.805</v>
      </c>
      <c r="G1125">
        <f t="shared" si="91"/>
        <v>-82828.686000000002</v>
      </c>
      <c r="H1125">
        <f t="shared" si="87"/>
        <v>109.91107974868774</v>
      </c>
      <c r="I1125">
        <f t="shared" si="88"/>
        <v>102.381518024</v>
      </c>
      <c r="J1125">
        <f t="shared" si="90"/>
        <v>102358.52302400001</v>
      </c>
      <c r="M1125">
        <f t="shared" si="89"/>
        <v>65045</v>
      </c>
    </row>
    <row r="1126" spans="1:13" x14ac:dyDescent="0.2">
      <c r="A1126">
        <v>64</v>
      </c>
      <c r="B1126">
        <v>46</v>
      </c>
      <c r="C1126">
        <v>110</v>
      </c>
      <c r="D1126" s="51" t="s">
        <v>44</v>
      </c>
      <c r="E1126">
        <f>VLOOKUP(M1126,'MASS - 2016'!$A$1:$G$3418,6,FALSE)</f>
        <v>-88330.904999999999</v>
      </c>
      <c r="F1126">
        <f>VLOOKUP(M1126,'MASS - 2016'!$A$1:$G$3418,7,FALSE)</f>
        <v>0.61199999999999999</v>
      </c>
      <c r="G1126">
        <f t="shared" si="91"/>
        <v>-88330.904999999999</v>
      </c>
      <c r="H1126">
        <f t="shared" si="87"/>
        <v>109.90517287366795</v>
      </c>
      <c r="I1126">
        <f t="shared" si="88"/>
        <v>102.37601580499999</v>
      </c>
      <c r="J1126">
        <f t="shared" si="90"/>
        <v>102352.50980499999</v>
      </c>
      <c r="M1126">
        <f t="shared" si="89"/>
        <v>64046</v>
      </c>
    </row>
    <row r="1127" spans="1:13" x14ac:dyDescent="0.2">
      <c r="A1127">
        <v>63</v>
      </c>
      <c r="B1127">
        <v>47</v>
      </c>
      <c r="C1127">
        <v>110</v>
      </c>
      <c r="D1127" s="51" t="s">
        <v>45</v>
      </c>
      <c r="E1127">
        <f>VLOOKUP(M1127,'MASS - 2016'!$A$1:$G$3418,6,FALSE)</f>
        <v>-87457.301999999996</v>
      </c>
      <c r="F1127">
        <f>VLOOKUP(M1127,'MASS - 2016'!$A$1:$G$3418,7,FALSE)</f>
        <v>1.286</v>
      </c>
      <c r="G1127">
        <f t="shared" si="91"/>
        <v>-87457.301999999996</v>
      </c>
      <c r="H1127">
        <f t="shared" si="87"/>
        <v>109.90611072505807</v>
      </c>
      <c r="I1127">
        <f t="shared" si="88"/>
        <v>102.376889408</v>
      </c>
      <c r="J1127">
        <f t="shared" si="90"/>
        <v>102352.872408</v>
      </c>
      <c r="M1127">
        <f t="shared" si="89"/>
        <v>63047</v>
      </c>
    </row>
    <row r="1128" spans="1:13" x14ac:dyDescent="0.2">
      <c r="A1128">
        <v>62</v>
      </c>
      <c r="B1128">
        <v>48</v>
      </c>
      <c r="C1128">
        <v>110</v>
      </c>
      <c r="D1128" s="51" t="s">
        <v>46</v>
      </c>
      <c r="E1128">
        <f>VLOOKUP(M1128,'MASS - 2016'!$A$1:$G$3418,6,FALSE)</f>
        <v>-90347.968999999997</v>
      </c>
      <c r="F1128">
        <f>VLOOKUP(M1128,'MASS - 2016'!$A$1:$G$3418,7,FALSE)</f>
        <v>0.38</v>
      </c>
      <c r="G1128">
        <f t="shared" si="91"/>
        <v>-90347.968999999997</v>
      </c>
      <c r="H1128">
        <f t="shared" si="87"/>
        <v>109.90300746641046</v>
      </c>
      <c r="I1128">
        <f t="shared" si="88"/>
        <v>102.37399874099999</v>
      </c>
      <c r="J1128">
        <f t="shared" si="90"/>
        <v>102349.47074099998</v>
      </c>
      <c r="M1128">
        <f t="shared" si="89"/>
        <v>62048</v>
      </c>
    </row>
    <row r="1129" spans="1:13" x14ac:dyDescent="0.2">
      <c r="A1129">
        <v>61</v>
      </c>
      <c r="B1129">
        <v>49</v>
      </c>
      <c r="C1129">
        <v>110</v>
      </c>
      <c r="D1129" s="51" t="s">
        <v>47</v>
      </c>
      <c r="E1129">
        <f>VLOOKUP(M1129,'MASS - 2016'!$A$1:$G$3418,6,FALSE)</f>
        <v>-86469.968999999997</v>
      </c>
      <c r="F1129">
        <f>VLOOKUP(M1129,'MASS - 2016'!$A$1:$G$3418,7,FALSE)</f>
        <v>11.553000000000001</v>
      </c>
      <c r="G1129">
        <f t="shared" si="91"/>
        <v>-86469.968999999997</v>
      </c>
      <c r="H1129">
        <f t="shared" si="87"/>
        <v>109.90717067062438</v>
      </c>
      <c r="I1129">
        <f t="shared" si="88"/>
        <v>102.37787674099999</v>
      </c>
      <c r="J1129">
        <f t="shared" si="90"/>
        <v>102352.837741</v>
      </c>
      <c r="M1129">
        <f t="shared" si="89"/>
        <v>61049</v>
      </c>
    </row>
    <row r="1130" spans="1:13" x14ac:dyDescent="0.2">
      <c r="A1130">
        <v>60</v>
      </c>
      <c r="B1130">
        <v>50</v>
      </c>
      <c r="C1130">
        <v>110</v>
      </c>
      <c r="D1130" s="51" t="s">
        <v>48</v>
      </c>
      <c r="E1130">
        <f>VLOOKUP(M1130,'MASS - 2016'!$A$1:$G$3418,6,FALSE)</f>
        <v>-85841.982999999993</v>
      </c>
      <c r="F1130">
        <f>VLOOKUP(M1130,'MASS - 2016'!$A$1:$G$3418,7,FALSE)</f>
        <v>13.776999999999999</v>
      </c>
      <c r="G1130">
        <f t="shared" si="91"/>
        <v>-85841.982999999993</v>
      </c>
      <c r="H1130">
        <f t="shared" si="87"/>
        <v>109.90784484132101</v>
      </c>
      <c r="I1130">
        <f t="shared" si="88"/>
        <v>102.37850472700001</v>
      </c>
      <c r="J1130">
        <f t="shared" si="90"/>
        <v>102352.954727</v>
      </c>
      <c r="M1130">
        <f t="shared" si="89"/>
        <v>60050</v>
      </c>
    </row>
    <row r="1131" spans="1:13" x14ac:dyDescent="0.2">
      <c r="A1131">
        <v>59</v>
      </c>
      <c r="B1131">
        <v>51</v>
      </c>
      <c r="C1131">
        <v>110</v>
      </c>
      <c r="D1131" s="51" t="s">
        <v>49</v>
      </c>
      <c r="E1131">
        <f>VLOOKUP(M1131,'MASS - 2016'!$A$1:$G$3418,6,FALSE)</f>
        <v>-77449.733999999997</v>
      </c>
      <c r="F1131">
        <f>VLOOKUP(M1131,'MASS - 2016'!$A$1:$G$3418,7,FALSE)</f>
        <v>5.9619999999999997</v>
      </c>
      <c r="G1131">
        <f t="shared" si="91"/>
        <v>-77449.733999999997</v>
      </c>
      <c r="H1131">
        <f t="shared" si="87"/>
        <v>109.91685429114078</v>
      </c>
      <c r="I1131">
        <f t="shared" si="88"/>
        <v>102.386896976</v>
      </c>
      <c r="J1131">
        <f t="shared" si="90"/>
        <v>102360.835976</v>
      </c>
      <c r="M1131">
        <f t="shared" si="89"/>
        <v>59051</v>
      </c>
    </row>
    <row r="1132" spans="1:13" x14ac:dyDescent="0.2">
      <c r="A1132">
        <v>58</v>
      </c>
      <c r="B1132">
        <v>52</v>
      </c>
      <c r="C1132">
        <v>110</v>
      </c>
      <c r="D1132" s="51" t="s">
        <v>50</v>
      </c>
      <c r="E1132">
        <f>VLOOKUP(M1132,'MASS - 2016'!$A$1:$G$3418,6,FALSE)</f>
        <v>-72229.811000000002</v>
      </c>
      <c r="F1132">
        <f>VLOOKUP(M1132,'MASS - 2016'!$A$1:$G$3418,7,FALSE)</f>
        <v>6.5750000000000002</v>
      </c>
      <c r="G1132">
        <f t="shared" si="91"/>
        <v>-72229.811000000002</v>
      </c>
      <c r="H1132">
        <f t="shared" si="87"/>
        <v>109.92245810894119</v>
      </c>
      <c r="I1132">
        <f t="shared" si="88"/>
        <v>102.392116899</v>
      </c>
      <c r="J1132">
        <f t="shared" si="90"/>
        <v>102365.544899</v>
      </c>
      <c r="M1132">
        <f t="shared" si="89"/>
        <v>58052</v>
      </c>
    </row>
    <row r="1133" spans="1:13" x14ac:dyDescent="0.2">
      <c r="A1133">
        <v>57</v>
      </c>
      <c r="B1133">
        <v>53</v>
      </c>
      <c r="C1133">
        <v>110</v>
      </c>
      <c r="D1133" s="51" t="s">
        <v>51</v>
      </c>
      <c r="E1133">
        <f>VLOOKUP(M1133,'MASS - 2016'!$A$1:$G$3418,6,FALSE)</f>
        <v>-60464.175999999999</v>
      </c>
      <c r="F1133">
        <f>VLOOKUP(M1133,'MASS - 2016'!$A$1:$G$3418,7,FALSE)</f>
        <v>50.552</v>
      </c>
      <c r="G1133">
        <f t="shared" si="91"/>
        <v>-60464.175999999999</v>
      </c>
      <c r="H1133">
        <f t="shared" si="87"/>
        <v>109.93508903756715</v>
      </c>
      <c r="I1133">
        <f t="shared" si="88"/>
        <v>102.403882534</v>
      </c>
      <c r="J1133">
        <f t="shared" si="90"/>
        <v>102376.79953400001</v>
      </c>
      <c r="M1133">
        <f t="shared" si="89"/>
        <v>57053</v>
      </c>
    </row>
    <row r="1134" spans="1:13" x14ac:dyDescent="0.2">
      <c r="A1134">
        <v>56</v>
      </c>
      <c r="B1134">
        <v>54</v>
      </c>
      <c r="C1134">
        <v>110</v>
      </c>
      <c r="D1134" s="51" t="s">
        <v>52</v>
      </c>
      <c r="E1134">
        <f>VLOOKUP(M1134,'MASS - 2016'!$A$1:$G$3418,6,FALSE)</f>
        <v>-51922.625</v>
      </c>
      <c r="F1134">
        <f>VLOOKUP(M1134,'MASS - 2016'!$A$1:$G$3418,7,FALSE)</f>
        <v>100.988</v>
      </c>
      <c r="G1134">
        <f t="shared" si="91"/>
        <v>-51922.625</v>
      </c>
      <c r="H1134">
        <f t="shared" si="87"/>
        <v>109.94425876967561</v>
      </c>
      <c r="I1134">
        <f t="shared" si="88"/>
        <v>102.412424085</v>
      </c>
      <c r="J1134">
        <f t="shared" si="90"/>
        <v>102384.83008499999</v>
      </c>
      <c r="M1134">
        <f t="shared" si="89"/>
        <v>56054</v>
      </c>
    </row>
    <row r="1135" spans="1:13" x14ac:dyDescent="0.2">
      <c r="A1135">
        <v>69</v>
      </c>
      <c r="B1135">
        <v>42</v>
      </c>
      <c r="C1135">
        <v>111</v>
      </c>
      <c r="D1135" s="51" t="s">
        <v>40</v>
      </c>
      <c r="E1135">
        <f>VLOOKUP(M1135,'MASS - 2016'!$A$1:$G$3418,6,FALSE)</f>
        <v>-59939.760999999999</v>
      </c>
      <c r="F1135">
        <f>VLOOKUP(M1135,'MASS - 2016'!$A$1:$G$3418,7,FALSE)</f>
        <v>12.577999999999999</v>
      </c>
      <c r="G1135">
        <f t="shared" si="91"/>
        <v>-59939.760999999999</v>
      </c>
      <c r="H1135">
        <f t="shared" si="87"/>
        <v>110.93565202022261</v>
      </c>
      <c r="I1135">
        <f t="shared" si="88"/>
        <v>103.33590101</v>
      </c>
      <c r="J1135">
        <f t="shared" si="90"/>
        <v>103314.43901</v>
      </c>
      <c r="M1135">
        <f t="shared" si="89"/>
        <v>69042</v>
      </c>
    </row>
    <row r="1136" spans="1:13" x14ac:dyDescent="0.2">
      <c r="A1136">
        <v>68</v>
      </c>
      <c r="B1136">
        <v>43</v>
      </c>
      <c r="C1136">
        <v>111</v>
      </c>
      <c r="D1136" s="51" t="s">
        <v>41</v>
      </c>
      <c r="E1136">
        <f>VLOOKUP(M1136,'MASS - 2016'!$A$1:$G$3418,6,FALSE)</f>
        <v>-69024.622000000003</v>
      </c>
      <c r="F1136">
        <f>VLOOKUP(M1136,'MASS - 2016'!$A$1:$G$3418,7,FALSE)</f>
        <v>10.581</v>
      </c>
      <c r="G1136">
        <f t="shared" si="91"/>
        <v>-69024.622000000003</v>
      </c>
      <c r="H1136">
        <f t="shared" si="87"/>
        <v>110.92589902084195</v>
      </c>
      <c r="I1136">
        <f t="shared" si="88"/>
        <v>103.326816149</v>
      </c>
      <c r="J1136">
        <f t="shared" si="90"/>
        <v>103304.84314899999</v>
      </c>
      <c r="M1136">
        <f t="shared" si="89"/>
        <v>68043</v>
      </c>
    </row>
    <row r="1137" spans="1:13" x14ac:dyDescent="0.2">
      <c r="A1137">
        <v>67</v>
      </c>
      <c r="B1137">
        <v>44</v>
      </c>
      <c r="C1137">
        <v>111</v>
      </c>
      <c r="D1137" s="51" t="s">
        <v>42</v>
      </c>
      <c r="E1137">
        <f>VLOOKUP(M1137,'MASS - 2016'!$A$1:$G$3418,6,FALSE)</f>
        <v>-76785.270999999993</v>
      </c>
      <c r="F1137">
        <f>VLOOKUP(M1137,'MASS - 2016'!$A$1:$G$3418,7,FALSE)</f>
        <v>9.6820000000000004</v>
      </c>
      <c r="G1137">
        <f t="shared" si="91"/>
        <v>-76785.270999999993</v>
      </c>
      <c r="H1137">
        <f t="shared" si="87"/>
        <v>110.91756762150735</v>
      </c>
      <c r="I1137">
        <f t="shared" si="88"/>
        <v>103.31905549999999</v>
      </c>
      <c r="J1137">
        <f t="shared" si="90"/>
        <v>103296.57149999999</v>
      </c>
      <c r="M1137">
        <f t="shared" si="89"/>
        <v>67044</v>
      </c>
    </row>
    <row r="1138" spans="1:13" x14ac:dyDescent="0.2">
      <c r="A1138">
        <v>66</v>
      </c>
      <c r="B1138">
        <v>45</v>
      </c>
      <c r="C1138">
        <v>111</v>
      </c>
      <c r="D1138" s="51" t="s">
        <v>43</v>
      </c>
      <c r="E1138">
        <f>VLOOKUP(M1138,'MASS - 2016'!$A$1:$G$3418,6,FALSE)</f>
        <v>-82304.452000000005</v>
      </c>
      <c r="F1138">
        <f>VLOOKUP(M1138,'MASS - 2016'!$A$1:$G$3418,7,FALSE)</f>
        <v>6.85</v>
      </c>
      <c r="G1138">
        <f t="shared" si="91"/>
        <v>-82304.452000000005</v>
      </c>
      <c r="H1138">
        <f t="shared" si="87"/>
        <v>110.9116425370317</v>
      </c>
      <c r="I1138">
        <f t="shared" si="88"/>
        <v>103.31353631899999</v>
      </c>
      <c r="J1138">
        <f t="shared" si="90"/>
        <v>103290.541319</v>
      </c>
      <c r="M1138">
        <f t="shared" si="89"/>
        <v>66045</v>
      </c>
    </row>
    <row r="1139" spans="1:13" x14ac:dyDescent="0.2">
      <c r="A1139">
        <v>65</v>
      </c>
      <c r="B1139">
        <v>46</v>
      </c>
      <c r="C1139">
        <v>111</v>
      </c>
      <c r="D1139" s="51" t="s">
        <v>44</v>
      </c>
      <c r="E1139">
        <f>VLOOKUP(M1139,'MASS - 2016'!$A$1:$G$3418,6,FALSE)</f>
        <v>-85985.888000000006</v>
      </c>
      <c r="F1139">
        <f>VLOOKUP(M1139,'MASS - 2016'!$A$1:$G$3418,7,FALSE)</f>
        <v>0.73099999999999998</v>
      </c>
      <c r="G1139">
        <f t="shared" si="91"/>
        <v>-85985.888000000006</v>
      </c>
      <c r="H1139">
        <f t="shared" si="87"/>
        <v>110.90769035295008</v>
      </c>
      <c r="I1139">
        <f t="shared" si="88"/>
        <v>103.309854883</v>
      </c>
      <c r="J1139">
        <f t="shared" si="90"/>
        <v>103286.348883</v>
      </c>
      <c r="M1139">
        <f t="shared" si="89"/>
        <v>65046</v>
      </c>
    </row>
    <row r="1140" spans="1:13" x14ac:dyDescent="0.2">
      <c r="A1140">
        <v>64</v>
      </c>
      <c r="B1140">
        <v>47</v>
      </c>
      <c r="C1140">
        <v>111</v>
      </c>
      <c r="D1140" s="51" t="s">
        <v>45</v>
      </c>
      <c r="E1140">
        <f>VLOOKUP(M1140,'MASS - 2016'!$A$1:$G$3418,6,FALSE)</f>
        <v>-88215.447</v>
      </c>
      <c r="F1140">
        <f>VLOOKUP(M1140,'MASS - 2016'!$A$1:$G$3418,7,FALSE)</f>
        <v>1.4590000000000001</v>
      </c>
      <c r="G1140">
        <f t="shared" si="91"/>
        <v>-88215.447</v>
      </c>
      <c r="H1140">
        <f t="shared" si="87"/>
        <v>110.90529682292843</v>
      </c>
      <c r="I1140">
        <f t="shared" si="88"/>
        <v>103.307625324</v>
      </c>
      <c r="J1140">
        <f t="shared" si="90"/>
        <v>103283.60832399999</v>
      </c>
      <c r="M1140">
        <f t="shared" si="89"/>
        <v>64047</v>
      </c>
    </row>
    <row r="1141" spans="1:13" x14ac:dyDescent="0.2">
      <c r="A1141">
        <v>63</v>
      </c>
      <c r="B1141">
        <v>48</v>
      </c>
      <c r="C1141">
        <v>111</v>
      </c>
      <c r="D1141" s="51" t="s">
        <v>46</v>
      </c>
      <c r="E1141">
        <f>VLOOKUP(M1141,'MASS - 2016'!$A$1:$G$3418,6,FALSE)</f>
        <v>-89252.247000000003</v>
      </c>
      <c r="F1141">
        <f>VLOOKUP(M1141,'MASS - 2016'!$A$1:$G$3418,7,FALSE)</f>
        <v>0.35699999999999998</v>
      </c>
      <c r="G1141">
        <f t="shared" si="91"/>
        <v>-89252.247000000003</v>
      </c>
      <c r="H1141">
        <f t="shared" si="87"/>
        <v>110.90418377235365</v>
      </c>
      <c r="I1141">
        <f t="shared" si="88"/>
        <v>103.30658852399999</v>
      </c>
      <c r="J1141">
        <f t="shared" si="90"/>
        <v>103282.06052399999</v>
      </c>
      <c r="M1141">
        <f t="shared" si="89"/>
        <v>63048</v>
      </c>
    </row>
    <row r="1142" spans="1:13" x14ac:dyDescent="0.2">
      <c r="A1142">
        <v>62</v>
      </c>
      <c r="B1142">
        <v>49</v>
      </c>
      <c r="C1142">
        <v>111</v>
      </c>
      <c r="D1142" s="51" t="s">
        <v>47</v>
      </c>
      <c r="E1142">
        <f>VLOOKUP(M1142,'MASS - 2016'!$A$1:$G$3418,6,FALSE)</f>
        <v>-88392.043000000005</v>
      </c>
      <c r="F1142">
        <f>VLOOKUP(M1142,'MASS - 2016'!$A$1:$G$3418,7,FALSE)</f>
        <v>3.4239999999999999</v>
      </c>
      <c r="G1142">
        <f t="shared" si="91"/>
        <v>-88392.043000000005</v>
      </c>
      <c r="H1142">
        <f t="shared" si="87"/>
        <v>110.9051072393257</v>
      </c>
      <c r="I1142">
        <f t="shared" si="88"/>
        <v>103.307448728</v>
      </c>
      <c r="J1142">
        <f t="shared" si="90"/>
        <v>103282.409728</v>
      </c>
      <c r="M1142">
        <f t="shared" si="89"/>
        <v>62049</v>
      </c>
    </row>
    <row r="1143" spans="1:13" x14ac:dyDescent="0.2">
      <c r="A1143">
        <v>61</v>
      </c>
      <c r="B1143">
        <v>50</v>
      </c>
      <c r="C1143">
        <v>111</v>
      </c>
      <c r="D1143" s="51" t="s">
        <v>48</v>
      </c>
      <c r="E1143">
        <f>VLOOKUP(M1143,'MASS - 2016'!$A$1:$G$3418,6,FALSE)</f>
        <v>-85938.587</v>
      </c>
      <c r="F1143">
        <f>VLOOKUP(M1143,'MASS - 2016'!$A$1:$G$3418,7,FALSE)</f>
        <v>5.3360000000000003</v>
      </c>
      <c r="G1143">
        <f t="shared" si="91"/>
        <v>-85938.587</v>
      </c>
      <c r="H1143">
        <f t="shared" si="87"/>
        <v>110.90774113266193</v>
      </c>
      <c r="I1143">
        <f t="shared" si="88"/>
        <v>103.30990218399999</v>
      </c>
      <c r="J1143">
        <f t="shared" si="90"/>
        <v>103284.35218399999</v>
      </c>
      <c r="M1143">
        <f t="shared" si="89"/>
        <v>61050</v>
      </c>
    </row>
    <row r="1144" spans="1:13" x14ac:dyDescent="0.2">
      <c r="A1144">
        <v>60</v>
      </c>
      <c r="B1144">
        <v>51</v>
      </c>
      <c r="C1144">
        <v>111</v>
      </c>
      <c r="D1144" s="51" t="s">
        <v>49</v>
      </c>
      <c r="E1144">
        <f>VLOOKUP(M1144,'MASS - 2016'!$A$1:$G$3418,6,FALSE)</f>
        <v>-80836.736000000004</v>
      </c>
      <c r="F1144">
        <f>VLOOKUP(M1144,'MASS - 2016'!$A$1:$G$3418,7,FALSE)</f>
        <v>8.8490000000000002</v>
      </c>
      <c r="G1144">
        <f t="shared" si="91"/>
        <v>-80836.736000000004</v>
      </c>
      <c r="H1144">
        <f t="shared" si="87"/>
        <v>110.91321819495745</v>
      </c>
      <c r="I1144">
        <f t="shared" si="88"/>
        <v>103.315004035</v>
      </c>
      <c r="J1144">
        <f t="shared" si="90"/>
        <v>103288.943035</v>
      </c>
      <c r="M1144">
        <f t="shared" si="89"/>
        <v>60051</v>
      </c>
    </row>
    <row r="1145" spans="1:13" x14ac:dyDescent="0.2">
      <c r="A1145">
        <v>59</v>
      </c>
      <c r="B1145">
        <v>52</v>
      </c>
      <c r="C1145">
        <v>111</v>
      </c>
      <c r="D1145" s="51" t="s">
        <v>50</v>
      </c>
      <c r="E1145">
        <f>VLOOKUP(M1145,'MASS - 2016'!$A$1:$G$3418,6,FALSE)</f>
        <v>-73587.476999999999</v>
      </c>
      <c r="F1145">
        <f>VLOOKUP(M1145,'MASS - 2016'!$A$1:$G$3418,7,FALSE)</f>
        <v>6.4269999999999996</v>
      </c>
      <c r="G1145">
        <f t="shared" si="91"/>
        <v>-73587.476999999999</v>
      </c>
      <c r="H1145">
        <f t="shared" si="87"/>
        <v>110.92100059454914</v>
      </c>
      <c r="I1145">
        <f t="shared" si="88"/>
        <v>103.32225329399999</v>
      </c>
      <c r="J1145">
        <f t="shared" si="90"/>
        <v>103295.68129399999</v>
      </c>
      <c r="M1145">
        <f t="shared" si="89"/>
        <v>59052</v>
      </c>
    </row>
    <row r="1146" spans="1:13" x14ac:dyDescent="0.2">
      <c r="A1146">
        <v>58</v>
      </c>
      <c r="B1146">
        <v>53</v>
      </c>
      <c r="C1146">
        <v>111</v>
      </c>
      <c r="D1146" s="51" t="s">
        <v>51</v>
      </c>
      <c r="E1146">
        <f>VLOOKUP(M1146,'MASS - 2016'!$A$1:$G$3418,6,FALSE)</f>
        <v>-64953.785000000003</v>
      </c>
      <c r="F1146">
        <f>VLOOKUP(M1146,'MASS - 2016'!$A$1:$G$3418,7,FALSE)</f>
        <v>4.7539999999999996</v>
      </c>
      <c r="G1146">
        <f t="shared" si="91"/>
        <v>-64953.785000000003</v>
      </c>
      <c r="H1146">
        <f t="shared" si="87"/>
        <v>110.93026924408915</v>
      </c>
      <c r="I1146">
        <f t="shared" si="88"/>
        <v>103.330886986</v>
      </c>
      <c r="J1146">
        <f t="shared" si="90"/>
        <v>103303.803986</v>
      </c>
      <c r="M1146">
        <f t="shared" si="89"/>
        <v>58053</v>
      </c>
    </row>
    <row r="1147" spans="1:13" x14ac:dyDescent="0.2">
      <c r="A1147">
        <v>57</v>
      </c>
      <c r="B1147">
        <v>54</v>
      </c>
      <c r="C1147">
        <v>111</v>
      </c>
      <c r="D1147" s="51" t="s">
        <v>52</v>
      </c>
      <c r="E1147">
        <f>VLOOKUP(M1147,'MASS - 2016'!$A$1:$G$3418,6,FALSE)</f>
        <v>-54395.534</v>
      </c>
      <c r="F1147">
        <f>VLOOKUP(M1147,'MASS - 2016'!$A$1:$G$3418,7,FALSE)</f>
        <v>86.7</v>
      </c>
      <c r="G1147">
        <f t="shared" si="91"/>
        <v>-54395.534</v>
      </c>
      <c r="H1147">
        <f t="shared" si="87"/>
        <v>110.94160399268505</v>
      </c>
      <c r="I1147">
        <f t="shared" si="88"/>
        <v>103.341445237</v>
      </c>
      <c r="J1147">
        <f t="shared" si="90"/>
        <v>103313.85123700001</v>
      </c>
      <c r="M1147">
        <f t="shared" si="89"/>
        <v>57054</v>
      </c>
    </row>
    <row r="1148" spans="1:13" x14ac:dyDescent="0.2">
      <c r="A1148">
        <v>70</v>
      </c>
      <c r="B1148">
        <v>42</v>
      </c>
      <c r="C1148">
        <v>112</v>
      </c>
      <c r="D1148" s="51" t="s">
        <v>40</v>
      </c>
      <c r="E1148" t="str">
        <f>VLOOKUP(M1148,'MASS - 2016'!$A$1:$G$3418,6,FALSE)</f>
        <v>-57464#</v>
      </c>
      <c r="F1148" t="str">
        <f>VLOOKUP(M1148,'MASS - 2016'!$A$1:$G$3418,7,FALSE)</f>
        <v>196#</v>
      </c>
      <c r="G1148">
        <f t="shared" si="91"/>
        <v>-57464.01</v>
      </c>
      <c r="H1148">
        <f t="shared" si="87"/>
        <v>111.93830984822563</v>
      </c>
      <c r="I1148">
        <f t="shared" si="88"/>
        <v>104.26987082199999</v>
      </c>
      <c r="J1148">
        <f t="shared" si="90"/>
        <v>104248.40882199998</v>
      </c>
      <c r="M1148">
        <f t="shared" si="89"/>
        <v>70042</v>
      </c>
    </row>
    <row r="1149" spans="1:13" x14ac:dyDescent="0.2">
      <c r="A1149">
        <v>69</v>
      </c>
      <c r="B1149">
        <v>43</v>
      </c>
      <c r="C1149">
        <v>112</v>
      </c>
      <c r="D1149" s="51" t="s">
        <v>41</v>
      </c>
      <c r="E1149">
        <f>VLOOKUP(M1149,'MASS - 2016'!$A$1:$G$3418,6,FALSE)</f>
        <v>-65258.938000000002</v>
      </c>
      <c r="F1149">
        <f>VLOOKUP(M1149,'MASS - 2016'!$A$1:$G$3418,7,FALSE)</f>
        <v>5.5149999999999997</v>
      </c>
      <c r="G1149">
        <f t="shared" si="91"/>
        <v>-65258.938000000002</v>
      </c>
      <c r="H1149">
        <f t="shared" si="87"/>
        <v>111.92994164887112</v>
      </c>
      <c r="I1149">
        <f t="shared" si="88"/>
        <v>104.26207589399999</v>
      </c>
      <c r="J1149">
        <f t="shared" si="90"/>
        <v>104240.102894</v>
      </c>
      <c r="M1149">
        <f t="shared" si="89"/>
        <v>69043</v>
      </c>
    </row>
    <row r="1150" spans="1:13" x14ac:dyDescent="0.2">
      <c r="A1150">
        <v>68</v>
      </c>
      <c r="B1150">
        <v>44</v>
      </c>
      <c r="C1150">
        <v>112</v>
      </c>
      <c r="D1150" s="51" t="s">
        <v>42</v>
      </c>
      <c r="E1150">
        <f>VLOOKUP(M1150,'MASS - 2016'!$A$1:$G$3418,6,FALSE)</f>
        <v>-75630.817999999999</v>
      </c>
      <c r="F1150">
        <f>VLOOKUP(M1150,'MASS - 2016'!$A$1:$G$3418,7,FALSE)</f>
        <v>9.5990000000000002</v>
      </c>
      <c r="G1150">
        <f t="shared" si="91"/>
        <v>-75630.817999999999</v>
      </c>
      <c r="H1150">
        <f t="shared" si="87"/>
        <v>111.91880697777202</v>
      </c>
      <c r="I1150">
        <f t="shared" si="88"/>
        <v>104.251704014</v>
      </c>
      <c r="J1150">
        <f t="shared" si="90"/>
        <v>104229.22001400001</v>
      </c>
      <c r="M1150">
        <f t="shared" si="89"/>
        <v>68044</v>
      </c>
    </row>
    <row r="1151" spans="1:13" x14ac:dyDescent="0.2">
      <c r="A1151">
        <v>67</v>
      </c>
      <c r="B1151">
        <v>45</v>
      </c>
      <c r="C1151">
        <v>112</v>
      </c>
      <c r="D1151" s="51" t="s">
        <v>43</v>
      </c>
      <c r="E1151">
        <f>VLOOKUP(M1151,'MASS - 2016'!$A$1:$G$3418,6,FALSE)</f>
        <v>-79731.502999999997</v>
      </c>
      <c r="F1151">
        <f>VLOOKUP(M1151,'MASS - 2016'!$A$1:$G$3418,7,FALSE)</f>
        <v>44.085000000000001</v>
      </c>
      <c r="G1151">
        <f t="shared" si="91"/>
        <v>-79731.502999999997</v>
      </c>
      <c r="H1151">
        <f t="shared" si="87"/>
        <v>111.91440471137904</v>
      </c>
      <c r="I1151">
        <f t="shared" si="88"/>
        <v>104.24760332899999</v>
      </c>
      <c r="J1151">
        <f t="shared" si="90"/>
        <v>104224.608329</v>
      </c>
      <c r="M1151">
        <f t="shared" si="89"/>
        <v>67045</v>
      </c>
    </row>
    <row r="1152" spans="1:13" x14ac:dyDescent="0.2">
      <c r="A1152">
        <v>66</v>
      </c>
      <c r="B1152">
        <v>46</v>
      </c>
      <c r="C1152">
        <v>112</v>
      </c>
      <c r="D1152" s="51" t="s">
        <v>44</v>
      </c>
      <c r="E1152">
        <f>VLOOKUP(M1152,'MASS - 2016'!$A$1:$G$3418,6,FALSE)</f>
        <v>-86321.562000000005</v>
      </c>
      <c r="F1152">
        <f>VLOOKUP(M1152,'MASS - 2016'!$A$1:$G$3418,7,FALSE)</f>
        <v>6.5439999999999996</v>
      </c>
      <c r="G1152">
        <f t="shared" si="91"/>
        <v>-86321.562000000005</v>
      </c>
      <c r="H1152">
        <f t="shared" si="87"/>
        <v>111.90732999209106</v>
      </c>
      <c r="I1152">
        <f t="shared" si="88"/>
        <v>104.24101327</v>
      </c>
      <c r="J1152">
        <f t="shared" si="90"/>
        <v>104217.50727</v>
      </c>
      <c r="M1152">
        <f t="shared" si="89"/>
        <v>66046</v>
      </c>
    </row>
    <row r="1153" spans="1:13" x14ac:dyDescent="0.2">
      <c r="A1153">
        <v>65</v>
      </c>
      <c r="B1153">
        <v>47</v>
      </c>
      <c r="C1153">
        <v>112</v>
      </c>
      <c r="D1153" s="51" t="s">
        <v>45</v>
      </c>
      <c r="E1153">
        <f>VLOOKUP(M1153,'MASS - 2016'!$A$1:$G$3418,6,FALSE)</f>
        <v>-86583.717999999993</v>
      </c>
      <c r="F1153">
        <f>VLOOKUP(M1153,'MASS - 2016'!$A$1:$G$3418,7,FALSE)</f>
        <v>2.4220000000000002</v>
      </c>
      <c r="G1153">
        <f t="shared" si="91"/>
        <v>-86583.717999999993</v>
      </c>
      <c r="H1153">
        <f t="shared" si="87"/>
        <v>111.90704855605085</v>
      </c>
      <c r="I1153">
        <f t="shared" si="88"/>
        <v>104.24075111399999</v>
      </c>
      <c r="J1153">
        <f t="shared" si="90"/>
        <v>104216.73411399998</v>
      </c>
      <c r="M1153">
        <f t="shared" si="89"/>
        <v>65047</v>
      </c>
    </row>
    <row r="1154" spans="1:13" x14ac:dyDescent="0.2">
      <c r="A1154">
        <v>64</v>
      </c>
      <c r="B1154">
        <v>48</v>
      </c>
      <c r="C1154">
        <v>112</v>
      </c>
      <c r="D1154" s="51" t="s">
        <v>46</v>
      </c>
      <c r="E1154">
        <f>VLOOKUP(M1154,'MASS - 2016'!$A$1:$G$3418,6,FALSE)</f>
        <v>-90574.858999999997</v>
      </c>
      <c r="F1154">
        <f>VLOOKUP(M1154,'MASS - 2016'!$A$1:$G$3418,7,FALSE)</f>
        <v>0.25</v>
      </c>
      <c r="G1154">
        <f t="shared" si="91"/>
        <v>-90574.858999999997</v>
      </c>
      <c r="H1154">
        <f t="shared" si="87"/>
        <v>111.90276388997825</v>
      </c>
      <c r="I1154">
        <f t="shared" si="88"/>
        <v>104.23675997299999</v>
      </c>
      <c r="J1154">
        <f t="shared" si="90"/>
        <v>104212.23197299999</v>
      </c>
      <c r="M1154">
        <f t="shared" si="89"/>
        <v>64048</v>
      </c>
    </row>
    <row r="1155" spans="1:13" x14ac:dyDescent="0.2">
      <c r="A1155">
        <v>63</v>
      </c>
      <c r="B1155">
        <v>49</v>
      </c>
      <c r="C1155">
        <v>112</v>
      </c>
      <c r="D1155" s="51" t="s">
        <v>47</v>
      </c>
      <c r="E1155">
        <f>VLOOKUP(M1155,'MASS - 2016'!$A$1:$G$3418,6,FALSE)</f>
        <v>-87990.130999999994</v>
      </c>
      <c r="F1155">
        <f>VLOOKUP(M1155,'MASS - 2016'!$A$1:$G$3418,7,FALSE)</f>
        <v>4.2510000000000003</v>
      </c>
      <c r="G1155">
        <f t="shared" si="91"/>
        <v>-87990.130999999994</v>
      </c>
      <c r="H1155">
        <f t="shared" si="87"/>
        <v>111.90553870960214</v>
      </c>
      <c r="I1155">
        <f t="shared" si="88"/>
        <v>104.23934470099999</v>
      </c>
      <c r="J1155">
        <f t="shared" si="90"/>
        <v>104214.30570099999</v>
      </c>
      <c r="M1155">
        <f t="shared" si="89"/>
        <v>63049</v>
      </c>
    </row>
    <row r="1156" spans="1:13" x14ac:dyDescent="0.2">
      <c r="A1156">
        <v>62</v>
      </c>
      <c r="B1156">
        <v>50</v>
      </c>
      <c r="C1156">
        <v>112</v>
      </c>
      <c r="D1156" s="51" t="s">
        <v>48</v>
      </c>
      <c r="E1156">
        <f>VLOOKUP(M1156,'MASS - 2016'!$A$1:$G$3418,6,FALSE)</f>
        <v>-88655.055999999997</v>
      </c>
      <c r="F1156">
        <f>VLOOKUP(M1156,'MASS - 2016'!$A$1:$G$3418,7,FALSE)</f>
        <v>0.29399999999999998</v>
      </c>
      <c r="G1156">
        <f t="shared" si="91"/>
        <v>-88655.055999999997</v>
      </c>
      <c r="H1156">
        <f t="shared" si="87"/>
        <v>111.90482488325817</v>
      </c>
      <c r="I1156">
        <f t="shared" si="88"/>
        <v>104.238679776</v>
      </c>
      <c r="J1156">
        <f t="shared" si="90"/>
        <v>104213.129776</v>
      </c>
      <c r="M1156">
        <f t="shared" si="89"/>
        <v>62050</v>
      </c>
    </row>
    <row r="1157" spans="1:13" x14ac:dyDescent="0.2">
      <c r="A1157">
        <v>61</v>
      </c>
      <c r="B1157">
        <v>51</v>
      </c>
      <c r="C1157">
        <v>112</v>
      </c>
      <c r="D1157" s="51" t="s">
        <v>49</v>
      </c>
      <c r="E1157">
        <f>VLOOKUP(M1157,'MASS - 2016'!$A$1:$G$3418,6,FALSE)</f>
        <v>-81598.964999999997</v>
      </c>
      <c r="F1157">
        <f>VLOOKUP(M1157,'MASS - 2016'!$A$1:$G$3418,7,FALSE)</f>
        <v>17.829000000000001</v>
      </c>
      <c r="G1157">
        <f t="shared" si="91"/>
        <v>-81598.964999999997</v>
      </c>
      <c r="H1157">
        <f t="shared" si="87"/>
        <v>111.91239990847349</v>
      </c>
      <c r="I1157">
        <f t="shared" si="88"/>
        <v>104.24573586699999</v>
      </c>
      <c r="J1157">
        <f t="shared" si="90"/>
        <v>104219.67486699999</v>
      </c>
      <c r="M1157">
        <f t="shared" si="89"/>
        <v>61051</v>
      </c>
    </row>
    <row r="1158" spans="1:13" x14ac:dyDescent="0.2">
      <c r="A1158">
        <v>60</v>
      </c>
      <c r="B1158">
        <v>52</v>
      </c>
      <c r="C1158">
        <v>112</v>
      </c>
      <c r="D1158" s="51" t="s">
        <v>50</v>
      </c>
      <c r="E1158">
        <f>VLOOKUP(M1158,'MASS - 2016'!$A$1:$G$3418,6,FALSE)</f>
        <v>-77567.508000000002</v>
      </c>
      <c r="F1158">
        <f>VLOOKUP(M1158,'MASS - 2016'!$A$1:$G$3418,7,FALSE)</f>
        <v>8.3829999999999991</v>
      </c>
      <c r="G1158">
        <f t="shared" si="91"/>
        <v>-77567.508000000002</v>
      </c>
      <c r="H1158">
        <f t="shared" si="87"/>
        <v>111.91672785555204</v>
      </c>
      <c r="I1158">
        <f t="shared" si="88"/>
        <v>104.24976732399999</v>
      </c>
      <c r="J1158">
        <f t="shared" si="90"/>
        <v>104223.19532399999</v>
      </c>
      <c r="M1158">
        <f t="shared" si="89"/>
        <v>60052</v>
      </c>
    </row>
    <row r="1159" spans="1:13" x14ac:dyDescent="0.2">
      <c r="A1159">
        <v>59</v>
      </c>
      <c r="B1159">
        <v>53</v>
      </c>
      <c r="C1159">
        <v>112</v>
      </c>
      <c r="D1159" s="51" t="s">
        <v>51</v>
      </c>
      <c r="E1159">
        <f>VLOOKUP(M1159,'MASS - 2016'!$A$1:$G$3418,6,FALSE)</f>
        <v>-67063.33</v>
      </c>
      <c r="F1159">
        <f>VLOOKUP(M1159,'MASS - 2016'!$A$1:$G$3418,7,FALSE)</f>
        <v>10.246</v>
      </c>
      <c r="G1159">
        <f t="shared" si="91"/>
        <v>-67063.33</v>
      </c>
      <c r="H1159">
        <f t="shared" si="87"/>
        <v>111.92800455439512</v>
      </c>
      <c r="I1159">
        <f t="shared" si="88"/>
        <v>104.26027150199999</v>
      </c>
      <c r="J1159">
        <f t="shared" si="90"/>
        <v>104233.18850199999</v>
      </c>
      <c r="M1159">
        <f t="shared" si="89"/>
        <v>59053</v>
      </c>
    </row>
    <row r="1160" spans="1:13" x14ac:dyDescent="0.2">
      <c r="A1160">
        <v>58</v>
      </c>
      <c r="B1160">
        <v>54</v>
      </c>
      <c r="C1160">
        <v>112</v>
      </c>
      <c r="D1160" s="51" t="s">
        <v>52</v>
      </c>
      <c r="E1160">
        <f>VLOOKUP(M1160,'MASS - 2016'!$A$1:$G$3418,6,FALSE)</f>
        <v>-60026.338000000003</v>
      </c>
      <c r="F1160">
        <f>VLOOKUP(M1160,'MASS - 2016'!$A$1:$G$3418,7,FALSE)</f>
        <v>8.2829999999999995</v>
      </c>
      <c r="G1160">
        <f t="shared" si="91"/>
        <v>-60026.338000000003</v>
      </c>
      <c r="H1160">
        <f t="shared" si="87"/>
        <v>111.93555907599071</v>
      </c>
      <c r="I1160">
        <f t="shared" si="88"/>
        <v>104.26730849399999</v>
      </c>
      <c r="J1160">
        <f t="shared" si="90"/>
        <v>104239.714494</v>
      </c>
      <c r="M1160">
        <f t="shared" si="89"/>
        <v>58054</v>
      </c>
    </row>
    <row r="1161" spans="1:13" x14ac:dyDescent="0.2">
      <c r="A1161">
        <v>57</v>
      </c>
      <c r="B1161">
        <v>55</v>
      </c>
      <c r="C1161">
        <v>112</v>
      </c>
      <c r="D1161" s="51" t="s">
        <v>53</v>
      </c>
      <c r="E1161">
        <f>VLOOKUP(M1161,'MASS - 2016'!$A$1:$G$3418,6,FALSE)</f>
        <v>-46290.277000000002</v>
      </c>
      <c r="F1161">
        <f>VLOOKUP(M1161,'MASS - 2016'!$A$1:$G$3418,7,FALSE)</f>
        <v>86.796000000000006</v>
      </c>
      <c r="G1161">
        <f t="shared" si="91"/>
        <v>-46290.277000000002</v>
      </c>
      <c r="H1161">
        <f t="shared" ref="H1161:H1224" si="92">(C1161*$A$3+G1161/1000000)/$A$3</f>
        <v>111.9503053439221</v>
      </c>
      <c r="I1161">
        <f t="shared" ref="I1161:I1224" si="93">H1161*$A$3</f>
        <v>104.28104455499999</v>
      </c>
      <c r="J1161">
        <f t="shared" si="90"/>
        <v>104252.939555</v>
      </c>
      <c r="M1161">
        <f t="shared" ref="M1161:M1224" si="94">1000*A1161+B1161</f>
        <v>57055</v>
      </c>
    </row>
    <row r="1162" spans="1:13" x14ac:dyDescent="0.2">
      <c r="A1162">
        <v>71</v>
      </c>
      <c r="B1162">
        <v>42</v>
      </c>
      <c r="C1162">
        <v>113</v>
      </c>
      <c r="D1162" s="51" t="s">
        <v>40</v>
      </c>
      <c r="E1162" t="str">
        <f>VLOOKUP(M1162,'MASS - 2016'!$A$1:$G$3418,6,FALSE)</f>
        <v>-52490#</v>
      </c>
      <c r="F1162" t="str">
        <f>VLOOKUP(M1162,'MASS - 2016'!$A$1:$G$3418,7,FALSE)</f>
        <v>300#</v>
      </c>
      <c r="G1162">
        <f t="shared" si="91"/>
        <v>-52490.01</v>
      </c>
      <c r="H1162">
        <f t="shared" si="92"/>
        <v>112.94364965682803</v>
      </c>
      <c r="I1162">
        <f t="shared" si="93"/>
        <v>105.206338883</v>
      </c>
      <c r="J1162">
        <f t="shared" si="90"/>
        <v>105184.876883</v>
      </c>
      <c r="M1162">
        <f t="shared" si="94"/>
        <v>71042</v>
      </c>
    </row>
    <row r="1163" spans="1:13" x14ac:dyDescent="0.2">
      <c r="A1163">
        <v>70</v>
      </c>
      <c r="B1163">
        <v>43</v>
      </c>
      <c r="C1163">
        <v>113</v>
      </c>
      <c r="D1163" s="51" t="s">
        <v>41</v>
      </c>
      <c r="E1163">
        <f>VLOOKUP(M1163,'MASS - 2016'!$A$1:$G$3418,6,FALSE)</f>
        <v>-62811.540999999997</v>
      </c>
      <c r="F1163">
        <f>VLOOKUP(M1163,'MASS - 2016'!$A$1:$G$3418,7,FALSE)</f>
        <v>3.3530000000000002</v>
      </c>
      <c r="G1163">
        <f t="shared" si="91"/>
        <v>-62811.540999999997</v>
      </c>
      <c r="H1163">
        <f t="shared" si="92"/>
        <v>112.93256903760334</v>
      </c>
      <c r="I1163">
        <f t="shared" si="93"/>
        <v>105.196017352</v>
      </c>
      <c r="J1163">
        <f t="shared" si="90"/>
        <v>105174.044352</v>
      </c>
      <c r="M1163">
        <f t="shared" si="94"/>
        <v>70043</v>
      </c>
    </row>
    <row r="1164" spans="1:13" x14ac:dyDescent="0.2">
      <c r="A1164">
        <v>69</v>
      </c>
      <c r="B1164">
        <v>44</v>
      </c>
      <c r="C1164">
        <v>113</v>
      </c>
      <c r="D1164" s="51" t="s">
        <v>42</v>
      </c>
      <c r="E1164">
        <f>VLOOKUP(M1164,'MASS - 2016'!$A$1:$G$3418,6,FALSE)</f>
        <v>-71868.119000000006</v>
      </c>
      <c r="F1164">
        <f>VLOOKUP(M1164,'MASS - 2016'!$A$1:$G$3418,7,FALSE)</f>
        <v>36.875</v>
      </c>
      <c r="G1164">
        <f t="shared" si="91"/>
        <v>-71868.119000000006</v>
      </c>
      <c r="H1164">
        <f t="shared" si="92"/>
        <v>112.9228464012719</v>
      </c>
      <c r="I1164">
        <f t="shared" si="93"/>
        <v>105.186960774</v>
      </c>
      <c r="J1164">
        <f t="shared" ref="J1164:J1227" si="95">1000*I1164-B1164*0.511</f>
        <v>105164.47677400001</v>
      </c>
      <c r="M1164">
        <f t="shared" si="94"/>
        <v>69044</v>
      </c>
    </row>
    <row r="1165" spans="1:13" x14ac:dyDescent="0.2">
      <c r="A1165">
        <v>68</v>
      </c>
      <c r="B1165">
        <v>45</v>
      </c>
      <c r="C1165">
        <v>113</v>
      </c>
      <c r="D1165" s="51" t="s">
        <v>43</v>
      </c>
      <c r="E1165">
        <f>VLOOKUP(M1165,'MASS - 2016'!$A$1:$G$3418,6,FALSE)</f>
        <v>-78767.535999999993</v>
      </c>
      <c r="F1165">
        <f>VLOOKUP(M1165,'MASS - 2016'!$A$1:$G$3418,7,FALSE)</f>
        <v>7.13</v>
      </c>
      <c r="G1165">
        <f t="shared" si="91"/>
        <v>-78767.535999999993</v>
      </c>
      <c r="H1165">
        <f t="shared" si="92"/>
        <v>112.91543957251274</v>
      </c>
      <c r="I1165">
        <f t="shared" si="93"/>
        <v>105.180061357</v>
      </c>
      <c r="J1165">
        <f t="shared" si="95"/>
        <v>105157.066357</v>
      </c>
      <c r="M1165">
        <f t="shared" si="94"/>
        <v>68045</v>
      </c>
    </row>
    <row r="1166" spans="1:13" x14ac:dyDescent="0.2">
      <c r="A1166">
        <v>67</v>
      </c>
      <c r="B1166">
        <v>46</v>
      </c>
      <c r="C1166">
        <v>113</v>
      </c>
      <c r="D1166" s="51" t="s">
        <v>44</v>
      </c>
      <c r="E1166">
        <f>VLOOKUP(M1166,'MASS - 2016'!$A$1:$G$3418,6,FALSE)</f>
        <v>-83591.092000000004</v>
      </c>
      <c r="F1166">
        <f>VLOOKUP(M1166,'MASS - 2016'!$A$1:$G$3418,7,FALSE)</f>
        <v>6.9450000000000003</v>
      </c>
      <c r="G1166">
        <f t="shared" si="91"/>
        <v>-83591.092000000004</v>
      </c>
      <c r="H1166">
        <f t="shared" si="92"/>
        <v>112.91026127218646</v>
      </c>
      <c r="I1166">
        <f t="shared" si="93"/>
        <v>105.17523780099999</v>
      </c>
      <c r="J1166">
        <f t="shared" si="95"/>
        <v>105151.731801</v>
      </c>
      <c r="M1166">
        <f t="shared" si="94"/>
        <v>67046</v>
      </c>
    </row>
    <row r="1167" spans="1:13" x14ac:dyDescent="0.2">
      <c r="A1167">
        <v>66</v>
      </c>
      <c r="B1167">
        <v>47</v>
      </c>
      <c r="C1167">
        <v>113</v>
      </c>
      <c r="D1167" s="51" t="s">
        <v>45</v>
      </c>
      <c r="E1167">
        <f>VLOOKUP(M1167,'MASS - 2016'!$A$1:$G$3418,6,FALSE)</f>
        <v>-87026.822</v>
      </c>
      <c r="F1167">
        <f>VLOOKUP(M1167,'MASS - 2016'!$A$1:$G$3418,7,FALSE)</f>
        <v>16.643000000000001</v>
      </c>
      <c r="G1167">
        <f t="shared" ref="G1167:G1230" si="96">IF(ISNUMBER(E1167),E1167,VALUE(SUBSTITUTE(E1167,"#",".01")))</f>
        <v>-87026.822</v>
      </c>
      <c r="H1167">
        <f t="shared" si="92"/>
        <v>112.9065728643438</v>
      </c>
      <c r="I1167">
        <f t="shared" si="93"/>
        <v>105.171802071</v>
      </c>
      <c r="J1167">
        <f t="shared" si="95"/>
        <v>105147.78507099999</v>
      </c>
      <c r="M1167">
        <f t="shared" si="94"/>
        <v>66047</v>
      </c>
    </row>
    <row r="1168" spans="1:13" x14ac:dyDescent="0.2">
      <c r="A1168">
        <v>65</v>
      </c>
      <c r="B1168">
        <v>48</v>
      </c>
      <c r="C1168">
        <v>113</v>
      </c>
      <c r="D1168" s="51" t="s">
        <v>46</v>
      </c>
      <c r="E1168">
        <f>VLOOKUP(M1168,'MASS - 2016'!$A$1:$G$3418,6,FALSE)</f>
        <v>-89043.284</v>
      </c>
      <c r="F1168">
        <f>VLOOKUP(M1168,'MASS - 2016'!$A$1:$G$3418,7,FALSE)</f>
        <v>0.24399999999999999</v>
      </c>
      <c r="G1168">
        <f t="shared" si="96"/>
        <v>-89043.284</v>
      </c>
      <c r="H1168">
        <f t="shared" si="92"/>
        <v>112.90440810335988</v>
      </c>
      <c r="I1168">
        <f t="shared" si="93"/>
        <v>105.169785609</v>
      </c>
      <c r="J1168">
        <f t="shared" si="95"/>
        <v>105145.25760899999</v>
      </c>
      <c r="M1168">
        <f t="shared" si="94"/>
        <v>65048</v>
      </c>
    </row>
    <row r="1169" spans="1:13" x14ac:dyDescent="0.2">
      <c r="A1169">
        <v>64</v>
      </c>
      <c r="B1169">
        <v>49</v>
      </c>
      <c r="C1169">
        <v>113</v>
      </c>
      <c r="D1169" s="51" t="s">
        <v>47</v>
      </c>
      <c r="E1169">
        <f>VLOOKUP(M1169,'MASS - 2016'!$A$1:$G$3418,6,FALSE)</f>
        <v>-89367.116999999998</v>
      </c>
      <c r="F1169">
        <f>VLOOKUP(M1169,'MASS - 2016'!$A$1:$G$3418,7,FALSE)</f>
        <v>0.188</v>
      </c>
      <c r="G1169">
        <f t="shared" si="96"/>
        <v>-89367.116999999998</v>
      </c>
      <c r="H1169">
        <f t="shared" si="92"/>
        <v>112.90406045433714</v>
      </c>
      <c r="I1169">
        <f t="shared" si="93"/>
        <v>105.16946177600001</v>
      </c>
      <c r="J1169">
        <f t="shared" si="95"/>
        <v>105144.42277600001</v>
      </c>
      <c r="M1169">
        <f t="shared" si="94"/>
        <v>64049</v>
      </c>
    </row>
    <row r="1170" spans="1:13" x14ac:dyDescent="0.2">
      <c r="A1170">
        <v>63</v>
      </c>
      <c r="B1170">
        <v>50</v>
      </c>
      <c r="C1170">
        <v>113</v>
      </c>
      <c r="D1170" s="51" t="s">
        <v>48</v>
      </c>
      <c r="E1170">
        <f>VLOOKUP(M1170,'MASS - 2016'!$A$1:$G$3418,6,FALSE)</f>
        <v>-88328.131999999998</v>
      </c>
      <c r="F1170">
        <f>VLOOKUP(M1170,'MASS - 2016'!$A$1:$G$3418,7,FALSE)</f>
        <v>1.575</v>
      </c>
      <c r="G1170">
        <f t="shared" si="96"/>
        <v>-88328.131999999998</v>
      </c>
      <c r="H1170">
        <f t="shared" si="92"/>
        <v>112.90517585060589</v>
      </c>
      <c r="I1170">
        <f t="shared" si="93"/>
        <v>105.170500761</v>
      </c>
      <c r="J1170">
        <f t="shared" si="95"/>
        <v>105144.950761</v>
      </c>
      <c r="M1170">
        <f t="shared" si="94"/>
        <v>63050</v>
      </c>
    </row>
    <row r="1171" spans="1:13" x14ac:dyDescent="0.2">
      <c r="A1171">
        <v>62</v>
      </c>
      <c r="B1171">
        <v>51</v>
      </c>
      <c r="C1171">
        <v>113</v>
      </c>
      <c r="D1171" s="51" t="s">
        <v>49</v>
      </c>
      <c r="E1171">
        <f>VLOOKUP(M1171,'MASS - 2016'!$A$1:$G$3418,6,FALSE)</f>
        <v>-84416.967999999993</v>
      </c>
      <c r="F1171">
        <f>VLOOKUP(M1171,'MASS - 2016'!$A$1:$G$3418,7,FALSE)</f>
        <v>17.193000000000001</v>
      </c>
      <c r="G1171">
        <f t="shared" si="96"/>
        <v>-84416.967999999993</v>
      </c>
      <c r="H1171">
        <f t="shared" si="92"/>
        <v>112.909374657838</v>
      </c>
      <c r="I1171">
        <f t="shared" si="93"/>
        <v>105.174411925</v>
      </c>
      <c r="J1171">
        <f t="shared" si="95"/>
        <v>105148.35092500001</v>
      </c>
      <c r="M1171">
        <f t="shared" si="94"/>
        <v>62051</v>
      </c>
    </row>
    <row r="1172" spans="1:13" x14ac:dyDescent="0.2">
      <c r="A1172">
        <v>61</v>
      </c>
      <c r="B1172">
        <v>52</v>
      </c>
      <c r="C1172">
        <v>113</v>
      </c>
      <c r="D1172" s="51" t="s">
        <v>50</v>
      </c>
      <c r="E1172">
        <f>VLOOKUP(M1172,'MASS - 2016'!$A$1:$G$3418,6,FALSE)</f>
        <v>-78347.028999999995</v>
      </c>
      <c r="F1172">
        <f>VLOOKUP(M1172,'MASS - 2016'!$A$1:$G$3418,7,FALSE)</f>
        <v>27.945</v>
      </c>
      <c r="G1172">
        <f t="shared" si="96"/>
        <v>-78347.028999999995</v>
      </c>
      <c r="H1172">
        <f t="shared" si="92"/>
        <v>112.91589100534266</v>
      </c>
      <c r="I1172">
        <f t="shared" si="93"/>
        <v>105.180481864</v>
      </c>
      <c r="J1172">
        <f t="shared" si="95"/>
        <v>105153.909864</v>
      </c>
      <c r="M1172">
        <f t="shared" si="94"/>
        <v>61052</v>
      </c>
    </row>
    <row r="1173" spans="1:13" x14ac:dyDescent="0.2">
      <c r="A1173">
        <v>60</v>
      </c>
      <c r="B1173">
        <v>53</v>
      </c>
      <c r="C1173">
        <v>113</v>
      </c>
      <c r="D1173" s="51" t="s">
        <v>51</v>
      </c>
      <c r="E1173">
        <f>VLOOKUP(M1173,'MASS - 2016'!$A$1:$G$3418,6,FALSE)</f>
        <v>-71119.506999999998</v>
      </c>
      <c r="F1173">
        <f>VLOOKUP(M1173,'MASS - 2016'!$A$1:$G$3418,7,FALSE)</f>
        <v>8.0109999999999992</v>
      </c>
      <c r="G1173">
        <f t="shared" si="96"/>
        <v>-71119.506999999998</v>
      </c>
      <c r="H1173">
        <f t="shared" si="92"/>
        <v>112.92365006930517</v>
      </c>
      <c r="I1173">
        <f t="shared" si="93"/>
        <v>105.18770938599999</v>
      </c>
      <c r="J1173">
        <f t="shared" si="95"/>
        <v>105160.62638599999</v>
      </c>
      <c r="M1173">
        <f t="shared" si="94"/>
        <v>60053</v>
      </c>
    </row>
    <row r="1174" spans="1:13" x14ac:dyDescent="0.2">
      <c r="A1174">
        <v>59</v>
      </c>
      <c r="B1174">
        <v>54</v>
      </c>
      <c r="C1174">
        <v>113</v>
      </c>
      <c r="D1174" s="51" t="s">
        <v>52</v>
      </c>
      <c r="E1174">
        <f>VLOOKUP(M1174,'MASS - 2016'!$A$1:$G$3418,6,FALSE)</f>
        <v>-62203.618000000002</v>
      </c>
      <c r="F1174">
        <f>VLOOKUP(M1174,'MASS - 2016'!$A$1:$G$3418,7,FALSE)</f>
        <v>6.84</v>
      </c>
      <c r="G1174">
        <f t="shared" si="96"/>
        <v>-62203.618000000002</v>
      </c>
      <c r="H1174">
        <f t="shared" si="92"/>
        <v>112.93322166978368</v>
      </c>
      <c r="I1174">
        <f t="shared" si="93"/>
        <v>105.196625275</v>
      </c>
      <c r="J1174">
        <f t="shared" si="95"/>
        <v>105169.031275</v>
      </c>
      <c r="M1174">
        <f t="shared" si="94"/>
        <v>59054</v>
      </c>
    </row>
    <row r="1175" spans="1:13" x14ac:dyDescent="0.2">
      <c r="A1175">
        <v>58</v>
      </c>
      <c r="B1175">
        <v>55</v>
      </c>
      <c r="C1175">
        <v>113</v>
      </c>
      <c r="D1175" s="51" t="s">
        <v>53</v>
      </c>
      <c r="E1175">
        <f>VLOOKUP(M1175,'MASS - 2016'!$A$1:$G$3418,6,FALSE)</f>
        <v>-51764.53</v>
      </c>
      <c r="F1175">
        <f>VLOOKUP(M1175,'MASS - 2016'!$A$1:$G$3418,7,FALSE)</f>
        <v>8.577</v>
      </c>
      <c r="G1175">
        <f t="shared" si="96"/>
        <v>-51764.53</v>
      </c>
      <c r="H1175">
        <f t="shared" si="92"/>
        <v>112.94442849163802</v>
      </c>
      <c r="I1175">
        <f t="shared" si="93"/>
        <v>105.207064363</v>
      </c>
      <c r="J1175">
        <f t="shared" si="95"/>
        <v>105178.959363</v>
      </c>
      <c r="M1175">
        <f t="shared" si="94"/>
        <v>58055</v>
      </c>
    </row>
    <row r="1176" spans="1:13" x14ac:dyDescent="0.2">
      <c r="A1176">
        <v>71</v>
      </c>
      <c r="B1176">
        <v>43</v>
      </c>
      <c r="C1176">
        <v>114</v>
      </c>
      <c r="D1176" s="51" t="s">
        <v>41</v>
      </c>
      <c r="E1176">
        <f>VLOOKUP(M1176,'MASS - 2016'!$A$1:$G$3418,6,FALSE)</f>
        <v>-58600.288</v>
      </c>
      <c r="F1176">
        <f>VLOOKUP(M1176,'MASS - 2016'!$A$1:$G$3418,7,FALSE)</f>
        <v>433.14499999999998</v>
      </c>
      <c r="G1176">
        <f t="shared" si="96"/>
        <v>-58600.288</v>
      </c>
      <c r="H1176">
        <f t="shared" si="92"/>
        <v>113.93709000362591</v>
      </c>
      <c r="I1176">
        <f t="shared" si="93"/>
        <v>106.131722666</v>
      </c>
      <c r="J1176">
        <f t="shared" si="95"/>
        <v>106109.749666</v>
      </c>
      <c r="M1176">
        <f t="shared" si="94"/>
        <v>71043</v>
      </c>
    </row>
    <row r="1177" spans="1:13" x14ac:dyDescent="0.2">
      <c r="A1177">
        <v>70</v>
      </c>
      <c r="B1177">
        <v>44</v>
      </c>
      <c r="C1177">
        <v>114</v>
      </c>
      <c r="D1177" s="51" t="s">
        <v>42</v>
      </c>
      <c r="E1177">
        <f>VLOOKUP(M1177,'MASS - 2016'!$A$1:$G$3418,6,FALSE)</f>
        <v>-70221.811000000002</v>
      </c>
      <c r="F1177">
        <f>VLOOKUP(M1177,'MASS - 2016'!$A$1:$G$3418,7,FALSE)</f>
        <v>3.55</v>
      </c>
      <c r="G1177">
        <f t="shared" si="96"/>
        <v>-70221.811000000002</v>
      </c>
      <c r="H1177">
        <f t="shared" si="92"/>
        <v>113.9246137855945</v>
      </c>
      <c r="I1177">
        <f t="shared" si="93"/>
        <v>106.120101143</v>
      </c>
      <c r="J1177">
        <f t="shared" si="95"/>
        <v>106097.617143</v>
      </c>
      <c r="M1177">
        <f t="shared" si="94"/>
        <v>70044</v>
      </c>
    </row>
    <row r="1178" spans="1:13" x14ac:dyDescent="0.2">
      <c r="A1178">
        <v>69</v>
      </c>
      <c r="B1178">
        <v>45</v>
      </c>
      <c r="C1178">
        <v>114</v>
      </c>
      <c r="D1178" s="51" t="s">
        <v>43</v>
      </c>
      <c r="E1178">
        <f>VLOOKUP(M1178,'MASS - 2016'!$A$1:$G$3418,6,FALSE)</f>
        <v>-75710.625</v>
      </c>
      <c r="F1178">
        <f>VLOOKUP(M1178,'MASS - 2016'!$A$1:$G$3418,7,FALSE)</f>
        <v>71.561000000000007</v>
      </c>
      <c r="G1178">
        <f t="shared" si="96"/>
        <v>-75710.625</v>
      </c>
      <c r="H1178">
        <f t="shared" si="92"/>
        <v>113.91872130143403</v>
      </c>
      <c r="I1178">
        <f t="shared" si="93"/>
        <v>106.114612329</v>
      </c>
      <c r="J1178">
        <f t="shared" si="95"/>
        <v>106091.617329</v>
      </c>
      <c r="M1178">
        <f t="shared" si="94"/>
        <v>69045</v>
      </c>
    </row>
    <row r="1179" spans="1:13" x14ac:dyDescent="0.2">
      <c r="A1179">
        <v>68</v>
      </c>
      <c r="B1179">
        <v>46</v>
      </c>
      <c r="C1179">
        <v>114</v>
      </c>
      <c r="D1179" s="51" t="s">
        <v>44</v>
      </c>
      <c r="E1179">
        <f>VLOOKUP(M1179,'MASS - 2016'!$A$1:$G$3418,6,FALSE)</f>
        <v>-83490.942999999999</v>
      </c>
      <c r="F1179">
        <f>VLOOKUP(M1179,'MASS - 2016'!$A$1:$G$3418,7,FALSE)</f>
        <v>6.9450000000000003</v>
      </c>
      <c r="G1179">
        <f t="shared" si="96"/>
        <v>-83490.942999999999</v>
      </c>
      <c r="H1179">
        <f t="shared" si="92"/>
        <v>113.91036878655954</v>
      </c>
      <c r="I1179">
        <f t="shared" si="93"/>
        <v>106.10683201099999</v>
      </c>
      <c r="J1179">
        <f t="shared" si="95"/>
        <v>106083.326011</v>
      </c>
      <c r="M1179">
        <f t="shared" si="94"/>
        <v>68046</v>
      </c>
    </row>
    <row r="1180" spans="1:13" x14ac:dyDescent="0.2">
      <c r="A1180">
        <v>67</v>
      </c>
      <c r="B1180">
        <v>47</v>
      </c>
      <c r="C1180">
        <v>114</v>
      </c>
      <c r="D1180" s="51" t="s">
        <v>45</v>
      </c>
      <c r="E1180">
        <f>VLOOKUP(M1180,'MASS - 2016'!$A$1:$G$3418,6,FALSE)</f>
        <v>-84930.8</v>
      </c>
      <c r="F1180">
        <f>VLOOKUP(M1180,'MASS - 2016'!$A$1:$G$3418,7,FALSE)</f>
        <v>4.5640000000000001</v>
      </c>
      <c r="G1180">
        <f t="shared" si="96"/>
        <v>-84930.8</v>
      </c>
      <c r="H1180">
        <f t="shared" si="92"/>
        <v>113.90882303650028</v>
      </c>
      <c r="I1180">
        <f t="shared" si="93"/>
        <v>106.105392154</v>
      </c>
      <c r="J1180">
        <f t="shared" si="95"/>
        <v>106081.37515399999</v>
      </c>
      <c r="M1180">
        <f t="shared" si="94"/>
        <v>67047</v>
      </c>
    </row>
    <row r="1181" spans="1:13" x14ac:dyDescent="0.2">
      <c r="A1181">
        <v>66</v>
      </c>
      <c r="B1181">
        <v>48</v>
      </c>
      <c r="C1181">
        <v>114</v>
      </c>
      <c r="D1181" s="51" t="s">
        <v>46</v>
      </c>
      <c r="E1181">
        <f>VLOOKUP(M1181,'MASS - 2016'!$A$1:$G$3418,6,FALSE)</f>
        <v>-90014.932000000001</v>
      </c>
      <c r="F1181">
        <f>VLOOKUP(M1181,'MASS - 2016'!$A$1:$G$3418,7,FALSE)</f>
        <v>0.27600000000000002</v>
      </c>
      <c r="G1181">
        <f t="shared" si="96"/>
        <v>-90014.932000000001</v>
      </c>
      <c r="H1181">
        <f t="shared" si="92"/>
        <v>113.90336499633355</v>
      </c>
      <c r="I1181">
        <f t="shared" si="93"/>
        <v>106.10030802199999</v>
      </c>
      <c r="J1181">
        <f t="shared" si="95"/>
        <v>106075.78002199999</v>
      </c>
      <c r="M1181">
        <f t="shared" si="94"/>
        <v>66048</v>
      </c>
    </row>
    <row r="1182" spans="1:13" x14ac:dyDescent="0.2">
      <c r="A1182">
        <v>65</v>
      </c>
      <c r="B1182">
        <v>49</v>
      </c>
      <c r="C1182">
        <v>114</v>
      </c>
      <c r="D1182" s="51" t="s">
        <v>47</v>
      </c>
      <c r="E1182">
        <f>VLOOKUP(M1182,'MASS - 2016'!$A$1:$G$3418,6,FALSE)</f>
        <v>-88569.801000000007</v>
      </c>
      <c r="F1182">
        <f>VLOOKUP(M1182,'MASS - 2016'!$A$1:$G$3418,7,FALSE)</f>
        <v>0.30099999999999999</v>
      </c>
      <c r="G1182">
        <f t="shared" si="96"/>
        <v>-88569.801000000007</v>
      </c>
      <c r="H1182">
        <f t="shared" si="92"/>
        <v>113.90491640826467</v>
      </c>
      <c r="I1182">
        <f t="shared" si="93"/>
        <v>106.10175315299999</v>
      </c>
      <c r="J1182">
        <f t="shared" si="95"/>
        <v>106076.71415299998</v>
      </c>
      <c r="M1182">
        <f t="shared" si="94"/>
        <v>65049</v>
      </c>
    </row>
    <row r="1183" spans="1:13" x14ac:dyDescent="0.2">
      <c r="A1183">
        <v>64</v>
      </c>
      <c r="B1183">
        <v>50</v>
      </c>
      <c r="C1183">
        <v>114</v>
      </c>
      <c r="D1183" s="51" t="s">
        <v>48</v>
      </c>
      <c r="E1183">
        <f>VLOOKUP(M1183,'MASS - 2016'!$A$1:$G$3418,6,FALSE)</f>
        <v>-90559.722999999998</v>
      </c>
      <c r="F1183">
        <f>VLOOKUP(M1183,'MASS - 2016'!$A$1:$G$3418,7,FALSE)</f>
        <v>2.9000000000000001E-2</v>
      </c>
      <c r="G1183">
        <f t="shared" si="96"/>
        <v>-90559.722999999998</v>
      </c>
      <c r="H1183">
        <f t="shared" si="92"/>
        <v>113.90278013914251</v>
      </c>
      <c r="I1183">
        <f t="shared" si="93"/>
        <v>106.099763231</v>
      </c>
      <c r="J1183">
        <f t="shared" si="95"/>
        <v>106074.21323099999</v>
      </c>
      <c r="M1183">
        <f t="shared" si="94"/>
        <v>64050</v>
      </c>
    </row>
    <row r="1184" spans="1:13" x14ac:dyDescent="0.2">
      <c r="A1184">
        <v>63</v>
      </c>
      <c r="B1184">
        <v>51</v>
      </c>
      <c r="C1184">
        <v>114</v>
      </c>
      <c r="D1184" s="51" t="s">
        <v>49</v>
      </c>
      <c r="E1184">
        <f>VLOOKUP(M1184,'MASS - 2016'!$A$1:$G$3418,6,FALSE)</f>
        <v>-84496.573999999993</v>
      </c>
      <c r="F1184">
        <f>VLOOKUP(M1184,'MASS - 2016'!$A$1:$G$3418,7,FALSE)</f>
        <v>21.838000000000001</v>
      </c>
      <c r="G1184">
        <f t="shared" si="96"/>
        <v>-84496.573999999993</v>
      </c>
      <c r="H1184">
        <f t="shared" si="92"/>
        <v>113.90928919728239</v>
      </c>
      <c r="I1184">
        <f t="shared" si="93"/>
        <v>106.10582638</v>
      </c>
      <c r="J1184">
        <f t="shared" si="95"/>
        <v>106079.76538</v>
      </c>
      <c r="M1184">
        <f t="shared" si="94"/>
        <v>63051</v>
      </c>
    </row>
    <row r="1185" spans="1:13" x14ac:dyDescent="0.2">
      <c r="A1185">
        <v>62</v>
      </c>
      <c r="B1185">
        <v>52</v>
      </c>
      <c r="C1185">
        <v>114</v>
      </c>
      <c r="D1185" s="51" t="s">
        <v>50</v>
      </c>
      <c r="E1185">
        <f>VLOOKUP(M1185,'MASS - 2016'!$A$1:$G$3418,6,FALSE)</f>
        <v>-81888.569000000003</v>
      </c>
      <c r="F1185">
        <f>VLOOKUP(M1185,'MASS - 2016'!$A$1:$G$3418,7,FALSE)</f>
        <v>27.945</v>
      </c>
      <c r="G1185">
        <f t="shared" si="96"/>
        <v>-81888.569000000003</v>
      </c>
      <c r="H1185">
        <f t="shared" si="92"/>
        <v>113.91208900579345</v>
      </c>
      <c r="I1185">
        <f t="shared" si="93"/>
        <v>106.108434385</v>
      </c>
      <c r="J1185">
        <f t="shared" si="95"/>
        <v>106081.862385</v>
      </c>
      <c r="M1185">
        <f t="shared" si="94"/>
        <v>62052</v>
      </c>
    </row>
    <row r="1186" spans="1:13" x14ac:dyDescent="0.2">
      <c r="A1186">
        <v>61</v>
      </c>
      <c r="B1186">
        <v>53</v>
      </c>
      <c r="C1186">
        <v>114</v>
      </c>
      <c r="D1186" s="51" t="s">
        <v>51</v>
      </c>
      <c r="E1186" t="str">
        <f>VLOOKUP(M1186,'MASS - 2016'!$A$1:$G$3418,6,FALSE)</f>
        <v>-72796#</v>
      </c>
      <c r="F1186" t="str">
        <f>VLOOKUP(M1186,'MASS - 2016'!$A$1:$G$3418,7,FALSE)</f>
        <v>149#</v>
      </c>
      <c r="G1186">
        <f t="shared" si="96"/>
        <v>-72796.009999999995</v>
      </c>
      <c r="H1186">
        <f t="shared" si="92"/>
        <v>113.92185026931695</v>
      </c>
      <c r="I1186">
        <f t="shared" si="93"/>
        <v>106.11752694399999</v>
      </c>
      <c r="J1186">
        <f t="shared" si="95"/>
        <v>106090.443944</v>
      </c>
      <c r="M1186">
        <f t="shared" si="94"/>
        <v>61053</v>
      </c>
    </row>
    <row r="1187" spans="1:13" x14ac:dyDescent="0.2">
      <c r="A1187">
        <v>60</v>
      </c>
      <c r="B1187">
        <v>54</v>
      </c>
      <c r="C1187">
        <v>114</v>
      </c>
      <c r="D1187" s="51" t="s">
        <v>52</v>
      </c>
      <c r="E1187">
        <f>VLOOKUP(M1187,'MASS - 2016'!$A$1:$G$3418,6,FALSE)</f>
        <v>-67085.89</v>
      </c>
      <c r="F1187">
        <f>VLOOKUP(M1187,'MASS - 2016'!$A$1:$G$3418,7,FALSE)</f>
        <v>11.178000000000001</v>
      </c>
      <c r="G1187">
        <f t="shared" si="96"/>
        <v>-67085.89</v>
      </c>
      <c r="H1187">
        <f t="shared" si="92"/>
        <v>113.92798033523908</v>
      </c>
      <c r="I1187">
        <f t="shared" si="93"/>
        <v>106.12323706399999</v>
      </c>
      <c r="J1187">
        <f t="shared" si="95"/>
        <v>106095.643064</v>
      </c>
      <c r="M1187">
        <f t="shared" si="94"/>
        <v>60054</v>
      </c>
    </row>
    <row r="1188" spans="1:13" x14ac:dyDescent="0.2">
      <c r="A1188">
        <v>59</v>
      </c>
      <c r="B1188">
        <v>55</v>
      </c>
      <c r="C1188">
        <v>114</v>
      </c>
      <c r="D1188" s="51" t="s">
        <v>53</v>
      </c>
      <c r="E1188">
        <f>VLOOKUP(M1188,'MASS - 2016'!$A$1:$G$3418,6,FALSE)</f>
        <v>-54682.260999999999</v>
      </c>
      <c r="F1188">
        <f>VLOOKUP(M1188,'MASS - 2016'!$A$1:$G$3418,7,FALSE)</f>
        <v>71.102000000000004</v>
      </c>
      <c r="G1188">
        <f t="shared" si="96"/>
        <v>-54682.260999999999</v>
      </c>
      <c r="H1188">
        <f t="shared" si="92"/>
        <v>113.94129617859153</v>
      </c>
      <c r="I1188">
        <f t="shared" si="93"/>
        <v>106.135640693</v>
      </c>
      <c r="J1188">
        <f t="shared" si="95"/>
        <v>106107.535693</v>
      </c>
      <c r="M1188">
        <f t="shared" si="94"/>
        <v>59055</v>
      </c>
    </row>
    <row r="1189" spans="1:13" x14ac:dyDescent="0.2">
      <c r="A1189">
        <v>58</v>
      </c>
      <c r="B1189">
        <v>56</v>
      </c>
      <c r="C1189">
        <v>114</v>
      </c>
      <c r="D1189" s="51" t="s">
        <v>54</v>
      </c>
      <c r="E1189">
        <f>VLOOKUP(M1189,'MASS - 2016'!$A$1:$G$3418,6,FALSE)</f>
        <v>-45905.425999999999</v>
      </c>
      <c r="F1189">
        <f>VLOOKUP(M1189,'MASS - 2016'!$A$1:$G$3418,7,FALSE)</f>
        <v>102.676</v>
      </c>
      <c r="G1189">
        <f t="shared" si="96"/>
        <v>-45905.425999999999</v>
      </c>
      <c r="H1189">
        <f t="shared" si="92"/>
        <v>113.95071849846178</v>
      </c>
      <c r="I1189">
        <f t="shared" si="93"/>
        <v>106.14441752799999</v>
      </c>
      <c r="J1189">
        <f t="shared" si="95"/>
        <v>106115.801528</v>
      </c>
      <c r="M1189">
        <f t="shared" si="94"/>
        <v>58056</v>
      </c>
    </row>
    <row r="1190" spans="1:13" x14ac:dyDescent="0.2">
      <c r="A1190">
        <v>72</v>
      </c>
      <c r="B1190">
        <v>43</v>
      </c>
      <c r="C1190">
        <v>115</v>
      </c>
      <c r="D1190" s="51" t="s">
        <v>41</v>
      </c>
      <c r="E1190">
        <f>VLOOKUP(M1190,'MASS - 2016'!$A$1:$G$3418,6,FALSE)</f>
        <v>-56319.99</v>
      </c>
      <c r="F1190">
        <f>VLOOKUP(M1190,'MASS - 2016'!$A$1:$G$3418,7,FALSE)</f>
        <v>789.44100000000003</v>
      </c>
      <c r="G1190">
        <f t="shared" si="96"/>
        <v>-56319.99</v>
      </c>
      <c r="H1190">
        <f t="shared" si="92"/>
        <v>114.93953800420419</v>
      </c>
      <c r="I1190">
        <f t="shared" si="93"/>
        <v>107.065497025</v>
      </c>
      <c r="J1190">
        <f t="shared" si="95"/>
        <v>107043.52402500001</v>
      </c>
      <c r="M1190">
        <f t="shared" si="94"/>
        <v>72043</v>
      </c>
    </row>
    <row r="1191" spans="1:13" x14ac:dyDescent="0.2">
      <c r="A1191">
        <v>71</v>
      </c>
      <c r="B1191">
        <v>44</v>
      </c>
      <c r="C1191">
        <v>115</v>
      </c>
      <c r="D1191" s="51" t="s">
        <v>42</v>
      </c>
      <c r="E1191">
        <f>VLOOKUP(M1191,'MASS - 2016'!$A$1:$G$3418,6,FALSE)</f>
        <v>-66189.733999999997</v>
      </c>
      <c r="F1191">
        <f>VLOOKUP(M1191,'MASS - 2016'!$A$1:$G$3418,7,FALSE)</f>
        <v>88.495999999999995</v>
      </c>
      <c r="G1191">
        <f t="shared" si="96"/>
        <v>-66189.733999999997</v>
      </c>
      <c r="H1191">
        <f t="shared" si="92"/>
        <v>114.92894239827042</v>
      </c>
      <c r="I1191">
        <f t="shared" si="93"/>
        <v>107.055627281</v>
      </c>
      <c r="J1191">
        <f t="shared" si="95"/>
        <v>107033.143281</v>
      </c>
      <c r="M1191">
        <f t="shared" si="94"/>
        <v>71044</v>
      </c>
    </row>
    <row r="1192" spans="1:13" x14ac:dyDescent="0.2">
      <c r="A1192">
        <v>70</v>
      </c>
      <c r="B1192">
        <v>45</v>
      </c>
      <c r="C1192">
        <v>115</v>
      </c>
      <c r="D1192" s="51" t="s">
        <v>43</v>
      </c>
      <c r="E1192">
        <f>VLOOKUP(M1192,'MASS - 2016'!$A$1:$G$3418,6,FALSE)</f>
        <v>-74229.831000000006</v>
      </c>
      <c r="F1192">
        <f>VLOOKUP(M1192,'MASS - 2016'!$A$1:$G$3418,7,FALSE)</f>
        <v>7.3159999999999998</v>
      </c>
      <c r="G1192">
        <f t="shared" si="96"/>
        <v>-74229.831000000006</v>
      </c>
      <c r="H1192">
        <f t="shared" si="92"/>
        <v>114.9203109991702</v>
      </c>
      <c r="I1192">
        <f t="shared" si="93"/>
        <v>107.04758718400001</v>
      </c>
      <c r="J1192">
        <f t="shared" si="95"/>
        <v>107024.59218400001</v>
      </c>
      <c r="M1192">
        <f t="shared" si="94"/>
        <v>70045</v>
      </c>
    </row>
    <row r="1193" spans="1:13" x14ac:dyDescent="0.2">
      <c r="A1193">
        <v>69</v>
      </c>
      <c r="B1193">
        <v>46</v>
      </c>
      <c r="C1193">
        <v>115</v>
      </c>
      <c r="D1193" s="51" t="s">
        <v>44</v>
      </c>
      <c r="E1193">
        <f>VLOOKUP(M1193,'MASS - 2016'!$A$1:$G$3418,6,FALSE)</f>
        <v>-80426.385999999999</v>
      </c>
      <c r="F1193">
        <f>VLOOKUP(M1193,'MASS - 2016'!$A$1:$G$3418,7,FALSE)</f>
        <v>13.545999999999999</v>
      </c>
      <c r="G1193">
        <f t="shared" si="96"/>
        <v>-80426.385999999999</v>
      </c>
      <c r="H1193">
        <f t="shared" si="92"/>
        <v>114.91365872379943</v>
      </c>
      <c r="I1193">
        <f t="shared" si="93"/>
        <v>107.04139062900001</v>
      </c>
      <c r="J1193">
        <f t="shared" si="95"/>
        <v>107017.88462900001</v>
      </c>
      <c r="M1193">
        <f t="shared" si="94"/>
        <v>69046</v>
      </c>
    </row>
    <row r="1194" spans="1:13" x14ac:dyDescent="0.2">
      <c r="A1194">
        <v>68</v>
      </c>
      <c r="B1194">
        <v>47</v>
      </c>
      <c r="C1194">
        <v>115</v>
      </c>
      <c r="D1194" s="51" t="s">
        <v>45</v>
      </c>
      <c r="E1194">
        <f>VLOOKUP(M1194,'MASS - 2016'!$A$1:$G$3418,6,FALSE)</f>
        <v>-84982.653999999995</v>
      </c>
      <c r="F1194">
        <f>VLOOKUP(M1194,'MASS - 2016'!$A$1:$G$3418,7,FALSE)</f>
        <v>18.268000000000001</v>
      </c>
      <c r="G1194">
        <f t="shared" si="96"/>
        <v>-84982.653999999995</v>
      </c>
      <c r="H1194">
        <f t="shared" si="92"/>
        <v>114.90876736894194</v>
      </c>
      <c r="I1194">
        <f t="shared" si="93"/>
        <v>107.036834361</v>
      </c>
      <c r="J1194">
        <f t="shared" si="95"/>
        <v>107012.81736099999</v>
      </c>
      <c r="M1194">
        <f t="shared" si="94"/>
        <v>68047</v>
      </c>
    </row>
    <row r="1195" spans="1:13" x14ac:dyDescent="0.2">
      <c r="A1195">
        <v>67</v>
      </c>
      <c r="B1195">
        <v>48</v>
      </c>
      <c r="C1195">
        <v>115</v>
      </c>
      <c r="D1195" s="51" t="s">
        <v>46</v>
      </c>
      <c r="E1195">
        <f>VLOOKUP(M1195,'MASS - 2016'!$A$1:$G$3418,6,FALSE)</f>
        <v>-88084.479000000007</v>
      </c>
      <c r="F1195">
        <f>VLOOKUP(M1195,'MASS - 2016'!$A$1:$G$3418,7,FALSE)</f>
        <v>0.65100000000000002</v>
      </c>
      <c r="G1195">
        <f t="shared" si="96"/>
        <v>-88084.479000000007</v>
      </c>
      <c r="H1195">
        <f t="shared" si="92"/>
        <v>114.90543742285868</v>
      </c>
      <c r="I1195">
        <f t="shared" si="93"/>
        <v>107.033732536</v>
      </c>
      <c r="J1195">
        <f t="shared" si="95"/>
        <v>107009.20453599999</v>
      </c>
      <c r="M1195">
        <f t="shared" si="94"/>
        <v>67048</v>
      </c>
    </row>
    <row r="1196" spans="1:13" x14ac:dyDescent="0.2">
      <c r="A1196">
        <v>66</v>
      </c>
      <c r="B1196">
        <v>49</v>
      </c>
      <c r="C1196">
        <v>115</v>
      </c>
      <c r="D1196" s="51" t="s">
        <v>47</v>
      </c>
      <c r="E1196">
        <f>VLOOKUP(M1196,'MASS - 2016'!$A$1:$G$3418,6,FALSE)</f>
        <v>-89536.346000000005</v>
      </c>
      <c r="F1196">
        <f>VLOOKUP(M1196,'MASS - 2016'!$A$1:$G$3418,7,FALSE)</f>
        <v>1.2E-2</v>
      </c>
      <c r="G1196">
        <f t="shared" si="96"/>
        <v>-89536.346000000005</v>
      </c>
      <c r="H1196">
        <f t="shared" si="92"/>
        <v>114.90387877953417</v>
      </c>
      <c r="I1196">
        <f t="shared" si="93"/>
        <v>107.032280669</v>
      </c>
      <c r="J1196">
        <f t="shared" si="95"/>
        <v>107007.241669</v>
      </c>
      <c r="M1196">
        <f t="shared" si="94"/>
        <v>66049</v>
      </c>
    </row>
    <row r="1197" spans="1:13" x14ac:dyDescent="0.2">
      <c r="A1197">
        <v>65</v>
      </c>
      <c r="B1197">
        <v>50</v>
      </c>
      <c r="C1197">
        <v>115</v>
      </c>
      <c r="D1197" s="51" t="s">
        <v>48</v>
      </c>
      <c r="E1197">
        <f>VLOOKUP(M1197,'MASS - 2016'!$A$1:$G$3418,6,FALSE)</f>
        <v>-90033.835000000006</v>
      </c>
      <c r="F1197">
        <f>VLOOKUP(M1197,'MASS - 2016'!$A$1:$G$3418,7,FALSE)</f>
        <v>1.4999999999999999E-2</v>
      </c>
      <c r="G1197">
        <f t="shared" si="96"/>
        <v>-90033.835000000006</v>
      </c>
      <c r="H1197">
        <f t="shared" si="92"/>
        <v>114.9033447031285</v>
      </c>
      <c r="I1197">
        <f t="shared" si="93"/>
        <v>107.03178318000001</v>
      </c>
      <c r="J1197">
        <f t="shared" si="95"/>
        <v>107006.23318</v>
      </c>
      <c r="M1197">
        <f t="shared" si="94"/>
        <v>65050</v>
      </c>
    </row>
    <row r="1198" spans="1:13" x14ac:dyDescent="0.2">
      <c r="A1198">
        <v>64</v>
      </c>
      <c r="B1198">
        <v>51</v>
      </c>
      <c r="C1198">
        <v>115</v>
      </c>
      <c r="D1198" s="51" t="s">
        <v>49</v>
      </c>
      <c r="E1198">
        <f>VLOOKUP(M1198,'MASS - 2016'!$A$1:$G$3418,6,FALSE)</f>
        <v>-87003.403000000006</v>
      </c>
      <c r="F1198">
        <f>VLOOKUP(M1198,'MASS - 2016'!$A$1:$G$3418,7,FALSE)</f>
        <v>16.024999999999999</v>
      </c>
      <c r="G1198">
        <f t="shared" si="96"/>
        <v>-87003.403000000006</v>
      </c>
      <c r="H1198">
        <f t="shared" si="92"/>
        <v>114.90659800567425</v>
      </c>
      <c r="I1198">
        <f t="shared" si="93"/>
        <v>107.03481361200001</v>
      </c>
      <c r="J1198">
        <f t="shared" si="95"/>
        <v>107008.75261200001</v>
      </c>
      <c r="M1198">
        <f t="shared" si="94"/>
        <v>64051</v>
      </c>
    </row>
    <row r="1199" spans="1:13" x14ac:dyDescent="0.2">
      <c r="A1199">
        <v>63</v>
      </c>
      <c r="B1199">
        <v>52</v>
      </c>
      <c r="C1199">
        <v>115</v>
      </c>
      <c r="D1199" s="51" t="s">
        <v>50</v>
      </c>
      <c r="E1199">
        <f>VLOOKUP(M1199,'MASS - 2016'!$A$1:$G$3418,6,FALSE)</f>
        <v>-82062.759000000005</v>
      </c>
      <c r="F1199">
        <f>VLOOKUP(M1199,'MASS - 2016'!$A$1:$G$3418,7,FALSE)</f>
        <v>27.945</v>
      </c>
      <c r="G1199">
        <f t="shared" si="96"/>
        <v>-82062.759000000005</v>
      </c>
      <c r="H1199">
        <f t="shared" si="92"/>
        <v>114.91190200513797</v>
      </c>
      <c r="I1199">
        <f t="shared" si="93"/>
        <v>107.03975425600001</v>
      </c>
      <c r="J1199">
        <f t="shared" si="95"/>
        <v>107013.18225600001</v>
      </c>
      <c r="M1199">
        <f t="shared" si="94"/>
        <v>63052</v>
      </c>
    </row>
    <row r="1200" spans="1:13" x14ac:dyDescent="0.2">
      <c r="A1200">
        <v>62</v>
      </c>
      <c r="B1200">
        <v>53</v>
      </c>
      <c r="C1200">
        <v>115</v>
      </c>
      <c r="D1200" s="51" t="s">
        <v>51</v>
      </c>
      <c r="E1200">
        <f>VLOOKUP(M1200,'MASS - 2016'!$A$1:$G$3418,6,FALSE)</f>
        <v>-76337.797000000006</v>
      </c>
      <c r="F1200">
        <f>VLOOKUP(M1200,'MASS - 2016'!$A$1:$G$3418,7,FALSE)</f>
        <v>28.876000000000001</v>
      </c>
      <c r="G1200">
        <f t="shared" si="96"/>
        <v>-76337.797000000006</v>
      </c>
      <c r="H1200">
        <f t="shared" si="92"/>
        <v>114.91804800460237</v>
      </c>
      <c r="I1200">
        <f t="shared" si="93"/>
        <v>107.04547921800001</v>
      </c>
      <c r="J1200">
        <f t="shared" si="95"/>
        <v>107018.39621800001</v>
      </c>
      <c r="M1200">
        <f t="shared" si="94"/>
        <v>62053</v>
      </c>
    </row>
    <row r="1201" spans="1:13" x14ac:dyDescent="0.2">
      <c r="A1201">
        <v>61</v>
      </c>
      <c r="B1201">
        <v>54</v>
      </c>
      <c r="C1201">
        <v>115</v>
      </c>
      <c r="D1201" s="51" t="s">
        <v>52</v>
      </c>
      <c r="E1201">
        <f>VLOOKUP(M1201,'MASS - 2016'!$A$1:$G$3418,6,FALSE)</f>
        <v>-68656.748000000007</v>
      </c>
      <c r="F1201">
        <f>VLOOKUP(M1201,'MASS - 2016'!$A$1:$G$3418,7,FALSE)</f>
        <v>12.109</v>
      </c>
      <c r="G1201">
        <f t="shared" si="96"/>
        <v>-68656.748000000007</v>
      </c>
      <c r="H1201">
        <f t="shared" si="92"/>
        <v>114.92629394982264</v>
      </c>
      <c r="I1201">
        <f t="shared" si="93"/>
        <v>107.05316026700001</v>
      </c>
      <c r="J1201">
        <f t="shared" si="95"/>
        <v>107025.56626700002</v>
      </c>
      <c r="M1201">
        <f t="shared" si="94"/>
        <v>61054</v>
      </c>
    </row>
    <row r="1202" spans="1:13" x14ac:dyDescent="0.2">
      <c r="A1202">
        <v>60</v>
      </c>
      <c r="B1202">
        <v>55</v>
      </c>
      <c r="C1202">
        <v>115</v>
      </c>
      <c r="D1202" s="51" t="s">
        <v>53</v>
      </c>
      <c r="E1202" t="str">
        <f>VLOOKUP(M1202,'MASS - 2016'!$A$1:$G$3418,6,FALSE)</f>
        <v>-59699#</v>
      </c>
      <c r="F1202" t="str">
        <f>VLOOKUP(M1202,'MASS - 2016'!$A$1:$G$3418,7,FALSE)</f>
        <v>102#</v>
      </c>
      <c r="G1202">
        <f t="shared" si="96"/>
        <v>-59699.01</v>
      </c>
      <c r="H1202">
        <f t="shared" si="92"/>
        <v>114.93591047705027</v>
      </c>
      <c r="I1202">
        <f t="shared" si="93"/>
        <v>107.062118005</v>
      </c>
      <c r="J1202">
        <f t="shared" si="95"/>
        <v>107034.013005</v>
      </c>
      <c r="M1202">
        <f t="shared" si="94"/>
        <v>60055</v>
      </c>
    </row>
    <row r="1203" spans="1:13" x14ac:dyDescent="0.2">
      <c r="A1203">
        <v>59</v>
      </c>
      <c r="B1203">
        <v>56</v>
      </c>
      <c r="C1203">
        <v>115</v>
      </c>
      <c r="D1203" s="51" t="s">
        <v>54</v>
      </c>
      <c r="E1203" t="str">
        <f>VLOOKUP(M1203,'MASS - 2016'!$A$1:$G$3418,6,FALSE)</f>
        <v>-49020#</v>
      </c>
      <c r="F1203" t="str">
        <f>VLOOKUP(M1203,'MASS - 2016'!$A$1:$G$3418,7,FALSE)</f>
        <v>200#</v>
      </c>
      <c r="G1203">
        <f t="shared" si="96"/>
        <v>-49020.01</v>
      </c>
      <c r="H1203">
        <f t="shared" si="92"/>
        <v>114.94737485502873</v>
      </c>
      <c r="I1203">
        <f t="shared" si="93"/>
        <v>107.072797005</v>
      </c>
      <c r="J1203">
        <f t="shared" si="95"/>
        <v>107044.18100500001</v>
      </c>
      <c r="M1203">
        <f t="shared" si="94"/>
        <v>59056</v>
      </c>
    </row>
    <row r="1204" spans="1:13" x14ac:dyDescent="0.2">
      <c r="A1204">
        <v>72</v>
      </c>
      <c r="B1204">
        <v>44</v>
      </c>
      <c r="C1204">
        <v>116</v>
      </c>
      <c r="D1204" s="51" t="s">
        <v>42</v>
      </c>
      <c r="E1204">
        <f>VLOOKUP(M1204,'MASS - 2016'!$A$1:$G$3418,6,FALSE)</f>
        <v>-64068.909</v>
      </c>
      <c r="F1204">
        <f>VLOOKUP(M1204,'MASS - 2016'!$A$1:$G$3418,7,FALSE)</f>
        <v>3.726</v>
      </c>
      <c r="G1204">
        <f t="shared" si="96"/>
        <v>-64068.909</v>
      </c>
      <c r="H1204">
        <f t="shared" si="92"/>
        <v>115.93121919754248</v>
      </c>
      <c r="I1204">
        <f t="shared" si="93"/>
        <v>107.989242167</v>
      </c>
      <c r="J1204">
        <f t="shared" si="95"/>
        <v>107966.75816700001</v>
      </c>
      <c r="M1204">
        <f t="shared" si="94"/>
        <v>72044</v>
      </c>
    </row>
    <row r="1205" spans="1:13" x14ac:dyDescent="0.2">
      <c r="A1205">
        <v>71</v>
      </c>
      <c r="B1205">
        <v>45</v>
      </c>
      <c r="C1205">
        <v>116</v>
      </c>
      <c r="D1205" s="51" t="s">
        <v>43</v>
      </c>
      <c r="E1205">
        <f>VLOOKUP(M1205,'MASS - 2016'!$A$1:$G$3418,6,FALSE)</f>
        <v>-70736.122000000003</v>
      </c>
      <c r="F1205">
        <f>VLOOKUP(M1205,'MASS - 2016'!$A$1:$G$3418,7,FALSE)</f>
        <v>73.831999999999994</v>
      </c>
      <c r="G1205">
        <f t="shared" si="96"/>
        <v>-70736.122000000003</v>
      </c>
      <c r="H1205">
        <f t="shared" si="92"/>
        <v>115.92406165002913</v>
      </c>
      <c r="I1205">
        <f t="shared" si="93"/>
        <v>107.982574954</v>
      </c>
      <c r="J1205">
        <f t="shared" si="95"/>
        <v>107959.579954</v>
      </c>
      <c r="M1205">
        <f t="shared" si="94"/>
        <v>71045</v>
      </c>
    </row>
    <row r="1206" spans="1:13" x14ac:dyDescent="0.2">
      <c r="A1206">
        <v>70</v>
      </c>
      <c r="B1206">
        <v>46</v>
      </c>
      <c r="C1206">
        <v>116</v>
      </c>
      <c r="D1206" s="51" t="s">
        <v>44</v>
      </c>
      <c r="E1206">
        <f>VLOOKUP(M1206,'MASS - 2016'!$A$1:$G$3418,6,FALSE)</f>
        <v>-79831.634999999995</v>
      </c>
      <c r="F1206">
        <f>VLOOKUP(M1206,'MASS - 2016'!$A$1:$G$3418,7,FALSE)</f>
        <v>7.1319999999999997</v>
      </c>
      <c r="G1206">
        <f t="shared" si="96"/>
        <v>-79831.634999999995</v>
      </c>
      <c r="H1206">
        <f t="shared" si="92"/>
        <v>115.91429721525621</v>
      </c>
      <c r="I1206">
        <f t="shared" si="93"/>
        <v>107.97347944099999</v>
      </c>
      <c r="J1206">
        <f t="shared" si="95"/>
        <v>107949.97344099999</v>
      </c>
      <c r="M1206">
        <f t="shared" si="94"/>
        <v>70046</v>
      </c>
    </row>
    <row r="1207" spans="1:13" x14ac:dyDescent="0.2">
      <c r="A1207">
        <v>69</v>
      </c>
      <c r="B1207">
        <v>47</v>
      </c>
      <c r="C1207">
        <v>116</v>
      </c>
      <c r="D1207" s="51" t="s">
        <v>45</v>
      </c>
      <c r="E1207">
        <f>VLOOKUP(M1207,'MASS - 2016'!$A$1:$G$3418,6,FALSE)</f>
        <v>-82542.653000000006</v>
      </c>
      <c r="F1207">
        <f>VLOOKUP(M1207,'MASS - 2016'!$A$1:$G$3418,7,FALSE)</f>
        <v>3.26</v>
      </c>
      <c r="G1207">
        <f t="shared" si="96"/>
        <v>-82542.653000000006</v>
      </c>
      <c r="H1207">
        <f t="shared" si="92"/>
        <v>115.91138681774162</v>
      </c>
      <c r="I1207">
        <f t="shared" si="93"/>
        <v>107.970768423</v>
      </c>
      <c r="J1207">
        <f t="shared" si="95"/>
        <v>107946.75142299999</v>
      </c>
      <c r="M1207">
        <f t="shared" si="94"/>
        <v>69047</v>
      </c>
    </row>
    <row r="1208" spans="1:13" x14ac:dyDescent="0.2">
      <c r="A1208">
        <v>68</v>
      </c>
      <c r="B1208">
        <v>48</v>
      </c>
      <c r="C1208">
        <v>116</v>
      </c>
      <c r="D1208" s="51" t="s">
        <v>46</v>
      </c>
      <c r="E1208">
        <f>VLOOKUP(M1208,'MASS - 2016'!$A$1:$G$3418,6,FALSE)</f>
        <v>-88712.48</v>
      </c>
      <c r="F1208">
        <f>VLOOKUP(M1208,'MASS - 2016'!$A$1:$G$3418,7,FALSE)</f>
        <v>0.16</v>
      </c>
      <c r="G1208">
        <f t="shared" si="96"/>
        <v>-88712.48</v>
      </c>
      <c r="H1208">
        <f t="shared" si="92"/>
        <v>115.9047632360589</v>
      </c>
      <c r="I1208">
        <f t="shared" si="93"/>
        <v>107.964598596</v>
      </c>
      <c r="J1208">
        <f t="shared" si="95"/>
        <v>107940.07059599999</v>
      </c>
      <c r="M1208">
        <f t="shared" si="94"/>
        <v>68048</v>
      </c>
    </row>
    <row r="1209" spans="1:13" x14ac:dyDescent="0.2">
      <c r="A1209">
        <v>67</v>
      </c>
      <c r="B1209">
        <v>49</v>
      </c>
      <c r="C1209">
        <v>116</v>
      </c>
      <c r="D1209" s="51" t="s">
        <v>47</v>
      </c>
      <c r="E1209">
        <f>VLOOKUP(M1209,'MASS - 2016'!$A$1:$G$3418,6,FALSE)</f>
        <v>-88249.748999999996</v>
      </c>
      <c r="F1209">
        <f>VLOOKUP(M1209,'MASS - 2016'!$A$1:$G$3418,7,FALSE)</f>
        <v>0.22</v>
      </c>
      <c r="G1209">
        <f t="shared" si="96"/>
        <v>-88249.748999999996</v>
      </c>
      <c r="H1209">
        <f t="shared" si="92"/>
        <v>115.90525999821699</v>
      </c>
      <c r="I1209">
        <f t="shared" si="93"/>
        <v>107.965061327</v>
      </c>
      <c r="J1209">
        <f t="shared" si="95"/>
        <v>107940.022327</v>
      </c>
      <c r="M1209">
        <f t="shared" si="94"/>
        <v>67049</v>
      </c>
    </row>
    <row r="1210" spans="1:13" x14ac:dyDescent="0.2">
      <c r="A1210">
        <v>66</v>
      </c>
      <c r="B1210">
        <v>50</v>
      </c>
      <c r="C1210">
        <v>116</v>
      </c>
      <c r="D1210" s="51" t="s">
        <v>48</v>
      </c>
      <c r="E1210">
        <f>VLOOKUP(M1210,'MASS - 2016'!$A$1:$G$3418,6,FALSE)</f>
        <v>-91525.97</v>
      </c>
      <c r="F1210">
        <f>VLOOKUP(M1210,'MASS - 2016'!$A$1:$G$3418,7,FALSE)</f>
        <v>9.6000000000000002E-2</v>
      </c>
      <c r="G1210">
        <f t="shared" si="96"/>
        <v>-91525.97</v>
      </c>
      <c r="H1210">
        <f t="shared" si="92"/>
        <v>115.90174283032815</v>
      </c>
      <c r="I1210">
        <f t="shared" si="93"/>
        <v>107.96178510599999</v>
      </c>
      <c r="J1210">
        <f t="shared" si="95"/>
        <v>107936.23510599999</v>
      </c>
      <c r="M1210">
        <f t="shared" si="94"/>
        <v>66050</v>
      </c>
    </row>
    <row r="1211" spans="1:13" x14ac:dyDescent="0.2">
      <c r="A1211">
        <v>65</v>
      </c>
      <c r="B1211">
        <v>51</v>
      </c>
      <c r="C1211">
        <v>116</v>
      </c>
      <c r="D1211" s="51" t="s">
        <v>49</v>
      </c>
      <c r="E1211">
        <f>VLOOKUP(M1211,'MASS - 2016'!$A$1:$G$3418,6,FALSE)</f>
        <v>-86822.15</v>
      </c>
      <c r="F1211">
        <f>VLOOKUP(M1211,'MASS - 2016'!$A$1:$G$3418,7,FALSE)</f>
        <v>5.16</v>
      </c>
      <c r="G1211">
        <f t="shared" si="96"/>
        <v>-86822.15</v>
      </c>
      <c r="H1211">
        <f t="shared" si="92"/>
        <v>115.90679258877206</v>
      </c>
      <c r="I1211">
        <f t="shared" si="93"/>
        <v>107.966488926</v>
      </c>
      <c r="J1211">
        <f t="shared" si="95"/>
        <v>107940.42792599999</v>
      </c>
      <c r="M1211">
        <f t="shared" si="94"/>
        <v>65051</v>
      </c>
    </row>
    <row r="1212" spans="1:13" x14ac:dyDescent="0.2">
      <c r="A1212">
        <v>64</v>
      </c>
      <c r="B1212">
        <v>52</v>
      </c>
      <c r="C1212">
        <v>116</v>
      </c>
      <c r="D1212" s="51" t="s">
        <v>50</v>
      </c>
      <c r="E1212">
        <f>VLOOKUP(M1212,'MASS - 2016'!$A$1:$G$3418,6,FALSE)</f>
        <v>-85268.960999999996</v>
      </c>
      <c r="F1212">
        <f>VLOOKUP(M1212,'MASS - 2016'!$A$1:$G$3418,7,FALSE)</f>
        <v>27.945</v>
      </c>
      <c r="G1212">
        <f t="shared" si="96"/>
        <v>-85268.960999999996</v>
      </c>
      <c r="H1212">
        <f t="shared" si="92"/>
        <v>115.90846000573696</v>
      </c>
      <c r="I1212">
        <f t="shared" si="93"/>
        <v>107.968042115</v>
      </c>
      <c r="J1212">
        <f t="shared" si="95"/>
        <v>107941.470115</v>
      </c>
      <c r="M1212">
        <f t="shared" si="94"/>
        <v>64052</v>
      </c>
    </row>
    <row r="1213" spans="1:13" x14ac:dyDescent="0.2">
      <c r="A1213">
        <v>63</v>
      </c>
      <c r="B1213">
        <v>53</v>
      </c>
      <c r="C1213">
        <v>116</v>
      </c>
      <c r="D1213" s="51" t="s">
        <v>51</v>
      </c>
      <c r="E1213">
        <f>VLOOKUP(M1213,'MASS - 2016'!$A$1:$G$3418,6,FALSE)</f>
        <v>-77492.236000000004</v>
      </c>
      <c r="F1213">
        <f>VLOOKUP(M1213,'MASS - 2016'!$A$1:$G$3418,7,FALSE)</f>
        <v>96.591999999999999</v>
      </c>
      <c r="G1213">
        <f t="shared" si="96"/>
        <v>-77492.236000000004</v>
      </c>
      <c r="H1213">
        <f t="shared" si="92"/>
        <v>115.91680866336732</v>
      </c>
      <c r="I1213">
        <f t="shared" si="93"/>
        <v>107.97581884</v>
      </c>
      <c r="J1213">
        <f t="shared" si="95"/>
        <v>107948.73584000001</v>
      </c>
      <c r="M1213">
        <f t="shared" si="94"/>
        <v>63053</v>
      </c>
    </row>
    <row r="1214" spans="1:13" x14ac:dyDescent="0.2">
      <c r="A1214">
        <v>62</v>
      </c>
      <c r="B1214">
        <v>54</v>
      </c>
      <c r="C1214">
        <v>116</v>
      </c>
      <c r="D1214" s="51" t="s">
        <v>52</v>
      </c>
      <c r="E1214">
        <f>VLOOKUP(M1214,'MASS - 2016'!$A$1:$G$3418,6,FALSE)</f>
        <v>-73046.724000000002</v>
      </c>
      <c r="F1214">
        <f>VLOOKUP(M1214,'MASS - 2016'!$A$1:$G$3418,7,FALSE)</f>
        <v>13.041</v>
      </c>
      <c r="G1214">
        <f t="shared" si="96"/>
        <v>-73046.724000000002</v>
      </c>
      <c r="H1214">
        <f t="shared" si="92"/>
        <v>115.92158111676893</v>
      </c>
      <c r="I1214">
        <f t="shared" si="93"/>
        <v>107.98026435200001</v>
      </c>
      <c r="J1214">
        <f t="shared" si="95"/>
        <v>107952.67035200002</v>
      </c>
      <c r="M1214">
        <f t="shared" si="94"/>
        <v>62054</v>
      </c>
    </row>
    <row r="1215" spans="1:13" x14ac:dyDescent="0.2">
      <c r="A1215">
        <v>61</v>
      </c>
      <c r="B1215">
        <v>55</v>
      </c>
      <c r="C1215">
        <v>116</v>
      </c>
      <c r="D1215" s="51" t="s">
        <v>53</v>
      </c>
      <c r="E1215" t="str">
        <f>VLOOKUP(M1215,'MASS - 2016'!$A$1:$G$3418,6,FALSE)</f>
        <v>-62043#</v>
      </c>
      <c r="F1215" t="str">
        <f>VLOOKUP(M1215,'MASS - 2016'!$A$1:$G$3418,7,FALSE)</f>
        <v>100#</v>
      </c>
      <c r="G1215">
        <f t="shared" si="96"/>
        <v>-62043.01</v>
      </c>
      <c r="H1215">
        <f t="shared" si="92"/>
        <v>115.93339408956254</v>
      </c>
      <c r="I1215">
        <f t="shared" si="93"/>
        <v>107.991268066</v>
      </c>
      <c r="J1215">
        <f t="shared" si="95"/>
        <v>107963.16306600001</v>
      </c>
      <c r="M1215">
        <f t="shared" si="94"/>
        <v>61055</v>
      </c>
    </row>
    <row r="1216" spans="1:13" x14ac:dyDescent="0.2">
      <c r="A1216">
        <v>60</v>
      </c>
      <c r="B1216">
        <v>56</v>
      </c>
      <c r="C1216">
        <v>116</v>
      </c>
      <c r="D1216" s="51" t="s">
        <v>54</v>
      </c>
      <c r="E1216" t="str">
        <f>VLOOKUP(M1216,'MASS - 2016'!$A$1:$G$3418,6,FALSE)</f>
        <v>-54580#</v>
      </c>
      <c r="F1216" t="str">
        <f>VLOOKUP(M1216,'MASS - 2016'!$A$1:$G$3418,7,FALSE)</f>
        <v>200#</v>
      </c>
      <c r="G1216">
        <f t="shared" si="96"/>
        <v>-54580.01</v>
      </c>
      <c r="H1216">
        <f t="shared" si="92"/>
        <v>115.94140594955442</v>
      </c>
      <c r="I1216">
        <f t="shared" si="93"/>
        <v>107.998731066</v>
      </c>
      <c r="J1216">
        <f t="shared" si="95"/>
        <v>107970.11506600001</v>
      </c>
      <c r="M1216">
        <f t="shared" si="94"/>
        <v>60056</v>
      </c>
    </row>
    <row r="1217" spans="1:13" x14ac:dyDescent="0.2">
      <c r="A1217">
        <v>73</v>
      </c>
      <c r="B1217">
        <v>44</v>
      </c>
      <c r="C1217">
        <v>117</v>
      </c>
      <c r="D1217" s="51" t="s">
        <v>42</v>
      </c>
      <c r="E1217">
        <f>VLOOKUP(M1217,'MASS - 2016'!$A$1:$G$3418,6,FALSE)</f>
        <v>-59489.864999999998</v>
      </c>
      <c r="F1217">
        <f>VLOOKUP(M1217,'MASS - 2016'!$A$1:$G$3418,7,FALSE)</f>
        <v>433.14499999999998</v>
      </c>
      <c r="G1217">
        <f t="shared" si="96"/>
        <v>-59489.864999999998</v>
      </c>
      <c r="H1217">
        <f t="shared" si="92"/>
        <v>116.93613500344152</v>
      </c>
      <c r="I1217">
        <f t="shared" si="93"/>
        <v>108.92531527199999</v>
      </c>
      <c r="J1217">
        <f t="shared" si="95"/>
        <v>108902.831272</v>
      </c>
      <c r="M1217">
        <f t="shared" si="94"/>
        <v>73044</v>
      </c>
    </row>
    <row r="1218" spans="1:13" x14ac:dyDescent="0.2">
      <c r="A1218">
        <v>72</v>
      </c>
      <c r="B1218">
        <v>45</v>
      </c>
      <c r="C1218">
        <v>117</v>
      </c>
      <c r="D1218" s="51" t="s">
        <v>43</v>
      </c>
      <c r="E1218">
        <f>VLOOKUP(M1218,'MASS - 2016'!$A$1:$G$3418,6,FALSE)</f>
        <v>-68897.373000000007</v>
      </c>
      <c r="F1218">
        <f>VLOOKUP(M1218,'MASS - 2016'!$A$1:$G$3418,7,FALSE)</f>
        <v>8.8919999999999995</v>
      </c>
      <c r="G1218">
        <f t="shared" si="96"/>
        <v>-68897.373000000007</v>
      </c>
      <c r="H1218">
        <f t="shared" si="92"/>
        <v>116.9260356282615</v>
      </c>
      <c r="I1218">
        <f t="shared" si="93"/>
        <v>108.915907764</v>
      </c>
      <c r="J1218">
        <f t="shared" si="95"/>
        <v>108892.91276400001</v>
      </c>
      <c r="M1218">
        <f t="shared" si="94"/>
        <v>72045</v>
      </c>
    </row>
    <row r="1219" spans="1:13" x14ac:dyDescent="0.2">
      <c r="A1219">
        <v>71</v>
      </c>
      <c r="B1219">
        <v>46</v>
      </c>
      <c r="C1219">
        <v>117</v>
      </c>
      <c r="D1219" s="51" t="s">
        <v>44</v>
      </c>
      <c r="E1219">
        <f>VLOOKUP(M1219,'MASS - 2016'!$A$1:$G$3418,6,FALSE)</f>
        <v>-76424.476999999999</v>
      </c>
      <c r="F1219">
        <f>VLOOKUP(M1219,'MASS - 2016'!$A$1:$G$3418,7,FALSE)</f>
        <v>7.2519999999999998</v>
      </c>
      <c r="G1219">
        <f t="shared" si="96"/>
        <v>-76424.476999999999</v>
      </c>
      <c r="H1219">
        <f t="shared" si="92"/>
        <v>116.91795494979543</v>
      </c>
      <c r="I1219">
        <f t="shared" si="93"/>
        <v>108.90838065999999</v>
      </c>
      <c r="J1219">
        <f t="shared" si="95"/>
        <v>108884.87466</v>
      </c>
      <c r="M1219">
        <f t="shared" si="94"/>
        <v>71046</v>
      </c>
    </row>
    <row r="1220" spans="1:13" x14ac:dyDescent="0.2">
      <c r="A1220">
        <v>70</v>
      </c>
      <c r="B1220">
        <v>47</v>
      </c>
      <c r="C1220">
        <v>117</v>
      </c>
      <c r="D1220" s="51" t="s">
        <v>45</v>
      </c>
      <c r="E1220">
        <f>VLOOKUP(M1220,'MASS - 2016'!$A$1:$G$3418,6,FALSE)</f>
        <v>-82182.013999999996</v>
      </c>
      <c r="F1220">
        <f>VLOOKUP(M1220,'MASS - 2016'!$A$1:$G$3418,7,FALSE)</f>
        <v>13.571999999999999</v>
      </c>
      <c r="G1220">
        <f t="shared" si="96"/>
        <v>-82182.013999999996</v>
      </c>
      <c r="H1220">
        <f t="shared" si="92"/>
        <v>116.91177397963034</v>
      </c>
      <c r="I1220">
        <f t="shared" si="93"/>
        <v>108.902623123</v>
      </c>
      <c r="J1220">
        <f t="shared" si="95"/>
        <v>108878.60612299999</v>
      </c>
      <c r="M1220">
        <f t="shared" si="94"/>
        <v>70047</v>
      </c>
    </row>
    <row r="1221" spans="1:13" x14ac:dyDescent="0.2">
      <c r="A1221">
        <v>69</v>
      </c>
      <c r="B1221">
        <v>48</v>
      </c>
      <c r="C1221">
        <v>117</v>
      </c>
      <c r="D1221" s="51" t="s">
        <v>46</v>
      </c>
      <c r="E1221">
        <f>VLOOKUP(M1221,'MASS - 2016'!$A$1:$G$3418,6,FALSE)</f>
        <v>-86418.388999999996</v>
      </c>
      <c r="F1221">
        <f>VLOOKUP(M1221,'MASS - 2016'!$A$1:$G$3418,7,FALSE)</f>
        <v>1.0129999999999999</v>
      </c>
      <c r="G1221">
        <f t="shared" si="96"/>
        <v>-86418.388999999996</v>
      </c>
      <c r="H1221">
        <f t="shared" si="92"/>
        <v>116.90722604403163</v>
      </c>
      <c r="I1221">
        <f t="shared" si="93"/>
        <v>108.89838674799999</v>
      </c>
      <c r="J1221">
        <f t="shared" si="95"/>
        <v>108873.85874799998</v>
      </c>
      <c r="M1221">
        <f t="shared" si="94"/>
        <v>69048</v>
      </c>
    </row>
    <row r="1222" spans="1:13" x14ac:dyDescent="0.2">
      <c r="A1222">
        <v>68</v>
      </c>
      <c r="B1222">
        <v>49</v>
      </c>
      <c r="C1222">
        <v>117</v>
      </c>
      <c r="D1222" s="51" t="s">
        <v>47</v>
      </c>
      <c r="E1222">
        <f>VLOOKUP(M1222,'MASS - 2016'!$A$1:$G$3418,6,FALSE)</f>
        <v>-88943.042000000001</v>
      </c>
      <c r="F1222">
        <f>VLOOKUP(M1222,'MASS - 2016'!$A$1:$G$3418,7,FALSE)</f>
        <v>4.8810000000000002</v>
      </c>
      <c r="G1222">
        <f t="shared" si="96"/>
        <v>-88943.042000000001</v>
      </c>
      <c r="H1222">
        <f t="shared" si="92"/>
        <v>116.90451571757256</v>
      </c>
      <c r="I1222">
        <f t="shared" si="93"/>
        <v>108.895862095</v>
      </c>
      <c r="J1222">
        <f t="shared" si="95"/>
        <v>108870.823095</v>
      </c>
      <c r="M1222">
        <f t="shared" si="94"/>
        <v>68049</v>
      </c>
    </row>
    <row r="1223" spans="1:13" x14ac:dyDescent="0.2">
      <c r="A1223">
        <v>67</v>
      </c>
      <c r="B1223">
        <v>50</v>
      </c>
      <c r="C1223">
        <v>117</v>
      </c>
      <c r="D1223" s="51" t="s">
        <v>48</v>
      </c>
      <c r="E1223">
        <f>VLOOKUP(M1223,'MASS - 2016'!$A$1:$G$3418,6,FALSE)</f>
        <v>-90397.751000000004</v>
      </c>
      <c r="F1223">
        <f>VLOOKUP(M1223,'MASS - 2016'!$A$1:$G$3418,7,FALSE)</f>
        <v>0.48299999999999998</v>
      </c>
      <c r="G1223">
        <f t="shared" si="96"/>
        <v>-90397.751000000004</v>
      </c>
      <c r="H1223">
        <f t="shared" si="92"/>
        <v>116.90295402323558</v>
      </c>
      <c r="I1223">
        <f t="shared" si="93"/>
        <v>108.894407386</v>
      </c>
      <c r="J1223">
        <f t="shared" si="95"/>
        <v>108868.85738599999</v>
      </c>
      <c r="M1223">
        <f t="shared" si="94"/>
        <v>67050</v>
      </c>
    </row>
    <row r="1224" spans="1:13" x14ac:dyDescent="0.2">
      <c r="A1224">
        <v>66</v>
      </c>
      <c r="B1224">
        <v>51</v>
      </c>
      <c r="C1224">
        <v>117</v>
      </c>
      <c r="D1224" s="51" t="s">
        <v>49</v>
      </c>
      <c r="E1224">
        <f>VLOOKUP(M1224,'MASS - 2016'!$A$1:$G$3418,6,FALSE)</f>
        <v>-88639.539000000004</v>
      </c>
      <c r="F1224">
        <f>VLOOKUP(M1224,'MASS - 2016'!$A$1:$G$3418,7,FALSE)</f>
        <v>8.4369999999999994</v>
      </c>
      <c r="G1224">
        <f t="shared" si="96"/>
        <v>-88639.539000000004</v>
      </c>
      <c r="H1224">
        <f t="shared" si="92"/>
        <v>116.90484154144274</v>
      </c>
      <c r="I1224">
        <f t="shared" si="93"/>
        <v>108.896165598</v>
      </c>
      <c r="J1224">
        <f t="shared" si="95"/>
        <v>108870.10459799999</v>
      </c>
      <c r="M1224">
        <f t="shared" si="94"/>
        <v>66051</v>
      </c>
    </row>
    <row r="1225" spans="1:13" x14ac:dyDescent="0.2">
      <c r="A1225">
        <v>65</v>
      </c>
      <c r="B1225">
        <v>52</v>
      </c>
      <c r="C1225">
        <v>117</v>
      </c>
      <c r="D1225" s="51" t="s">
        <v>50</v>
      </c>
      <c r="E1225">
        <f>VLOOKUP(M1225,'MASS - 2016'!$A$1:$G$3418,6,FALSE)</f>
        <v>-85095.410999999993</v>
      </c>
      <c r="F1225">
        <f>VLOOKUP(M1225,'MASS - 2016'!$A$1:$G$3418,7,FALSE)</f>
        <v>13.456</v>
      </c>
      <c r="G1225">
        <f t="shared" si="96"/>
        <v>-85095.410999999993</v>
      </c>
      <c r="H1225">
        <f t="shared" ref="H1225:H1288" si="97">(C1225*$A$3+G1225/1000000)/$A$3</f>
        <v>116.90864631932419</v>
      </c>
      <c r="I1225">
        <f t="shared" ref="I1225:I1288" si="98">H1225*$A$3</f>
        <v>108.899709726</v>
      </c>
      <c r="J1225">
        <f t="shared" si="95"/>
        <v>108873.137726</v>
      </c>
      <c r="M1225">
        <f t="shared" ref="M1225:M1288" si="99">1000*A1225+B1225</f>
        <v>65052</v>
      </c>
    </row>
    <row r="1226" spans="1:13" x14ac:dyDescent="0.2">
      <c r="A1226">
        <v>64</v>
      </c>
      <c r="B1226">
        <v>53</v>
      </c>
      <c r="C1226">
        <v>117</v>
      </c>
      <c r="D1226" s="51" t="s">
        <v>51</v>
      </c>
      <c r="E1226">
        <f>VLOOKUP(M1226,'MASS - 2016'!$A$1:$G$3418,6,FALSE)</f>
        <v>-80436.077000000005</v>
      </c>
      <c r="F1226">
        <f>VLOOKUP(M1226,'MASS - 2016'!$A$1:$G$3418,7,FALSE)</f>
        <v>26.196000000000002</v>
      </c>
      <c r="G1226">
        <f t="shared" si="96"/>
        <v>-80436.077000000005</v>
      </c>
      <c r="H1226">
        <f t="shared" si="97"/>
        <v>116.91364832008306</v>
      </c>
      <c r="I1226">
        <f t="shared" si="98"/>
        <v>108.90436905999999</v>
      </c>
      <c r="J1226">
        <f t="shared" si="95"/>
        <v>108877.28606</v>
      </c>
      <c r="M1226">
        <f t="shared" si="99"/>
        <v>64053</v>
      </c>
    </row>
    <row r="1227" spans="1:13" x14ac:dyDescent="0.2">
      <c r="A1227">
        <v>63</v>
      </c>
      <c r="B1227">
        <v>54</v>
      </c>
      <c r="C1227">
        <v>117</v>
      </c>
      <c r="D1227" s="51" t="s">
        <v>52</v>
      </c>
      <c r="E1227">
        <f>VLOOKUP(M1227,'MASS - 2016'!$A$1:$G$3418,6,FALSE)</f>
        <v>-74185.337</v>
      </c>
      <c r="F1227">
        <f>VLOOKUP(M1227,'MASS - 2016'!$A$1:$G$3418,7,FALSE)</f>
        <v>10.378</v>
      </c>
      <c r="G1227">
        <f t="shared" si="96"/>
        <v>-74185.337</v>
      </c>
      <c r="H1227">
        <f t="shared" si="97"/>
        <v>116.92035876544358</v>
      </c>
      <c r="I1227">
        <f t="shared" si="98"/>
        <v>108.91061979999999</v>
      </c>
      <c r="J1227">
        <f t="shared" si="95"/>
        <v>108883.02579999999</v>
      </c>
      <c r="M1227">
        <f t="shared" si="99"/>
        <v>63054</v>
      </c>
    </row>
    <row r="1228" spans="1:13" x14ac:dyDescent="0.2">
      <c r="A1228">
        <v>62</v>
      </c>
      <c r="B1228">
        <v>55</v>
      </c>
      <c r="C1228">
        <v>117</v>
      </c>
      <c r="D1228" s="51" t="s">
        <v>53</v>
      </c>
      <c r="E1228">
        <f>VLOOKUP(M1228,'MASS - 2016'!$A$1:$G$3418,6,FALSE)</f>
        <v>-66493.092000000004</v>
      </c>
      <c r="F1228">
        <f>VLOOKUP(M1228,'MASS - 2016'!$A$1:$G$3418,7,FALSE)</f>
        <v>62.41</v>
      </c>
      <c r="G1228">
        <f t="shared" si="96"/>
        <v>-66493.092000000004</v>
      </c>
      <c r="H1228">
        <f t="shared" si="97"/>
        <v>116.92861673006415</v>
      </c>
      <c r="I1228">
        <f t="shared" si="98"/>
        <v>108.91831204499999</v>
      </c>
      <c r="J1228">
        <f t="shared" ref="J1228:J1291" si="100">1000*I1228-B1228*0.511</f>
        <v>108890.207045</v>
      </c>
      <c r="M1228">
        <f t="shared" si="99"/>
        <v>62055</v>
      </c>
    </row>
    <row r="1229" spans="1:13" x14ac:dyDescent="0.2">
      <c r="A1229">
        <v>61</v>
      </c>
      <c r="B1229">
        <v>56</v>
      </c>
      <c r="C1229">
        <v>117</v>
      </c>
      <c r="D1229" s="51" t="s">
        <v>54</v>
      </c>
      <c r="E1229">
        <f>VLOOKUP(M1229,'MASS - 2016'!$A$1:$G$3418,6,FALSE)</f>
        <v>-57457.752999999997</v>
      </c>
      <c r="F1229">
        <f>VLOOKUP(M1229,'MASS - 2016'!$A$1:$G$3418,7,FALSE)</f>
        <v>250.34</v>
      </c>
      <c r="G1229">
        <f t="shared" si="96"/>
        <v>-57457.752999999997</v>
      </c>
      <c r="H1229">
        <f t="shared" si="97"/>
        <v>116.93831656539139</v>
      </c>
      <c r="I1229">
        <f t="shared" si="98"/>
        <v>108.927347384</v>
      </c>
      <c r="J1229">
        <f t="shared" si="100"/>
        <v>108898.73138400001</v>
      </c>
      <c r="M1229">
        <f t="shared" si="99"/>
        <v>61056</v>
      </c>
    </row>
    <row r="1230" spans="1:13" x14ac:dyDescent="0.2">
      <c r="A1230">
        <v>60</v>
      </c>
      <c r="B1230">
        <v>57</v>
      </c>
      <c r="C1230">
        <v>117</v>
      </c>
      <c r="D1230" s="51" t="s">
        <v>55</v>
      </c>
      <c r="E1230" t="str">
        <f>VLOOKUP(M1230,'MASS - 2016'!$A$1:$G$3418,6,FALSE)</f>
        <v>-46471#</v>
      </c>
      <c r="F1230" t="str">
        <f>VLOOKUP(M1230,'MASS - 2016'!$A$1:$G$3418,7,FALSE)</f>
        <v>200#</v>
      </c>
      <c r="G1230">
        <f t="shared" si="96"/>
        <v>-46471.01</v>
      </c>
      <c r="H1230">
        <f t="shared" si="97"/>
        <v>116.95011131906722</v>
      </c>
      <c r="I1230">
        <f t="shared" si="98"/>
        <v>108.93833412699999</v>
      </c>
      <c r="J1230">
        <f t="shared" si="100"/>
        <v>108909.207127</v>
      </c>
      <c r="M1230">
        <f t="shared" si="99"/>
        <v>60057</v>
      </c>
    </row>
    <row r="1231" spans="1:13" x14ac:dyDescent="0.2">
      <c r="A1231">
        <v>74</v>
      </c>
      <c r="B1231">
        <v>44</v>
      </c>
      <c r="C1231">
        <v>118</v>
      </c>
      <c r="D1231" s="51" t="s">
        <v>42</v>
      </c>
      <c r="E1231" t="str">
        <f>VLOOKUP(M1231,'MASS - 2016'!$A$1:$G$3418,6,FALSE)</f>
        <v>-57260#</v>
      </c>
      <c r="F1231" t="str">
        <f>VLOOKUP(M1231,'MASS - 2016'!$A$1:$G$3418,7,FALSE)</f>
        <v>200#</v>
      </c>
      <c r="G1231">
        <f t="shared" ref="G1231:G1294" si="101">IF(ISNUMBER(E1231),E1231,VALUE(SUBSTITUTE(E1231,"#",".01")))</f>
        <v>-57260.01</v>
      </c>
      <c r="H1231">
        <f t="shared" si="97"/>
        <v>117.93852885123228</v>
      </c>
      <c r="I1231">
        <f t="shared" si="98"/>
        <v>109.85903918800001</v>
      </c>
      <c r="J1231">
        <f t="shared" si="100"/>
        <v>109836.55518800001</v>
      </c>
      <c r="M1231">
        <f t="shared" si="99"/>
        <v>74044</v>
      </c>
    </row>
    <row r="1232" spans="1:13" x14ac:dyDescent="0.2">
      <c r="A1232">
        <v>73</v>
      </c>
      <c r="B1232">
        <v>45</v>
      </c>
      <c r="C1232">
        <v>118</v>
      </c>
      <c r="D1232" s="51" t="s">
        <v>43</v>
      </c>
      <c r="E1232">
        <f>VLOOKUP(M1232,'MASS - 2016'!$A$1:$G$3418,6,FALSE)</f>
        <v>-64887.46</v>
      </c>
      <c r="F1232">
        <f>VLOOKUP(M1232,'MASS - 2016'!$A$1:$G$3418,7,FALSE)</f>
        <v>24.234999999999999</v>
      </c>
      <c r="G1232">
        <f t="shared" si="101"/>
        <v>-64887.46</v>
      </c>
      <c r="H1232">
        <f t="shared" si="97"/>
        <v>117.93034044690491</v>
      </c>
      <c r="I1232">
        <f t="shared" si="98"/>
        <v>109.85141173800001</v>
      </c>
      <c r="J1232">
        <f t="shared" si="100"/>
        <v>109828.41673800001</v>
      </c>
      <c r="M1232">
        <f t="shared" si="99"/>
        <v>73045</v>
      </c>
    </row>
    <row r="1233" spans="1:13" x14ac:dyDescent="0.2">
      <c r="A1233">
        <v>72</v>
      </c>
      <c r="B1233">
        <v>46</v>
      </c>
      <c r="C1233">
        <v>118</v>
      </c>
      <c r="D1233" s="51" t="s">
        <v>44</v>
      </c>
      <c r="E1233">
        <f>VLOOKUP(M1233,'MASS - 2016'!$A$1:$G$3418,6,FALSE)</f>
        <v>-75388.745999999999</v>
      </c>
      <c r="F1233">
        <f>VLOOKUP(M1233,'MASS - 2016'!$A$1:$G$3418,7,FALSE)</f>
        <v>2.4910000000000001</v>
      </c>
      <c r="G1233">
        <f t="shared" si="101"/>
        <v>-75388.745999999999</v>
      </c>
      <c r="H1233">
        <f t="shared" si="97"/>
        <v>117.91906685275153</v>
      </c>
      <c r="I1233">
        <f t="shared" si="98"/>
        <v>109.840910452</v>
      </c>
      <c r="J1233">
        <f t="shared" si="100"/>
        <v>109817.404452</v>
      </c>
      <c r="M1233">
        <f t="shared" si="99"/>
        <v>72046</v>
      </c>
    </row>
    <row r="1234" spans="1:13" x14ac:dyDescent="0.2">
      <c r="A1234">
        <v>71</v>
      </c>
      <c r="B1234">
        <v>47</v>
      </c>
      <c r="C1234">
        <v>118</v>
      </c>
      <c r="D1234" s="51" t="s">
        <v>45</v>
      </c>
      <c r="E1234">
        <f>VLOOKUP(M1234,'MASS - 2016'!$A$1:$G$3418,6,FALSE)</f>
        <v>-79553.792000000001</v>
      </c>
      <c r="F1234">
        <f>VLOOKUP(M1234,'MASS - 2016'!$A$1:$G$3418,7,FALSE)</f>
        <v>2.5150000000000001</v>
      </c>
      <c r="G1234">
        <f t="shared" si="101"/>
        <v>-79553.792000000001</v>
      </c>
      <c r="H1234">
        <f t="shared" si="97"/>
        <v>117.9145954919835</v>
      </c>
      <c r="I1234">
        <f t="shared" si="98"/>
        <v>109.83674540600001</v>
      </c>
      <c r="J1234">
        <f t="shared" si="100"/>
        <v>109812.72840599999</v>
      </c>
      <c r="M1234">
        <f t="shared" si="99"/>
        <v>71047</v>
      </c>
    </row>
    <row r="1235" spans="1:13" x14ac:dyDescent="0.2">
      <c r="A1235">
        <v>70</v>
      </c>
      <c r="B1235">
        <v>48</v>
      </c>
      <c r="C1235">
        <v>118</v>
      </c>
      <c r="D1235" s="51" t="s">
        <v>46</v>
      </c>
      <c r="E1235">
        <f>VLOOKUP(M1235,'MASS - 2016'!$A$1:$G$3418,6,FALSE)</f>
        <v>-86701.641000000003</v>
      </c>
      <c r="F1235">
        <f>VLOOKUP(M1235,'MASS - 2016'!$A$1:$G$3418,7,FALSE)</f>
        <v>20.001000000000001</v>
      </c>
      <c r="G1235">
        <f t="shared" si="101"/>
        <v>-86701.641000000003</v>
      </c>
      <c r="H1235">
        <f t="shared" si="97"/>
        <v>117.90692196050405</v>
      </c>
      <c r="I1235">
        <f t="shared" si="98"/>
        <v>109.829597557</v>
      </c>
      <c r="J1235">
        <f t="shared" si="100"/>
        <v>109805.069557</v>
      </c>
      <c r="M1235">
        <f t="shared" si="99"/>
        <v>70048</v>
      </c>
    </row>
    <row r="1236" spans="1:13" x14ac:dyDescent="0.2">
      <c r="A1236">
        <v>69</v>
      </c>
      <c r="B1236">
        <v>49</v>
      </c>
      <c r="C1236">
        <v>118</v>
      </c>
      <c r="D1236" s="51" t="s">
        <v>47</v>
      </c>
      <c r="E1236">
        <f>VLOOKUP(M1236,'MASS - 2016'!$A$1:$G$3418,6,FALSE)</f>
        <v>-87228.210999999996</v>
      </c>
      <c r="F1236">
        <f>VLOOKUP(M1236,'MASS - 2016'!$A$1:$G$3418,7,FALSE)</f>
        <v>7.7519999999999998</v>
      </c>
      <c r="G1236">
        <f t="shared" si="101"/>
        <v>-87228.210999999996</v>
      </c>
      <c r="H1236">
        <f t="shared" si="97"/>
        <v>117.90635666436097</v>
      </c>
      <c r="I1236">
        <f t="shared" si="98"/>
        <v>109.82907098700001</v>
      </c>
      <c r="J1236">
        <f t="shared" si="100"/>
        <v>109804.03198700001</v>
      </c>
      <c r="M1236">
        <f t="shared" si="99"/>
        <v>69049</v>
      </c>
    </row>
    <row r="1237" spans="1:13" x14ac:dyDescent="0.2">
      <c r="A1237">
        <v>68</v>
      </c>
      <c r="B1237">
        <v>50</v>
      </c>
      <c r="C1237">
        <v>118</v>
      </c>
      <c r="D1237" s="51" t="s">
        <v>48</v>
      </c>
      <c r="E1237">
        <f>VLOOKUP(M1237,'MASS - 2016'!$A$1:$G$3418,6,FALSE)</f>
        <v>-91652.853000000003</v>
      </c>
      <c r="F1237">
        <f>VLOOKUP(M1237,'MASS - 2016'!$A$1:$G$3418,7,FALSE)</f>
        <v>0.499</v>
      </c>
      <c r="G1237">
        <f t="shared" si="101"/>
        <v>-91652.853000000003</v>
      </c>
      <c r="H1237">
        <f t="shared" si="97"/>
        <v>117.90160661582577</v>
      </c>
      <c r="I1237">
        <f t="shared" si="98"/>
        <v>109.824646345</v>
      </c>
      <c r="J1237">
        <f t="shared" si="100"/>
        <v>109799.096345</v>
      </c>
      <c r="M1237">
        <f t="shared" si="99"/>
        <v>68050</v>
      </c>
    </row>
    <row r="1238" spans="1:13" x14ac:dyDescent="0.2">
      <c r="A1238">
        <v>67</v>
      </c>
      <c r="B1238">
        <v>51</v>
      </c>
      <c r="C1238">
        <v>118</v>
      </c>
      <c r="D1238" s="51" t="s">
        <v>49</v>
      </c>
      <c r="E1238">
        <f>VLOOKUP(M1238,'MASS - 2016'!$A$1:$G$3418,6,FALSE)</f>
        <v>-87996.213000000003</v>
      </c>
      <c r="F1238">
        <f>VLOOKUP(M1238,'MASS - 2016'!$A$1:$G$3418,7,FALSE)</f>
        <v>3.016</v>
      </c>
      <c r="G1238">
        <f t="shared" si="101"/>
        <v>-87996.213000000003</v>
      </c>
      <c r="H1238">
        <f t="shared" si="97"/>
        <v>117.90553218030664</v>
      </c>
      <c r="I1238">
        <f t="shared" si="98"/>
        <v>109.82830298500001</v>
      </c>
      <c r="J1238">
        <f t="shared" si="100"/>
        <v>109802.241985</v>
      </c>
      <c r="M1238">
        <f t="shared" si="99"/>
        <v>67051</v>
      </c>
    </row>
    <row r="1239" spans="1:13" x14ac:dyDescent="0.2">
      <c r="A1239">
        <v>66</v>
      </c>
      <c r="B1239">
        <v>52</v>
      </c>
      <c r="C1239">
        <v>118</v>
      </c>
      <c r="D1239" s="51" t="s">
        <v>50</v>
      </c>
      <c r="E1239">
        <f>VLOOKUP(M1239,'MASS - 2016'!$A$1:$G$3418,6,FALSE)</f>
        <v>-87696.584000000003</v>
      </c>
      <c r="F1239">
        <f>VLOOKUP(M1239,'MASS - 2016'!$A$1:$G$3418,7,FALSE)</f>
        <v>18.481000000000002</v>
      </c>
      <c r="G1239">
        <f t="shared" si="101"/>
        <v>-87696.584000000003</v>
      </c>
      <c r="H1239">
        <f t="shared" si="97"/>
        <v>117.90585384526676</v>
      </c>
      <c r="I1239">
        <f t="shared" si="98"/>
        <v>109.828602614</v>
      </c>
      <c r="J1239">
        <f t="shared" si="100"/>
        <v>109802.030614</v>
      </c>
      <c r="M1239">
        <f t="shared" si="99"/>
        <v>66052</v>
      </c>
    </row>
    <row r="1240" spans="1:13" x14ac:dyDescent="0.2">
      <c r="A1240">
        <v>65</v>
      </c>
      <c r="B1240">
        <v>53</v>
      </c>
      <c r="C1240">
        <v>118</v>
      </c>
      <c r="D1240" s="51" t="s">
        <v>51</v>
      </c>
      <c r="E1240">
        <f>VLOOKUP(M1240,'MASS - 2016'!$A$1:$G$3418,6,FALSE)</f>
        <v>-80971.047999999995</v>
      </c>
      <c r="F1240">
        <f>VLOOKUP(M1240,'MASS - 2016'!$A$1:$G$3418,7,FALSE)</f>
        <v>19.760000000000002</v>
      </c>
      <c r="G1240">
        <f t="shared" si="101"/>
        <v>-80971.047999999995</v>
      </c>
      <c r="H1240">
        <f t="shared" si="97"/>
        <v>117.91307400509558</v>
      </c>
      <c r="I1240">
        <f t="shared" si="98"/>
        <v>109.83532815000001</v>
      </c>
      <c r="J1240">
        <f t="shared" si="100"/>
        <v>109808.24515000002</v>
      </c>
      <c r="M1240">
        <f t="shared" si="99"/>
        <v>65053</v>
      </c>
    </row>
    <row r="1241" spans="1:13" x14ac:dyDescent="0.2">
      <c r="A1241">
        <v>64</v>
      </c>
      <c r="B1241">
        <v>54</v>
      </c>
      <c r="C1241">
        <v>118</v>
      </c>
      <c r="D1241" s="51" t="s">
        <v>52</v>
      </c>
      <c r="E1241">
        <f>VLOOKUP(M1241,'MASS - 2016'!$A$1:$G$3418,6,FALSE)</f>
        <v>-78079.057000000001</v>
      </c>
      <c r="F1241">
        <f>VLOOKUP(M1241,'MASS - 2016'!$A$1:$G$3418,7,FALSE)</f>
        <v>10.378</v>
      </c>
      <c r="G1241">
        <f t="shared" si="101"/>
        <v>-78079.057000000001</v>
      </c>
      <c r="H1241">
        <f t="shared" si="97"/>
        <v>117.91617868511564</v>
      </c>
      <c r="I1241">
        <f t="shared" si="98"/>
        <v>109.83822014100001</v>
      </c>
      <c r="J1241">
        <f t="shared" si="100"/>
        <v>109810.62614100002</v>
      </c>
      <c r="M1241">
        <f t="shared" si="99"/>
        <v>64054</v>
      </c>
    </row>
    <row r="1242" spans="1:13" x14ac:dyDescent="0.2">
      <c r="A1242">
        <v>63</v>
      </c>
      <c r="B1242">
        <v>55</v>
      </c>
      <c r="C1242">
        <v>118</v>
      </c>
      <c r="D1242" s="51" t="s">
        <v>53</v>
      </c>
      <c r="E1242">
        <f>VLOOKUP(M1242,'MASS - 2016'!$A$1:$G$3418,6,FALSE)</f>
        <v>-68409.366999999998</v>
      </c>
      <c r="F1242">
        <f>VLOOKUP(M1242,'MASS - 2016'!$A$1:$G$3418,7,FALSE)</f>
        <v>12.753</v>
      </c>
      <c r="G1242">
        <f t="shared" si="101"/>
        <v>-68409.366999999998</v>
      </c>
      <c r="H1242">
        <f t="shared" si="97"/>
        <v>117.92655952424801</v>
      </c>
      <c r="I1242">
        <f t="shared" si="98"/>
        <v>109.847889831</v>
      </c>
      <c r="J1242">
        <f t="shared" si="100"/>
        <v>109819.78483100001</v>
      </c>
      <c r="M1242">
        <f t="shared" si="99"/>
        <v>63055</v>
      </c>
    </row>
    <row r="1243" spans="1:13" x14ac:dyDescent="0.2">
      <c r="A1243">
        <v>62</v>
      </c>
      <c r="B1243">
        <v>56</v>
      </c>
      <c r="C1243">
        <v>118</v>
      </c>
      <c r="D1243" s="51" t="s">
        <v>54</v>
      </c>
      <c r="E1243" t="str">
        <f>VLOOKUP(M1243,'MASS - 2016'!$A$1:$G$3418,6,FALSE)</f>
        <v>-62354#</v>
      </c>
      <c r="F1243" t="str">
        <f>VLOOKUP(M1243,'MASS - 2016'!$A$1:$G$3418,7,FALSE)</f>
        <v>196#</v>
      </c>
      <c r="G1243">
        <f t="shared" si="101"/>
        <v>-62354.01</v>
      </c>
      <c r="H1243">
        <f t="shared" si="97"/>
        <v>117.93306021733186</v>
      </c>
      <c r="I1243">
        <f t="shared" si="98"/>
        <v>109.853945188</v>
      </c>
      <c r="J1243">
        <f t="shared" si="100"/>
        <v>109825.329188</v>
      </c>
      <c r="M1243">
        <f t="shared" si="99"/>
        <v>62056</v>
      </c>
    </row>
    <row r="1244" spans="1:13" x14ac:dyDescent="0.2">
      <c r="A1244">
        <v>61</v>
      </c>
      <c r="B1244">
        <v>57</v>
      </c>
      <c r="C1244">
        <v>118</v>
      </c>
      <c r="D1244" s="51" t="s">
        <v>55</v>
      </c>
      <c r="E1244" t="str">
        <f>VLOOKUP(M1244,'MASS - 2016'!$A$1:$G$3418,6,FALSE)</f>
        <v>-49560#</v>
      </c>
      <c r="F1244" t="str">
        <f>VLOOKUP(M1244,'MASS - 2016'!$A$1:$G$3418,7,FALSE)</f>
        <v>300#</v>
      </c>
      <c r="G1244">
        <f t="shared" si="101"/>
        <v>-49560.01</v>
      </c>
      <c r="H1244">
        <f t="shared" si="97"/>
        <v>117.94679514118772</v>
      </c>
      <c r="I1244">
        <f t="shared" si="98"/>
        <v>109.86673918800001</v>
      </c>
      <c r="J1244">
        <f t="shared" si="100"/>
        <v>109837.61218800001</v>
      </c>
      <c r="M1244">
        <f t="shared" si="99"/>
        <v>61057</v>
      </c>
    </row>
    <row r="1245" spans="1:13" x14ac:dyDescent="0.2">
      <c r="A1245">
        <v>74</v>
      </c>
      <c r="B1245">
        <v>45</v>
      </c>
      <c r="C1245">
        <v>119</v>
      </c>
      <c r="D1245" s="51" t="s">
        <v>43</v>
      </c>
      <c r="E1245">
        <f>VLOOKUP(M1245,'MASS - 2016'!$A$1:$G$3418,6,FALSE)</f>
        <v>-62822.794000000002</v>
      </c>
      <c r="F1245">
        <f>VLOOKUP(M1245,'MASS - 2016'!$A$1:$G$3418,7,FALSE)</f>
        <v>9.3149999999999995</v>
      </c>
      <c r="G1245">
        <f t="shared" si="101"/>
        <v>-62822.794000000002</v>
      </c>
      <c r="H1245">
        <f t="shared" si="97"/>
        <v>118.93255695701103</v>
      </c>
      <c r="I1245">
        <f t="shared" si="98"/>
        <v>110.784970465</v>
      </c>
      <c r="J1245">
        <f t="shared" si="100"/>
        <v>110761.97546500001</v>
      </c>
      <c r="M1245">
        <f t="shared" si="99"/>
        <v>74045</v>
      </c>
    </row>
    <row r="1246" spans="1:13" x14ac:dyDescent="0.2">
      <c r="A1246">
        <v>73</v>
      </c>
      <c r="B1246">
        <v>46</v>
      </c>
      <c r="C1246">
        <v>119</v>
      </c>
      <c r="D1246" s="51" t="s">
        <v>44</v>
      </c>
      <c r="E1246">
        <f>VLOOKUP(M1246,'MASS - 2016'!$A$1:$G$3418,6,FALSE)</f>
        <v>-71407.902000000002</v>
      </c>
      <c r="F1246">
        <f>VLOOKUP(M1246,'MASS - 2016'!$A$1:$G$3418,7,FALSE)</f>
        <v>8.2449999999999992</v>
      </c>
      <c r="G1246">
        <f t="shared" si="101"/>
        <v>-71407.902000000002</v>
      </c>
      <c r="H1246">
        <f t="shared" si="97"/>
        <v>118.92334046454</v>
      </c>
      <c r="I1246">
        <f t="shared" si="98"/>
        <v>110.776385357</v>
      </c>
      <c r="J1246">
        <f t="shared" si="100"/>
        <v>110752.879357</v>
      </c>
      <c r="M1246">
        <f t="shared" si="99"/>
        <v>73046</v>
      </c>
    </row>
    <row r="1247" spans="1:13" x14ac:dyDescent="0.2">
      <c r="A1247">
        <v>72</v>
      </c>
      <c r="B1247">
        <v>47</v>
      </c>
      <c r="C1247">
        <v>119</v>
      </c>
      <c r="D1247" s="51" t="s">
        <v>45</v>
      </c>
      <c r="E1247">
        <f>VLOOKUP(M1247,'MASS - 2016'!$A$1:$G$3418,6,FALSE)</f>
        <v>-78645.764999999999</v>
      </c>
      <c r="F1247">
        <f>VLOOKUP(M1247,'MASS - 2016'!$A$1:$G$3418,7,FALSE)</f>
        <v>14.702999999999999</v>
      </c>
      <c r="G1247">
        <f t="shared" si="101"/>
        <v>-78645.764999999999</v>
      </c>
      <c r="H1247">
        <f t="shared" si="97"/>
        <v>118.91557029905744</v>
      </c>
      <c r="I1247">
        <f t="shared" si="98"/>
        <v>110.76914749399999</v>
      </c>
      <c r="J1247">
        <f t="shared" si="100"/>
        <v>110745.13049399998</v>
      </c>
      <c r="M1247">
        <f t="shared" si="99"/>
        <v>72047</v>
      </c>
    </row>
    <row r="1248" spans="1:13" x14ac:dyDescent="0.2">
      <c r="A1248">
        <v>71</v>
      </c>
      <c r="B1248">
        <v>48</v>
      </c>
      <c r="C1248">
        <v>119</v>
      </c>
      <c r="D1248" s="51" t="s">
        <v>46</v>
      </c>
      <c r="E1248">
        <f>VLOOKUP(M1248,'MASS - 2016'!$A$1:$G$3418,6,FALSE)</f>
        <v>-83977.067999999999</v>
      </c>
      <c r="F1248">
        <f>VLOOKUP(M1248,'MASS - 2016'!$A$1:$G$3418,7,FALSE)</f>
        <v>37.695</v>
      </c>
      <c r="G1248">
        <f t="shared" si="101"/>
        <v>-83977.067999999999</v>
      </c>
      <c r="H1248">
        <f t="shared" si="97"/>
        <v>118.90984690990962</v>
      </c>
      <c r="I1248">
        <f t="shared" si="98"/>
        <v>110.763816191</v>
      </c>
      <c r="J1248">
        <f t="shared" si="100"/>
        <v>110739.288191</v>
      </c>
      <c r="M1248">
        <f t="shared" si="99"/>
        <v>71048</v>
      </c>
    </row>
    <row r="1249" spans="1:13" x14ac:dyDescent="0.2">
      <c r="A1249">
        <v>70</v>
      </c>
      <c r="B1249">
        <v>49</v>
      </c>
      <c r="C1249">
        <v>119</v>
      </c>
      <c r="D1249" s="51" t="s">
        <v>47</v>
      </c>
      <c r="E1249">
        <f>VLOOKUP(M1249,'MASS - 2016'!$A$1:$G$3418,6,FALSE)</f>
        <v>-87699.281000000003</v>
      </c>
      <c r="F1249">
        <f>VLOOKUP(M1249,'MASS - 2016'!$A$1:$G$3418,7,FALSE)</f>
        <v>7.3070000000000004</v>
      </c>
      <c r="G1249">
        <f t="shared" si="101"/>
        <v>-87699.281000000003</v>
      </c>
      <c r="H1249">
        <f t="shared" si="97"/>
        <v>118.90585094991819</v>
      </c>
      <c r="I1249">
        <f t="shared" si="98"/>
        <v>110.760093978</v>
      </c>
      <c r="J1249">
        <f t="shared" si="100"/>
        <v>110735.054978</v>
      </c>
      <c r="M1249">
        <f t="shared" si="99"/>
        <v>70049</v>
      </c>
    </row>
    <row r="1250" spans="1:13" x14ac:dyDescent="0.2">
      <c r="A1250">
        <v>69</v>
      </c>
      <c r="B1250">
        <v>50</v>
      </c>
      <c r="C1250">
        <v>119</v>
      </c>
      <c r="D1250" s="51" t="s">
        <v>48</v>
      </c>
      <c r="E1250">
        <f>VLOOKUP(M1250,'MASS - 2016'!$A$1:$G$3418,6,FALSE)</f>
        <v>-90065.021999999997</v>
      </c>
      <c r="F1250">
        <f>VLOOKUP(M1250,'MASS - 2016'!$A$1:$G$3418,7,FALSE)</f>
        <v>0.72499999999999998</v>
      </c>
      <c r="G1250">
        <f t="shared" si="101"/>
        <v>-90065.021999999997</v>
      </c>
      <c r="H1250">
        <f t="shared" si="97"/>
        <v>118.90331122250709</v>
      </c>
      <c r="I1250">
        <f t="shared" si="98"/>
        <v>110.75772823699999</v>
      </c>
      <c r="J1250">
        <f t="shared" si="100"/>
        <v>110732.17823699999</v>
      </c>
      <c r="M1250">
        <f t="shared" si="99"/>
        <v>69050</v>
      </c>
    </row>
    <row r="1251" spans="1:13" x14ac:dyDescent="0.2">
      <c r="A1251">
        <v>68</v>
      </c>
      <c r="B1251">
        <v>51</v>
      </c>
      <c r="C1251">
        <v>119</v>
      </c>
      <c r="D1251" s="51" t="s">
        <v>49</v>
      </c>
      <c r="E1251">
        <f>VLOOKUP(M1251,'MASS - 2016'!$A$1:$G$3418,6,FALSE)</f>
        <v>-89474.18</v>
      </c>
      <c r="F1251">
        <f>VLOOKUP(M1251,'MASS - 2016'!$A$1:$G$3418,7,FALSE)</f>
        <v>7.7009999999999996</v>
      </c>
      <c r="G1251">
        <f t="shared" si="101"/>
        <v>-89474.18</v>
      </c>
      <c r="H1251">
        <f t="shared" si="97"/>
        <v>118.9039455174798</v>
      </c>
      <c r="I1251">
        <f t="shared" si="98"/>
        <v>110.758319079</v>
      </c>
      <c r="J1251">
        <f t="shared" si="100"/>
        <v>110732.25807900001</v>
      </c>
      <c r="M1251">
        <f t="shared" si="99"/>
        <v>68051</v>
      </c>
    </row>
    <row r="1252" spans="1:13" x14ac:dyDescent="0.2">
      <c r="A1252">
        <v>67</v>
      </c>
      <c r="B1252">
        <v>52</v>
      </c>
      <c r="C1252">
        <v>119</v>
      </c>
      <c r="D1252" s="51" t="s">
        <v>50</v>
      </c>
      <c r="E1252">
        <f>VLOOKUP(M1252,'MASS - 2016'!$A$1:$G$3418,6,FALSE)</f>
        <v>-87181.18</v>
      </c>
      <c r="F1252">
        <f>VLOOKUP(M1252,'MASS - 2016'!$A$1:$G$3418,7,FALSE)</f>
        <v>7.9569999999999999</v>
      </c>
      <c r="G1252">
        <f t="shared" si="101"/>
        <v>-87181.18</v>
      </c>
      <c r="H1252">
        <f t="shared" si="97"/>
        <v>118.90640715421587</v>
      </c>
      <c r="I1252">
        <f t="shared" si="98"/>
        <v>110.760612079</v>
      </c>
      <c r="J1252">
        <f t="shared" si="100"/>
        <v>110734.040079</v>
      </c>
      <c r="M1252">
        <f t="shared" si="99"/>
        <v>67052</v>
      </c>
    </row>
    <row r="1253" spans="1:13" x14ac:dyDescent="0.2">
      <c r="A1253">
        <v>66</v>
      </c>
      <c r="B1253">
        <v>53</v>
      </c>
      <c r="C1253">
        <v>119</v>
      </c>
      <c r="D1253" s="51" t="s">
        <v>51</v>
      </c>
      <c r="E1253">
        <f>VLOOKUP(M1253,'MASS - 2016'!$A$1:$G$3418,6,FALSE)</f>
        <v>-83765.53</v>
      </c>
      <c r="F1253">
        <f>VLOOKUP(M1253,'MASS - 2016'!$A$1:$G$3418,7,FALSE)</f>
        <v>27.945</v>
      </c>
      <c r="G1253">
        <f t="shared" si="101"/>
        <v>-83765.53</v>
      </c>
      <c r="H1253">
        <f t="shared" si="97"/>
        <v>118.91007400529203</v>
      </c>
      <c r="I1253">
        <f t="shared" si="98"/>
        <v>110.76402772900001</v>
      </c>
      <c r="J1253">
        <f t="shared" si="100"/>
        <v>110736.94472900001</v>
      </c>
      <c r="M1253">
        <f t="shared" si="99"/>
        <v>66053</v>
      </c>
    </row>
    <row r="1254" spans="1:13" x14ac:dyDescent="0.2">
      <c r="A1254">
        <v>65</v>
      </c>
      <c r="B1254">
        <v>54</v>
      </c>
      <c r="C1254">
        <v>119</v>
      </c>
      <c r="D1254" s="51" t="s">
        <v>52</v>
      </c>
      <c r="E1254">
        <f>VLOOKUP(M1254,'MASS - 2016'!$A$1:$G$3418,6,FALSE)</f>
        <v>-78794.413</v>
      </c>
      <c r="F1254">
        <f>VLOOKUP(M1254,'MASS - 2016'!$A$1:$G$3418,7,FALSE)</f>
        <v>10.378</v>
      </c>
      <c r="G1254">
        <f t="shared" si="101"/>
        <v>-78794.413</v>
      </c>
      <c r="H1254">
        <f t="shared" si="97"/>
        <v>118.91541071886662</v>
      </c>
      <c r="I1254">
        <f t="shared" si="98"/>
        <v>110.768998846</v>
      </c>
      <c r="J1254">
        <f t="shared" si="100"/>
        <v>110741.404846</v>
      </c>
      <c r="M1254">
        <f t="shared" si="99"/>
        <v>65054</v>
      </c>
    </row>
    <row r="1255" spans="1:13" x14ac:dyDescent="0.2">
      <c r="A1255">
        <v>64</v>
      </c>
      <c r="B1255">
        <v>55</v>
      </c>
      <c r="C1255">
        <v>119</v>
      </c>
      <c r="D1255" s="51" t="s">
        <v>53</v>
      </c>
      <c r="E1255">
        <f>VLOOKUP(M1255,'MASS - 2016'!$A$1:$G$3418,6,FALSE)</f>
        <v>-72305.051000000007</v>
      </c>
      <c r="F1255">
        <f>VLOOKUP(M1255,'MASS - 2016'!$A$1:$G$3418,7,FALSE)</f>
        <v>13.94</v>
      </c>
      <c r="G1255">
        <f t="shared" si="101"/>
        <v>-72305.051000000007</v>
      </c>
      <c r="H1255">
        <f t="shared" si="97"/>
        <v>118.92237733547933</v>
      </c>
      <c r="I1255">
        <f t="shared" si="98"/>
        <v>110.775488208</v>
      </c>
      <c r="J1255">
        <f t="shared" si="100"/>
        <v>110747.383208</v>
      </c>
      <c r="M1255">
        <f t="shared" si="99"/>
        <v>64055</v>
      </c>
    </row>
    <row r="1256" spans="1:13" x14ac:dyDescent="0.2">
      <c r="A1256">
        <v>63</v>
      </c>
      <c r="B1256">
        <v>56</v>
      </c>
      <c r="C1256">
        <v>119</v>
      </c>
      <c r="D1256" s="51" t="s">
        <v>54</v>
      </c>
      <c r="E1256">
        <f>VLOOKUP(M1256,'MASS - 2016'!$A$1:$G$3418,6,FALSE)</f>
        <v>-64590.086000000003</v>
      </c>
      <c r="F1256">
        <f>VLOOKUP(M1256,'MASS - 2016'!$A$1:$G$3418,7,FALSE)</f>
        <v>200.26900000000001</v>
      </c>
      <c r="G1256">
        <f t="shared" si="101"/>
        <v>-64590.086000000003</v>
      </c>
      <c r="H1256">
        <f t="shared" si="97"/>
        <v>118.93065969102298</v>
      </c>
      <c r="I1256">
        <f t="shared" si="98"/>
        <v>110.783203173</v>
      </c>
      <c r="J1256">
        <f t="shared" si="100"/>
        <v>110754.58717300001</v>
      </c>
      <c r="M1256">
        <f t="shared" si="99"/>
        <v>63056</v>
      </c>
    </row>
    <row r="1257" spans="1:13" x14ac:dyDescent="0.2">
      <c r="A1257">
        <v>62</v>
      </c>
      <c r="B1257">
        <v>57</v>
      </c>
      <c r="C1257">
        <v>119</v>
      </c>
      <c r="D1257" s="51" t="s">
        <v>55</v>
      </c>
      <c r="E1257" t="str">
        <f>VLOOKUP(M1257,'MASS - 2016'!$A$1:$G$3418,6,FALSE)</f>
        <v>-54790#</v>
      </c>
      <c r="F1257" t="str">
        <f>VLOOKUP(M1257,'MASS - 2016'!$A$1:$G$3418,7,FALSE)</f>
        <v>300#</v>
      </c>
      <c r="G1257">
        <f t="shared" si="101"/>
        <v>-54790.01</v>
      </c>
      <c r="H1257">
        <f t="shared" si="97"/>
        <v>118.9411805052829</v>
      </c>
      <c r="I1257">
        <f t="shared" si="98"/>
        <v>110.79300324899999</v>
      </c>
      <c r="J1257">
        <f t="shared" si="100"/>
        <v>110763.87624900001</v>
      </c>
      <c r="M1257">
        <f t="shared" si="99"/>
        <v>62057</v>
      </c>
    </row>
    <row r="1258" spans="1:13" x14ac:dyDescent="0.2">
      <c r="A1258">
        <v>61</v>
      </c>
      <c r="B1258">
        <v>58</v>
      </c>
      <c r="C1258">
        <v>119</v>
      </c>
      <c r="D1258" s="51" t="s">
        <v>56</v>
      </c>
      <c r="E1258" t="str">
        <f>VLOOKUP(M1258,'MASS - 2016'!$A$1:$G$3418,6,FALSE)</f>
        <v>-43940#</v>
      </c>
      <c r="F1258" t="str">
        <f>VLOOKUP(M1258,'MASS - 2016'!$A$1:$G$3418,7,FALSE)</f>
        <v>500#</v>
      </c>
      <c r="G1258">
        <f t="shared" si="101"/>
        <v>-43940.01</v>
      </c>
      <c r="H1258">
        <f t="shared" si="97"/>
        <v>118.95282845931102</v>
      </c>
      <c r="I1258">
        <f t="shared" si="98"/>
        <v>110.803853249</v>
      </c>
      <c r="J1258">
        <f t="shared" si="100"/>
        <v>110774.21524899999</v>
      </c>
      <c r="M1258">
        <f t="shared" si="99"/>
        <v>61058</v>
      </c>
    </row>
    <row r="1259" spans="1:13" x14ac:dyDescent="0.2">
      <c r="A1259">
        <v>75</v>
      </c>
      <c r="B1259">
        <v>45</v>
      </c>
      <c r="C1259">
        <v>120</v>
      </c>
      <c r="D1259" s="51" t="s">
        <v>43</v>
      </c>
      <c r="E1259" t="str">
        <f>VLOOKUP(M1259,'MASS - 2016'!$A$1:$G$3418,6,FALSE)</f>
        <v>-58815#</v>
      </c>
      <c r="F1259" t="str">
        <f>VLOOKUP(M1259,'MASS - 2016'!$A$1:$G$3418,7,FALSE)</f>
        <v>196#</v>
      </c>
      <c r="G1259">
        <f t="shared" si="101"/>
        <v>-58815.01</v>
      </c>
      <c r="H1259">
        <f t="shared" si="97"/>
        <v>119.93685949007892</v>
      </c>
      <c r="I1259">
        <f t="shared" si="98"/>
        <v>111.72047230999999</v>
      </c>
      <c r="J1259">
        <f t="shared" si="100"/>
        <v>111697.47731</v>
      </c>
      <c r="M1259">
        <f t="shared" si="99"/>
        <v>75045</v>
      </c>
    </row>
    <row r="1260" spans="1:13" x14ac:dyDescent="0.2">
      <c r="A1260">
        <v>74</v>
      </c>
      <c r="B1260">
        <v>46</v>
      </c>
      <c r="C1260">
        <v>120</v>
      </c>
      <c r="D1260" s="51" t="s">
        <v>44</v>
      </c>
      <c r="E1260">
        <f>VLOOKUP(M1260,'MASS - 2016'!$A$1:$G$3418,6,FALSE)</f>
        <v>-70280.05</v>
      </c>
      <c r="F1260">
        <f>VLOOKUP(M1260,'MASS - 2016'!$A$1:$G$3418,7,FALSE)</f>
        <v>2.2909999999999999</v>
      </c>
      <c r="G1260">
        <f t="shared" si="101"/>
        <v>-70280.05</v>
      </c>
      <c r="H1260">
        <f t="shared" si="97"/>
        <v>119.92455126345675</v>
      </c>
      <c r="I1260">
        <f t="shared" si="98"/>
        <v>111.70900727</v>
      </c>
      <c r="J1260">
        <f t="shared" si="100"/>
        <v>111685.50127000001</v>
      </c>
      <c r="M1260">
        <f t="shared" si="99"/>
        <v>74046</v>
      </c>
    </row>
    <row r="1261" spans="1:13" x14ac:dyDescent="0.2">
      <c r="A1261">
        <v>73</v>
      </c>
      <c r="B1261">
        <v>47</v>
      </c>
      <c r="C1261">
        <v>120</v>
      </c>
      <c r="D1261" s="51" t="s">
        <v>45</v>
      </c>
      <c r="E1261">
        <f>VLOOKUP(M1261,'MASS - 2016'!$A$1:$G$3418,6,FALSE)</f>
        <v>-75651.501999999993</v>
      </c>
      <c r="F1261">
        <f>VLOOKUP(M1261,'MASS - 2016'!$A$1:$G$3418,7,FALSE)</f>
        <v>4.4710000000000001</v>
      </c>
      <c r="G1261">
        <f t="shared" si="101"/>
        <v>-75651.501999999993</v>
      </c>
      <c r="H1261">
        <f t="shared" si="97"/>
        <v>119.91878477258483</v>
      </c>
      <c r="I1261">
        <f t="shared" si="98"/>
        <v>111.703635818</v>
      </c>
      <c r="J1261">
        <f t="shared" si="100"/>
        <v>111679.61881799999</v>
      </c>
      <c r="M1261">
        <f t="shared" si="99"/>
        <v>73047</v>
      </c>
    </row>
    <row r="1262" spans="1:13" x14ac:dyDescent="0.2">
      <c r="A1262">
        <v>72</v>
      </c>
      <c r="B1262">
        <v>48</v>
      </c>
      <c r="C1262">
        <v>120</v>
      </c>
      <c r="D1262" s="51" t="s">
        <v>46</v>
      </c>
      <c r="E1262">
        <f>VLOOKUP(M1262,'MASS - 2016'!$A$1:$G$3418,6,FALSE)</f>
        <v>-83957.354000000007</v>
      </c>
      <c r="F1262">
        <f>VLOOKUP(M1262,'MASS - 2016'!$A$1:$G$3418,7,FALSE)</f>
        <v>3.726</v>
      </c>
      <c r="G1262">
        <f t="shared" si="101"/>
        <v>-83957.354000000007</v>
      </c>
      <c r="H1262">
        <f t="shared" si="97"/>
        <v>119.90986807375897</v>
      </c>
      <c r="I1262">
        <f t="shared" si="98"/>
        <v>111.69532996599999</v>
      </c>
      <c r="J1262">
        <f t="shared" si="100"/>
        <v>111670.80196599998</v>
      </c>
      <c r="M1262">
        <f t="shared" si="99"/>
        <v>72048</v>
      </c>
    </row>
    <row r="1263" spans="1:13" x14ac:dyDescent="0.2">
      <c r="A1263">
        <v>71</v>
      </c>
      <c r="B1263">
        <v>49</v>
      </c>
      <c r="C1263">
        <v>120</v>
      </c>
      <c r="D1263" s="51" t="s">
        <v>47</v>
      </c>
      <c r="E1263">
        <f>VLOOKUP(M1263,'MASS - 2016'!$A$1:$G$3418,6,FALSE)</f>
        <v>-85728.369000000006</v>
      </c>
      <c r="F1263">
        <f>VLOOKUP(M1263,'MASS - 2016'!$A$1:$G$3418,7,FALSE)</f>
        <v>40.01</v>
      </c>
      <c r="G1263">
        <f t="shared" si="101"/>
        <v>-85728.369000000006</v>
      </c>
      <c r="H1263">
        <f t="shared" si="97"/>
        <v>119.90796681096607</v>
      </c>
      <c r="I1263">
        <f t="shared" si="98"/>
        <v>111.693558951</v>
      </c>
      <c r="J1263">
        <f t="shared" si="100"/>
        <v>111668.51995099999</v>
      </c>
      <c r="M1263">
        <f t="shared" si="99"/>
        <v>71049</v>
      </c>
    </row>
    <row r="1264" spans="1:13" x14ac:dyDescent="0.2">
      <c r="A1264">
        <v>70</v>
      </c>
      <c r="B1264">
        <v>50</v>
      </c>
      <c r="C1264">
        <v>120</v>
      </c>
      <c r="D1264" s="51" t="s">
        <v>48</v>
      </c>
      <c r="E1264">
        <f>VLOOKUP(M1264,'MASS - 2016'!$A$1:$G$3418,6,FALSE)</f>
        <v>-91098.369000000006</v>
      </c>
      <c r="F1264">
        <f>VLOOKUP(M1264,'MASS - 2016'!$A$1:$G$3418,7,FALSE)</f>
        <v>0.89600000000000002</v>
      </c>
      <c r="G1264">
        <f t="shared" si="101"/>
        <v>-91098.369000000006</v>
      </c>
      <c r="H1264">
        <f t="shared" si="97"/>
        <v>119.90220187888026</v>
      </c>
      <c r="I1264">
        <f t="shared" si="98"/>
        <v>111.688188951</v>
      </c>
      <c r="J1264">
        <f t="shared" si="100"/>
        <v>111662.638951</v>
      </c>
      <c r="M1264">
        <f t="shared" si="99"/>
        <v>70050</v>
      </c>
    </row>
    <row r="1265" spans="1:13" x14ac:dyDescent="0.2">
      <c r="A1265">
        <v>69</v>
      </c>
      <c r="B1265">
        <v>51</v>
      </c>
      <c r="C1265">
        <v>120</v>
      </c>
      <c r="D1265" s="51" t="s">
        <v>49</v>
      </c>
      <c r="E1265">
        <f>VLOOKUP(M1265,'MASS - 2016'!$A$1:$G$3418,6,FALSE)</f>
        <v>-88417.760999999999</v>
      </c>
      <c r="F1265">
        <f>VLOOKUP(M1265,'MASS - 2016'!$A$1:$G$3418,7,FALSE)</f>
        <v>7.1959999999999997</v>
      </c>
      <c r="G1265">
        <f t="shared" si="101"/>
        <v>-88417.760999999999</v>
      </c>
      <c r="H1265">
        <f t="shared" si="97"/>
        <v>119.90507962991725</v>
      </c>
      <c r="I1265">
        <f t="shared" si="98"/>
        <v>111.69086955899999</v>
      </c>
      <c r="J1265">
        <f t="shared" si="100"/>
        <v>111664.808559</v>
      </c>
      <c r="M1265">
        <f t="shared" si="99"/>
        <v>69051</v>
      </c>
    </row>
    <row r="1266" spans="1:13" x14ac:dyDescent="0.2">
      <c r="A1266">
        <v>68</v>
      </c>
      <c r="B1266">
        <v>52</v>
      </c>
      <c r="C1266">
        <v>120</v>
      </c>
      <c r="D1266" s="51" t="s">
        <v>50</v>
      </c>
      <c r="E1266">
        <f>VLOOKUP(M1266,'MASS - 2016'!$A$1:$G$3418,6,FALSE)</f>
        <v>-89367.986999999994</v>
      </c>
      <c r="F1266">
        <f>VLOOKUP(M1266,'MASS - 2016'!$A$1:$G$3418,7,FALSE)</f>
        <v>3.085</v>
      </c>
      <c r="G1266">
        <f t="shared" si="101"/>
        <v>-89367.986999999994</v>
      </c>
      <c r="H1266">
        <f t="shared" si="97"/>
        <v>119.90405952035371</v>
      </c>
      <c r="I1266">
        <f t="shared" si="98"/>
        <v>111.68991933299999</v>
      </c>
      <c r="J1266">
        <f t="shared" si="100"/>
        <v>111663.347333</v>
      </c>
      <c r="M1266">
        <f t="shared" si="99"/>
        <v>68052</v>
      </c>
    </row>
    <row r="1267" spans="1:13" x14ac:dyDescent="0.2">
      <c r="A1267">
        <v>67</v>
      </c>
      <c r="B1267">
        <v>53</v>
      </c>
      <c r="C1267">
        <v>120</v>
      </c>
      <c r="D1267" s="51" t="s">
        <v>51</v>
      </c>
      <c r="E1267">
        <f>VLOOKUP(M1267,'MASS - 2016'!$A$1:$G$3418,6,FALSE)</f>
        <v>-83752.986999999994</v>
      </c>
      <c r="F1267">
        <f>VLOOKUP(M1267,'MASS - 2016'!$A$1:$G$3418,7,FALSE)</f>
        <v>15.314</v>
      </c>
      <c r="G1267">
        <f t="shared" si="101"/>
        <v>-83752.986999999994</v>
      </c>
      <c r="H1267">
        <f t="shared" si="97"/>
        <v>119.9100874707563</v>
      </c>
      <c r="I1267">
        <f t="shared" si="98"/>
        <v>111.695534333</v>
      </c>
      <c r="J1267">
        <f t="shared" si="100"/>
        <v>111668.451333</v>
      </c>
      <c r="M1267">
        <f t="shared" si="99"/>
        <v>67053</v>
      </c>
    </row>
    <row r="1268" spans="1:13" x14ac:dyDescent="0.2">
      <c r="A1268">
        <v>66</v>
      </c>
      <c r="B1268">
        <v>54</v>
      </c>
      <c r="C1268">
        <v>120</v>
      </c>
      <c r="D1268" s="51" t="s">
        <v>52</v>
      </c>
      <c r="E1268">
        <f>VLOOKUP(M1268,'MASS - 2016'!$A$1:$G$3418,6,FALSE)</f>
        <v>-82172.422999999995</v>
      </c>
      <c r="F1268">
        <f>VLOOKUP(M1268,'MASS - 2016'!$A$1:$G$3418,7,FALSE)</f>
        <v>11.817</v>
      </c>
      <c r="G1268">
        <f t="shared" si="101"/>
        <v>-82172.422999999995</v>
      </c>
      <c r="H1268">
        <f t="shared" si="97"/>
        <v>119.91178427599228</v>
      </c>
      <c r="I1268">
        <f t="shared" si="98"/>
        <v>111.69711489699999</v>
      </c>
      <c r="J1268">
        <f t="shared" si="100"/>
        <v>111669.52089699999</v>
      </c>
      <c r="M1268">
        <f t="shared" si="99"/>
        <v>66054</v>
      </c>
    </row>
    <row r="1269" spans="1:13" x14ac:dyDescent="0.2">
      <c r="A1269">
        <v>65</v>
      </c>
      <c r="B1269">
        <v>55</v>
      </c>
      <c r="C1269">
        <v>120</v>
      </c>
      <c r="D1269" s="51" t="s">
        <v>53</v>
      </c>
      <c r="E1269">
        <f>VLOOKUP(M1269,'MASS - 2016'!$A$1:$G$3418,6,FALSE)</f>
        <v>-73888.638999999996</v>
      </c>
      <c r="F1269">
        <f>VLOOKUP(M1269,'MASS - 2016'!$A$1:$G$3418,7,FALSE)</f>
        <v>9.9700000000000006</v>
      </c>
      <c r="G1269">
        <f t="shared" si="101"/>
        <v>-73888.638999999996</v>
      </c>
      <c r="H1269">
        <f t="shared" si="97"/>
        <v>119.92067728384582</v>
      </c>
      <c r="I1269">
        <f t="shared" si="98"/>
        <v>111.70539868099999</v>
      </c>
      <c r="J1269">
        <f t="shared" si="100"/>
        <v>111677.293681</v>
      </c>
      <c r="M1269">
        <f t="shared" si="99"/>
        <v>65055</v>
      </c>
    </row>
    <row r="1270" spans="1:13" x14ac:dyDescent="0.2">
      <c r="A1270">
        <v>64</v>
      </c>
      <c r="B1270">
        <v>56</v>
      </c>
      <c r="C1270">
        <v>120</v>
      </c>
      <c r="D1270" s="51" t="s">
        <v>54</v>
      </c>
      <c r="E1270">
        <f>VLOOKUP(M1270,'MASS - 2016'!$A$1:$G$3418,6,FALSE)</f>
        <v>-68888.638999999996</v>
      </c>
      <c r="F1270">
        <f>VLOOKUP(M1270,'MASS - 2016'!$A$1:$G$3418,7,FALSE)</f>
        <v>300.166</v>
      </c>
      <c r="G1270">
        <f t="shared" si="101"/>
        <v>-68888.638999999996</v>
      </c>
      <c r="H1270">
        <f t="shared" si="97"/>
        <v>119.92604500459612</v>
      </c>
      <c r="I1270">
        <f t="shared" si="98"/>
        <v>111.710398681</v>
      </c>
      <c r="J1270">
        <f t="shared" si="100"/>
        <v>111681.78268100001</v>
      </c>
      <c r="M1270">
        <f t="shared" si="99"/>
        <v>64056</v>
      </c>
    </row>
    <row r="1271" spans="1:13" x14ac:dyDescent="0.2">
      <c r="A1271">
        <v>63</v>
      </c>
      <c r="B1271">
        <v>57</v>
      </c>
      <c r="C1271">
        <v>120</v>
      </c>
      <c r="D1271" s="51" t="s">
        <v>55</v>
      </c>
      <c r="E1271" t="str">
        <f>VLOOKUP(M1271,'MASS - 2016'!$A$1:$G$3418,6,FALSE)</f>
        <v>-57570#</v>
      </c>
      <c r="F1271" t="str">
        <f>VLOOKUP(M1271,'MASS - 2016'!$A$1:$G$3418,7,FALSE)</f>
        <v>300#</v>
      </c>
      <c r="G1271">
        <f t="shared" si="101"/>
        <v>-57570.01</v>
      </c>
      <c r="H1271">
        <f t="shared" si="97"/>
        <v>119.93819605254573</v>
      </c>
      <c r="I1271">
        <f t="shared" si="98"/>
        <v>111.72171730999999</v>
      </c>
      <c r="J1271">
        <f t="shared" si="100"/>
        <v>111692.59031</v>
      </c>
      <c r="M1271">
        <f t="shared" si="99"/>
        <v>63057</v>
      </c>
    </row>
    <row r="1272" spans="1:13" x14ac:dyDescent="0.2">
      <c r="A1272">
        <v>62</v>
      </c>
      <c r="B1272">
        <v>58</v>
      </c>
      <c r="C1272">
        <v>120</v>
      </c>
      <c r="D1272" s="51" t="s">
        <v>56</v>
      </c>
      <c r="E1272" t="str">
        <f>VLOOKUP(M1272,'MASS - 2016'!$A$1:$G$3418,6,FALSE)</f>
        <v>-49600#</v>
      </c>
      <c r="F1272" t="str">
        <f>VLOOKUP(M1272,'MASS - 2016'!$A$1:$G$3418,7,FALSE)</f>
        <v>500#</v>
      </c>
      <c r="G1272">
        <f t="shared" si="101"/>
        <v>-49600.01</v>
      </c>
      <c r="H1272">
        <f t="shared" si="97"/>
        <v>119.9467521994217</v>
      </c>
      <c r="I1272">
        <f t="shared" si="98"/>
        <v>111.72968730999999</v>
      </c>
      <c r="J1272">
        <f t="shared" si="100"/>
        <v>111700.04930999999</v>
      </c>
      <c r="M1272">
        <f t="shared" si="99"/>
        <v>62058</v>
      </c>
    </row>
    <row r="1273" spans="1:13" x14ac:dyDescent="0.2">
      <c r="A1273">
        <v>76</v>
      </c>
      <c r="B1273">
        <v>45</v>
      </c>
      <c r="C1273">
        <v>121</v>
      </c>
      <c r="D1273" s="51" t="s">
        <v>43</v>
      </c>
      <c r="E1273">
        <f>VLOOKUP(M1273,'MASS - 2016'!$A$1:$G$3418,6,FALSE)</f>
        <v>-56250.127999999997</v>
      </c>
      <c r="F1273">
        <f>VLOOKUP(M1273,'MASS - 2016'!$A$1:$G$3418,7,FALSE)</f>
        <v>619.44399999999996</v>
      </c>
      <c r="G1273">
        <f t="shared" si="101"/>
        <v>-56250.127999999997</v>
      </c>
      <c r="H1273">
        <f t="shared" si="97"/>
        <v>120.93961300414561</v>
      </c>
      <c r="I1273">
        <f t="shared" si="98"/>
        <v>112.654531253</v>
      </c>
      <c r="J1273">
        <f t="shared" si="100"/>
        <v>112631.53625300001</v>
      </c>
      <c r="M1273">
        <f t="shared" si="99"/>
        <v>76045</v>
      </c>
    </row>
    <row r="1274" spans="1:13" x14ac:dyDescent="0.2">
      <c r="A1274">
        <v>75</v>
      </c>
      <c r="B1274">
        <v>46</v>
      </c>
      <c r="C1274">
        <v>121</v>
      </c>
      <c r="D1274" s="51" t="s">
        <v>44</v>
      </c>
      <c r="E1274">
        <f>VLOOKUP(M1274,'MASS - 2016'!$A$1:$G$3418,6,FALSE)</f>
        <v>-66182.328999999998</v>
      </c>
      <c r="F1274">
        <f>VLOOKUP(M1274,'MASS - 2016'!$A$1:$G$3418,7,FALSE)</f>
        <v>3.3530000000000002</v>
      </c>
      <c r="G1274">
        <f t="shared" si="101"/>
        <v>-66182.328999999998</v>
      </c>
      <c r="H1274">
        <f t="shared" si="97"/>
        <v>120.92895034786487</v>
      </c>
      <c r="I1274">
        <f t="shared" si="98"/>
        <v>112.644599052</v>
      </c>
      <c r="J1274">
        <f t="shared" si="100"/>
        <v>112621.09305200001</v>
      </c>
      <c r="M1274">
        <f t="shared" si="99"/>
        <v>75046</v>
      </c>
    </row>
    <row r="1275" spans="1:13" x14ac:dyDescent="0.2">
      <c r="A1275">
        <v>74</v>
      </c>
      <c r="B1275">
        <v>47</v>
      </c>
      <c r="C1275">
        <v>121</v>
      </c>
      <c r="D1275" s="51" t="s">
        <v>45</v>
      </c>
      <c r="E1275">
        <f>VLOOKUP(M1275,'MASS - 2016'!$A$1:$G$3418,6,FALSE)</f>
        <v>-74402.820999999996</v>
      </c>
      <c r="F1275">
        <f>VLOOKUP(M1275,'MASS - 2016'!$A$1:$G$3418,7,FALSE)</f>
        <v>12.109</v>
      </c>
      <c r="G1275">
        <f t="shared" si="101"/>
        <v>-74402.820999999996</v>
      </c>
      <c r="H1275">
        <f t="shared" si="97"/>
        <v>120.92012528676766</v>
      </c>
      <c r="I1275">
        <f t="shared" si="98"/>
        <v>112.63637856</v>
      </c>
      <c r="J1275">
        <f t="shared" si="100"/>
        <v>112612.36155999999</v>
      </c>
      <c r="M1275">
        <f t="shared" si="99"/>
        <v>74047</v>
      </c>
    </row>
    <row r="1276" spans="1:13" x14ac:dyDescent="0.2">
      <c r="A1276">
        <v>73</v>
      </c>
      <c r="B1276">
        <v>48</v>
      </c>
      <c r="C1276">
        <v>121</v>
      </c>
      <c r="D1276" s="51" t="s">
        <v>46</v>
      </c>
      <c r="E1276">
        <f>VLOOKUP(M1276,'MASS - 2016'!$A$1:$G$3418,6,FALSE)</f>
        <v>-81073.826000000001</v>
      </c>
      <c r="F1276">
        <f>VLOOKUP(M1276,'MASS - 2016'!$A$1:$G$3418,7,FALSE)</f>
        <v>1.9419999999999999</v>
      </c>
      <c r="G1276">
        <f t="shared" si="101"/>
        <v>-81073.826000000001</v>
      </c>
      <c r="H1276">
        <f t="shared" si="97"/>
        <v>120.91296366837491</v>
      </c>
      <c r="I1276">
        <f t="shared" si="98"/>
        <v>112.62970755500001</v>
      </c>
      <c r="J1276">
        <f t="shared" si="100"/>
        <v>112605.17955500001</v>
      </c>
      <c r="M1276">
        <f t="shared" si="99"/>
        <v>73048</v>
      </c>
    </row>
    <row r="1277" spans="1:13" x14ac:dyDescent="0.2">
      <c r="A1277">
        <v>72</v>
      </c>
      <c r="B1277">
        <v>49</v>
      </c>
      <c r="C1277">
        <v>121</v>
      </c>
      <c r="D1277" s="51" t="s">
        <v>47</v>
      </c>
      <c r="E1277">
        <f>VLOOKUP(M1277,'MASS - 2016'!$A$1:$G$3418,6,FALSE)</f>
        <v>-85835.974000000002</v>
      </c>
      <c r="F1277">
        <f>VLOOKUP(M1277,'MASS - 2016'!$A$1:$G$3418,7,FALSE)</f>
        <v>27.414000000000001</v>
      </c>
      <c r="G1277">
        <f t="shared" si="101"/>
        <v>-85835.974000000002</v>
      </c>
      <c r="H1277">
        <f t="shared" si="97"/>
        <v>120.9078512922478</v>
      </c>
      <c r="I1277">
        <f t="shared" si="98"/>
        <v>112.624945407</v>
      </c>
      <c r="J1277">
        <f t="shared" si="100"/>
        <v>112599.90640699999</v>
      </c>
      <c r="M1277">
        <f t="shared" si="99"/>
        <v>72049</v>
      </c>
    </row>
    <row r="1278" spans="1:13" x14ac:dyDescent="0.2">
      <c r="A1278">
        <v>71</v>
      </c>
      <c r="B1278">
        <v>50</v>
      </c>
      <c r="C1278">
        <v>121</v>
      </c>
      <c r="D1278" s="51" t="s">
        <v>48</v>
      </c>
      <c r="E1278">
        <f>VLOOKUP(M1278,'MASS - 2016'!$A$1:$G$3418,6,FALSE)</f>
        <v>-89197.264999999999</v>
      </c>
      <c r="F1278">
        <f>VLOOKUP(M1278,'MASS - 2016'!$A$1:$G$3418,7,FALSE)</f>
        <v>0.95499999999999996</v>
      </c>
      <c r="G1278">
        <f t="shared" si="101"/>
        <v>-89197.264999999999</v>
      </c>
      <c r="H1278">
        <f t="shared" si="97"/>
        <v>120.90424279795812</v>
      </c>
      <c r="I1278">
        <f t="shared" si="98"/>
        <v>112.62158411600001</v>
      </c>
      <c r="J1278">
        <f t="shared" si="100"/>
        <v>112596.03411600001</v>
      </c>
      <c r="M1278">
        <f t="shared" si="99"/>
        <v>71050</v>
      </c>
    </row>
    <row r="1279" spans="1:13" x14ac:dyDescent="0.2">
      <c r="A1279">
        <v>70</v>
      </c>
      <c r="B1279">
        <v>51</v>
      </c>
      <c r="C1279">
        <v>121</v>
      </c>
      <c r="D1279" s="51" t="s">
        <v>49</v>
      </c>
      <c r="E1279">
        <f>VLOOKUP(M1279,'MASS - 2016'!$A$1:$G$3418,6,FALSE)</f>
        <v>-89600.320999999996</v>
      </c>
      <c r="F1279">
        <f>VLOOKUP(M1279,'MASS - 2016'!$A$1:$G$3418,7,FALSE)</f>
        <v>2.5819999999999999</v>
      </c>
      <c r="G1279">
        <f t="shared" si="101"/>
        <v>-89600.320999999996</v>
      </c>
      <c r="H1279">
        <f t="shared" si="97"/>
        <v>120.90381009954716</v>
      </c>
      <c r="I1279">
        <f t="shared" si="98"/>
        <v>112.62118106</v>
      </c>
      <c r="J1279">
        <f t="shared" si="100"/>
        <v>112595.12006</v>
      </c>
      <c r="M1279">
        <f t="shared" si="99"/>
        <v>70051</v>
      </c>
    </row>
    <row r="1280" spans="1:13" x14ac:dyDescent="0.2">
      <c r="A1280">
        <v>69</v>
      </c>
      <c r="B1280">
        <v>52</v>
      </c>
      <c r="C1280">
        <v>121</v>
      </c>
      <c r="D1280" s="51" t="s">
        <v>50</v>
      </c>
      <c r="E1280">
        <f>VLOOKUP(M1280,'MASS - 2016'!$A$1:$G$3418,6,FALSE)</f>
        <v>-88545.501999999993</v>
      </c>
      <c r="F1280">
        <f>VLOOKUP(M1280,'MASS - 2016'!$A$1:$G$3418,7,FALSE)</f>
        <v>25.85</v>
      </c>
      <c r="G1280">
        <f t="shared" si="101"/>
        <v>-88545.501999999993</v>
      </c>
      <c r="H1280">
        <f t="shared" si="97"/>
        <v>120.90494249431399</v>
      </c>
      <c r="I1280">
        <f t="shared" si="98"/>
        <v>112.622235879</v>
      </c>
      <c r="J1280">
        <f t="shared" si="100"/>
        <v>112595.663879</v>
      </c>
      <c r="M1280">
        <f t="shared" si="99"/>
        <v>69052</v>
      </c>
    </row>
    <row r="1281" spans="1:13" x14ac:dyDescent="0.2">
      <c r="A1281">
        <v>68</v>
      </c>
      <c r="B1281">
        <v>53</v>
      </c>
      <c r="C1281">
        <v>121</v>
      </c>
      <c r="D1281" s="51" t="s">
        <v>51</v>
      </c>
      <c r="E1281">
        <f>VLOOKUP(M1281,'MASS - 2016'!$A$1:$G$3418,6,FALSE)</f>
        <v>-86251.448999999993</v>
      </c>
      <c r="F1281">
        <f>VLOOKUP(M1281,'MASS - 2016'!$A$1:$G$3418,7,FALSE)</f>
        <v>5.3559999999999999</v>
      </c>
      <c r="G1281">
        <f t="shared" si="101"/>
        <v>-86251.448999999993</v>
      </c>
      <c r="H1281">
        <f t="shared" si="97"/>
        <v>120.90740526149206</v>
      </c>
      <c r="I1281">
        <f t="shared" si="98"/>
        <v>112.624529932</v>
      </c>
      <c r="J1281">
        <f t="shared" si="100"/>
        <v>112597.44693200001</v>
      </c>
      <c r="M1281">
        <f t="shared" si="99"/>
        <v>68053</v>
      </c>
    </row>
    <row r="1282" spans="1:13" x14ac:dyDescent="0.2">
      <c r="A1282">
        <v>67</v>
      </c>
      <c r="B1282">
        <v>54</v>
      </c>
      <c r="C1282">
        <v>121</v>
      </c>
      <c r="D1282" s="51" t="s">
        <v>52</v>
      </c>
      <c r="E1282">
        <f>VLOOKUP(M1282,'MASS - 2016'!$A$1:$G$3418,6,FALSE)</f>
        <v>-82480.986000000004</v>
      </c>
      <c r="F1282">
        <f>VLOOKUP(M1282,'MASS - 2016'!$A$1:$G$3418,7,FALSE)</f>
        <v>10.243</v>
      </c>
      <c r="G1282">
        <f t="shared" si="101"/>
        <v>-82480.986000000004</v>
      </c>
      <c r="H1282">
        <f t="shared" si="97"/>
        <v>120.91145301998873</v>
      </c>
      <c r="I1282">
        <f t="shared" si="98"/>
        <v>112.62830039500001</v>
      </c>
      <c r="J1282">
        <f t="shared" si="100"/>
        <v>112600.70639500002</v>
      </c>
      <c r="M1282">
        <f t="shared" si="99"/>
        <v>67054</v>
      </c>
    </row>
    <row r="1283" spans="1:13" x14ac:dyDescent="0.2">
      <c r="A1283">
        <v>66</v>
      </c>
      <c r="B1283">
        <v>55</v>
      </c>
      <c r="C1283">
        <v>121</v>
      </c>
      <c r="D1283" s="51" t="s">
        <v>53</v>
      </c>
      <c r="E1283">
        <f>VLOOKUP(M1283,'MASS - 2016'!$A$1:$G$3418,6,FALSE)</f>
        <v>-77102.331000000006</v>
      </c>
      <c r="F1283">
        <f>VLOOKUP(M1283,'MASS - 2016'!$A$1:$G$3418,7,FALSE)</f>
        <v>14.29</v>
      </c>
      <c r="G1283">
        <f t="shared" si="101"/>
        <v>-77102.331000000006</v>
      </c>
      <c r="H1283">
        <f t="shared" si="97"/>
        <v>120.91722724359914</v>
      </c>
      <c r="I1283">
        <f t="shared" si="98"/>
        <v>112.63367905</v>
      </c>
      <c r="J1283">
        <f t="shared" si="100"/>
        <v>112605.57405</v>
      </c>
      <c r="M1283">
        <f t="shared" si="99"/>
        <v>66055</v>
      </c>
    </row>
    <row r="1284" spans="1:13" x14ac:dyDescent="0.2">
      <c r="A1284">
        <v>65</v>
      </c>
      <c r="B1284">
        <v>56</v>
      </c>
      <c r="C1284">
        <v>121</v>
      </c>
      <c r="D1284" s="51" t="s">
        <v>54</v>
      </c>
      <c r="E1284">
        <f>VLOOKUP(M1284,'MASS - 2016'!$A$1:$G$3418,6,FALSE)</f>
        <v>-70744.837</v>
      </c>
      <c r="F1284">
        <f>VLOOKUP(M1284,'MASS - 2016'!$A$1:$G$3418,7,FALSE)</f>
        <v>141.898</v>
      </c>
      <c r="G1284">
        <f t="shared" si="101"/>
        <v>-70744.837</v>
      </c>
      <c r="H1284">
        <f t="shared" si="97"/>
        <v>120.92405229409187</v>
      </c>
      <c r="I1284">
        <f t="shared" si="98"/>
        <v>112.640036544</v>
      </c>
      <c r="J1284">
        <f t="shared" si="100"/>
        <v>112611.42054400001</v>
      </c>
      <c r="M1284">
        <f t="shared" si="99"/>
        <v>65056</v>
      </c>
    </row>
    <row r="1285" spans="1:13" x14ac:dyDescent="0.2">
      <c r="A1285">
        <v>64</v>
      </c>
      <c r="B1285">
        <v>57</v>
      </c>
      <c r="C1285">
        <v>121</v>
      </c>
      <c r="D1285" s="51" t="s">
        <v>55</v>
      </c>
      <c r="E1285" t="str">
        <f>VLOOKUP(M1285,'MASS - 2016'!$A$1:$G$3418,6,FALSE)</f>
        <v>-62190#</v>
      </c>
      <c r="F1285" t="str">
        <f>VLOOKUP(M1285,'MASS - 2016'!$A$1:$G$3418,7,FALSE)</f>
        <v>300#</v>
      </c>
      <c r="G1285">
        <f t="shared" si="101"/>
        <v>-62190.01</v>
      </c>
      <c r="H1285">
        <f t="shared" si="97"/>
        <v>120.93323627857248</v>
      </c>
      <c r="I1285">
        <f t="shared" si="98"/>
        <v>112.64859137100001</v>
      </c>
      <c r="J1285">
        <f t="shared" si="100"/>
        <v>112619.46437100001</v>
      </c>
      <c r="M1285">
        <f t="shared" si="99"/>
        <v>64057</v>
      </c>
    </row>
    <row r="1286" spans="1:13" x14ac:dyDescent="0.2">
      <c r="A1286">
        <v>63</v>
      </c>
      <c r="B1286">
        <v>58</v>
      </c>
      <c r="C1286">
        <v>121</v>
      </c>
      <c r="D1286" s="51" t="s">
        <v>56</v>
      </c>
      <c r="E1286" t="str">
        <f>VLOOKUP(M1286,'MASS - 2016'!$A$1:$G$3418,6,FALSE)</f>
        <v>-52690#</v>
      </c>
      <c r="F1286" t="str">
        <f>VLOOKUP(M1286,'MASS - 2016'!$A$1:$G$3418,7,FALSE)</f>
        <v>401#</v>
      </c>
      <c r="G1286">
        <f t="shared" si="101"/>
        <v>-52690.01</v>
      </c>
      <c r="H1286">
        <f t="shared" si="97"/>
        <v>120.94343494799801</v>
      </c>
      <c r="I1286">
        <f t="shared" si="98"/>
        <v>112.658091371</v>
      </c>
      <c r="J1286">
        <f t="shared" si="100"/>
        <v>112628.453371</v>
      </c>
      <c r="M1286">
        <f t="shared" si="99"/>
        <v>63058</v>
      </c>
    </row>
    <row r="1287" spans="1:13" x14ac:dyDescent="0.2">
      <c r="A1287">
        <v>62</v>
      </c>
      <c r="B1287">
        <v>59</v>
      </c>
      <c r="C1287">
        <v>121</v>
      </c>
      <c r="D1287" s="51" t="s">
        <v>57</v>
      </c>
      <c r="E1287" t="str">
        <f>VLOOKUP(M1287,'MASS - 2016'!$A$1:$G$3418,6,FALSE)</f>
        <v>-41422#</v>
      </c>
      <c r="F1287" t="str">
        <f>VLOOKUP(M1287,'MASS - 2016'!$A$1:$G$3418,7,FALSE)</f>
        <v>500#</v>
      </c>
      <c r="G1287">
        <f t="shared" si="101"/>
        <v>-41422.01</v>
      </c>
      <c r="H1287">
        <f t="shared" si="97"/>
        <v>120.95553164348087</v>
      </c>
      <c r="I1287">
        <f t="shared" si="98"/>
        <v>112.669359371</v>
      </c>
      <c r="J1287">
        <f t="shared" si="100"/>
        <v>112639.21037099999</v>
      </c>
      <c r="M1287">
        <f t="shared" si="99"/>
        <v>62059</v>
      </c>
    </row>
    <row r="1288" spans="1:13" x14ac:dyDescent="0.2">
      <c r="A1288">
        <v>76</v>
      </c>
      <c r="B1288">
        <v>46</v>
      </c>
      <c r="C1288">
        <v>122</v>
      </c>
      <c r="D1288" s="51" t="s">
        <v>44</v>
      </c>
      <c r="E1288">
        <f>VLOOKUP(M1288,'MASS - 2016'!$A$1:$G$3418,6,FALSE)</f>
        <v>-64616.161</v>
      </c>
      <c r="F1288">
        <f>VLOOKUP(M1288,'MASS - 2016'!$A$1:$G$3418,7,FALSE)</f>
        <v>19.561</v>
      </c>
      <c r="G1288">
        <f t="shared" si="101"/>
        <v>-64616.161</v>
      </c>
      <c r="H1288">
        <f t="shared" si="97"/>
        <v>121.93063169835926</v>
      </c>
      <c r="I1288">
        <f t="shared" si="98"/>
        <v>113.577659281</v>
      </c>
      <c r="J1288">
        <f t="shared" si="100"/>
        <v>113554.15328100001</v>
      </c>
      <c r="M1288">
        <f t="shared" si="99"/>
        <v>76046</v>
      </c>
    </row>
    <row r="1289" spans="1:13" x14ac:dyDescent="0.2">
      <c r="A1289">
        <v>75</v>
      </c>
      <c r="B1289">
        <v>47</v>
      </c>
      <c r="C1289">
        <v>122</v>
      </c>
      <c r="D1289" s="51" t="s">
        <v>45</v>
      </c>
      <c r="E1289">
        <f>VLOOKUP(M1289,'MASS - 2016'!$A$1:$G$3418,6,FALSE)</f>
        <v>-71106.107999999993</v>
      </c>
      <c r="F1289">
        <f>VLOOKUP(M1289,'MASS - 2016'!$A$1:$G$3418,7,FALSE)</f>
        <v>38.191000000000003</v>
      </c>
      <c r="G1289">
        <f t="shared" si="101"/>
        <v>-71106.107999999993</v>
      </c>
      <c r="H1289">
        <f t="shared" ref="H1289:H1352" si="102">(C1289*$A$3+G1289/1000000)/$A$3</f>
        <v>121.92366445372323</v>
      </c>
      <c r="I1289">
        <f t="shared" ref="I1289:I1352" si="103">H1289*$A$3</f>
        <v>113.571169334</v>
      </c>
      <c r="J1289">
        <f t="shared" si="100"/>
        <v>113547.152334</v>
      </c>
      <c r="M1289">
        <f t="shared" ref="M1289:M1352" si="104">1000*A1289+B1289</f>
        <v>75047</v>
      </c>
    </row>
    <row r="1290" spans="1:13" x14ac:dyDescent="0.2">
      <c r="A1290">
        <v>74</v>
      </c>
      <c r="B1290">
        <v>48</v>
      </c>
      <c r="C1290">
        <v>122</v>
      </c>
      <c r="D1290" s="51" t="s">
        <v>46</v>
      </c>
      <c r="E1290">
        <f>VLOOKUP(M1290,'MASS - 2016'!$A$1:$G$3418,6,FALSE)</f>
        <v>-80612.373999999996</v>
      </c>
      <c r="F1290">
        <f>VLOOKUP(M1290,'MASS - 2016'!$A$1:$G$3418,7,FALSE)</f>
        <v>2.2989999999999999</v>
      </c>
      <c r="G1290">
        <f t="shared" si="101"/>
        <v>-80612.373999999996</v>
      </c>
      <c r="H1290">
        <f t="shared" si="102"/>
        <v>121.91345905747005</v>
      </c>
      <c r="I1290">
        <f t="shared" si="103"/>
        <v>113.561663068</v>
      </c>
      <c r="J1290">
        <f t="shared" si="100"/>
        <v>113537.13506799999</v>
      </c>
      <c r="M1290">
        <f t="shared" si="104"/>
        <v>74048</v>
      </c>
    </row>
    <row r="1291" spans="1:13" x14ac:dyDescent="0.2">
      <c r="A1291">
        <v>73</v>
      </c>
      <c r="B1291">
        <v>49</v>
      </c>
      <c r="C1291">
        <v>122</v>
      </c>
      <c r="D1291" s="51" t="s">
        <v>47</v>
      </c>
      <c r="E1291">
        <f>VLOOKUP(M1291,'MASS - 2016'!$A$1:$G$3418,6,FALSE)</f>
        <v>-83572.740999999995</v>
      </c>
      <c r="F1291">
        <f>VLOOKUP(M1291,'MASS - 2016'!$A$1:$G$3418,7,FALSE)</f>
        <v>50.057000000000002</v>
      </c>
      <c r="G1291">
        <f t="shared" si="101"/>
        <v>-83572.740999999995</v>
      </c>
      <c r="H1291">
        <f t="shared" si="102"/>
        <v>121.91028097279516</v>
      </c>
      <c r="I1291">
        <f t="shared" si="103"/>
        <v>113.558702701</v>
      </c>
      <c r="J1291">
        <f t="shared" si="100"/>
        <v>113533.663701</v>
      </c>
      <c r="M1291">
        <f t="shared" si="104"/>
        <v>73049</v>
      </c>
    </row>
    <row r="1292" spans="1:13" x14ac:dyDescent="0.2">
      <c r="A1292">
        <v>72</v>
      </c>
      <c r="B1292">
        <v>50</v>
      </c>
      <c r="C1292">
        <v>122</v>
      </c>
      <c r="D1292" s="51" t="s">
        <v>48</v>
      </c>
      <c r="E1292">
        <f>VLOOKUP(M1292,'MASS - 2016'!$A$1:$G$3418,6,FALSE)</f>
        <v>-89941.332999999999</v>
      </c>
      <c r="F1292">
        <f>VLOOKUP(M1292,'MASS - 2016'!$A$1:$G$3418,7,FALSE)</f>
        <v>2.395</v>
      </c>
      <c r="G1292">
        <f t="shared" si="101"/>
        <v>-89941.332999999999</v>
      </c>
      <c r="H1292">
        <f t="shared" si="102"/>
        <v>121.90344400810946</v>
      </c>
      <c r="I1292">
        <f t="shared" si="103"/>
        <v>113.552334109</v>
      </c>
      <c r="J1292">
        <f t="shared" ref="J1292:J1355" si="105">1000*I1292-B1292*0.511</f>
        <v>113526.784109</v>
      </c>
      <c r="M1292">
        <f t="shared" si="104"/>
        <v>72050</v>
      </c>
    </row>
    <row r="1293" spans="1:13" x14ac:dyDescent="0.2">
      <c r="A1293">
        <v>71</v>
      </c>
      <c r="B1293">
        <v>51</v>
      </c>
      <c r="C1293">
        <v>122</v>
      </c>
      <c r="D1293" s="51" t="s">
        <v>49</v>
      </c>
      <c r="E1293">
        <f>VLOOKUP(M1293,'MASS - 2016'!$A$1:$G$3418,6,FALSE)</f>
        <v>-88335.37</v>
      </c>
      <c r="F1293">
        <f>VLOOKUP(M1293,'MASS - 2016'!$A$1:$G$3418,7,FALSE)</f>
        <v>2.5779999999999998</v>
      </c>
      <c r="G1293">
        <f t="shared" si="101"/>
        <v>-88335.37</v>
      </c>
      <c r="H1293">
        <f t="shared" si="102"/>
        <v>121.90516808029332</v>
      </c>
      <c r="I1293">
        <f t="shared" si="103"/>
        <v>113.553940072</v>
      </c>
      <c r="J1293">
        <f t="shared" si="105"/>
        <v>113527.879072</v>
      </c>
      <c r="M1293">
        <f t="shared" si="104"/>
        <v>71051</v>
      </c>
    </row>
    <row r="1294" spans="1:13" x14ac:dyDescent="0.2">
      <c r="A1294">
        <v>70</v>
      </c>
      <c r="B1294">
        <v>52</v>
      </c>
      <c r="C1294">
        <v>122</v>
      </c>
      <c r="D1294" s="51" t="s">
        <v>50</v>
      </c>
      <c r="E1294">
        <f>VLOOKUP(M1294,'MASS - 2016'!$A$1:$G$3418,6,FALSE)</f>
        <v>-90314.46</v>
      </c>
      <c r="F1294">
        <f>VLOOKUP(M1294,'MASS - 2016'!$A$1:$G$3418,7,FALSE)</f>
        <v>1.5069999999999999</v>
      </c>
      <c r="G1294">
        <f t="shared" si="101"/>
        <v>-90314.46</v>
      </c>
      <c r="H1294">
        <f t="shared" si="102"/>
        <v>121.90304343980138</v>
      </c>
      <c r="I1294">
        <f t="shared" si="103"/>
        <v>113.551960982</v>
      </c>
      <c r="J1294">
        <f t="shared" si="105"/>
        <v>113525.388982</v>
      </c>
      <c r="M1294">
        <f t="shared" si="104"/>
        <v>70052</v>
      </c>
    </row>
    <row r="1295" spans="1:13" x14ac:dyDescent="0.2">
      <c r="A1295">
        <v>69</v>
      </c>
      <c r="B1295">
        <v>53</v>
      </c>
      <c r="C1295">
        <v>122</v>
      </c>
      <c r="D1295" s="51" t="s">
        <v>51</v>
      </c>
      <c r="E1295">
        <f>VLOOKUP(M1295,'MASS - 2016'!$A$1:$G$3418,6,FALSE)</f>
        <v>-86080.46</v>
      </c>
      <c r="F1295">
        <f>VLOOKUP(M1295,'MASS - 2016'!$A$1:$G$3418,7,FALSE)</f>
        <v>5.2220000000000004</v>
      </c>
      <c r="G1295">
        <f t="shared" ref="G1295:G1358" si="106">IF(ISNUMBER(E1295),E1295,VALUE(SUBSTITUTE(E1295,"#",".01")))</f>
        <v>-86080.46</v>
      </c>
      <c r="H1295">
        <f t="shared" si="102"/>
        <v>121.90758882573272</v>
      </c>
      <c r="I1295">
        <f t="shared" si="103"/>
        <v>113.55619498199999</v>
      </c>
      <c r="J1295">
        <f t="shared" si="105"/>
        <v>113529.111982</v>
      </c>
      <c r="M1295">
        <f t="shared" si="104"/>
        <v>69053</v>
      </c>
    </row>
    <row r="1296" spans="1:13" x14ac:dyDescent="0.2">
      <c r="A1296">
        <v>68</v>
      </c>
      <c r="B1296">
        <v>54</v>
      </c>
      <c r="C1296">
        <v>122</v>
      </c>
      <c r="D1296" s="51" t="s">
        <v>52</v>
      </c>
      <c r="E1296">
        <f>VLOOKUP(M1296,'MASS - 2016'!$A$1:$G$3418,6,FALSE)</f>
        <v>-85354.976999999999</v>
      </c>
      <c r="F1296">
        <f>VLOOKUP(M1296,'MASS - 2016'!$A$1:$G$3418,7,FALSE)</f>
        <v>11.111000000000001</v>
      </c>
      <c r="G1296">
        <f t="shared" si="106"/>
        <v>-85354.976999999999</v>
      </c>
      <c r="H1296">
        <f t="shared" si="102"/>
        <v>121.90836766376336</v>
      </c>
      <c r="I1296">
        <f t="shared" si="103"/>
        <v>113.556920465</v>
      </c>
      <c r="J1296">
        <f t="shared" si="105"/>
        <v>113529.32646500001</v>
      </c>
      <c r="M1296">
        <f t="shared" si="104"/>
        <v>68054</v>
      </c>
    </row>
    <row r="1297" spans="1:13" x14ac:dyDescent="0.2">
      <c r="A1297">
        <v>67</v>
      </c>
      <c r="B1297">
        <v>55</v>
      </c>
      <c r="C1297">
        <v>122</v>
      </c>
      <c r="D1297" s="51" t="s">
        <v>53</v>
      </c>
      <c r="E1297">
        <f>VLOOKUP(M1297,'MASS - 2016'!$A$1:$G$3418,6,FALSE)</f>
        <v>-78144.759000000005</v>
      </c>
      <c r="F1297">
        <f>VLOOKUP(M1297,'MASS - 2016'!$A$1:$G$3418,7,FALSE)</f>
        <v>33.686999999999998</v>
      </c>
      <c r="G1297">
        <f t="shared" si="106"/>
        <v>-78144.759000000005</v>
      </c>
      <c r="H1297">
        <f t="shared" si="102"/>
        <v>121.91610815111788</v>
      </c>
      <c r="I1297">
        <f t="shared" si="103"/>
        <v>113.564130683</v>
      </c>
      <c r="J1297">
        <f t="shared" si="105"/>
        <v>113536.025683</v>
      </c>
      <c r="M1297">
        <f t="shared" si="104"/>
        <v>67055</v>
      </c>
    </row>
    <row r="1298" spans="1:13" x14ac:dyDescent="0.2">
      <c r="A1298">
        <v>66</v>
      </c>
      <c r="B1298">
        <v>56</v>
      </c>
      <c r="C1298">
        <v>122</v>
      </c>
      <c r="D1298" s="51" t="s">
        <v>54</v>
      </c>
      <c r="E1298">
        <f>VLOOKUP(M1298,'MASS - 2016'!$A$1:$G$3418,6,FALSE)</f>
        <v>-74608.944000000003</v>
      </c>
      <c r="F1298">
        <f>VLOOKUP(M1298,'MASS - 2016'!$A$1:$G$3418,7,FALSE)</f>
        <v>27.945</v>
      </c>
      <c r="G1298">
        <f t="shared" si="106"/>
        <v>-74608.944000000003</v>
      </c>
      <c r="H1298">
        <f t="shared" si="102"/>
        <v>121.91990400462682</v>
      </c>
      <c r="I1298">
        <f t="shared" si="103"/>
        <v>113.56766649799999</v>
      </c>
      <c r="J1298">
        <f t="shared" si="105"/>
        <v>113539.050498</v>
      </c>
      <c r="M1298">
        <f t="shared" si="104"/>
        <v>66056</v>
      </c>
    </row>
    <row r="1299" spans="1:13" x14ac:dyDescent="0.2">
      <c r="A1299">
        <v>65</v>
      </c>
      <c r="B1299">
        <v>57</v>
      </c>
      <c r="C1299">
        <v>122</v>
      </c>
      <c r="D1299" s="51" t="s">
        <v>55</v>
      </c>
      <c r="E1299" t="str">
        <f>VLOOKUP(M1299,'MASS - 2016'!$A$1:$G$3418,6,FALSE)</f>
        <v>-64543#</v>
      </c>
      <c r="F1299" t="str">
        <f>VLOOKUP(M1299,'MASS - 2016'!$A$1:$G$3418,7,FALSE)</f>
        <v>298#</v>
      </c>
      <c r="G1299">
        <f t="shared" si="106"/>
        <v>-64543.01</v>
      </c>
      <c r="H1299">
        <f t="shared" si="102"/>
        <v>121.9307102291874</v>
      </c>
      <c r="I1299">
        <f t="shared" si="103"/>
        <v>113.577732432</v>
      </c>
      <c r="J1299">
        <f t="shared" si="105"/>
        <v>113548.60543200001</v>
      </c>
      <c r="M1299">
        <f t="shared" si="104"/>
        <v>65057</v>
      </c>
    </row>
    <row r="1300" spans="1:13" x14ac:dyDescent="0.2">
      <c r="A1300">
        <v>64</v>
      </c>
      <c r="B1300">
        <v>58</v>
      </c>
      <c r="C1300">
        <v>122</v>
      </c>
      <c r="D1300" s="51" t="s">
        <v>56</v>
      </c>
      <c r="E1300" t="str">
        <f>VLOOKUP(M1300,'MASS - 2016'!$A$1:$G$3418,6,FALSE)</f>
        <v>-57874#</v>
      </c>
      <c r="F1300" t="str">
        <f>VLOOKUP(M1300,'MASS - 2016'!$A$1:$G$3418,7,FALSE)</f>
        <v>401#</v>
      </c>
      <c r="G1300">
        <f t="shared" si="106"/>
        <v>-57874.01</v>
      </c>
      <c r="H1300">
        <f t="shared" si="102"/>
        <v>121.93786969512412</v>
      </c>
      <c r="I1300">
        <f t="shared" si="103"/>
        <v>113.58440143199999</v>
      </c>
      <c r="J1300">
        <f t="shared" si="105"/>
        <v>113554.76343199999</v>
      </c>
      <c r="M1300">
        <f t="shared" si="104"/>
        <v>64058</v>
      </c>
    </row>
    <row r="1301" spans="1:13" x14ac:dyDescent="0.2">
      <c r="A1301">
        <v>63</v>
      </c>
      <c r="B1301">
        <v>59</v>
      </c>
      <c r="C1301">
        <v>122</v>
      </c>
      <c r="D1301" s="51" t="s">
        <v>57</v>
      </c>
      <c r="E1301" t="str">
        <f>VLOOKUP(M1301,'MASS - 2016'!$A$1:$G$3418,6,FALSE)</f>
        <v>-44780#</v>
      </c>
      <c r="F1301" t="str">
        <f>VLOOKUP(M1301,'MASS - 2016'!$A$1:$G$3418,7,FALSE)</f>
        <v>500#</v>
      </c>
      <c r="G1301">
        <f t="shared" si="106"/>
        <v>-44780.01</v>
      </c>
      <c r="H1301">
        <f t="shared" si="102"/>
        <v>121.95192668222498</v>
      </c>
      <c r="I1301">
        <f t="shared" si="103"/>
        <v>113.597495432</v>
      </c>
      <c r="J1301">
        <f t="shared" si="105"/>
        <v>113567.34643199999</v>
      </c>
      <c r="M1301">
        <f t="shared" si="104"/>
        <v>63059</v>
      </c>
    </row>
    <row r="1302" spans="1:13" x14ac:dyDescent="0.2">
      <c r="A1302">
        <v>77</v>
      </c>
      <c r="B1302">
        <v>46</v>
      </c>
      <c r="C1302">
        <v>123</v>
      </c>
      <c r="D1302" s="51" t="s">
        <v>44</v>
      </c>
      <c r="E1302">
        <f>VLOOKUP(M1302,'MASS - 2016'!$A$1:$G$3418,6,FALSE)</f>
        <v>-60429.741999999998</v>
      </c>
      <c r="F1302">
        <f>VLOOKUP(M1302,'MASS - 2016'!$A$1:$G$3418,7,FALSE)</f>
        <v>789.44100000000003</v>
      </c>
      <c r="G1302">
        <f t="shared" si="106"/>
        <v>-60429.741999999998</v>
      </c>
      <c r="H1302">
        <f t="shared" si="102"/>
        <v>122.93512600398641</v>
      </c>
      <c r="I1302">
        <f t="shared" si="103"/>
        <v>114.513339761</v>
      </c>
      <c r="J1302">
        <f t="shared" si="105"/>
        <v>114489.833761</v>
      </c>
      <c r="M1302">
        <f t="shared" si="104"/>
        <v>77046</v>
      </c>
    </row>
    <row r="1303" spans="1:13" x14ac:dyDescent="0.2">
      <c r="A1303">
        <v>76</v>
      </c>
      <c r="B1303">
        <v>47</v>
      </c>
      <c r="C1303">
        <v>123</v>
      </c>
      <c r="D1303" s="51" t="s">
        <v>45</v>
      </c>
      <c r="E1303">
        <f>VLOOKUP(M1303,'MASS - 2016'!$A$1:$G$3418,6,FALSE)</f>
        <v>-69548.077999999994</v>
      </c>
      <c r="F1303">
        <f>VLOOKUP(M1303,'MASS - 2016'!$A$1:$G$3418,7,FALSE)</f>
        <v>30.739000000000001</v>
      </c>
      <c r="G1303">
        <f t="shared" si="106"/>
        <v>-69548.077999999994</v>
      </c>
      <c r="H1303">
        <f t="shared" si="102"/>
        <v>122.92533706771535</v>
      </c>
      <c r="I1303">
        <f t="shared" si="103"/>
        <v>114.504221425</v>
      </c>
      <c r="J1303">
        <f t="shared" si="105"/>
        <v>114480.20442499999</v>
      </c>
      <c r="M1303">
        <f t="shared" si="104"/>
        <v>76047</v>
      </c>
    </row>
    <row r="1304" spans="1:13" x14ac:dyDescent="0.2">
      <c r="A1304">
        <v>75</v>
      </c>
      <c r="B1304">
        <v>48</v>
      </c>
      <c r="C1304">
        <v>123</v>
      </c>
      <c r="D1304" s="51" t="s">
        <v>46</v>
      </c>
      <c r="E1304">
        <f>VLOOKUP(M1304,'MASS - 2016'!$A$1:$G$3418,6,FALSE)</f>
        <v>-77414.180999999997</v>
      </c>
      <c r="F1304">
        <f>VLOOKUP(M1304,'MASS - 2016'!$A$1:$G$3418,7,FALSE)</f>
        <v>2.6960000000000002</v>
      </c>
      <c r="G1304">
        <f t="shared" si="106"/>
        <v>-77414.180999999997</v>
      </c>
      <c r="H1304">
        <f t="shared" si="102"/>
        <v>122.91689245885594</v>
      </c>
      <c r="I1304">
        <f t="shared" si="103"/>
        <v>114.496355322</v>
      </c>
      <c r="J1304">
        <f t="shared" si="105"/>
        <v>114471.827322</v>
      </c>
      <c r="M1304">
        <f t="shared" si="104"/>
        <v>75048</v>
      </c>
    </row>
    <row r="1305" spans="1:13" x14ac:dyDescent="0.2">
      <c r="A1305">
        <v>74</v>
      </c>
      <c r="B1305">
        <v>49</v>
      </c>
      <c r="C1305">
        <v>123</v>
      </c>
      <c r="D1305" s="51" t="s">
        <v>47</v>
      </c>
      <c r="E1305">
        <f>VLOOKUP(M1305,'MASS - 2016'!$A$1:$G$3418,6,FALSE)</f>
        <v>-83430.353000000003</v>
      </c>
      <c r="F1305">
        <f>VLOOKUP(M1305,'MASS - 2016'!$A$1:$G$3418,7,FALSE)</f>
        <v>19.827000000000002</v>
      </c>
      <c r="G1305">
        <f t="shared" si="106"/>
        <v>-83430.353000000003</v>
      </c>
      <c r="H1305">
        <f t="shared" si="102"/>
        <v>122.91043383259961</v>
      </c>
      <c r="I1305">
        <f t="shared" si="103"/>
        <v>114.49033915</v>
      </c>
      <c r="J1305">
        <f t="shared" si="105"/>
        <v>114465.30015</v>
      </c>
      <c r="M1305">
        <f t="shared" si="104"/>
        <v>74049</v>
      </c>
    </row>
    <row r="1306" spans="1:13" x14ac:dyDescent="0.2">
      <c r="A1306">
        <v>73</v>
      </c>
      <c r="B1306">
        <v>50</v>
      </c>
      <c r="C1306">
        <v>123</v>
      </c>
      <c r="D1306" s="51" t="s">
        <v>48</v>
      </c>
      <c r="E1306">
        <f>VLOOKUP(M1306,'MASS - 2016'!$A$1:$G$3418,6,FALSE)</f>
        <v>-87816.180999999997</v>
      </c>
      <c r="F1306">
        <f>VLOOKUP(M1306,'MASS - 2016'!$A$1:$G$3418,7,FALSE)</f>
        <v>2.4159999999999999</v>
      </c>
      <c r="G1306">
        <f t="shared" si="106"/>
        <v>-87816.180999999997</v>
      </c>
      <c r="H1306">
        <f t="shared" si="102"/>
        <v>122.90572545260704</v>
      </c>
      <c r="I1306">
        <f t="shared" si="103"/>
        <v>114.485953322</v>
      </c>
      <c r="J1306">
        <f t="shared" si="105"/>
        <v>114460.403322</v>
      </c>
      <c r="M1306">
        <f t="shared" si="104"/>
        <v>73050</v>
      </c>
    </row>
    <row r="1307" spans="1:13" x14ac:dyDescent="0.2">
      <c r="A1307">
        <v>72</v>
      </c>
      <c r="B1307">
        <v>51</v>
      </c>
      <c r="C1307">
        <v>123</v>
      </c>
      <c r="D1307" s="51" t="s">
        <v>49</v>
      </c>
      <c r="E1307">
        <f>VLOOKUP(M1307,'MASS - 2016'!$A$1:$G$3418,6,FALSE)</f>
        <v>-89224.069000000003</v>
      </c>
      <c r="F1307">
        <f>VLOOKUP(M1307,'MASS - 2016'!$A$1:$G$3418,7,FALSE)</f>
        <v>1.506</v>
      </c>
      <c r="G1307">
        <f t="shared" si="106"/>
        <v>-89224.069000000003</v>
      </c>
      <c r="H1307">
        <f t="shared" si="102"/>
        <v>122.9042140226807</v>
      </c>
      <c r="I1307">
        <f t="shared" si="103"/>
        <v>114.484545434</v>
      </c>
      <c r="J1307">
        <f t="shared" si="105"/>
        <v>114458.484434</v>
      </c>
      <c r="M1307">
        <f t="shared" si="104"/>
        <v>72051</v>
      </c>
    </row>
    <row r="1308" spans="1:13" x14ac:dyDescent="0.2">
      <c r="A1308">
        <v>71</v>
      </c>
      <c r="B1308">
        <v>52</v>
      </c>
      <c r="C1308">
        <v>123</v>
      </c>
      <c r="D1308" s="51" t="s">
        <v>50</v>
      </c>
      <c r="E1308">
        <f>VLOOKUP(M1308,'MASS - 2016'!$A$1:$G$3418,6,FALSE)</f>
        <v>-89172.156000000003</v>
      </c>
      <c r="F1308">
        <f>VLOOKUP(M1308,'MASS - 2016'!$A$1:$G$3418,7,FALSE)</f>
        <v>1.5049999999999999</v>
      </c>
      <c r="G1308">
        <f t="shared" si="106"/>
        <v>-89172.156000000003</v>
      </c>
      <c r="H1308">
        <f t="shared" si="102"/>
        <v>122.90426975357816</v>
      </c>
      <c r="I1308">
        <f t="shared" si="103"/>
        <v>114.48459734699999</v>
      </c>
      <c r="J1308">
        <f t="shared" si="105"/>
        <v>114458.02534699999</v>
      </c>
      <c r="M1308">
        <f t="shared" si="104"/>
        <v>71052</v>
      </c>
    </row>
    <row r="1309" spans="1:13" x14ac:dyDescent="0.2">
      <c r="A1309">
        <v>70</v>
      </c>
      <c r="B1309">
        <v>53</v>
      </c>
      <c r="C1309">
        <v>123</v>
      </c>
      <c r="D1309" s="51" t="s">
        <v>51</v>
      </c>
      <c r="E1309">
        <f>VLOOKUP(M1309,'MASS - 2016'!$A$1:$G$3418,6,FALSE)</f>
        <v>-87943.726999999999</v>
      </c>
      <c r="F1309">
        <f>VLOOKUP(M1309,'MASS - 2016'!$A$1:$G$3418,7,FALSE)</f>
        <v>3.74</v>
      </c>
      <c r="G1309">
        <f t="shared" si="106"/>
        <v>-87943.726999999999</v>
      </c>
      <c r="H1309">
        <f t="shared" si="102"/>
        <v>122.90558852634489</v>
      </c>
      <c r="I1309">
        <f t="shared" si="103"/>
        <v>114.485825776</v>
      </c>
      <c r="J1309">
        <f t="shared" si="105"/>
        <v>114458.742776</v>
      </c>
      <c r="M1309">
        <f t="shared" si="104"/>
        <v>70053</v>
      </c>
    </row>
    <row r="1310" spans="1:13" x14ac:dyDescent="0.2">
      <c r="A1310">
        <v>69</v>
      </c>
      <c r="B1310">
        <v>54</v>
      </c>
      <c r="C1310">
        <v>123</v>
      </c>
      <c r="D1310" s="51" t="s">
        <v>52</v>
      </c>
      <c r="E1310">
        <f>VLOOKUP(M1310,'MASS - 2016'!$A$1:$G$3418,6,FALSE)</f>
        <v>-85248.701000000001</v>
      </c>
      <c r="F1310">
        <f>VLOOKUP(M1310,'MASS - 2016'!$A$1:$G$3418,7,FALSE)</f>
        <v>9.5370000000000008</v>
      </c>
      <c r="G1310">
        <f t="shared" si="106"/>
        <v>-85248.701000000001</v>
      </c>
      <c r="H1310">
        <f t="shared" si="102"/>
        <v>122.90848175574143</v>
      </c>
      <c r="I1310">
        <f t="shared" si="103"/>
        <v>114.488520802</v>
      </c>
      <c r="J1310">
        <f t="shared" si="105"/>
        <v>114460.926802</v>
      </c>
      <c r="M1310">
        <f t="shared" si="104"/>
        <v>69054</v>
      </c>
    </row>
    <row r="1311" spans="1:13" x14ac:dyDescent="0.2">
      <c r="A1311">
        <v>68</v>
      </c>
      <c r="B1311">
        <v>55</v>
      </c>
      <c r="C1311">
        <v>123</v>
      </c>
      <c r="D1311" s="51" t="s">
        <v>53</v>
      </c>
      <c r="E1311">
        <f>VLOOKUP(M1311,'MASS - 2016'!$A$1:$G$3418,6,FALSE)</f>
        <v>-81043.645999999993</v>
      </c>
      <c r="F1311">
        <f>VLOOKUP(M1311,'MASS - 2016'!$A$1:$G$3418,7,FALSE)</f>
        <v>12.109</v>
      </c>
      <c r="G1311">
        <f t="shared" si="106"/>
        <v>-81043.645999999993</v>
      </c>
      <c r="H1311">
        <f t="shared" si="102"/>
        <v>122.91299606793736</v>
      </c>
      <c r="I1311">
        <f t="shared" si="103"/>
        <v>114.492725857</v>
      </c>
      <c r="J1311">
        <f t="shared" si="105"/>
        <v>114464.620857</v>
      </c>
      <c r="M1311">
        <f t="shared" si="104"/>
        <v>68055</v>
      </c>
    </row>
    <row r="1312" spans="1:13" x14ac:dyDescent="0.2">
      <c r="A1312">
        <v>67</v>
      </c>
      <c r="B1312">
        <v>56</v>
      </c>
      <c r="C1312">
        <v>123</v>
      </c>
      <c r="D1312" s="51" t="s">
        <v>54</v>
      </c>
      <c r="E1312">
        <f>VLOOKUP(M1312,'MASS - 2016'!$A$1:$G$3418,6,FALSE)</f>
        <v>-75654.952999999994</v>
      </c>
      <c r="F1312">
        <f>VLOOKUP(M1312,'MASS - 2016'!$A$1:$G$3418,7,FALSE)</f>
        <v>12.109</v>
      </c>
      <c r="G1312">
        <f t="shared" si="106"/>
        <v>-75654.952999999994</v>
      </c>
      <c r="H1312">
        <f t="shared" si="102"/>
        <v>122.91878106778397</v>
      </c>
      <c r="I1312">
        <f t="shared" si="103"/>
        <v>114.49811455</v>
      </c>
      <c r="J1312">
        <f t="shared" si="105"/>
        <v>114469.49855</v>
      </c>
      <c r="M1312">
        <f t="shared" si="104"/>
        <v>67056</v>
      </c>
    </row>
    <row r="1313" spans="1:13" x14ac:dyDescent="0.2">
      <c r="A1313">
        <v>66</v>
      </c>
      <c r="B1313">
        <v>57</v>
      </c>
      <c r="C1313">
        <v>123</v>
      </c>
      <c r="D1313" s="51" t="s">
        <v>55</v>
      </c>
      <c r="E1313" t="str">
        <f>VLOOKUP(M1313,'MASS - 2016'!$A$1:$G$3418,6,FALSE)</f>
        <v>-68651#</v>
      </c>
      <c r="F1313" t="str">
        <f>VLOOKUP(M1313,'MASS - 2016'!$A$1:$G$3418,7,FALSE)</f>
        <v>196#</v>
      </c>
      <c r="G1313">
        <f t="shared" si="106"/>
        <v>-68651.009999999995</v>
      </c>
      <c r="H1313">
        <f t="shared" si="102"/>
        <v>122.92630010981895</v>
      </c>
      <c r="I1313">
        <f t="shared" si="103"/>
        <v>114.505118493</v>
      </c>
      <c r="J1313">
        <f t="shared" si="105"/>
        <v>114475.99149300001</v>
      </c>
      <c r="M1313">
        <f t="shared" si="104"/>
        <v>66057</v>
      </c>
    </row>
    <row r="1314" spans="1:13" x14ac:dyDescent="0.2">
      <c r="A1314">
        <v>65</v>
      </c>
      <c r="B1314">
        <v>58</v>
      </c>
      <c r="C1314">
        <v>123</v>
      </c>
      <c r="D1314" s="51" t="s">
        <v>56</v>
      </c>
      <c r="E1314" t="str">
        <f>VLOOKUP(M1314,'MASS - 2016'!$A$1:$G$3418,6,FALSE)</f>
        <v>-60286#</v>
      </c>
      <c r="F1314" t="str">
        <f>VLOOKUP(M1314,'MASS - 2016'!$A$1:$G$3418,7,FALSE)</f>
        <v>298#</v>
      </c>
      <c r="G1314">
        <f t="shared" si="106"/>
        <v>-60286.01</v>
      </c>
      <c r="H1314">
        <f t="shared" si="102"/>
        <v>122.93528030663418</v>
      </c>
      <c r="I1314">
        <f t="shared" si="103"/>
        <v>114.513483493</v>
      </c>
      <c r="J1314">
        <f t="shared" si="105"/>
        <v>114483.84549299999</v>
      </c>
      <c r="M1314">
        <f t="shared" si="104"/>
        <v>65058</v>
      </c>
    </row>
    <row r="1315" spans="1:13" x14ac:dyDescent="0.2">
      <c r="A1315">
        <v>64</v>
      </c>
      <c r="B1315">
        <v>59</v>
      </c>
      <c r="C1315">
        <v>123</v>
      </c>
      <c r="D1315" s="51" t="s">
        <v>57</v>
      </c>
      <c r="E1315" t="str">
        <f>VLOOKUP(M1315,'MASS - 2016'!$A$1:$G$3418,6,FALSE)</f>
        <v>-50230#</v>
      </c>
      <c r="F1315" t="str">
        <f>VLOOKUP(M1315,'MASS - 2016'!$A$1:$G$3418,7,FALSE)</f>
        <v>400#</v>
      </c>
      <c r="G1315">
        <f t="shared" si="106"/>
        <v>-50230.01</v>
      </c>
      <c r="H1315">
        <f t="shared" si="102"/>
        <v>122.94607586660715</v>
      </c>
      <c r="I1315">
        <f t="shared" si="103"/>
        <v>114.52353949299999</v>
      </c>
      <c r="J1315">
        <f t="shared" si="105"/>
        <v>114493.39049299998</v>
      </c>
      <c r="M1315">
        <f t="shared" si="104"/>
        <v>64059</v>
      </c>
    </row>
    <row r="1316" spans="1:13" x14ac:dyDescent="0.2">
      <c r="A1316">
        <v>77</v>
      </c>
      <c r="B1316">
        <v>47</v>
      </c>
      <c r="C1316">
        <v>124</v>
      </c>
      <c r="D1316" s="51" t="s">
        <v>45</v>
      </c>
      <c r="E1316">
        <f>VLOOKUP(M1316,'MASS - 2016'!$A$1:$G$3418,6,FALSE)</f>
        <v>-66200.134000000005</v>
      </c>
      <c r="F1316">
        <f>VLOOKUP(M1316,'MASS - 2016'!$A$1:$G$3418,7,FALSE)</f>
        <v>251.50299999999999</v>
      </c>
      <c r="G1316">
        <f t="shared" si="106"/>
        <v>-66200.134000000005</v>
      </c>
      <c r="H1316">
        <f t="shared" si="102"/>
        <v>123.92893123341128</v>
      </c>
      <c r="I1316">
        <f t="shared" si="103"/>
        <v>115.43906343</v>
      </c>
      <c r="J1316">
        <f t="shared" si="105"/>
        <v>115415.04643</v>
      </c>
      <c r="M1316">
        <f t="shared" si="104"/>
        <v>77047</v>
      </c>
    </row>
    <row r="1317" spans="1:13" x14ac:dyDescent="0.2">
      <c r="A1317">
        <v>76</v>
      </c>
      <c r="B1317">
        <v>48</v>
      </c>
      <c r="C1317">
        <v>124</v>
      </c>
      <c r="D1317" s="51" t="s">
        <v>46</v>
      </c>
      <c r="E1317">
        <f>VLOOKUP(M1317,'MASS - 2016'!$A$1:$G$3418,6,FALSE)</f>
        <v>-76701.672000000006</v>
      </c>
      <c r="F1317">
        <f>VLOOKUP(M1317,'MASS - 2016'!$A$1:$G$3418,7,FALSE)</f>
        <v>2.9950000000000001</v>
      </c>
      <c r="G1317">
        <f t="shared" si="106"/>
        <v>-76701.672000000006</v>
      </c>
      <c r="H1317">
        <f t="shared" si="102"/>
        <v>123.91765736872476</v>
      </c>
      <c r="I1317">
        <f t="shared" si="103"/>
        <v>115.428561892</v>
      </c>
      <c r="J1317">
        <f t="shared" si="105"/>
        <v>115404.03389199999</v>
      </c>
      <c r="M1317">
        <f t="shared" si="104"/>
        <v>76048</v>
      </c>
    </row>
    <row r="1318" spans="1:13" x14ac:dyDescent="0.2">
      <c r="A1318">
        <v>75</v>
      </c>
      <c r="B1318">
        <v>49</v>
      </c>
      <c r="C1318">
        <v>124</v>
      </c>
      <c r="D1318" s="51" t="s">
        <v>47</v>
      </c>
      <c r="E1318">
        <f>VLOOKUP(M1318,'MASS - 2016'!$A$1:$G$3418,6,FALSE)</f>
        <v>-80870.201000000001</v>
      </c>
      <c r="F1318">
        <f>VLOOKUP(M1318,'MASS - 2016'!$A$1:$G$3418,7,FALSE)</f>
        <v>30.571999999999999</v>
      </c>
      <c r="G1318">
        <f t="shared" si="106"/>
        <v>-80870.201000000001</v>
      </c>
      <c r="H1318">
        <f t="shared" si="102"/>
        <v>123.91318226880247</v>
      </c>
      <c r="I1318">
        <f t="shared" si="103"/>
        <v>115.42439336300001</v>
      </c>
      <c r="J1318">
        <f t="shared" si="105"/>
        <v>115399.35436300001</v>
      </c>
      <c r="M1318">
        <f t="shared" si="104"/>
        <v>75049</v>
      </c>
    </row>
    <row r="1319" spans="1:13" x14ac:dyDescent="0.2">
      <c r="A1319">
        <v>74</v>
      </c>
      <c r="B1319">
        <v>50</v>
      </c>
      <c r="C1319">
        <v>124</v>
      </c>
      <c r="D1319" s="51" t="s">
        <v>48</v>
      </c>
      <c r="E1319">
        <f>VLOOKUP(M1319,'MASS - 2016'!$A$1:$G$3418,6,FALSE)</f>
        <v>-88234.192999999999</v>
      </c>
      <c r="F1319">
        <f>VLOOKUP(M1319,'MASS - 2016'!$A$1:$G$3418,7,FALSE)</f>
        <v>1.014</v>
      </c>
      <c r="G1319">
        <f t="shared" si="106"/>
        <v>-88234.192999999999</v>
      </c>
      <c r="H1319">
        <f t="shared" si="102"/>
        <v>123.90527669826979</v>
      </c>
      <c r="I1319">
        <f t="shared" si="103"/>
        <v>115.417029371</v>
      </c>
      <c r="J1319">
        <f t="shared" si="105"/>
        <v>115391.47937099999</v>
      </c>
      <c r="M1319">
        <f t="shared" si="104"/>
        <v>74050</v>
      </c>
    </row>
    <row r="1320" spans="1:13" x14ac:dyDescent="0.2">
      <c r="A1320">
        <v>73</v>
      </c>
      <c r="B1320">
        <v>51</v>
      </c>
      <c r="C1320">
        <v>124</v>
      </c>
      <c r="D1320" s="51" t="s">
        <v>49</v>
      </c>
      <c r="E1320">
        <f>VLOOKUP(M1320,'MASS - 2016'!$A$1:$G$3418,6,FALSE)</f>
        <v>-87620.248000000007</v>
      </c>
      <c r="F1320">
        <f>VLOOKUP(M1320,'MASS - 2016'!$A$1:$G$3418,7,FALSE)</f>
        <v>1.5069999999999999</v>
      </c>
      <c r="G1320">
        <f t="shared" si="106"/>
        <v>-87620.248000000007</v>
      </c>
      <c r="H1320">
        <f t="shared" si="102"/>
        <v>123.90593579533301</v>
      </c>
      <c r="I1320">
        <f t="shared" si="103"/>
        <v>115.41764331600001</v>
      </c>
      <c r="J1320">
        <f t="shared" si="105"/>
        <v>115391.58231600001</v>
      </c>
      <c r="M1320">
        <f t="shared" si="104"/>
        <v>73051</v>
      </c>
    </row>
    <row r="1321" spans="1:13" x14ac:dyDescent="0.2">
      <c r="A1321">
        <v>72</v>
      </c>
      <c r="B1321">
        <v>52</v>
      </c>
      <c r="C1321">
        <v>124</v>
      </c>
      <c r="D1321" s="51" t="s">
        <v>50</v>
      </c>
      <c r="E1321">
        <f>VLOOKUP(M1321,'MASS - 2016'!$A$1:$G$3418,6,FALSE)</f>
        <v>-90525.320999999996</v>
      </c>
      <c r="F1321">
        <f>VLOOKUP(M1321,'MASS - 2016'!$A$1:$G$3418,7,FALSE)</f>
        <v>1.502</v>
      </c>
      <c r="G1321">
        <f t="shared" si="106"/>
        <v>-90525.320999999996</v>
      </c>
      <c r="H1321">
        <f t="shared" si="102"/>
        <v>123.90281707120836</v>
      </c>
      <c r="I1321">
        <f t="shared" si="103"/>
        <v>115.414738243</v>
      </c>
      <c r="J1321">
        <f t="shared" si="105"/>
        <v>115388.166243</v>
      </c>
      <c r="M1321">
        <f t="shared" si="104"/>
        <v>72052</v>
      </c>
    </row>
    <row r="1322" spans="1:13" x14ac:dyDescent="0.2">
      <c r="A1322">
        <v>71</v>
      </c>
      <c r="B1322">
        <v>53</v>
      </c>
      <c r="C1322">
        <v>124</v>
      </c>
      <c r="D1322" s="51" t="s">
        <v>51</v>
      </c>
      <c r="E1322">
        <f>VLOOKUP(M1322,'MASS - 2016'!$A$1:$G$3418,6,FALSE)</f>
        <v>-87365.733999999997</v>
      </c>
      <c r="F1322">
        <f>VLOOKUP(M1322,'MASS - 2016'!$A$1:$G$3418,7,FALSE)</f>
        <v>2.39</v>
      </c>
      <c r="G1322">
        <f t="shared" si="106"/>
        <v>-87365.733999999997</v>
      </c>
      <c r="H1322">
        <f t="shared" si="102"/>
        <v>123.90620902734881</v>
      </c>
      <c r="I1322">
        <f t="shared" si="103"/>
        <v>115.41789783</v>
      </c>
      <c r="J1322">
        <f t="shared" si="105"/>
        <v>115390.81483</v>
      </c>
      <c r="M1322">
        <f t="shared" si="104"/>
        <v>71053</v>
      </c>
    </row>
    <row r="1323" spans="1:13" x14ac:dyDescent="0.2">
      <c r="A1323">
        <v>70</v>
      </c>
      <c r="B1323">
        <v>54</v>
      </c>
      <c r="C1323">
        <v>124</v>
      </c>
      <c r="D1323" s="51" t="s">
        <v>52</v>
      </c>
      <c r="E1323">
        <f>VLOOKUP(M1323,'MASS - 2016'!$A$1:$G$3418,6,FALSE)</f>
        <v>-87661.421000000002</v>
      </c>
      <c r="F1323">
        <f>VLOOKUP(M1323,'MASS - 2016'!$A$1:$G$3418,7,FALSE)</f>
        <v>1.7929999999999999</v>
      </c>
      <c r="G1323">
        <f t="shared" si="106"/>
        <v>-87661.421000000002</v>
      </c>
      <c r="H1323">
        <f t="shared" si="102"/>
        <v>123.9058915942997</v>
      </c>
      <c r="I1323">
        <f t="shared" si="103"/>
        <v>115.417602143</v>
      </c>
      <c r="J1323">
        <f t="shared" si="105"/>
        <v>115390.008143</v>
      </c>
      <c r="M1323">
        <f t="shared" si="104"/>
        <v>70054</v>
      </c>
    </row>
    <row r="1324" spans="1:13" x14ac:dyDescent="0.2">
      <c r="A1324">
        <v>69</v>
      </c>
      <c r="B1324">
        <v>55</v>
      </c>
      <c r="C1324">
        <v>124</v>
      </c>
      <c r="D1324" s="51" t="s">
        <v>53</v>
      </c>
      <c r="E1324">
        <f>VLOOKUP(M1324,'MASS - 2016'!$A$1:$G$3418,6,FALSE)</f>
        <v>-81731.334000000003</v>
      </c>
      <c r="F1324">
        <f>VLOOKUP(M1324,'MASS - 2016'!$A$1:$G$3418,7,FALSE)</f>
        <v>8.3040000000000003</v>
      </c>
      <c r="G1324">
        <f t="shared" si="106"/>
        <v>-81731.334000000003</v>
      </c>
      <c r="H1324">
        <f t="shared" si="102"/>
        <v>123.9122578045079</v>
      </c>
      <c r="I1324">
        <f t="shared" si="103"/>
        <v>115.42353223000001</v>
      </c>
      <c r="J1324">
        <f t="shared" si="105"/>
        <v>115395.42723000002</v>
      </c>
      <c r="M1324">
        <f t="shared" si="104"/>
        <v>69055</v>
      </c>
    </row>
    <row r="1325" spans="1:13" x14ac:dyDescent="0.2">
      <c r="A1325">
        <v>68</v>
      </c>
      <c r="B1325">
        <v>56</v>
      </c>
      <c r="C1325">
        <v>124</v>
      </c>
      <c r="D1325" s="51" t="s">
        <v>54</v>
      </c>
      <c r="E1325">
        <f>VLOOKUP(M1325,'MASS - 2016'!$A$1:$G$3418,6,FALSE)</f>
        <v>-79089.774999999994</v>
      </c>
      <c r="F1325">
        <f>VLOOKUP(M1325,'MASS - 2016'!$A$1:$G$3418,7,FALSE)</f>
        <v>12.497</v>
      </c>
      <c r="G1325">
        <f t="shared" si="106"/>
        <v>-79089.774999999994</v>
      </c>
      <c r="H1325">
        <f t="shared" si="102"/>
        <v>123.91509363471938</v>
      </c>
      <c r="I1325">
        <f t="shared" si="103"/>
        <v>115.426173789</v>
      </c>
      <c r="J1325">
        <f t="shared" si="105"/>
        <v>115397.55778900001</v>
      </c>
      <c r="M1325">
        <f t="shared" si="104"/>
        <v>68056</v>
      </c>
    </row>
    <row r="1326" spans="1:13" x14ac:dyDescent="0.2">
      <c r="A1326">
        <v>67</v>
      </c>
      <c r="B1326">
        <v>57</v>
      </c>
      <c r="C1326">
        <v>124</v>
      </c>
      <c r="D1326" s="51" t="s">
        <v>55</v>
      </c>
      <c r="E1326">
        <f>VLOOKUP(M1326,'MASS - 2016'!$A$1:$G$3418,6,FALSE)</f>
        <v>-70258.61</v>
      </c>
      <c r="F1326">
        <f>VLOOKUP(M1326,'MASS - 2016'!$A$1:$G$3418,7,FALSE)</f>
        <v>56.668999999999997</v>
      </c>
      <c r="G1326">
        <f t="shared" si="106"/>
        <v>-70258.61</v>
      </c>
      <c r="H1326">
        <f t="shared" si="102"/>
        <v>123.92457428024333</v>
      </c>
      <c r="I1326">
        <f t="shared" si="103"/>
        <v>115.43500495400001</v>
      </c>
      <c r="J1326">
        <f t="shared" si="105"/>
        <v>115405.87795400001</v>
      </c>
      <c r="M1326">
        <f t="shared" si="104"/>
        <v>67057</v>
      </c>
    </row>
    <row r="1327" spans="1:13" x14ac:dyDescent="0.2">
      <c r="A1327">
        <v>66</v>
      </c>
      <c r="B1327">
        <v>58</v>
      </c>
      <c r="C1327">
        <v>124</v>
      </c>
      <c r="D1327" s="51" t="s">
        <v>56</v>
      </c>
      <c r="E1327" t="str">
        <f>VLOOKUP(M1327,'MASS - 2016'!$A$1:$G$3418,6,FALSE)</f>
        <v>-64916#</v>
      </c>
      <c r="F1327" t="str">
        <f>VLOOKUP(M1327,'MASS - 2016'!$A$1:$G$3418,7,FALSE)</f>
        <v>298#</v>
      </c>
      <c r="G1327">
        <f t="shared" si="106"/>
        <v>-64916.01</v>
      </c>
      <c r="H1327">
        <f t="shared" si="102"/>
        <v>123.93030979721942</v>
      </c>
      <c r="I1327">
        <f t="shared" si="103"/>
        <v>115.440347554</v>
      </c>
      <c r="J1327">
        <f t="shared" si="105"/>
        <v>115410.70955399999</v>
      </c>
      <c r="M1327">
        <f t="shared" si="104"/>
        <v>66058</v>
      </c>
    </row>
    <row r="1328" spans="1:13" x14ac:dyDescent="0.2">
      <c r="A1328">
        <v>65</v>
      </c>
      <c r="B1328">
        <v>59</v>
      </c>
      <c r="C1328">
        <v>124</v>
      </c>
      <c r="D1328" s="51" t="s">
        <v>57</v>
      </c>
      <c r="E1328" t="str">
        <f>VLOOKUP(M1328,'MASS - 2016'!$A$1:$G$3418,6,FALSE)</f>
        <v>-53151#</v>
      </c>
      <c r="F1328" t="str">
        <f>VLOOKUP(M1328,'MASS - 2016'!$A$1:$G$3418,7,FALSE)</f>
        <v>401#</v>
      </c>
      <c r="G1328">
        <f t="shared" si="106"/>
        <v>-53151.01</v>
      </c>
      <c r="H1328">
        <f t="shared" si="102"/>
        <v>123.94294004414486</v>
      </c>
      <c r="I1328">
        <f t="shared" si="103"/>
        <v>115.45211255400001</v>
      </c>
      <c r="J1328">
        <f t="shared" si="105"/>
        <v>115421.963554</v>
      </c>
      <c r="M1328">
        <f t="shared" si="104"/>
        <v>65059</v>
      </c>
    </row>
    <row r="1329" spans="1:13" x14ac:dyDescent="0.2">
      <c r="A1329">
        <v>78</v>
      </c>
      <c r="B1329">
        <v>47</v>
      </c>
      <c r="C1329">
        <v>125</v>
      </c>
      <c r="D1329" s="51" t="s">
        <v>45</v>
      </c>
      <c r="E1329">
        <f>VLOOKUP(M1329,'MASS - 2016'!$A$1:$G$3418,6,FALSE)</f>
        <v>-64519.932000000001</v>
      </c>
      <c r="F1329">
        <f>VLOOKUP(M1329,'MASS - 2016'!$A$1:$G$3418,7,FALSE)</f>
        <v>433.14499999999998</v>
      </c>
      <c r="G1329">
        <f t="shared" si="106"/>
        <v>-64519.932000000001</v>
      </c>
      <c r="H1329">
        <f t="shared" si="102"/>
        <v>124.93073500443928</v>
      </c>
      <c r="I1329">
        <f t="shared" si="103"/>
        <v>116.372237693</v>
      </c>
      <c r="J1329">
        <f t="shared" si="105"/>
        <v>116348.220693</v>
      </c>
      <c r="M1329">
        <f t="shared" si="104"/>
        <v>78047</v>
      </c>
    </row>
    <row r="1330" spans="1:13" x14ac:dyDescent="0.2">
      <c r="A1330">
        <v>77</v>
      </c>
      <c r="B1330">
        <v>48</v>
      </c>
      <c r="C1330">
        <v>125</v>
      </c>
      <c r="D1330" s="51" t="s">
        <v>46</v>
      </c>
      <c r="E1330">
        <f>VLOOKUP(M1330,'MASS - 2016'!$A$1:$G$3418,6,FALSE)</f>
        <v>-73348.095000000001</v>
      </c>
      <c r="F1330">
        <f>VLOOKUP(M1330,'MASS - 2016'!$A$1:$G$3418,7,FALSE)</f>
        <v>2.8849999999999998</v>
      </c>
      <c r="G1330">
        <f t="shared" si="106"/>
        <v>-73348.095000000001</v>
      </c>
      <c r="H1330">
        <f t="shared" si="102"/>
        <v>124.92125758169487</v>
      </c>
      <c r="I1330">
        <f t="shared" si="103"/>
        <v>116.36340953</v>
      </c>
      <c r="J1330">
        <f t="shared" si="105"/>
        <v>116338.88153</v>
      </c>
      <c r="M1330">
        <f t="shared" si="104"/>
        <v>77048</v>
      </c>
    </row>
    <row r="1331" spans="1:13" x14ac:dyDescent="0.2">
      <c r="A1331">
        <v>76</v>
      </c>
      <c r="B1331">
        <v>49</v>
      </c>
      <c r="C1331">
        <v>125</v>
      </c>
      <c r="D1331" s="51" t="s">
        <v>47</v>
      </c>
      <c r="E1331">
        <f>VLOOKUP(M1331,'MASS - 2016'!$A$1:$G$3418,6,FALSE)</f>
        <v>-80476.804999999993</v>
      </c>
      <c r="F1331">
        <f>VLOOKUP(M1331,'MASS - 2016'!$A$1:$G$3418,7,FALSE)</f>
        <v>27.023</v>
      </c>
      <c r="G1331">
        <f t="shared" si="106"/>
        <v>-80476.804999999993</v>
      </c>
      <c r="H1331">
        <f t="shared" si="102"/>
        <v>124.91360459677692</v>
      </c>
      <c r="I1331">
        <f t="shared" si="103"/>
        <v>116.35628081999999</v>
      </c>
      <c r="J1331">
        <f t="shared" si="105"/>
        <v>116331.24182</v>
      </c>
      <c r="M1331">
        <f t="shared" si="104"/>
        <v>76049</v>
      </c>
    </row>
    <row r="1332" spans="1:13" x14ac:dyDescent="0.2">
      <c r="A1332">
        <v>75</v>
      </c>
      <c r="B1332">
        <v>50</v>
      </c>
      <c r="C1332">
        <v>125</v>
      </c>
      <c r="D1332" s="51" t="s">
        <v>48</v>
      </c>
      <c r="E1332">
        <f>VLOOKUP(M1332,'MASS - 2016'!$A$1:$G$3418,6,FALSE)</f>
        <v>-85896.376000000004</v>
      </c>
      <c r="F1332">
        <f>VLOOKUP(M1332,'MASS - 2016'!$A$1:$G$3418,7,FALSE)</f>
        <v>1.0329999999999999</v>
      </c>
      <c r="G1332">
        <f t="shared" si="106"/>
        <v>-85896.376000000004</v>
      </c>
      <c r="H1332">
        <f t="shared" si="102"/>
        <v>124.90778644803406</v>
      </c>
      <c r="I1332">
        <f t="shared" si="103"/>
        <v>116.350861249</v>
      </c>
      <c r="J1332">
        <f t="shared" si="105"/>
        <v>116325.31124900001</v>
      </c>
      <c r="M1332">
        <f t="shared" si="104"/>
        <v>75050</v>
      </c>
    </row>
    <row r="1333" spans="1:13" x14ac:dyDescent="0.2">
      <c r="A1333">
        <v>74</v>
      </c>
      <c r="B1333">
        <v>51</v>
      </c>
      <c r="C1333">
        <v>125</v>
      </c>
      <c r="D1333" s="51" t="s">
        <v>49</v>
      </c>
      <c r="E1333">
        <f>VLOOKUP(M1333,'MASS - 2016'!$A$1:$G$3418,6,FALSE)</f>
        <v>-88256.274000000005</v>
      </c>
      <c r="F1333">
        <f>VLOOKUP(M1333,'MASS - 2016'!$A$1:$G$3418,7,FALSE)</f>
        <v>2.5990000000000002</v>
      </c>
      <c r="G1333">
        <f t="shared" si="106"/>
        <v>-88256.274000000005</v>
      </c>
      <c r="H1333">
        <f t="shared" si="102"/>
        <v>124.90525299334141</v>
      </c>
      <c r="I1333">
        <f t="shared" si="103"/>
        <v>116.348501351</v>
      </c>
      <c r="J1333">
        <f t="shared" si="105"/>
        <v>116322.440351</v>
      </c>
      <c r="M1333">
        <f t="shared" si="104"/>
        <v>74051</v>
      </c>
    </row>
    <row r="1334" spans="1:13" x14ac:dyDescent="0.2">
      <c r="A1334">
        <v>73</v>
      </c>
      <c r="B1334">
        <v>52</v>
      </c>
      <c r="C1334">
        <v>125</v>
      </c>
      <c r="D1334" s="51" t="s">
        <v>50</v>
      </c>
      <c r="E1334">
        <f>VLOOKUP(M1334,'MASS - 2016'!$A$1:$G$3418,6,FALSE)</f>
        <v>-89022.974000000002</v>
      </c>
      <c r="F1334">
        <f>VLOOKUP(M1334,'MASS - 2016'!$A$1:$G$3418,7,FALSE)</f>
        <v>1.502</v>
      </c>
      <c r="G1334">
        <f t="shared" si="106"/>
        <v>-89022.974000000002</v>
      </c>
      <c r="H1334">
        <f t="shared" si="102"/>
        <v>124.90442990704156</v>
      </c>
      <c r="I1334">
        <f t="shared" si="103"/>
        <v>116.347734651</v>
      </c>
      <c r="J1334">
        <f t="shared" si="105"/>
        <v>116321.16265099999</v>
      </c>
      <c r="M1334">
        <f t="shared" si="104"/>
        <v>73052</v>
      </c>
    </row>
    <row r="1335" spans="1:13" x14ac:dyDescent="0.2">
      <c r="A1335">
        <v>72</v>
      </c>
      <c r="B1335">
        <v>53</v>
      </c>
      <c r="C1335">
        <v>125</v>
      </c>
      <c r="D1335" s="51" t="s">
        <v>51</v>
      </c>
      <c r="E1335">
        <f>VLOOKUP(M1335,'MASS - 2016'!$A$1:$G$3418,6,FALSE)</f>
        <v>-88837.203999999998</v>
      </c>
      <c r="F1335">
        <f>VLOOKUP(M1335,'MASS - 2016'!$A$1:$G$3418,7,FALSE)</f>
        <v>1.504</v>
      </c>
      <c r="G1335">
        <f t="shared" si="106"/>
        <v>-88837.203999999998</v>
      </c>
      <c r="H1335">
        <f t="shared" si="102"/>
        <v>124.90462933933833</v>
      </c>
      <c r="I1335">
        <f t="shared" si="103"/>
        <v>116.347920421</v>
      </c>
      <c r="J1335">
        <f t="shared" si="105"/>
        <v>116320.837421</v>
      </c>
      <c r="M1335">
        <f t="shared" si="104"/>
        <v>72053</v>
      </c>
    </row>
    <row r="1336" spans="1:13" x14ac:dyDescent="0.2">
      <c r="A1336">
        <v>71</v>
      </c>
      <c r="B1336">
        <v>54</v>
      </c>
      <c r="C1336">
        <v>125</v>
      </c>
      <c r="D1336" s="51" t="s">
        <v>52</v>
      </c>
      <c r="E1336">
        <f>VLOOKUP(M1336,'MASS - 2016'!$A$1:$G$3418,6,FALSE)</f>
        <v>-87193.380999999994</v>
      </c>
      <c r="F1336">
        <f>VLOOKUP(M1336,'MASS - 2016'!$A$1:$G$3418,7,FALSE)</f>
        <v>1.8360000000000001</v>
      </c>
      <c r="G1336">
        <f t="shared" si="106"/>
        <v>-87193.380999999994</v>
      </c>
      <c r="H1336">
        <f t="shared" si="102"/>
        <v>124.90639405590369</v>
      </c>
      <c r="I1336">
        <f t="shared" si="103"/>
        <v>116.34956424399999</v>
      </c>
      <c r="J1336">
        <f t="shared" si="105"/>
        <v>116321.970244</v>
      </c>
      <c r="M1336">
        <f t="shared" si="104"/>
        <v>71054</v>
      </c>
    </row>
    <row r="1337" spans="1:13" x14ac:dyDescent="0.2">
      <c r="A1337">
        <v>70</v>
      </c>
      <c r="B1337">
        <v>55</v>
      </c>
      <c r="C1337">
        <v>125</v>
      </c>
      <c r="D1337" s="51" t="s">
        <v>53</v>
      </c>
      <c r="E1337">
        <f>VLOOKUP(M1337,'MASS - 2016'!$A$1:$G$3418,6,FALSE)</f>
        <v>-84087.95</v>
      </c>
      <c r="F1337">
        <f>VLOOKUP(M1337,'MASS - 2016'!$A$1:$G$3418,7,FALSE)</f>
        <v>7.7439999999999998</v>
      </c>
      <c r="G1337">
        <f t="shared" si="106"/>
        <v>-84087.95</v>
      </c>
      <c r="H1337">
        <f t="shared" si="102"/>
        <v>124.90972787318717</v>
      </c>
      <c r="I1337">
        <f t="shared" si="103"/>
        <v>116.352669675</v>
      </c>
      <c r="J1337">
        <f t="shared" si="105"/>
        <v>116324.564675</v>
      </c>
      <c r="M1337">
        <f t="shared" si="104"/>
        <v>70055</v>
      </c>
    </row>
    <row r="1338" spans="1:13" x14ac:dyDescent="0.2">
      <c r="A1338">
        <v>69</v>
      </c>
      <c r="B1338">
        <v>56</v>
      </c>
      <c r="C1338">
        <v>125</v>
      </c>
      <c r="D1338" s="51" t="s">
        <v>54</v>
      </c>
      <c r="E1338">
        <f>VLOOKUP(M1338,'MASS - 2016'!$A$1:$G$3418,6,FALSE)</f>
        <v>-79668.964999999997</v>
      </c>
      <c r="F1338">
        <f>VLOOKUP(M1338,'MASS - 2016'!$A$1:$G$3418,7,FALSE)</f>
        <v>10.992000000000001</v>
      </c>
      <c r="G1338">
        <f t="shared" si="106"/>
        <v>-79668.964999999997</v>
      </c>
      <c r="H1338">
        <f t="shared" si="102"/>
        <v>124.91447184868311</v>
      </c>
      <c r="I1338">
        <f t="shared" si="103"/>
        <v>116.35708866</v>
      </c>
      <c r="J1338">
        <f t="shared" si="105"/>
        <v>116328.47266000001</v>
      </c>
      <c r="M1338">
        <f t="shared" si="104"/>
        <v>69056</v>
      </c>
    </row>
    <row r="1339" spans="1:13" x14ac:dyDescent="0.2">
      <c r="A1339">
        <v>68</v>
      </c>
      <c r="B1339">
        <v>57</v>
      </c>
      <c r="C1339">
        <v>125</v>
      </c>
      <c r="D1339" s="51" t="s">
        <v>55</v>
      </c>
      <c r="E1339">
        <f>VLOOKUP(M1339,'MASS - 2016'!$A$1:$G$3418,6,FALSE)</f>
        <v>-73759.483999999997</v>
      </c>
      <c r="F1339">
        <f>VLOOKUP(M1339,'MASS - 2016'!$A$1:$G$3418,7,FALSE)</f>
        <v>25.997</v>
      </c>
      <c r="G1339">
        <f t="shared" si="106"/>
        <v>-73759.483999999997</v>
      </c>
      <c r="H1339">
        <f t="shared" si="102"/>
        <v>124.92081593744052</v>
      </c>
      <c r="I1339">
        <f t="shared" si="103"/>
        <v>116.36299814099999</v>
      </c>
      <c r="J1339">
        <f t="shared" si="105"/>
        <v>116333.871141</v>
      </c>
      <c r="M1339">
        <f t="shared" si="104"/>
        <v>68057</v>
      </c>
    </row>
    <row r="1340" spans="1:13" x14ac:dyDescent="0.2">
      <c r="A1340">
        <v>67</v>
      </c>
      <c r="B1340">
        <v>58</v>
      </c>
      <c r="C1340">
        <v>125</v>
      </c>
      <c r="D1340" s="51" t="s">
        <v>56</v>
      </c>
      <c r="E1340" t="str">
        <f>VLOOKUP(M1340,'MASS - 2016'!$A$1:$G$3418,6,FALSE)</f>
        <v>-66658#</v>
      </c>
      <c r="F1340" t="str">
        <f>VLOOKUP(M1340,'MASS - 2016'!$A$1:$G$3418,7,FALSE)</f>
        <v>196#</v>
      </c>
      <c r="G1340">
        <f t="shared" si="106"/>
        <v>-66658.009999999995</v>
      </c>
      <c r="H1340">
        <f t="shared" si="102"/>
        <v>124.92843968331002</v>
      </c>
      <c r="I1340">
        <f t="shared" si="103"/>
        <v>116.370099615</v>
      </c>
      <c r="J1340">
        <f t="shared" si="105"/>
        <v>116340.46161499999</v>
      </c>
      <c r="M1340">
        <f t="shared" si="104"/>
        <v>67058</v>
      </c>
    </row>
    <row r="1341" spans="1:13" x14ac:dyDescent="0.2">
      <c r="A1341">
        <v>66</v>
      </c>
      <c r="B1341">
        <v>59</v>
      </c>
      <c r="C1341">
        <v>125</v>
      </c>
      <c r="D1341" s="51" t="s">
        <v>57</v>
      </c>
      <c r="E1341" t="str">
        <f>VLOOKUP(M1341,'MASS - 2016'!$A$1:$G$3418,6,FALSE)</f>
        <v>-57940#</v>
      </c>
      <c r="F1341" t="str">
        <f>VLOOKUP(M1341,'MASS - 2016'!$A$1:$G$3418,7,FALSE)</f>
        <v>300#</v>
      </c>
      <c r="G1341">
        <f t="shared" si="106"/>
        <v>-57940.01</v>
      </c>
      <c r="H1341">
        <f t="shared" si="102"/>
        <v>124.93779884121022</v>
      </c>
      <c r="I1341">
        <f t="shared" si="103"/>
        <v>116.378817615</v>
      </c>
      <c r="J1341">
        <f t="shared" si="105"/>
        <v>116348.668615</v>
      </c>
      <c r="M1341">
        <f t="shared" si="104"/>
        <v>66059</v>
      </c>
    </row>
    <row r="1342" spans="1:13" x14ac:dyDescent="0.2">
      <c r="A1342">
        <v>79</v>
      </c>
      <c r="B1342">
        <v>47</v>
      </c>
      <c r="C1342">
        <v>126</v>
      </c>
      <c r="D1342" s="51" t="s">
        <v>45</v>
      </c>
      <c r="E1342" t="str">
        <f>VLOOKUP(M1342,'MASS - 2016'!$A$1:$G$3418,6,FALSE)</f>
        <v>-60680#</v>
      </c>
      <c r="F1342" t="str">
        <f>VLOOKUP(M1342,'MASS - 2016'!$A$1:$G$3418,7,FALSE)</f>
        <v>200#</v>
      </c>
      <c r="G1342">
        <f t="shared" si="106"/>
        <v>-60680.01</v>
      </c>
      <c r="H1342">
        <f t="shared" si="102"/>
        <v>125.93485733023905</v>
      </c>
      <c r="I1342">
        <f t="shared" si="103"/>
        <v>117.30757167599999</v>
      </c>
      <c r="J1342">
        <f t="shared" si="105"/>
        <v>117283.55467599999</v>
      </c>
      <c r="M1342">
        <f t="shared" si="104"/>
        <v>79047</v>
      </c>
    </row>
    <row r="1343" spans="1:13" x14ac:dyDescent="0.2">
      <c r="A1343">
        <v>78</v>
      </c>
      <c r="B1343">
        <v>48</v>
      </c>
      <c r="C1343">
        <v>126</v>
      </c>
      <c r="D1343" s="51" t="s">
        <v>46</v>
      </c>
      <c r="E1343">
        <f>VLOOKUP(M1343,'MASS - 2016'!$A$1:$G$3418,6,FALSE)</f>
        <v>-72256.801999999996</v>
      </c>
      <c r="F1343">
        <f>VLOOKUP(M1343,'MASS - 2016'!$A$1:$G$3418,7,FALSE)</f>
        <v>2.476</v>
      </c>
      <c r="G1343">
        <f t="shared" si="106"/>
        <v>-72256.801999999996</v>
      </c>
      <c r="H1343">
        <f t="shared" si="102"/>
        <v>125.92242913291102</v>
      </c>
      <c r="I1343">
        <f t="shared" si="103"/>
        <v>117.295994884</v>
      </c>
      <c r="J1343">
        <f t="shared" si="105"/>
        <v>117271.46688399999</v>
      </c>
      <c r="M1343">
        <f t="shared" si="104"/>
        <v>78048</v>
      </c>
    </row>
    <row r="1344" spans="1:13" x14ac:dyDescent="0.2">
      <c r="A1344">
        <v>77</v>
      </c>
      <c r="B1344">
        <v>49</v>
      </c>
      <c r="C1344">
        <v>126</v>
      </c>
      <c r="D1344" s="51" t="s">
        <v>47</v>
      </c>
      <c r="E1344">
        <f>VLOOKUP(M1344,'MASS - 2016'!$A$1:$G$3418,6,FALSE)</f>
        <v>-77772.907999999996</v>
      </c>
      <c r="F1344">
        <f>VLOOKUP(M1344,'MASS - 2016'!$A$1:$G$3418,7,FALSE)</f>
        <v>26.920999999999999</v>
      </c>
      <c r="G1344">
        <f t="shared" si="106"/>
        <v>-77772.907999999996</v>
      </c>
      <c r="H1344">
        <f t="shared" si="102"/>
        <v>125.91650734958363</v>
      </c>
      <c r="I1344">
        <f t="shared" si="103"/>
        <v>117.29047877799999</v>
      </c>
      <c r="J1344">
        <f t="shared" si="105"/>
        <v>117265.43977799999</v>
      </c>
      <c r="M1344">
        <f t="shared" si="104"/>
        <v>77049</v>
      </c>
    </row>
    <row r="1345" spans="1:13" x14ac:dyDescent="0.2">
      <c r="A1345">
        <v>76</v>
      </c>
      <c r="B1345">
        <v>50</v>
      </c>
      <c r="C1345">
        <v>126</v>
      </c>
      <c r="D1345" s="51" t="s">
        <v>48</v>
      </c>
      <c r="E1345">
        <f>VLOOKUP(M1345,'MASS - 2016'!$A$1:$G$3418,6,FALSE)</f>
        <v>-86015.24</v>
      </c>
      <c r="F1345">
        <f>VLOOKUP(M1345,'MASS - 2016'!$A$1:$G$3418,7,FALSE)</f>
        <v>10.446999999999999</v>
      </c>
      <c r="G1345">
        <f t="shared" si="106"/>
        <v>-86015.24</v>
      </c>
      <c r="H1345">
        <f t="shared" si="102"/>
        <v>125.90765884228219</v>
      </c>
      <c r="I1345">
        <f t="shared" si="103"/>
        <v>117.282236446</v>
      </c>
      <c r="J1345">
        <f t="shared" si="105"/>
        <v>117256.68644599999</v>
      </c>
      <c r="M1345">
        <f t="shared" si="104"/>
        <v>76050</v>
      </c>
    </row>
    <row r="1346" spans="1:13" x14ac:dyDescent="0.2">
      <c r="A1346">
        <v>75</v>
      </c>
      <c r="B1346">
        <v>51</v>
      </c>
      <c r="C1346">
        <v>126</v>
      </c>
      <c r="D1346" s="51" t="s">
        <v>49</v>
      </c>
      <c r="E1346">
        <f>VLOOKUP(M1346,'MASS - 2016'!$A$1:$G$3418,6,FALSE)</f>
        <v>-86393.24</v>
      </c>
      <c r="F1346">
        <f>VLOOKUP(M1346,'MASS - 2016'!$A$1:$G$3418,7,FALSE)</f>
        <v>31.766999999999999</v>
      </c>
      <c r="G1346">
        <f t="shared" si="106"/>
        <v>-86393.24</v>
      </c>
      <c r="H1346">
        <f t="shared" si="102"/>
        <v>125.90725304259347</v>
      </c>
      <c r="I1346">
        <f t="shared" si="103"/>
        <v>117.28185844599999</v>
      </c>
      <c r="J1346">
        <f t="shared" si="105"/>
        <v>117255.79744599998</v>
      </c>
      <c r="M1346">
        <f t="shared" si="104"/>
        <v>75051</v>
      </c>
    </row>
    <row r="1347" spans="1:13" x14ac:dyDescent="0.2">
      <c r="A1347">
        <v>74</v>
      </c>
      <c r="B1347">
        <v>52</v>
      </c>
      <c r="C1347">
        <v>126</v>
      </c>
      <c r="D1347" s="51" t="s">
        <v>50</v>
      </c>
      <c r="E1347">
        <f>VLOOKUP(M1347,'MASS - 2016'!$A$1:$G$3418,6,FALSE)</f>
        <v>-90065.347999999998</v>
      </c>
      <c r="F1347">
        <f>VLOOKUP(M1347,'MASS - 2016'!$A$1:$G$3418,7,FALSE)</f>
        <v>1.504</v>
      </c>
      <c r="G1347">
        <f t="shared" si="106"/>
        <v>-90065.347999999998</v>
      </c>
      <c r="H1347">
        <f t="shared" si="102"/>
        <v>125.90331087253169</v>
      </c>
      <c r="I1347">
        <f t="shared" si="103"/>
        <v>117.278186338</v>
      </c>
      <c r="J1347">
        <f t="shared" si="105"/>
        <v>117251.614338</v>
      </c>
      <c r="M1347">
        <f t="shared" si="104"/>
        <v>74052</v>
      </c>
    </row>
    <row r="1348" spans="1:13" x14ac:dyDescent="0.2">
      <c r="A1348">
        <v>73</v>
      </c>
      <c r="B1348">
        <v>53</v>
      </c>
      <c r="C1348">
        <v>126</v>
      </c>
      <c r="D1348" s="51" t="s">
        <v>51</v>
      </c>
      <c r="E1348">
        <f>VLOOKUP(M1348,'MASS - 2016'!$A$1:$G$3418,6,FALSE)</f>
        <v>-87911.317999999999</v>
      </c>
      <c r="F1348">
        <f>VLOOKUP(M1348,'MASS - 2016'!$A$1:$G$3418,7,FALSE)</f>
        <v>3.8090000000000002</v>
      </c>
      <c r="G1348">
        <f t="shared" si="106"/>
        <v>-87911.317999999999</v>
      </c>
      <c r="H1348">
        <f t="shared" si="102"/>
        <v>125.90562331883724</v>
      </c>
      <c r="I1348">
        <f t="shared" si="103"/>
        <v>117.280340368</v>
      </c>
      <c r="J1348">
        <f t="shared" si="105"/>
        <v>117253.25736800001</v>
      </c>
      <c r="M1348">
        <f t="shared" si="104"/>
        <v>73053</v>
      </c>
    </row>
    <row r="1349" spans="1:13" x14ac:dyDescent="0.2">
      <c r="A1349">
        <v>72</v>
      </c>
      <c r="B1349">
        <v>54</v>
      </c>
      <c r="C1349">
        <v>126</v>
      </c>
      <c r="D1349" s="51" t="s">
        <v>52</v>
      </c>
      <c r="E1349">
        <f>VLOOKUP(M1349,'MASS - 2016'!$A$1:$G$3418,6,FALSE)</f>
        <v>-89146.962</v>
      </c>
      <c r="F1349">
        <f>VLOOKUP(M1349,'MASS - 2016'!$A$1:$G$3418,7,FALSE)</f>
        <v>3.5</v>
      </c>
      <c r="G1349">
        <f t="shared" si="106"/>
        <v>-89146.962</v>
      </c>
      <c r="H1349">
        <f t="shared" si="102"/>
        <v>125.90429680044949</v>
      </c>
      <c r="I1349">
        <f t="shared" si="103"/>
        <v>117.27910472399999</v>
      </c>
      <c r="J1349">
        <f t="shared" si="105"/>
        <v>117251.51072399999</v>
      </c>
      <c r="M1349">
        <f t="shared" si="104"/>
        <v>72054</v>
      </c>
    </row>
    <row r="1350" spans="1:13" x14ac:dyDescent="0.2">
      <c r="A1350">
        <v>71</v>
      </c>
      <c r="B1350">
        <v>55</v>
      </c>
      <c r="C1350">
        <v>126</v>
      </c>
      <c r="D1350" s="51" t="s">
        <v>53</v>
      </c>
      <c r="E1350">
        <f>VLOOKUP(M1350,'MASS - 2016'!$A$1:$G$3418,6,FALSE)</f>
        <v>-84350.828999999998</v>
      </c>
      <c r="F1350">
        <f>VLOOKUP(M1350,'MASS - 2016'!$A$1:$G$3418,7,FALSE)</f>
        <v>10.401</v>
      </c>
      <c r="G1350">
        <f t="shared" si="106"/>
        <v>-84350.828999999998</v>
      </c>
      <c r="H1350">
        <f t="shared" si="102"/>
        <v>125.90944566097453</v>
      </c>
      <c r="I1350">
        <f t="shared" si="103"/>
        <v>117.28390085699999</v>
      </c>
      <c r="J1350">
        <f t="shared" si="105"/>
        <v>117255.79585699999</v>
      </c>
      <c r="M1350">
        <f t="shared" si="104"/>
        <v>71055</v>
      </c>
    </row>
    <row r="1351" spans="1:13" x14ac:dyDescent="0.2">
      <c r="A1351">
        <v>70</v>
      </c>
      <c r="B1351">
        <v>56</v>
      </c>
      <c r="C1351">
        <v>126</v>
      </c>
      <c r="D1351" s="51" t="s">
        <v>54</v>
      </c>
      <c r="E1351">
        <f>VLOOKUP(M1351,'MASS - 2016'!$A$1:$G$3418,6,FALSE)</f>
        <v>-82669.902000000002</v>
      </c>
      <c r="F1351">
        <f>VLOOKUP(M1351,'MASS - 2016'!$A$1:$G$3418,7,FALSE)</f>
        <v>12.497</v>
      </c>
      <c r="G1351">
        <f t="shared" si="106"/>
        <v>-82669.902000000002</v>
      </c>
      <c r="H1351">
        <f t="shared" si="102"/>
        <v>125.91125021032205</v>
      </c>
      <c r="I1351">
        <f t="shared" si="103"/>
        <v>117.28558178399999</v>
      </c>
      <c r="J1351">
        <f t="shared" si="105"/>
        <v>117256.96578399999</v>
      </c>
      <c r="M1351">
        <f t="shared" si="104"/>
        <v>70056</v>
      </c>
    </row>
    <row r="1352" spans="1:13" x14ac:dyDescent="0.2">
      <c r="A1352">
        <v>69</v>
      </c>
      <c r="B1352">
        <v>57</v>
      </c>
      <c r="C1352">
        <v>126</v>
      </c>
      <c r="D1352" s="51" t="s">
        <v>55</v>
      </c>
      <c r="E1352">
        <f>VLOOKUP(M1352,'MASS - 2016'!$A$1:$G$3418,6,FALSE)</f>
        <v>-74973.467999999993</v>
      </c>
      <c r="F1352">
        <f>VLOOKUP(M1352,'MASS - 2016'!$A$1:$G$3418,7,FALSE)</f>
        <v>90.507999999999996</v>
      </c>
      <c r="G1352">
        <f t="shared" si="106"/>
        <v>-74973.467999999993</v>
      </c>
      <c r="H1352">
        <f t="shared" si="102"/>
        <v>125.91951267201907</v>
      </c>
      <c r="I1352">
        <f t="shared" si="103"/>
        <v>117.293278218</v>
      </c>
      <c r="J1352">
        <f t="shared" si="105"/>
        <v>117264.151218</v>
      </c>
      <c r="M1352">
        <f t="shared" si="104"/>
        <v>69057</v>
      </c>
    </row>
    <row r="1353" spans="1:13" x14ac:dyDescent="0.2">
      <c r="A1353">
        <v>68</v>
      </c>
      <c r="B1353">
        <v>58</v>
      </c>
      <c r="C1353">
        <v>126</v>
      </c>
      <c r="D1353" s="51" t="s">
        <v>56</v>
      </c>
      <c r="E1353">
        <f>VLOOKUP(M1353,'MASS - 2016'!$A$1:$G$3418,6,FALSE)</f>
        <v>-70820.558000000005</v>
      </c>
      <c r="F1353">
        <f>VLOOKUP(M1353,'MASS - 2016'!$A$1:$G$3418,7,FALSE)</f>
        <v>27.945</v>
      </c>
      <c r="G1353">
        <f t="shared" si="106"/>
        <v>-70820.558000000005</v>
      </c>
      <c r="H1353">
        <f t="shared" ref="H1353:H1416" si="107">(C1353*$A$3+G1353/1000000)/$A$3</f>
        <v>125.92397100425528</v>
      </c>
      <c r="I1353">
        <f t="shared" ref="I1353:I1416" si="108">H1353*$A$3</f>
        <v>117.297431128</v>
      </c>
      <c r="J1353">
        <f t="shared" si="105"/>
        <v>117267.79312799999</v>
      </c>
      <c r="M1353">
        <f t="shared" ref="M1353:M1416" si="109">1000*A1353+B1353</f>
        <v>68058</v>
      </c>
    </row>
    <row r="1354" spans="1:13" x14ac:dyDescent="0.2">
      <c r="A1354">
        <v>67</v>
      </c>
      <c r="B1354">
        <v>59</v>
      </c>
      <c r="C1354">
        <v>126</v>
      </c>
      <c r="D1354" s="51" t="s">
        <v>57</v>
      </c>
      <c r="E1354" t="str">
        <f>VLOOKUP(M1354,'MASS - 2016'!$A$1:$G$3418,6,FALSE)</f>
        <v>-60324#</v>
      </c>
      <c r="F1354" t="str">
        <f>VLOOKUP(M1354,'MASS - 2016'!$A$1:$G$3418,7,FALSE)</f>
        <v>196#</v>
      </c>
      <c r="G1354">
        <f t="shared" si="106"/>
        <v>-60324.01</v>
      </c>
      <c r="H1354">
        <f t="shared" si="107"/>
        <v>125.93523951195647</v>
      </c>
      <c r="I1354">
        <f t="shared" si="108"/>
        <v>117.30792767599999</v>
      </c>
      <c r="J1354">
        <f t="shared" si="105"/>
        <v>117277.77867599999</v>
      </c>
      <c r="M1354">
        <f t="shared" si="109"/>
        <v>67059</v>
      </c>
    </row>
    <row r="1355" spans="1:13" x14ac:dyDescent="0.2">
      <c r="A1355">
        <v>66</v>
      </c>
      <c r="B1355">
        <v>60</v>
      </c>
      <c r="C1355">
        <v>126</v>
      </c>
      <c r="D1355" s="51" t="s">
        <v>58</v>
      </c>
      <c r="E1355" t="str">
        <f>VLOOKUP(M1355,'MASS - 2016'!$A$1:$G$3418,6,FALSE)</f>
        <v>-52993#</v>
      </c>
      <c r="F1355" t="str">
        <f>VLOOKUP(M1355,'MASS - 2016'!$A$1:$G$3418,7,FALSE)</f>
        <v>298#</v>
      </c>
      <c r="G1355">
        <f t="shared" si="106"/>
        <v>-52993.01</v>
      </c>
      <c r="H1355">
        <f t="shared" si="107"/>
        <v>125.94310966412056</v>
      </c>
      <c r="I1355">
        <f t="shared" si="108"/>
        <v>117.315258676</v>
      </c>
      <c r="J1355">
        <f t="shared" si="105"/>
        <v>117284.59867599999</v>
      </c>
      <c r="M1355">
        <f t="shared" si="109"/>
        <v>66060</v>
      </c>
    </row>
    <row r="1356" spans="1:13" x14ac:dyDescent="0.2">
      <c r="A1356">
        <v>80</v>
      </c>
      <c r="B1356">
        <v>47</v>
      </c>
      <c r="C1356">
        <v>127</v>
      </c>
      <c r="D1356" s="51" t="s">
        <v>45</v>
      </c>
      <c r="E1356" t="str">
        <f>VLOOKUP(M1356,'MASS - 2016'!$A$1:$G$3418,6,FALSE)</f>
        <v>-58440#</v>
      </c>
      <c r="F1356" t="str">
        <f>VLOOKUP(M1356,'MASS - 2016'!$A$1:$G$3418,7,FALSE)</f>
        <v>200#</v>
      </c>
      <c r="G1356">
        <f t="shared" si="106"/>
        <v>-58440.01</v>
      </c>
      <c r="H1356">
        <f t="shared" si="107"/>
        <v>126.9372620691352</v>
      </c>
      <c r="I1356">
        <f t="shared" si="108"/>
        <v>118.241305737</v>
      </c>
      <c r="J1356">
        <f t="shared" ref="J1356:J1419" si="110">1000*I1356-B1356*0.511</f>
        <v>118217.288737</v>
      </c>
      <c r="M1356">
        <f t="shared" si="109"/>
        <v>80047</v>
      </c>
    </row>
    <row r="1357" spans="1:13" x14ac:dyDescent="0.2">
      <c r="A1357">
        <v>79</v>
      </c>
      <c r="B1357">
        <v>48</v>
      </c>
      <c r="C1357">
        <v>127</v>
      </c>
      <c r="D1357" s="51" t="s">
        <v>46</v>
      </c>
      <c r="E1357">
        <f>VLOOKUP(M1357,'MASS - 2016'!$A$1:$G$3418,6,FALSE)</f>
        <v>-68747.402000000002</v>
      </c>
      <c r="F1357">
        <f>VLOOKUP(M1357,'MASS - 2016'!$A$1:$G$3418,7,FALSE)</f>
        <v>12.109</v>
      </c>
      <c r="G1357">
        <f t="shared" si="106"/>
        <v>-68747.402000000002</v>
      </c>
      <c r="H1357">
        <f t="shared" si="107"/>
        <v>126.92619662875124</v>
      </c>
      <c r="I1357">
        <f t="shared" si="108"/>
        <v>118.230998345</v>
      </c>
      <c r="J1357">
        <f t="shared" si="110"/>
        <v>118206.47034499999</v>
      </c>
      <c r="M1357">
        <f t="shared" si="109"/>
        <v>79048</v>
      </c>
    </row>
    <row r="1358" spans="1:13" x14ac:dyDescent="0.2">
      <c r="A1358">
        <v>78</v>
      </c>
      <c r="B1358">
        <v>49</v>
      </c>
      <c r="C1358">
        <v>127</v>
      </c>
      <c r="D1358" s="51" t="s">
        <v>47</v>
      </c>
      <c r="E1358">
        <f>VLOOKUP(M1358,'MASS - 2016'!$A$1:$G$3418,6,FALSE)</f>
        <v>-76896.183999999994</v>
      </c>
      <c r="F1358">
        <f>VLOOKUP(M1358,'MASS - 2016'!$A$1:$G$3418,7,FALSE)</f>
        <v>21.157</v>
      </c>
      <c r="G1358">
        <f t="shared" si="106"/>
        <v>-76896.183999999994</v>
      </c>
      <c r="H1358">
        <f t="shared" si="107"/>
        <v>126.91744855150505</v>
      </c>
      <c r="I1358">
        <f t="shared" si="108"/>
        <v>118.222849563</v>
      </c>
      <c r="J1358">
        <f t="shared" si="110"/>
        <v>118197.81056299999</v>
      </c>
      <c r="M1358">
        <f t="shared" si="109"/>
        <v>78049</v>
      </c>
    </row>
    <row r="1359" spans="1:13" x14ac:dyDescent="0.2">
      <c r="A1359">
        <v>77</v>
      </c>
      <c r="B1359">
        <v>50</v>
      </c>
      <c r="C1359">
        <v>127</v>
      </c>
      <c r="D1359" s="51" t="s">
        <v>48</v>
      </c>
      <c r="E1359">
        <f>VLOOKUP(M1359,'MASS - 2016'!$A$1:$G$3418,6,FALSE)</f>
        <v>-83470.803</v>
      </c>
      <c r="F1359">
        <f>VLOOKUP(M1359,'MASS - 2016'!$A$1:$G$3418,7,FALSE)</f>
        <v>10.057</v>
      </c>
      <c r="G1359">
        <f t="shared" ref="G1359:G1422" si="111">IF(ISNUMBER(E1359),E1359,VALUE(SUBSTITUTE(E1359,"#",".01")))</f>
        <v>-83470.803</v>
      </c>
      <c r="H1359">
        <f t="shared" si="107"/>
        <v>126.91039040773875</v>
      </c>
      <c r="I1359">
        <f t="shared" si="108"/>
        <v>118.21627494400001</v>
      </c>
      <c r="J1359">
        <f t="shared" si="110"/>
        <v>118190.724944</v>
      </c>
      <c r="M1359">
        <f t="shared" si="109"/>
        <v>77050</v>
      </c>
    </row>
    <row r="1360" spans="1:13" x14ac:dyDescent="0.2">
      <c r="A1360">
        <v>76</v>
      </c>
      <c r="B1360">
        <v>51</v>
      </c>
      <c r="C1360">
        <v>127</v>
      </c>
      <c r="D1360" s="51" t="s">
        <v>49</v>
      </c>
      <c r="E1360">
        <f>VLOOKUP(M1360,'MASS - 2016'!$A$1:$G$3418,6,FALSE)</f>
        <v>-86699.476999999999</v>
      </c>
      <c r="F1360">
        <f>VLOOKUP(M1360,'MASS - 2016'!$A$1:$G$3418,7,FALSE)</f>
        <v>5.1260000000000003</v>
      </c>
      <c r="G1360">
        <f t="shared" si="111"/>
        <v>-86699.476999999999</v>
      </c>
      <c r="H1360">
        <f t="shared" si="107"/>
        <v>126.90692428365359</v>
      </c>
      <c r="I1360">
        <f t="shared" si="108"/>
        <v>118.21304627000001</v>
      </c>
      <c r="J1360">
        <f t="shared" si="110"/>
        <v>118186.98527</v>
      </c>
      <c r="M1360">
        <f t="shared" si="109"/>
        <v>76051</v>
      </c>
    </row>
    <row r="1361" spans="1:13" x14ac:dyDescent="0.2">
      <c r="A1361">
        <v>75</v>
      </c>
      <c r="B1361">
        <v>52</v>
      </c>
      <c r="C1361">
        <v>127</v>
      </c>
      <c r="D1361" s="51" t="s">
        <v>50</v>
      </c>
      <c r="E1361">
        <f>VLOOKUP(M1361,'MASS - 2016'!$A$1:$G$3418,6,FALSE)</f>
        <v>-88281.678</v>
      </c>
      <c r="F1361">
        <f>VLOOKUP(M1361,'MASS - 2016'!$A$1:$G$3418,7,FALSE)</f>
        <v>1.514</v>
      </c>
      <c r="G1361">
        <f t="shared" si="111"/>
        <v>-88281.678</v>
      </c>
      <c r="H1361">
        <f t="shared" si="107"/>
        <v>126.90522572102583</v>
      </c>
      <c r="I1361">
        <f t="shared" si="108"/>
        <v>118.211464069</v>
      </c>
      <c r="J1361">
        <f t="shared" si="110"/>
        <v>118184.89206900001</v>
      </c>
      <c r="M1361">
        <f t="shared" si="109"/>
        <v>75052</v>
      </c>
    </row>
    <row r="1362" spans="1:13" x14ac:dyDescent="0.2">
      <c r="A1362">
        <v>74</v>
      </c>
      <c r="B1362">
        <v>53</v>
      </c>
      <c r="C1362">
        <v>127</v>
      </c>
      <c r="D1362" s="51" t="s">
        <v>51</v>
      </c>
      <c r="E1362">
        <f>VLOOKUP(M1362,'MASS - 2016'!$A$1:$G$3418,6,FALSE)</f>
        <v>-88983.909</v>
      </c>
      <c r="F1362">
        <f>VLOOKUP(M1362,'MASS - 2016'!$A$1:$G$3418,7,FALSE)</f>
        <v>3.6469999999999998</v>
      </c>
      <c r="G1362">
        <f t="shared" si="111"/>
        <v>-88983.909</v>
      </c>
      <c r="H1362">
        <f t="shared" si="107"/>
        <v>126.90447184504379</v>
      </c>
      <c r="I1362">
        <f t="shared" si="108"/>
        <v>118.210761838</v>
      </c>
      <c r="J1362">
        <f t="shared" si="110"/>
        <v>118183.67883799999</v>
      </c>
      <c r="M1362">
        <f t="shared" si="109"/>
        <v>74053</v>
      </c>
    </row>
    <row r="1363" spans="1:13" x14ac:dyDescent="0.2">
      <c r="A1363">
        <v>73</v>
      </c>
      <c r="B1363">
        <v>54</v>
      </c>
      <c r="C1363">
        <v>127</v>
      </c>
      <c r="D1363" s="51" t="s">
        <v>52</v>
      </c>
      <c r="E1363">
        <f>VLOOKUP(M1363,'MASS - 2016'!$A$1:$G$3418,6,FALSE)</f>
        <v>-88321.56</v>
      </c>
      <c r="F1363">
        <f>VLOOKUP(M1363,'MASS - 2016'!$A$1:$G$3418,7,FALSE)</f>
        <v>4.1100000000000003</v>
      </c>
      <c r="G1363">
        <f t="shared" si="111"/>
        <v>-88321.56</v>
      </c>
      <c r="H1363">
        <f t="shared" si="107"/>
        <v>126.90518290593805</v>
      </c>
      <c r="I1363">
        <f t="shared" si="108"/>
        <v>118.21142418700001</v>
      </c>
      <c r="J1363">
        <f t="shared" si="110"/>
        <v>118183.83018700001</v>
      </c>
      <c r="M1363">
        <f t="shared" si="109"/>
        <v>73054</v>
      </c>
    </row>
    <row r="1364" spans="1:13" x14ac:dyDescent="0.2">
      <c r="A1364">
        <v>72</v>
      </c>
      <c r="B1364">
        <v>55</v>
      </c>
      <c r="C1364">
        <v>127</v>
      </c>
      <c r="D1364" s="51" t="s">
        <v>53</v>
      </c>
      <c r="E1364">
        <f>VLOOKUP(M1364,'MASS - 2016'!$A$1:$G$3418,6,FALSE)</f>
        <v>-86240.153999999995</v>
      </c>
      <c r="F1364">
        <f>VLOOKUP(M1364,'MASS - 2016'!$A$1:$G$3418,7,FALSE)</f>
        <v>5.5780000000000003</v>
      </c>
      <c r="G1364">
        <f t="shared" si="111"/>
        <v>-86240.153999999995</v>
      </c>
      <c r="H1364">
        <f t="shared" si="107"/>
        <v>126.90741738717324</v>
      </c>
      <c r="I1364">
        <f t="shared" si="108"/>
        <v>118.21350559300001</v>
      </c>
      <c r="J1364">
        <f t="shared" si="110"/>
        <v>118185.40059300001</v>
      </c>
      <c r="M1364">
        <f t="shared" si="109"/>
        <v>72055</v>
      </c>
    </row>
    <row r="1365" spans="1:13" x14ac:dyDescent="0.2">
      <c r="A1365">
        <v>71</v>
      </c>
      <c r="B1365">
        <v>56</v>
      </c>
      <c r="C1365">
        <v>127</v>
      </c>
      <c r="D1365" s="51" t="s">
        <v>54</v>
      </c>
      <c r="E1365">
        <f>VLOOKUP(M1365,'MASS - 2016'!$A$1:$G$3418,6,FALSE)</f>
        <v>-82817.944000000003</v>
      </c>
      <c r="F1365">
        <f>VLOOKUP(M1365,'MASS - 2016'!$A$1:$G$3418,7,FALSE)</f>
        <v>11.356999999999999</v>
      </c>
      <c r="G1365">
        <f t="shared" si="111"/>
        <v>-82817.944000000003</v>
      </c>
      <c r="H1365">
        <f t="shared" si="107"/>
        <v>126.911091280699</v>
      </c>
      <c r="I1365">
        <f t="shared" si="108"/>
        <v>118.216927803</v>
      </c>
      <c r="J1365">
        <f t="shared" si="110"/>
        <v>118188.311803</v>
      </c>
      <c r="M1365">
        <f t="shared" si="109"/>
        <v>71056</v>
      </c>
    </row>
    <row r="1366" spans="1:13" x14ac:dyDescent="0.2">
      <c r="A1366">
        <v>70</v>
      </c>
      <c r="B1366">
        <v>57</v>
      </c>
      <c r="C1366">
        <v>127</v>
      </c>
      <c r="D1366" s="51" t="s">
        <v>55</v>
      </c>
      <c r="E1366">
        <f>VLOOKUP(M1366,'MASS - 2016'!$A$1:$G$3418,6,FALSE)</f>
        <v>-77896.107999999993</v>
      </c>
      <c r="F1366">
        <f>VLOOKUP(M1366,'MASS - 2016'!$A$1:$G$3418,7,FALSE)</f>
        <v>26</v>
      </c>
      <c r="G1366">
        <f t="shared" si="111"/>
        <v>-77896.107999999993</v>
      </c>
      <c r="H1366">
        <f t="shared" si="107"/>
        <v>126.91637508894433</v>
      </c>
      <c r="I1366">
        <f t="shared" si="108"/>
        <v>118.221849639</v>
      </c>
      <c r="J1366">
        <f t="shared" si="110"/>
        <v>118192.722639</v>
      </c>
      <c r="M1366">
        <f t="shared" si="109"/>
        <v>70057</v>
      </c>
    </row>
    <row r="1367" spans="1:13" x14ac:dyDescent="0.2">
      <c r="A1367">
        <v>69</v>
      </c>
      <c r="B1367">
        <v>58</v>
      </c>
      <c r="C1367">
        <v>127</v>
      </c>
      <c r="D1367" s="51" t="s">
        <v>56</v>
      </c>
      <c r="E1367">
        <f>VLOOKUP(M1367,'MASS - 2016'!$A$1:$G$3418,6,FALSE)</f>
        <v>-71979.335999999996</v>
      </c>
      <c r="F1367">
        <f>VLOOKUP(M1367,'MASS - 2016'!$A$1:$G$3418,7,FALSE)</f>
        <v>28.876000000000001</v>
      </c>
      <c r="G1367">
        <f t="shared" si="111"/>
        <v>-71979.335999999996</v>
      </c>
      <c r="H1367">
        <f t="shared" si="107"/>
        <v>126.92272700491218</v>
      </c>
      <c r="I1367">
        <f t="shared" si="108"/>
        <v>118.227766411</v>
      </c>
      <c r="J1367">
        <f t="shared" si="110"/>
        <v>118198.128411</v>
      </c>
      <c r="M1367">
        <f t="shared" si="109"/>
        <v>69058</v>
      </c>
    </row>
    <row r="1368" spans="1:13" x14ac:dyDescent="0.2">
      <c r="A1368">
        <v>68</v>
      </c>
      <c r="B1368">
        <v>59</v>
      </c>
      <c r="C1368">
        <v>127</v>
      </c>
      <c r="D1368" s="51" t="s">
        <v>57</v>
      </c>
      <c r="E1368" t="str">
        <f>VLOOKUP(M1368,'MASS - 2016'!$A$1:$G$3418,6,FALSE)</f>
        <v>-64543#</v>
      </c>
      <c r="F1368" t="str">
        <f>VLOOKUP(M1368,'MASS - 2016'!$A$1:$G$3418,7,FALSE)</f>
        <v>196#</v>
      </c>
      <c r="G1368">
        <f t="shared" si="111"/>
        <v>-64543.01</v>
      </c>
      <c r="H1368">
        <f t="shared" si="107"/>
        <v>126.9307102291874</v>
      </c>
      <c r="I1368">
        <f t="shared" si="108"/>
        <v>118.23520273700001</v>
      </c>
      <c r="J1368">
        <f t="shared" si="110"/>
        <v>118205.05373700001</v>
      </c>
      <c r="M1368">
        <f t="shared" si="109"/>
        <v>68059</v>
      </c>
    </row>
    <row r="1369" spans="1:13" x14ac:dyDescent="0.2">
      <c r="A1369">
        <v>67</v>
      </c>
      <c r="B1369">
        <v>60</v>
      </c>
      <c r="C1369">
        <v>127</v>
      </c>
      <c r="D1369" s="51" t="s">
        <v>58</v>
      </c>
      <c r="E1369" t="str">
        <f>VLOOKUP(M1369,'MASS - 2016'!$A$1:$G$3418,6,FALSE)</f>
        <v>-55536#</v>
      </c>
      <c r="F1369" t="str">
        <f>VLOOKUP(M1369,'MASS - 2016'!$A$1:$G$3418,7,FALSE)</f>
        <v>298#</v>
      </c>
      <c r="G1369">
        <f t="shared" si="111"/>
        <v>-55536.01</v>
      </c>
      <c r="H1369">
        <f t="shared" si="107"/>
        <v>126.94037964134696</v>
      </c>
      <c r="I1369">
        <f t="shared" si="108"/>
        <v>118.24420973700001</v>
      </c>
      <c r="J1369">
        <f t="shared" si="110"/>
        <v>118213.54973700001</v>
      </c>
      <c r="M1369">
        <f t="shared" si="109"/>
        <v>67060</v>
      </c>
    </row>
    <row r="1370" spans="1:13" x14ac:dyDescent="0.2">
      <c r="A1370">
        <v>80</v>
      </c>
      <c r="B1370">
        <v>48</v>
      </c>
      <c r="C1370">
        <v>128</v>
      </c>
      <c r="D1370" s="51" t="s">
        <v>46</v>
      </c>
      <c r="E1370">
        <f>VLOOKUP(M1370,'MASS - 2016'!$A$1:$G$3418,6,FALSE)</f>
        <v>-67241.89</v>
      </c>
      <c r="F1370">
        <f>VLOOKUP(M1370,'MASS - 2016'!$A$1:$G$3418,7,FALSE)</f>
        <v>7.2439999999999998</v>
      </c>
      <c r="G1370">
        <f t="shared" si="111"/>
        <v>-67241.89</v>
      </c>
      <c r="H1370">
        <f t="shared" si="107"/>
        <v>127.92781286235167</v>
      </c>
      <c r="I1370">
        <f t="shared" si="108"/>
        <v>119.16399791799999</v>
      </c>
      <c r="J1370">
        <f t="shared" si="110"/>
        <v>119139.46991799999</v>
      </c>
      <c r="M1370">
        <f t="shared" si="109"/>
        <v>80048</v>
      </c>
    </row>
    <row r="1371" spans="1:13" x14ac:dyDescent="0.2">
      <c r="A1371">
        <v>79</v>
      </c>
      <c r="B1371">
        <v>49</v>
      </c>
      <c r="C1371">
        <v>128</v>
      </c>
      <c r="D1371" s="51" t="s">
        <v>47</v>
      </c>
      <c r="E1371">
        <f>VLOOKUP(M1371,'MASS - 2016'!$A$1:$G$3418,6,FALSE)</f>
        <v>-74145.941000000006</v>
      </c>
      <c r="F1371">
        <f>VLOOKUP(M1371,'MASS - 2016'!$A$1:$G$3418,7,FALSE)</f>
        <v>153.47900000000001</v>
      </c>
      <c r="G1371">
        <f t="shared" si="111"/>
        <v>-74145.941000000006</v>
      </c>
      <c r="H1371">
        <f t="shared" si="107"/>
        <v>127.92040105878893</v>
      </c>
      <c r="I1371">
        <f t="shared" si="108"/>
        <v>119.157093867</v>
      </c>
      <c r="J1371">
        <f t="shared" si="110"/>
        <v>119132.054867</v>
      </c>
      <c r="M1371">
        <f t="shared" si="109"/>
        <v>79049</v>
      </c>
    </row>
    <row r="1372" spans="1:13" x14ac:dyDescent="0.2">
      <c r="A1372">
        <v>78</v>
      </c>
      <c r="B1372">
        <v>50</v>
      </c>
      <c r="C1372">
        <v>128</v>
      </c>
      <c r="D1372" s="51" t="s">
        <v>48</v>
      </c>
      <c r="E1372">
        <f>VLOOKUP(M1372,'MASS - 2016'!$A$1:$G$3418,6,FALSE)</f>
        <v>-83362.008000000002</v>
      </c>
      <c r="F1372">
        <f>VLOOKUP(M1372,'MASS - 2016'!$A$1:$G$3418,7,FALSE)</f>
        <v>17.66</v>
      </c>
      <c r="G1372">
        <f t="shared" si="111"/>
        <v>-83362.008000000002</v>
      </c>
      <c r="H1372">
        <f t="shared" si="107"/>
        <v>127.91050720397455</v>
      </c>
      <c r="I1372">
        <f t="shared" si="108"/>
        <v>119.1478778</v>
      </c>
      <c r="J1372">
        <f t="shared" si="110"/>
        <v>119122.3278</v>
      </c>
      <c r="M1372">
        <f t="shared" si="109"/>
        <v>78050</v>
      </c>
    </row>
    <row r="1373" spans="1:13" x14ac:dyDescent="0.2">
      <c r="A1373">
        <v>77</v>
      </c>
      <c r="B1373">
        <v>51</v>
      </c>
      <c r="C1373">
        <v>128</v>
      </c>
      <c r="D1373" s="51" t="s">
        <v>49</v>
      </c>
      <c r="E1373">
        <f>VLOOKUP(M1373,'MASS - 2016'!$A$1:$G$3418,6,FALSE)</f>
        <v>-84630.285999999993</v>
      </c>
      <c r="F1373">
        <f>VLOOKUP(M1373,'MASS - 2016'!$A$1:$G$3418,7,FALSE)</f>
        <v>19.119</v>
      </c>
      <c r="G1373">
        <f t="shared" si="111"/>
        <v>-84630.285999999993</v>
      </c>
      <c r="H1373">
        <f t="shared" si="107"/>
        <v>127.90914565154699</v>
      </c>
      <c r="I1373">
        <f t="shared" si="108"/>
        <v>119.14660952199999</v>
      </c>
      <c r="J1373">
        <f t="shared" si="110"/>
        <v>119120.54852199998</v>
      </c>
      <c r="M1373">
        <f t="shared" si="109"/>
        <v>77051</v>
      </c>
    </row>
    <row r="1374" spans="1:13" x14ac:dyDescent="0.2">
      <c r="A1374">
        <v>76</v>
      </c>
      <c r="B1374">
        <v>52</v>
      </c>
      <c r="C1374">
        <v>128</v>
      </c>
      <c r="D1374" s="51" t="s">
        <v>50</v>
      </c>
      <c r="E1374">
        <f>VLOOKUP(M1374,'MASS - 2016'!$A$1:$G$3418,6,FALSE)</f>
        <v>-88993.716</v>
      </c>
      <c r="F1374">
        <f>VLOOKUP(M1374,'MASS - 2016'!$A$1:$G$3418,7,FALSE)</f>
        <v>0.86599999999999999</v>
      </c>
      <c r="G1374">
        <f t="shared" si="111"/>
        <v>-88993.716</v>
      </c>
      <c r="H1374">
        <f t="shared" si="107"/>
        <v>127.9044613167963</v>
      </c>
      <c r="I1374">
        <f t="shared" si="108"/>
        <v>119.14224609199999</v>
      </c>
      <c r="J1374">
        <f t="shared" si="110"/>
        <v>119115.67409199999</v>
      </c>
      <c r="M1374">
        <f t="shared" si="109"/>
        <v>76052</v>
      </c>
    </row>
    <row r="1375" spans="1:13" x14ac:dyDescent="0.2">
      <c r="A1375">
        <v>75</v>
      </c>
      <c r="B1375">
        <v>53</v>
      </c>
      <c r="C1375">
        <v>128</v>
      </c>
      <c r="D1375" s="51" t="s">
        <v>51</v>
      </c>
      <c r="E1375">
        <f>VLOOKUP(M1375,'MASS - 2016'!$A$1:$G$3418,6,FALSE)</f>
        <v>-87738.724000000002</v>
      </c>
      <c r="F1375">
        <f>VLOOKUP(M1375,'MASS - 2016'!$A$1:$G$3418,7,FALSE)</f>
        <v>3.6469999999999998</v>
      </c>
      <c r="G1375">
        <f t="shared" si="111"/>
        <v>-87738.724000000002</v>
      </c>
      <c r="H1375">
        <f t="shared" si="107"/>
        <v>127.90580860611627</v>
      </c>
      <c r="I1375">
        <f t="shared" si="108"/>
        <v>119.14350108399999</v>
      </c>
      <c r="J1375">
        <f t="shared" si="110"/>
        <v>119116.41808399999</v>
      </c>
      <c r="M1375">
        <f t="shared" si="109"/>
        <v>75053</v>
      </c>
    </row>
    <row r="1376" spans="1:13" x14ac:dyDescent="0.2">
      <c r="A1376">
        <v>74</v>
      </c>
      <c r="B1376">
        <v>54</v>
      </c>
      <c r="C1376">
        <v>128</v>
      </c>
      <c r="D1376" s="51" t="s">
        <v>52</v>
      </c>
      <c r="E1376">
        <f>VLOOKUP(M1376,'MASS - 2016'!$A$1:$G$3418,6,FALSE)</f>
        <v>-89860.297999999995</v>
      </c>
      <c r="F1376">
        <f>VLOOKUP(M1376,'MASS - 2016'!$A$1:$G$3418,7,FALSE)</f>
        <v>1.0609999999999999</v>
      </c>
      <c r="G1376">
        <f t="shared" si="111"/>
        <v>-89860.297999999995</v>
      </c>
      <c r="H1376">
        <f t="shared" si="107"/>
        <v>127.90353100275966</v>
      </c>
      <c r="I1376">
        <f t="shared" si="108"/>
        <v>119.14137950999999</v>
      </c>
      <c r="J1376">
        <f t="shared" si="110"/>
        <v>119113.78551</v>
      </c>
      <c r="M1376">
        <f t="shared" si="109"/>
        <v>74054</v>
      </c>
    </row>
    <row r="1377" spans="1:13" x14ac:dyDescent="0.2">
      <c r="A1377">
        <v>73</v>
      </c>
      <c r="B1377">
        <v>55</v>
      </c>
      <c r="C1377">
        <v>128</v>
      </c>
      <c r="D1377" s="51" t="s">
        <v>53</v>
      </c>
      <c r="E1377">
        <f>VLOOKUP(M1377,'MASS - 2016'!$A$1:$G$3418,6,FALSE)</f>
        <v>-85931.581000000006</v>
      </c>
      <c r="F1377">
        <f>VLOOKUP(M1377,'MASS - 2016'!$A$1:$G$3418,7,FALSE)</f>
        <v>5.4429999999999996</v>
      </c>
      <c r="G1377">
        <f t="shared" si="111"/>
        <v>-85931.581000000006</v>
      </c>
      <c r="H1377">
        <f t="shared" si="107"/>
        <v>127.90774865391225</v>
      </c>
      <c r="I1377">
        <f t="shared" si="108"/>
        <v>119.145308227</v>
      </c>
      <c r="J1377">
        <f t="shared" si="110"/>
        <v>119117.20322700001</v>
      </c>
      <c r="M1377">
        <f t="shared" si="109"/>
        <v>73055</v>
      </c>
    </row>
    <row r="1378" spans="1:13" x14ac:dyDescent="0.2">
      <c r="A1378">
        <v>72</v>
      </c>
      <c r="B1378">
        <v>56</v>
      </c>
      <c r="C1378">
        <v>128</v>
      </c>
      <c r="D1378" s="51" t="s">
        <v>54</v>
      </c>
      <c r="E1378">
        <f>VLOOKUP(M1378,'MASS - 2016'!$A$1:$G$3418,6,FALSE)</f>
        <v>-85378.497000000003</v>
      </c>
      <c r="F1378">
        <f>VLOOKUP(M1378,'MASS - 2016'!$A$1:$G$3418,7,FALSE)</f>
        <v>5.1950000000000003</v>
      </c>
      <c r="G1378">
        <f t="shared" si="111"/>
        <v>-85378.497000000003</v>
      </c>
      <c r="H1378">
        <f t="shared" si="107"/>
        <v>127.90834241400495</v>
      </c>
      <c r="I1378">
        <f t="shared" si="108"/>
        <v>119.145861311</v>
      </c>
      <c r="J1378">
        <f t="shared" si="110"/>
        <v>119117.24531100001</v>
      </c>
      <c r="M1378">
        <f t="shared" si="109"/>
        <v>72056</v>
      </c>
    </row>
    <row r="1379" spans="1:13" x14ac:dyDescent="0.2">
      <c r="A1379">
        <v>71</v>
      </c>
      <c r="B1379">
        <v>57</v>
      </c>
      <c r="C1379">
        <v>128</v>
      </c>
      <c r="D1379" s="51" t="s">
        <v>55</v>
      </c>
      <c r="E1379">
        <f>VLOOKUP(M1379,'MASS - 2016'!$A$1:$G$3418,6,FALSE)</f>
        <v>-78625.430999999997</v>
      </c>
      <c r="F1379">
        <f>VLOOKUP(M1379,'MASS - 2016'!$A$1:$G$3418,7,FALSE)</f>
        <v>54.448</v>
      </c>
      <c r="G1379">
        <f t="shared" si="111"/>
        <v>-78625.430999999997</v>
      </c>
      <c r="H1379">
        <f t="shared" si="107"/>
        <v>127.91559212850419</v>
      </c>
      <c r="I1379">
        <f t="shared" si="108"/>
        <v>119.15261437699999</v>
      </c>
      <c r="J1379">
        <f t="shared" si="110"/>
        <v>119123.487377</v>
      </c>
      <c r="M1379">
        <f t="shared" si="109"/>
        <v>71057</v>
      </c>
    </row>
    <row r="1380" spans="1:13" x14ac:dyDescent="0.2">
      <c r="A1380">
        <v>70</v>
      </c>
      <c r="B1380">
        <v>58</v>
      </c>
      <c r="C1380">
        <v>128</v>
      </c>
      <c r="D1380" s="51" t="s">
        <v>56</v>
      </c>
      <c r="E1380">
        <f>VLOOKUP(M1380,'MASS - 2016'!$A$1:$G$3418,6,FALSE)</f>
        <v>-75533.917000000001</v>
      </c>
      <c r="F1380">
        <f>VLOOKUP(M1380,'MASS - 2016'!$A$1:$G$3418,7,FALSE)</f>
        <v>27.945</v>
      </c>
      <c r="G1380">
        <f t="shared" si="111"/>
        <v>-75533.917000000001</v>
      </c>
      <c r="H1380">
        <f t="shared" si="107"/>
        <v>127.91891100527371</v>
      </c>
      <c r="I1380">
        <f t="shared" si="108"/>
        <v>119.155705891</v>
      </c>
      <c r="J1380">
        <f t="shared" si="110"/>
        <v>119126.06789099998</v>
      </c>
      <c r="M1380">
        <f t="shared" si="109"/>
        <v>70058</v>
      </c>
    </row>
    <row r="1381" spans="1:13" x14ac:dyDescent="0.2">
      <c r="A1381">
        <v>69</v>
      </c>
      <c r="B1381">
        <v>59</v>
      </c>
      <c r="C1381">
        <v>128</v>
      </c>
      <c r="D1381" s="51" t="s">
        <v>57</v>
      </c>
      <c r="E1381">
        <f>VLOOKUP(M1381,'MASS - 2016'!$A$1:$G$3418,6,FALSE)</f>
        <v>-66330.756999999998</v>
      </c>
      <c r="F1381">
        <f>VLOOKUP(M1381,'MASS - 2016'!$A$1:$G$3418,7,FALSE)</f>
        <v>29.808</v>
      </c>
      <c r="G1381">
        <f t="shared" si="111"/>
        <v>-66330.756999999998</v>
      </c>
      <c r="H1381">
        <f t="shared" si="107"/>
        <v>127.92879100385375</v>
      </c>
      <c r="I1381">
        <f t="shared" si="108"/>
        <v>119.164909051</v>
      </c>
      <c r="J1381">
        <f t="shared" si="110"/>
        <v>119134.76005099999</v>
      </c>
      <c r="M1381">
        <f t="shared" si="109"/>
        <v>69059</v>
      </c>
    </row>
    <row r="1382" spans="1:13" x14ac:dyDescent="0.2">
      <c r="A1382">
        <v>68</v>
      </c>
      <c r="B1382">
        <v>60</v>
      </c>
      <c r="C1382">
        <v>128</v>
      </c>
      <c r="D1382" s="51" t="s">
        <v>58</v>
      </c>
      <c r="E1382" t="str">
        <f>VLOOKUP(M1382,'MASS - 2016'!$A$1:$G$3418,6,FALSE)</f>
        <v>-60314#</v>
      </c>
      <c r="F1382" t="str">
        <f>VLOOKUP(M1382,'MASS - 2016'!$A$1:$G$3418,7,FALSE)</f>
        <v>196#</v>
      </c>
      <c r="G1382">
        <f t="shared" si="111"/>
        <v>-60314.01</v>
      </c>
      <c r="H1382">
        <f t="shared" si="107"/>
        <v>127.93525024739799</v>
      </c>
      <c r="I1382">
        <f t="shared" si="108"/>
        <v>119.170925798</v>
      </c>
      <c r="J1382">
        <f t="shared" si="110"/>
        <v>119140.26579799999</v>
      </c>
      <c r="M1382">
        <f t="shared" si="109"/>
        <v>68060</v>
      </c>
    </row>
    <row r="1383" spans="1:13" x14ac:dyDescent="0.2">
      <c r="A1383">
        <v>67</v>
      </c>
      <c r="B1383">
        <v>61</v>
      </c>
      <c r="C1383">
        <v>128</v>
      </c>
      <c r="D1383" s="51" t="s">
        <v>59</v>
      </c>
      <c r="E1383" t="str">
        <f>VLOOKUP(M1383,'MASS - 2016'!$A$1:$G$3418,6,FALSE)</f>
        <v>-47786#</v>
      </c>
      <c r="F1383" t="str">
        <f>VLOOKUP(M1383,'MASS - 2016'!$A$1:$G$3418,7,FALSE)</f>
        <v>298#</v>
      </c>
      <c r="G1383">
        <f t="shared" si="111"/>
        <v>-47786.01</v>
      </c>
      <c r="H1383">
        <f t="shared" si="107"/>
        <v>127.94869960850991</v>
      </c>
      <c r="I1383">
        <f t="shared" si="108"/>
        <v>119.183453798</v>
      </c>
      <c r="J1383">
        <f t="shared" si="110"/>
        <v>119152.282798</v>
      </c>
      <c r="M1383">
        <f t="shared" si="109"/>
        <v>67061</v>
      </c>
    </row>
    <row r="1384" spans="1:13" x14ac:dyDescent="0.2">
      <c r="A1384">
        <v>81</v>
      </c>
      <c r="B1384">
        <v>48</v>
      </c>
      <c r="C1384">
        <v>129</v>
      </c>
      <c r="D1384" s="51" t="s">
        <v>46</v>
      </c>
      <c r="E1384">
        <f>VLOOKUP(M1384,'MASS - 2016'!$A$1:$G$3418,6,FALSE)</f>
        <v>-63058.046000000002</v>
      </c>
      <c r="F1384">
        <f>VLOOKUP(M1384,'MASS - 2016'!$A$1:$G$3418,7,FALSE)</f>
        <v>16.766999999999999</v>
      </c>
      <c r="G1384">
        <f t="shared" si="111"/>
        <v>-63058.046000000002</v>
      </c>
      <c r="H1384">
        <f t="shared" si="107"/>
        <v>128.93230440360264</v>
      </c>
      <c r="I1384">
        <f t="shared" si="108"/>
        <v>120.09967582300001</v>
      </c>
      <c r="J1384">
        <f t="shared" si="110"/>
        <v>120075.14782300001</v>
      </c>
      <c r="M1384">
        <f t="shared" si="109"/>
        <v>81048</v>
      </c>
    </row>
    <row r="1385" spans="1:13" x14ac:dyDescent="0.2">
      <c r="A1385">
        <v>80</v>
      </c>
      <c r="B1385">
        <v>49</v>
      </c>
      <c r="C1385">
        <v>129</v>
      </c>
      <c r="D1385" s="51" t="s">
        <v>47</v>
      </c>
      <c r="E1385">
        <f>VLOOKUP(M1385,'MASS - 2016'!$A$1:$G$3418,6,FALSE)</f>
        <v>-72837.72</v>
      </c>
      <c r="F1385">
        <f>VLOOKUP(M1385,'MASS - 2016'!$A$1:$G$3418,7,FALSE)</f>
        <v>2.6930000000000001</v>
      </c>
      <c r="G1385">
        <f t="shared" si="111"/>
        <v>-72837.72</v>
      </c>
      <c r="H1385">
        <f t="shared" si="107"/>
        <v>128.92180549179045</v>
      </c>
      <c r="I1385">
        <f t="shared" si="108"/>
        <v>120.08989614899998</v>
      </c>
      <c r="J1385">
        <f t="shared" si="110"/>
        <v>120064.85714899997</v>
      </c>
      <c r="M1385">
        <f t="shared" si="109"/>
        <v>80049</v>
      </c>
    </row>
    <row r="1386" spans="1:13" x14ac:dyDescent="0.2">
      <c r="A1386">
        <v>79</v>
      </c>
      <c r="B1386">
        <v>50</v>
      </c>
      <c r="C1386">
        <v>129</v>
      </c>
      <c r="D1386" s="51" t="s">
        <v>48</v>
      </c>
      <c r="E1386">
        <f>VLOOKUP(M1386,'MASS - 2016'!$A$1:$G$3418,6,FALSE)</f>
        <v>-80590.903000000006</v>
      </c>
      <c r="F1386">
        <f>VLOOKUP(M1386,'MASS - 2016'!$A$1:$G$3418,7,FALSE)</f>
        <v>17.277000000000001</v>
      </c>
      <c r="G1386">
        <f t="shared" si="111"/>
        <v>-80590.903000000006</v>
      </c>
      <c r="H1386">
        <f t="shared" si="107"/>
        <v>128.91348210753648</v>
      </c>
      <c r="I1386">
        <f t="shared" si="108"/>
        <v>120.08214296599999</v>
      </c>
      <c r="J1386">
        <f t="shared" si="110"/>
        <v>120056.59296599998</v>
      </c>
      <c r="M1386">
        <f t="shared" si="109"/>
        <v>79050</v>
      </c>
    </row>
    <row r="1387" spans="1:13" x14ac:dyDescent="0.2">
      <c r="A1387">
        <v>78</v>
      </c>
      <c r="B1387">
        <v>51</v>
      </c>
      <c r="C1387">
        <v>129</v>
      </c>
      <c r="D1387" s="51" t="s">
        <v>49</v>
      </c>
      <c r="E1387">
        <f>VLOOKUP(M1387,'MASS - 2016'!$A$1:$G$3418,6,FALSE)</f>
        <v>-84629.307000000001</v>
      </c>
      <c r="F1387">
        <f>VLOOKUP(M1387,'MASS - 2016'!$A$1:$G$3418,7,FALSE)</f>
        <v>21.231000000000002</v>
      </c>
      <c r="G1387">
        <f t="shared" si="111"/>
        <v>-84629.307000000001</v>
      </c>
      <c r="H1387">
        <f t="shared" si="107"/>
        <v>128.90914670254671</v>
      </c>
      <c r="I1387">
        <f t="shared" si="108"/>
        <v>120.07810456199999</v>
      </c>
      <c r="J1387">
        <f t="shared" si="110"/>
        <v>120052.04356199999</v>
      </c>
      <c r="M1387">
        <f t="shared" si="109"/>
        <v>78051</v>
      </c>
    </row>
    <row r="1388" spans="1:13" x14ac:dyDescent="0.2">
      <c r="A1388">
        <v>77</v>
      </c>
      <c r="B1388">
        <v>52</v>
      </c>
      <c r="C1388">
        <v>129</v>
      </c>
      <c r="D1388" s="51" t="s">
        <v>50</v>
      </c>
      <c r="E1388">
        <f>VLOOKUP(M1388,'MASS - 2016'!$A$1:$G$3418,6,FALSE)</f>
        <v>-87004.807000000001</v>
      </c>
      <c r="F1388">
        <f>VLOOKUP(M1388,'MASS - 2016'!$A$1:$G$3418,7,FALSE)</f>
        <v>0.86899999999999999</v>
      </c>
      <c r="G1388">
        <f t="shared" si="111"/>
        <v>-87004.807000000001</v>
      </c>
      <c r="H1388">
        <f t="shared" si="107"/>
        <v>128.90659649841825</v>
      </c>
      <c r="I1388">
        <f t="shared" si="108"/>
        <v>120.07572906199999</v>
      </c>
      <c r="J1388">
        <f t="shared" si="110"/>
        <v>120049.157062</v>
      </c>
      <c r="M1388">
        <f t="shared" si="109"/>
        <v>77052</v>
      </c>
    </row>
    <row r="1389" spans="1:13" x14ac:dyDescent="0.2">
      <c r="A1389">
        <v>76</v>
      </c>
      <c r="B1389">
        <v>53</v>
      </c>
      <c r="C1389">
        <v>129</v>
      </c>
      <c r="D1389" s="51" t="s">
        <v>51</v>
      </c>
      <c r="E1389">
        <f>VLOOKUP(M1389,'MASS - 2016'!$A$1:$G$3418,6,FALSE)</f>
        <v>-88507.125</v>
      </c>
      <c r="F1389">
        <f>VLOOKUP(M1389,'MASS - 2016'!$A$1:$G$3418,7,FALSE)</f>
        <v>3.1680000000000001</v>
      </c>
      <c r="G1389">
        <f t="shared" si="111"/>
        <v>-88507.125</v>
      </c>
      <c r="H1389">
        <f t="shared" si="107"/>
        <v>128.90498369371781</v>
      </c>
      <c r="I1389">
        <f t="shared" si="108"/>
        <v>120.07422674399999</v>
      </c>
      <c r="J1389">
        <f t="shared" si="110"/>
        <v>120047.14374399999</v>
      </c>
      <c r="M1389">
        <f t="shared" si="109"/>
        <v>76053</v>
      </c>
    </row>
    <row r="1390" spans="1:13" x14ac:dyDescent="0.2">
      <c r="A1390">
        <v>75</v>
      </c>
      <c r="B1390">
        <v>54</v>
      </c>
      <c r="C1390">
        <v>129</v>
      </c>
      <c r="D1390" s="51" t="s">
        <v>52</v>
      </c>
      <c r="E1390">
        <f>VLOOKUP(M1390,'MASS - 2016'!$A$1:$G$3418,6,FALSE)</f>
        <v>-88696.058959999995</v>
      </c>
      <c r="F1390">
        <f>VLOOKUP(M1390,'MASS - 2016'!$A$1:$G$3418,7,FALSE)</f>
        <v>5.3699999999999998E-3</v>
      </c>
      <c r="G1390">
        <f t="shared" si="111"/>
        <v>-88696.058959999995</v>
      </c>
      <c r="H1390">
        <f t="shared" si="107"/>
        <v>128.90478086477032</v>
      </c>
      <c r="I1390">
        <f t="shared" si="108"/>
        <v>120.07403781004</v>
      </c>
      <c r="J1390">
        <f t="shared" si="110"/>
        <v>120046.44381004</v>
      </c>
      <c r="M1390">
        <f t="shared" si="109"/>
        <v>75054</v>
      </c>
    </row>
    <row r="1391" spans="1:13" x14ac:dyDescent="0.2">
      <c r="A1391">
        <v>74</v>
      </c>
      <c r="B1391">
        <v>55</v>
      </c>
      <c r="C1391">
        <v>129</v>
      </c>
      <c r="D1391" s="51" t="s">
        <v>53</v>
      </c>
      <c r="E1391">
        <f>VLOOKUP(M1391,'MASS - 2016'!$A$1:$G$3418,6,FALSE)</f>
        <v>-87499.245999999999</v>
      </c>
      <c r="F1391">
        <f>VLOOKUP(M1391,'MASS - 2016'!$A$1:$G$3418,7,FALSE)</f>
        <v>4.5549999999999997</v>
      </c>
      <c r="G1391">
        <f t="shared" si="111"/>
        <v>-87499.245999999999</v>
      </c>
      <c r="H1391">
        <f t="shared" si="107"/>
        <v>128.90606569632226</v>
      </c>
      <c r="I1391">
        <f t="shared" si="108"/>
        <v>120.07523462300001</v>
      </c>
      <c r="J1391">
        <f t="shared" si="110"/>
        <v>120047.12962300002</v>
      </c>
      <c r="M1391">
        <f t="shared" si="109"/>
        <v>74055</v>
      </c>
    </row>
    <row r="1392" spans="1:13" x14ac:dyDescent="0.2">
      <c r="A1392">
        <v>73</v>
      </c>
      <c r="B1392">
        <v>56</v>
      </c>
      <c r="C1392">
        <v>129</v>
      </c>
      <c r="D1392" s="51" t="s">
        <v>54</v>
      </c>
      <c r="E1392">
        <f>VLOOKUP(M1392,'MASS - 2016'!$A$1:$G$3418,6,FALSE)</f>
        <v>-85063.198000000004</v>
      </c>
      <c r="F1392">
        <f>VLOOKUP(M1392,'MASS - 2016'!$A$1:$G$3418,7,FALSE)</f>
        <v>10.577</v>
      </c>
      <c r="G1392">
        <f t="shared" si="111"/>
        <v>-85063.198000000004</v>
      </c>
      <c r="H1392">
        <f t="shared" si="107"/>
        <v>128.90868090140191</v>
      </c>
      <c r="I1392">
        <f t="shared" si="108"/>
        <v>120.07767067100001</v>
      </c>
      <c r="J1392">
        <f t="shared" si="110"/>
        <v>120049.05467100001</v>
      </c>
      <c r="M1392">
        <f t="shared" si="109"/>
        <v>73056</v>
      </c>
    </row>
    <row r="1393" spans="1:13" x14ac:dyDescent="0.2">
      <c r="A1393">
        <v>72</v>
      </c>
      <c r="B1393">
        <v>57</v>
      </c>
      <c r="C1393">
        <v>129</v>
      </c>
      <c r="D1393" s="51" t="s">
        <v>55</v>
      </c>
      <c r="E1393">
        <f>VLOOKUP(M1393,'MASS - 2016'!$A$1:$G$3418,6,FALSE)</f>
        <v>-81324.573000000004</v>
      </c>
      <c r="F1393">
        <f>VLOOKUP(M1393,'MASS - 2016'!$A$1:$G$3418,7,FALSE)</f>
        <v>21.350999999999999</v>
      </c>
      <c r="G1393">
        <f t="shared" si="111"/>
        <v>-81324.573000000004</v>
      </c>
      <c r="H1393">
        <f t="shared" si="107"/>
        <v>128.91269448039989</v>
      </c>
      <c r="I1393">
        <f t="shared" si="108"/>
        <v>120.08140929599998</v>
      </c>
      <c r="J1393">
        <f t="shared" si="110"/>
        <v>120052.28229599998</v>
      </c>
      <c r="M1393">
        <f t="shared" si="109"/>
        <v>72057</v>
      </c>
    </row>
    <row r="1394" spans="1:13" x14ac:dyDescent="0.2">
      <c r="A1394">
        <v>71</v>
      </c>
      <c r="B1394">
        <v>58</v>
      </c>
      <c r="C1394">
        <v>129</v>
      </c>
      <c r="D1394" s="51" t="s">
        <v>56</v>
      </c>
      <c r="E1394">
        <f>VLOOKUP(M1394,'MASS - 2016'!$A$1:$G$3418,6,FALSE)</f>
        <v>-76287.495999999999</v>
      </c>
      <c r="F1394">
        <f>VLOOKUP(M1394,'MASS - 2016'!$A$1:$G$3418,7,FALSE)</f>
        <v>27.945</v>
      </c>
      <c r="G1394">
        <f t="shared" si="111"/>
        <v>-76287.495999999999</v>
      </c>
      <c r="H1394">
        <f t="shared" si="107"/>
        <v>128.91810200494663</v>
      </c>
      <c r="I1394">
        <f t="shared" si="108"/>
        <v>120.08644637299997</v>
      </c>
      <c r="J1394">
        <f t="shared" si="110"/>
        <v>120056.80837299996</v>
      </c>
      <c r="M1394">
        <f t="shared" si="109"/>
        <v>71058</v>
      </c>
    </row>
    <row r="1395" spans="1:13" x14ac:dyDescent="0.2">
      <c r="A1395">
        <v>70</v>
      </c>
      <c r="B1395">
        <v>59</v>
      </c>
      <c r="C1395">
        <v>129</v>
      </c>
      <c r="D1395" s="51" t="s">
        <v>57</v>
      </c>
      <c r="E1395">
        <f>VLOOKUP(M1395,'MASS - 2016'!$A$1:$G$3418,6,FALSE)</f>
        <v>-69773.558000000005</v>
      </c>
      <c r="F1395">
        <f>VLOOKUP(M1395,'MASS - 2016'!$A$1:$G$3418,7,FALSE)</f>
        <v>29.808</v>
      </c>
      <c r="G1395">
        <f t="shared" si="111"/>
        <v>-69773.558000000005</v>
      </c>
      <c r="H1395">
        <f t="shared" si="107"/>
        <v>128.92509500498039</v>
      </c>
      <c r="I1395">
        <f t="shared" si="108"/>
        <v>120.092960311</v>
      </c>
      <c r="J1395">
        <f t="shared" si="110"/>
        <v>120062.811311</v>
      </c>
      <c r="M1395">
        <f t="shared" si="109"/>
        <v>70059</v>
      </c>
    </row>
    <row r="1396" spans="1:13" x14ac:dyDescent="0.2">
      <c r="A1396">
        <v>69</v>
      </c>
      <c r="B1396">
        <v>60</v>
      </c>
      <c r="C1396">
        <v>129</v>
      </c>
      <c r="D1396" s="51" t="s">
        <v>58</v>
      </c>
      <c r="E1396" t="str">
        <f>VLOOKUP(M1396,'MASS - 2016'!$A$1:$G$3418,6,FALSE)</f>
        <v>-62315#</v>
      </c>
      <c r="F1396" t="str">
        <f>VLOOKUP(M1396,'MASS - 2016'!$A$1:$G$3418,7,FALSE)</f>
        <v>202#</v>
      </c>
      <c r="G1396">
        <f t="shared" si="111"/>
        <v>-62315.01</v>
      </c>
      <c r="H1396">
        <f t="shared" si="107"/>
        <v>128.93310208555371</v>
      </c>
      <c r="I1396">
        <f t="shared" si="108"/>
        <v>120.100418859</v>
      </c>
      <c r="J1396">
        <f t="shared" si="110"/>
        <v>120069.75885899999</v>
      </c>
      <c r="M1396">
        <f t="shared" si="109"/>
        <v>69060</v>
      </c>
    </row>
    <row r="1397" spans="1:13" x14ac:dyDescent="0.2">
      <c r="A1397">
        <v>68</v>
      </c>
      <c r="B1397">
        <v>61</v>
      </c>
      <c r="C1397">
        <v>129</v>
      </c>
      <c r="D1397" s="51" t="s">
        <v>59</v>
      </c>
      <c r="E1397" t="str">
        <f>VLOOKUP(M1397,'MASS - 2016'!$A$1:$G$3418,6,FALSE)</f>
        <v>-52881#</v>
      </c>
      <c r="F1397" t="str">
        <f>VLOOKUP(M1397,'MASS - 2016'!$A$1:$G$3418,7,FALSE)</f>
        <v>298#</v>
      </c>
      <c r="G1397">
        <f t="shared" si="111"/>
        <v>-52881.01</v>
      </c>
      <c r="H1397">
        <f t="shared" si="107"/>
        <v>128.94322990106537</v>
      </c>
      <c r="I1397">
        <f t="shared" si="108"/>
        <v>120.109852859</v>
      </c>
      <c r="J1397">
        <f t="shared" si="110"/>
        <v>120078.681859</v>
      </c>
      <c r="M1397">
        <f t="shared" si="109"/>
        <v>68061</v>
      </c>
    </row>
    <row r="1398" spans="1:13" x14ac:dyDescent="0.2">
      <c r="A1398">
        <v>82</v>
      </c>
      <c r="B1398">
        <v>48</v>
      </c>
      <c r="C1398">
        <v>130</v>
      </c>
      <c r="D1398" s="51" t="s">
        <v>46</v>
      </c>
      <c r="E1398">
        <f>VLOOKUP(M1398,'MASS - 2016'!$A$1:$G$3418,6,FALSE)</f>
        <v>-61117.589</v>
      </c>
      <c r="F1398">
        <f>VLOOKUP(M1398,'MASS - 2016'!$A$1:$G$3418,7,FALSE)</f>
        <v>22.356000000000002</v>
      </c>
      <c r="G1398">
        <f t="shared" si="111"/>
        <v>-61117.589</v>
      </c>
      <c r="H1398">
        <f t="shared" si="107"/>
        <v>129.93438756986342</v>
      </c>
      <c r="I1398">
        <f t="shared" si="108"/>
        <v>121.033110341</v>
      </c>
      <c r="J1398">
        <f t="shared" si="110"/>
        <v>121008.58234099999</v>
      </c>
      <c r="M1398">
        <f t="shared" si="109"/>
        <v>82048</v>
      </c>
    </row>
    <row r="1399" spans="1:13" x14ac:dyDescent="0.2">
      <c r="A1399">
        <v>81</v>
      </c>
      <c r="B1399">
        <v>49</v>
      </c>
      <c r="C1399">
        <v>130</v>
      </c>
      <c r="D1399" s="51" t="s">
        <v>47</v>
      </c>
      <c r="E1399">
        <f>VLOOKUP(M1399,'MASS - 2016'!$A$1:$G$3418,6,FALSE)</f>
        <v>-69883.206000000006</v>
      </c>
      <c r="F1399">
        <f>VLOOKUP(M1399,'MASS - 2016'!$A$1:$G$3418,7,FALSE)</f>
        <v>38.045999999999999</v>
      </c>
      <c r="G1399">
        <f t="shared" si="111"/>
        <v>-69883.206000000006</v>
      </c>
      <c r="H1399">
        <f t="shared" si="107"/>
        <v>129.92497729301144</v>
      </c>
      <c r="I1399">
        <f t="shared" si="108"/>
        <v>121.024344724</v>
      </c>
      <c r="J1399">
        <f t="shared" si="110"/>
        <v>120999.30572399999</v>
      </c>
      <c r="M1399">
        <f t="shared" si="109"/>
        <v>81049</v>
      </c>
    </row>
    <row r="1400" spans="1:13" x14ac:dyDescent="0.2">
      <c r="A1400">
        <v>80</v>
      </c>
      <c r="B1400">
        <v>50</v>
      </c>
      <c r="C1400">
        <v>130</v>
      </c>
      <c r="D1400" s="51" t="s">
        <v>48</v>
      </c>
      <c r="E1400">
        <f>VLOOKUP(M1400,'MASS - 2016'!$A$1:$G$3418,6,FALSE)</f>
        <v>-80132.206000000006</v>
      </c>
      <c r="F1400">
        <f>VLOOKUP(M1400,'MASS - 2016'!$A$1:$G$3418,7,FALSE)</f>
        <v>1.873</v>
      </c>
      <c r="G1400">
        <f t="shared" si="111"/>
        <v>-80132.206000000006</v>
      </c>
      <c r="H1400">
        <f t="shared" si="107"/>
        <v>129.91397453901749</v>
      </c>
      <c r="I1400">
        <f t="shared" si="108"/>
        <v>121.014095724</v>
      </c>
      <c r="J1400">
        <f t="shared" si="110"/>
        <v>120988.545724</v>
      </c>
      <c r="M1400">
        <f t="shared" si="109"/>
        <v>80050</v>
      </c>
    </row>
    <row r="1401" spans="1:13" x14ac:dyDescent="0.2">
      <c r="A1401">
        <v>79</v>
      </c>
      <c r="B1401">
        <v>51</v>
      </c>
      <c r="C1401">
        <v>130</v>
      </c>
      <c r="D1401" s="51" t="s">
        <v>49</v>
      </c>
      <c r="E1401">
        <f>VLOOKUP(M1401,'MASS - 2016'!$A$1:$G$3418,6,FALSE)</f>
        <v>-82285.676000000007</v>
      </c>
      <c r="F1401">
        <f>VLOOKUP(M1401,'MASS - 2016'!$A$1:$G$3418,7,FALSE)</f>
        <v>14.212</v>
      </c>
      <c r="G1401">
        <f t="shared" si="111"/>
        <v>-82285.676000000007</v>
      </c>
      <c r="H1401">
        <f t="shared" si="107"/>
        <v>129.91166269389666</v>
      </c>
      <c r="I1401">
        <f t="shared" si="108"/>
        <v>121.01194225399999</v>
      </c>
      <c r="J1401">
        <f t="shared" si="110"/>
        <v>120985.88125399999</v>
      </c>
      <c r="M1401">
        <f t="shared" si="109"/>
        <v>79051</v>
      </c>
    </row>
    <row r="1402" spans="1:13" x14ac:dyDescent="0.2">
      <c r="A1402">
        <v>78</v>
      </c>
      <c r="B1402">
        <v>52</v>
      </c>
      <c r="C1402">
        <v>130</v>
      </c>
      <c r="D1402" s="51" t="s">
        <v>50</v>
      </c>
      <c r="E1402">
        <f>VLOOKUP(M1402,'MASS - 2016'!$A$1:$G$3418,6,FALSE)</f>
        <v>-87352.948999999993</v>
      </c>
      <c r="F1402">
        <f>VLOOKUP(M1402,'MASS - 2016'!$A$1:$G$3418,7,FALSE)</f>
        <v>1.0999999999999999E-2</v>
      </c>
      <c r="G1402">
        <f t="shared" si="111"/>
        <v>-87352.948999999993</v>
      </c>
      <c r="H1402">
        <f t="shared" si="107"/>
        <v>129.90622275261077</v>
      </c>
      <c r="I1402">
        <f t="shared" si="108"/>
        <v>121.00687498100001</v>
      </c>
      <c r="J1402">
        <f t="shared" si="110"/>
        <v>120980.30298100002</v>
      </c>
      <c r="M1402">
        <f t="shared" si="109"/>
        <v>78052</v>
      </c>
    </row>
    <row r="1403" spans="1:13" x14ac:dyDescent="0.2">
      <c r="A1403">
        <v>77</v>
      </c>
      <c r="B1403">
        <v>53</v>
      </c>
      <c r="C1403">
        <v>130</v>
      </c>
      <c r="D1403" s="51" t="s">
        <v>51</v>
      </c>
      <c r="E1403">
        <f>VLOOKUP(M1403,'MASS - 2016'!$A$1:$G$3418,6,FALSE)</f>
        <v>-86936.138000000006</v>
      </c>
      <c r="F1403">
        <f>VLOOKUP(M1403,'MASS - 2016'!$A$1:$G$3418,7,FALSE)</f>
        <v>3.1680000000000001</v>
      </c>
      <c r="G1403">
        <f t="shared" si="111"/>
        <v>-86936.138000000006</v>
      </c>
      <c r="H1403">
        <f t="shared" si="107"/>
        <v>129.9066702176215</v>
      </c>
      <c r="I1403">
        <f t="shared" si="108"/>
        <v>121.007291792</v>
      </c>
      <c r="J1403">
        <f t="shared" si="110"/>
        <v>120980.208792</v>
      </c>
      <c r="M1403">
        <f t="shared" si="109"/>
        <v>77053</v>
      </c>
    </row>
    <row r="1404" spans="1:13" x14ac:dyDescent="0.2">
      <c r="A1404">
        <v>76</v>
      </c>
      <c r="B1404">
        <v>54</v>
      </c>
      <c r="C1404">
        <v>130</v>
      </c>
      <c r="D1404" s="51" t="s">
        <v>52</v>
      </c>
      <c r="E1404">
        <f>VLOOKUP(M1404,'MASS - 2016'!$A$1:$G$3418,6,FALSE)</f>
        <v>-89880.463000000003</v>
      </c>
      <c r="F1404">
        <f>VLOOKUP(M1404,'MASS - 2016'!$A$1:$G$3418,7,FALSE)</f>
        <v>8.9999999999999993E-3</v>
      </c>
      <c r="G1404">
        <f t="shared" si="111"/>
        <v>-89880.463000000003</v>
      </c>
      <c r="H1404">
        <f t="shared" si="107"/>
        <v>129.90350935474189</v>
      </c>
      <c r="I1404">
        <f t="shared" si="108"/>
        <v>121.004347467</v>
      </c>
      <c r="J1404">
        <f t="shared" si="110"/>
        <v>120976.753467</v>
      </c>
      <c r="M1404">
        <f t="shared" si="109"/>
        <v>76054</v>
      </c>
    </row>
    <row r="1405" spans="1:13" x14ac:dyDescent="0.2">
      <c r="A1405">
        <v>75</v>
      </c>
      <c r="B1405">
        <v>55</v>
      </c>
      <c r="C1405">
        <v>130</v>
      </c>
      <c r="D1405" s="51" t="s">
        <v>53</v>
      </c>
      <c r="E1405">
        <f>VLOOKUP(M1405,'MASS - 2016'!$A$1:$G$3418,6,FALSE)</f>
        <v>-86899.743000000002</v>
      </c>
      <c r="F1405">
        <f>VLOOKUP(M1405,'MASS - 2016'!$A$1:$G$3418,7,FALSE)</f>
        <v>8.3569999999999993</v>
      </c>
      <c r="G1405">
        <f t="shared" si="111"/>
        <v>-86899.743000000002</v>
      </c>
      <c r="H1405">
        <f t="shared" si="107"/>
        <v>129.90670928926085</v>
      </c>
      <c r="I1405">
        <f t="shared" si="108"/>
        <v>121.00732818700001</v>
      </c>
      <c r="J1405">
        <f t="shared" si="110"/>
        <v>120979.22318700001</v>
      </c>
      <c r="M1405">
        <f t="shared" si="109"/>
        <v>75055</v>
      </c>
    </row>
    <row r="1406" spans="1:13" x14ac:dyDescent="0.2">
      <c r="A1406">
        <v>74</v>
      </c>
      <c r="B1406">
        <v>56</v>
      </c>
      <c r="C1406">
        <v>130</v>
      </c>
      <c r="D1406" s="51" t="s">
        <v>54</v>
      </c>
      <c r="E1406">
        <f>VLOOKUP(M1406,'MASS - 2016'!$A$1:$G$3418,6,FALSE)</f>
        <v>-87261.543999999994</v>
      </c>
      <c r="F1406">
        <f>VLOOKUP(M1406,'MASS - 2016'!$A$1:$G$3418,7,FALSE)</f>
        <v>2.5529999999999999</v>
      </c>
      <c r="G1406">
        <f t="shared" si="111"/>
        <v>-87261.543999999994</v>
      </c>
      <c r="H1406">
        <f t="shared" si="107"/>
        <v>129.90632087991381</v>
      </c>
      <c r="I1406">
        <f t="shared" si="108"/>
        <v>121.006966386</v>
      </c>
      <c r="J1406">
        <f t="shared" si="110"/>
        <v>120978.35038600001</v>
      </c>
      <c r="M1406">
        <f t="shared" si="109"/>
        <v>74056</v>
      </c>
    </row>
    <row r="1407" spans="1:13" x14ac:dyDescent="0.2">
      <c r="A1407">
        <v>73</v>
      </c>
      <c r="B1407">
        <v>57</v>
      </c>
      <c r="C1407">
        <v>130</v>
      </c>
      <c r="D1407" s="51" t="s">
        <v>55</v>
      </c>
      <c r="E1407">
        <f>VLOOKUP(M1407,'MASS - 2016'!$A$1:$G$3418,6,FALSE)</f>
        <v>-81627.365999999995</v>
      </c>
      <c r="F1407">
        <f>VLOOKUP(M1407,'MASS - 2016'!$A$1:$G$3418,7,FALSE)</f>
        <v>25.946000000000002</v>
      </c>
      <c r="G1407">
        <f t="shared" si="111"/>
        <v>-81627.365999999995</v>
      </c>
      <c r="H1407">
        <f t="shared" si="107"/>
        <v>129.9123694187461</v>
      </c>
      <c r="I1407">
        <f t="shared" si="108"/>
        <v>121.01260056400001</v>
      </c>
      <c r="J1407">
        <f t="shared" si="110"/>
        <v>120983.47356400001</v>
      </c>
      <c r="M1407">
        <f t="shared" si="109"/>
        <v>73057</v>
      </c>
    </row>
    <row r="1408" spans="1:13" x14ac:dyDescent="0.2">
      <c r="A1408">
        <v>72</v>
      </c>
      <c r="B1408">
        <v>58</v>
      </c>
      <c r="C1408">
        <v>130</v>
      </c>
      <c r="D1408" s="51" t="s">
        <v>56</v>
      </c>
      <c r="E1408">
        <f>VLOOKUP(M1408,'MASS - 2016'!$A$1:$G$3418,6,FALSE)</f>
        <v>-79422.904999999999</v>
      </c>
      <c r="F1408">
        <f>VLOOKUP(M1408,'MASS - 2016'!$A$1:$G$3418,7,FALSE)</f>
        <v>27.945</v>
      </c>
      <c r="G1408">
        <f t="shared" si="111"/>
        <v>-79422.904999999999</v>
      </c>
      <c r="H1408">
        <f t="shared" si="107"/>
        <v>129.91473600495667</v>
      </c>
      <c r="I1408">
        <f t="shared" si="108"/>
        <v>121.014805025</v>
      </c>
      <c r="J1408">
        <f t="shared" si="110"/>
        <v>120985.16702499999</v>
      </c>
      <c r="M1408">
        <f t="shared" si="109"/>
        <v>72058</v>
      </c>
    </row>
    <row r="1409" spans="1:13" x14ac:dyDescent="0.2">
      <c r="A1409">
        <v>71</v>
      </c>
      <c r="B1409">
        <v>59</v>
      </c>
      <c r="C1409">
        <v>130</v>
      </c>
      <c r="D1409" s="51" t="s">
        <v>57</v>
      </c>
      <c r="E1409">
        <f>VLOOKUP(M1409,'MASS - 2016'!$A$1:$G$3418,6,FALSE)</f>
        <v>-71175.456999999995</v>
      </c>
      <c r="F1409">
        <f>VLOOKUP(M1409,'MASS - 2016'!$A$1:$G$3418,7,FALSE)</f>
        <v>64.272999999999996</v>
      </c>
      <c r="G1409">
        <f t="shared" si="111"/>
        <v>-71175.456999999995</v>
      </c>
      <c r="H1409">
        <f t="shared" si="107"/>
        <v>129.92359000450998</v>
      </c>
      <c r="I1409">
        <f t="shared" si="108"/>
        <v>121.02305247300001</v>
      </c>
      <c r="J1409">
        <f t="shared" si="110"/>
        <v>120992.903473</v>
      </c>
      <c r="M1409">
        <f t="shared" si="109"/>
        <v>71059</v>
      </c>
    </row>
    <row r="1410" spans="1:13" x14ac:dyDescent="0.2">
      <c r="A1410">
        <v>70</v>
      </c>
      <c r="B1410">
        <v>60</v>
      </c>
      <c r="C1410">
        <v>130</v>
      </c>
      <c r="D1410" s="51" t="s">
        <v>58</v>
      </c>
      <c r="E1410">
        <f>VLOOKUP(M1410,'MASS - 2016'!$A$1:$G$3418,6,FALSE)</f>
        <v>-66596.232000000004</v>
      </c>
      <c r="F1410">
        <f>VLOOKUP(M1410,'MASS - 2016'!$A$1:$G$3418,7,FALSE)</f>
        <v>27.945</v>
      </c>
      <c r="G1410">
        <f t="shared" si="111"/>
        <v>-66596.232000000004</v>
      </c>
      <c r="H1410">
        <f t="shared" si="107"/>
        <v>129.92850600472053</v>
      </c>
      <c r="I1410">
        <f t="shared" si="108"/>
        <v>121.02763169800001</v>
      </c>
      <c r="J1410">
        <f t="shared" si="110"/>
        <v>120996.97169800001</v>
      </c>
      <c r="M1410">
        <f t="shared" si="109"/>
        <v>70060</v>
      </c>
    </row>
    <row r="1411" spans="1:13" x14ac:dyDescent="0.2">
      <c r="A1411">
        <v>69</v>
      </c>
      <c r="B1411">
        <v>61</v>
      </c>
      <c r="C1411">
        <v>130</v>
      </c>
      <c r="D1411" s="51" t="s">
        <v>59</v>
      </c>
      <c r="E1411" t="str">
        <f>VLOOKUP(M1411,'MASS - 2016'!$A$1:$G$3418,6,FALSE)</f>
        <v>-55396#</v>
      </c>
      <c r="F1411" t="str">
        <f>VLOOKUP(M1411,'MASS - 2016'!$A$1:$G$3418,7,FALSE)</f>
        <v>196#</v>
      </c>
      <c r="G1411">
        <f t="shared" si="111"/>
        <v>-55396.01</v>
      </c>
      <c r="H1411">
        <f t="shared" si="107"/>
        <v>129.94052993752797</v>
      </c>
      <c r="I1411">
        <f t="shared" si="108"/>
        <v>121.03883192000001</v>
      </c>
      <c r="J1411">
        <f t="shared" si="110"/>
        <v>121007.66092000001</v>
      </c>
      <c r="M1411">
        <f t="shared" si="109"/>
        <v>69061</v>
      </c>
    </row>
    <row r="1412" spans="1:13" x14ac:dyDescent="0.2">
      <c r="A1412">
        <v>68</v>
      </c>
      <c r="B1412">
        <v>62</v>
      </c>
      <c r="C1412">
        <v>130</v>
      </c>
      <c r="D1412" s="51" t="s">
        <v>60</v>
      </c>
      <c r="E1412" t="str">
        <f>VLOOKUP(M1412,'MASS - 2016'!$A$1:$G$3418,6,FALSE)</f>
        <v>-47506#</v>
      </c>
      <c r="F1412" t="str">
        <f>VLOOKUP(M1412,'MASS - 2016'!$A$1:$G$3418,7,FALSE)</f>
        <v>401#</v>
      </c>
      <c r="G1412">
        <f t="shared" si="111"/>
        <v>-47506.01</v>
      </c>
      <c r="H1412">
        <f t="shared" si="107"/>
        <v>129.94900020087192</v>
      </c>
      <c r="I1412">
        <f t="shared" si="108"/>
        <v>121.04672192</v>
      </c>
      <c r="J1412">
        <f t="shared" si="110"/>
        <v>121015.03992</v>
      </c>
      <c r="M1412">
        <f t="shared" si="109"/>
        <v>68062</v>
      </c>
    </row>
    <row r="1413" spans="1:13" x14ac:dyDescent="0.2">
      <c r="A1413">
        <v>82</v>
      </c>
      <c r="B1413">
        <v>49</v>
      </c>
      <c r="C1413">
        <v>131</v>
      </c>
      <c r="D1413" s="51" t="s">
        <v>47</v>
      </c>
      <c r="E1413">
        <f>VLOOKUP(M1413,'MASS - 2016'!$A$1:$G$3418,6,FALSE)</f>
        <v>-68025.03</v>
      </c>
      <c r="F1413">
        <f>VLOOKUP(M1413,'MASS - 2016'!$A$1:$G$3418,7,FALSE)</f>
        <v>2.7010000000000001</v>
      </c>
      <c r="G1413">
        <f t="shared" si="111"/>
        <v>-68025.03</v>
      </c>
      <c r="H1413">
        <f t="shared" si="107"/>
        <v>130.92697212698602</v>
      </c>
      <c r="I1413">
        <f t="shared" si="108"/>
        <v>121.95769696100001</v>
      </c>
      <c r="J1413">
        <f t="shared" si="110"/>
        <v>121932.657961</v>
      </c>
      <c r="M1413">
        <f t="shared" si="109"/>
        <v>82049</v>
      </c>
    </row>
    <row r="1414" spans="1:13" x14ac:dyDescent="0.2">
      <c r="A1414">
        <v>81</v>
      </c>
      <c r="B1414">
        <v>50</v>
      </c>
      <c r="C1414">
        <v>131</v>
      </c>
      <c r="D1414" s="51" t="s">
        <v>48</v>
      </c>
      <c r="E1414">
        <f>VLOOKUP(M1414,'MASS - 2016'!$A$1:$G$3418,6,FALSE)</f>
        <v>-77264.570999999996</v>
      </c>
      <c r="F1414">
        <f>VLOOKUP(M1414,'MASS - 2016'!$A$1:$G$3418,7,FALSE)</f>
        <v>3.621</v>
      </c>
      <c r="G1414">
        <f t="shared" si="111"/>
        <v>-77264.570999999996</v>
      </c>
      <c r="H1414">
        <f t="shared" si="107"/>
        <v>130.91705307179623</v>
      </c>
      <c r="I1414">
        <f t="shared" si="108"/>
        <v>121.94845742</v>
      </c>
      <c r="J1414">
        <f t="shared" si="110"/>
        <v>121922.90741999999</v>
      </c>
      <c r="M1414">
        <f t="shared" si="109"/>
        <v>81050</v>
      </c>
    </row>
    <row r="1415" spans="1:13" x14ac:dyDescent="0.2">
      <c r="A1415">
        <v>80</v>
      </c>
      <c r="B1415">
        <v>51</v>
      </c>
      <c r="C1415">
        <v>131</v>
      </c>
      <c r="D1415" s="51" t="s">
        <v>49</v>
      </c>
      <c r="E1415">
        <f>VLOOKUP(M1415,'MASS - 2016'!$A$1:$G$3418,6,FALSE)</f>
        <v>-81981.400999999998</v>
      </c>
      <c r="F1415">
        <f>VLOOKUP(M1415,'MASS - 2016'!$A$1:$G$3418,7,FALSE)</f>
        <v>2.0840000000000001</v>
      </c>
      <c r="G1415">
        <f t="shared" si="111"/>
        <v>-81981.400999999998</v>
      </c>
      <c r="H1415">
        <f t="shared" si="107"/>
        <v>130.91198934654292</v>
      </c>
      <c r="I1415">
        <f t="shared" si="108"/>
        <v>121.94374059</v>
      </c>
      <c r="J1415">
        <f t="shared" si="110"/>
        <v>121917.67959</v>
      </c>
      <c r="M1415">
        <f t="shared" si="109"/>
        <v>80051</v>
      </c>
    </row>
    <row r="1416" spans="1:13" x14ac:dyDescent="0.2">
      <c r="A1416">
        <v>79</v>
      </c>
      <c r="B1416">
        <v>52</v>
      </c>
      <c r="C1416">
        <v>131</v>
      </c>
      <c r="D1416" s="51" t="s">
        <v>50</v>
      </c>
      <c r="E1416">
        <f>VLOOKUP(M1416,'MASS - 2016'!$A$1:$G$3418,6,FALSE)</f>
        <v>-85211.012000000002</v>
      </c>
      <c r="F1416">
        <f>VLOOKUP(M1416,'MASS - 2016'!$A$1:$G$3418,7,FALSE)</f>
        <v>6.0999999999999999E-2</v>
      </c>
      <c r="G1416">
        <f t="shared" si="111"/>
        <v>-85211.012000000002</v>
      </c>
      <c r="H1416">
        <f t="shared" si="107"/>
        <v>130.90852221654691</v>
      </c>
      <c r="I1416">
        <f t="shared" si="108"/>
        <v>121.94051097900001</v>
      </c>
      <c r="J1416">
        <f t="shared" si="110"/>
        <v>121913.93897900001</v>
      </c>
      <c r="M1416">
        <f t="shared" si="109"/>
        <v>79052</v>
      </c>
    </row>
    <row r="1417" spans="1:13" x14ac:dyDescent="0.2">
      <c r="A1417">
        <v>78</v>
      </c>
      <c r="B1417">
        <v>53</v>
      </c>
      <c r="C1417">
        <v>131</v>
      </c>
      <c r="D1417" s="51" t="s">
        <v>51</v>
      </c>
      <c r="E1417">
        <f>VLOOKUP(M1417,'MASS - 2016'!$A$1:$G$3418,6,FALSE)</f>
        <v>-87442.71</v>
      </c>
      <c r="F1417">
        <f>VLOOKUP(M1417,'MASS - 2016'!$A$1:$G$3418,7,FALSE)</f>
        <v>0.60499999999999998</v>
      </c>
      <c r="G1417">
        <f t="shared" si="111"/>
        <v>-87442.71</v>
      </c>
      <c r="H1417">
        <f t="shared" ref="H1417:H1480" si="112">(C1417*$A$3+G1417/1000000)/$A$3</f>
        <v>130.9061263902143</v>
      </c>
      <c r="I1417">
        <f t="shared" ref="I1417:I1480" si="113">H1417*$A$3</f>
        <v>121.93827928099998</v>
      </c>
      <c r="J1417">
        <f t="shared" si="110"/>
        <v>121911.19628099998</v>
      </c>
      <c r="M1417">
        <f t="shared" ref="M1417:M1480" si="114">1000*A1417+B1417</f>
        <v>78053</v>
      </c>
    </row>
    <row r="1418" spans="1:13" x14ac:dyDescent="0.2">
      <c r="A1418">
        <v>77</v>
      </c>
      <c r="B1418">
        <v>54</v>
      </c>
      <c r="C1418">
        <v>131</v>
      </c>
      <c r="D1418" s="51" t="s">
        <v>52</v>
      </c>
      <c r="E1418">
        <f>VLOOKUP(M1418,'MASS - 2016'!$A$1:$G$3418,6,FALSE)</f>
        <v>-88413.558000000005</v>
      </c>
      <c r="F1418">
        <f>VLOOKUP(M1418,'MASS - 2016'!$A$1:$G$3418,7,FALSE)</f>
        <v>8.9999999999999993E-3</v>
      </c>
      <c r="G1418">
        <f t="shared" si="111"/>
        <v>-88413.558000000005</v>
      </c>
      <c r="H1418">
        <f t="shared" si="112"/>
        <v>130.90508414202333</v>
      </c>
      <c r="I1418">
        <f t="shared" si="113"/>
        <v>121.93730843300001</v>
      </c>
      <c r="J1418">
        <f t="shared" si="110"/>
        <v>121909.71443300002</v>
      </c>
      <c r="M1418">
        <f t="shared" si="114"/>
        <v>77054</v>
      </c>
    </row>
    <row r="1419" spans="1:13" x14ac:dyDescent="0.2">
      <c r="A1419">
        <v>76</v>
      </c>
      <c r="B1419">
        <v>55</v>
      </c>
      <c r="C1419">
        <v>131</v>
      </c>
      <c r="D1419" s="51" t="s">
        <v>53</v>
      </c>
      <c r="E1419">
        <f>VLOOKUP(M1419,'MASS - 2016'!$A$1:$G$3418,6,FALSE)</f>
        <v>-88058.785999999993</v>
      </c>
      <c r="F1419">
        <f>VLOOKUP(M1419,'MASS - 2016'!$A$1:$G$3418,7,FALSE)</f>
        <v>4.9740000000000002</v>
      </c>
      <c r="G1419">
        <f t="shared" si="111"/>
        <v>-88058.785999999993</v>
      </c>
      <c r="H1419">
        <f t="shared" si="112"/>
        <v>130.90546500542851</v>
      </c>
      <c r="I1419">
        <f t="shared" si="113"/>
        <v>121.93766320499999</v>
      </c>
      <c r="J1419">
        <f t="shared" si="110"/>
        <v>121909.55820499999</v>
      </c>
      <c r="M1419">
        <f t="shared" si="114"/>
        <v>76055</v>
      </c>
    </row>
    <row r="1420" spans="1:13" x14ac:dyDescent="0.2">
      <c r="A1420">
        <v>75</v>
      </c>
      <c r="B1420">
        <v>56</v>
      </c>
      <c r="C1420">
        <v>131</v>
      </c>
      <c r="D1420" s="51" t="s">
        <v>54</v>
      </c>
      <c r="E1420">
        <f>VLOOKUP(M1420,'MASS - 2016'!$A$1:$G$3418,6,FALSE)</f>
        <v>-86683.731</v>
      </c>
      <c r="F1420">
        <f>VLOOKUP(M1420,'MASS - 2016'!$A$1:$G$3418,7,FALSE)</f>
        <v>2.569</v>
      </c>
      <c r="G1420">
        <f t="shared" si="111"/>
        <v>-86683.731</v>
      </c>
      <c r="H1420">
        <f t="shared" si="112"/>
        <v>130.90694118767979</v>
      </c>
      <c r="I1420">
        <f t="shared" si="113"/>
        <v>121.93903826</v>
      </c>
      <c r="J1420">
        <f t="shared" ref="J1420:J1483" si="115">1000*I1420-B1420*0.511</f>
        <v>121910.42226000001</v>
      </c>
      <c r="M1420">
        <f t="shared" si="114"/>
        <v>75056</v>
      </c>
    </row>
    <row r="1421" spans="1:13" x14ac:dyDescent="0.2">
      <c r="A1421">
        <v>74</v>
      </c>
      <c r="B1421">
        <v>57</v>
      </c>
      <c r="C1421">
        <v>131</v>
      </c>
      <c r="D1421" s="51" t="s">
        <v>55</v>
      </c>
      <c r="E1421">
        <f>VLOOKUP(M1421,'MASS - 2016'!$A$1:$G$3418,6,FALSE)</f>
        <v>-83769.255999999994</v>
      </c>
      <c r="F1421">
        <f>VLOOKUP(M1421,'MASS - 2016'!$A$1:$G$3418,7,FALSE)</f>
        <v>27.945</v>
      </c>
      <c r="G1421">
        <f t="shared" si="111"/>
        <v>-83769.255999999994</v>
      </c>
      <c r="H1421">
        <f t="shared" si="112"/>
        <v>130.91007000526653</v>
      </c>
      <c r="I1421">
        <f t="shared" si="113"/>
        <v>121.94195273500002</v>
      </c>
      <c r="J1421">
        <f t="shared" si="115"/>
        <v>121912.82573500002</v>
      </c>
      <c r="M1421">
        <f t="shared" si="114"/>
        <v>74057</v>
      </c>
    </row>
    <row r="1422" spans="1:13" x14ac:dyDescent="0.2">
      <c r="A1422">
        <v>73</v>
      </c>
      <c r="B1422">
        <v>58</v>
      </c>
      <c r="C1422">
        <v>131</v>
      </c>
      <c r="D1422" s="51" t="s">
        <v>56</v>
      </c>
      <c r="E1422">
        <f>VLOOKUP(M1422,'MASS - 2016'!$A$1:$G$3418,6,FALSE)</f>
        <v>-79708.44</v>
      </c>
      <c r="F1422">
        <f>VLOOKUP(M1422,'MASS - 2016'!$A$1:$G$3418,7,FALSE)</f>
        <v>32.802</v>
      </c>
      <c r="G1422">
        <f t="shared" si="111"/>
        <v>-79708.44</v>
      </c>
      <c r="H1422">
        <f t="shared" si="112"/>
        <v>130.91442947052778</v>
      </c>
      <c r="I1422">
        <f t="shared" si="113"/>
        <v>121.94601355099999</v>
      </c>
      <c r="J1422">
        <f t="shared" si="115"/>
        <v>121916.37555099999</v>
      </c>
      <c r="M1422">
        <f t="shared" si="114"/>
        <v>73058</v>
      </c>
    </row>
    <row r="1423" spans="1:13" x14ac:dyDescent="0.2">
      <c r="A1423">
        <v>72</v>
      </c>
      <c r="B1423">
        <v>59</v>
      </c>
      <c r="C1423">
        <v>131</v>
      </c>
      <c r="D1423" s="51" t="s">
        <v>57</v>
      </c>
      <c r="E1423">
        <f>VLOOKUP(M1423,'MASS - 2016'!$A$1:$G$3418,6,FALSE)</f>
        <v>-74300.656000000003</v>
      </c>
      <c r="F1423">
        <f>VLOOKUP(M1423,'MASS - 2016'!$A$1:$G$3418,7,FALSE)</f>
        <v>46.994999999999997</v>
      </c>
      <c r="G1423">
        <f t="shared" ref="G1423:G1486" si="116">IF(ISNUMBER(E1423),E1423,VALUE(SUBSTITUTE(E1423,"#",".01")))</f>
        <v>-74300.656000000003</v>
      </c>
      <c r="H1423">
        <f t="shared" si="112"/>
        <v>130.92023496540574</v>
      </c>
      <c r="I1423">
        <f t="shared" si="113"/>
        <v>121.95142133499999</v>
      </c>
      <c r="J1423">
        <f t="shared" si="115"/>
        <v>121921.27233499999</v>
      </c>
      <c r="M1423">
        <f t="shared" si="114"/>
        <v>72059</v>
      </c>
    </row>
    <row r="1424" spans="1:13" x14ac:dyDescent="0.2">
      <c r="A1424">
        <v>71</v>
      </c>
      <c r="B1424">
        <v>60</v>
      </c>
      <c r="C1424">
        <v>131</v>
      </c>
      <c r="D1424" s="51" t="s">
        <v>58</v>
      </c>
      <c r="E1424">
        <f>VLOOKUP(M1424,'MASS - 2016'!$A$1:$G$3418,6,FALSE)</f>
        <v>-67768.032999999996</v>
      </c>
      <c r="F1424">
        <f>VLOOKUP(M1424,'MASS - 2016'!$A$1:$G$3418,7,FALSE)</f>
        <v>27.516999999999999</v>
      </c>
      <c r="G1424">
        <f t="shared" si="116"/>
        <v>-67768.032999999996</v>
      </c>
      <c r="H1424">
        <f t="shared" si="112"/>
        <v>130.92724802461194</v>
      </c>
      <c r="I1424">
        <f t="shared" si="113"/>
        <v>121.957953958</v>
      </c>
      <c r="J1424">
        <f t="shared" si="115"/>
        <v>121927.29395799999</v>
      </c>
      <c r="M1424">
        <f t="shared" si="114"/>
        <v>71060</v>
      </c>
    </row>
    <row r="1425" spans="1:13" x14ac:dyDescent="0.2">
      <c r="A1425">
        <v>70</v>
      </c>
      <c r="B1425">
        <v>61</v>
      </c>
      <c r="C1425">
        <v>131</v>
      </c>
      <c r="D1425" s="51" t="s">
        <v>59</v>
      </c>
      <c r="E1425" t="str">
        <f>VLOOKUP(M1425,'MASS - 2016'!$A$1:$G$3418,6,FALSE)</f>
        <v>-59660#</v>
      </c>
      <c r="F1425" t="str">
        <f>VLOOKUP(M1425,'MASS - 2016'!$A$1:$G$3418,7,FALSE)</f>
        <v>200#</v>
      </c>
      <c r="G1425">
        <f t="shared" si="116"/>
        <v>-59660.01</v>
      </c>
      <c r="H1425">
        <f t="shared" si="112"/>
        <v>130.93595234527211</v>
      </c>
      <c r="I1425">
        <f t="shared" si="113"/>
        <v>121.966061981</v>
      </c>
      <c r="J1425">
        <f t="shared" si="115"/>
        <v>121934.89098099999</v>
      </c>
      <c r="M1425">
        <f t="shared" si="114"/>
        <v>70061</v>
      </c>
    </row>
    <row r="1426" spans="1:13" x14ac:dyDescent="0.2">
      <c r="A1426">
        <v>69</v>
      </c>
      <c r="B1426">
        <v>62</v>
      </c>
      <c r="C1426">
        <v>131</v>
      </c>
      <c r="D1426" s="51" t="s">
        <v>60</v>
      </c>
      <c r="E1426" t="str">
        <f>VLOOKUP(M1426,'MASS - 2016'!$A$1:$G$3418,6,FALSE)</f>
        <v>-50133#</v>
      </c>
      <c r="F1426" t="str">
        <f>VLOOKUP(M1426,'MASS - 2016'!$A$1:$G$3418,7,FALSE)</f>
        <v>401#</v>
      </c>
      <c r="G1426">
        <f t="shared" si="116"/>
        <v>-50133.01</v>
      </c>
      <c r="H1426">
        <f t="shared" si="112"/>
        <v>130.94618000038972</v>
      </c>
      <c r="I1426">
        <f t="shared" si="113"/>
        <v>121.975588981</v>
      </c>
      <c r="J1426">
        <f t="shared" si="115"/>
        <v>121943.90698100001</v>
      </c>
      <c r="M1426">
        <f t="shared" si="114"/>
        <v>69062</v>
      </c>
    </row>
    <row r="1427" spans="1:13" x14ac:dyDescent="0.2">
      <c r="A1427">
        <v>83</v>
      </c>
      <c r="B1427">
        <v>49</v>
      </c>
      <c r="C1427">
        <v>132</v>
      </c>
      <c r="D1427" s="51" t="s">
        <v>47</v>
      </c>
      <c r="E1427">
        <f>VLOOKUP(M1427,'MASS - 2016'!$A$1:$G$3418,6,FALSE)</f>
        <v>-62411.542000000001</v>
      </c>
      <c r="F1427">
        <f>VLOOKUP(M1427,'MASS - 2016'!$A$1:$G$3418,7,FALSE)</f>
        <v>60.033000000000001</v>
      </c>
      <c r="G1427">
        <f t="shared" si="116"/>
        <v>-62411.542000000001</v>
      </c>
      <c r="H1427">
        <f t="shared" si="112"/>
        <v>131.9329984541898</v>
      </c>
      <c r="I1427">
        <f t="shared" si="113"/>
        <v>122.89480450999997</v>
      </c>
      <c r="J1427">
        <f t="shared" si="115"/>
        <v>122869.76550999997</v>
      </c>
      <c r="M1427">
        <f t="shared" si="114"/>
        <v>83049</v>
      </c>
    </row>
    <row r="1428" spans="1:13" x14ac:dyDescent="0.2">
      <c r="A1428">
        <v>82</v>
      </c>
      <c r="B1428">
        <v>50</v>
      </c>
      <c r="C1428">
        <v>132</v>
      </c>
      <c r="D1428" s="51" t="s">
        <v>48</v>
      </c>
      <c r="E1428">
        <f>VLOOKUP(M1428,'MASS - 2016'!$A$1:$G$3418,6,FALSE)</f>
        <v>-76546.542000000001</v>
      </c>
      <c r="F1428">
        <f>VLOOKUP(M1428,'MASS - 2016'!$A$1:$G$3418,7,FALSE)</f>
        <v>1.976</v>
      </c>
      <c r="G1428">
        <f t="shared" si="116"/>
        <v>-76546.542000000001</v>
      </c>
      <c r="H1428">
        <f t="shared" si="112"/>
        <v>131.91782390762876</v>
      </c>
      <c r="I1428">
        <f t="shared" si="113"/>
        <v>122.88066951</v>
      </c>
      <c r="J1428">
        <f t="shared" si="115"/>
        <v>122855.11951</v>
      </c>
      <c r="M1428">
        <f t="shared" si="114"/>
        <v>82050</v>
      </c>
    </row>
    <row r="1429" spans="1:13" x14ac:dyDescent="0.2">
      <c r="A1429">
        <v>81</v>
      </c>
      <c r="B1429">
        <v>51</v>
      </c>
      <c r="C1429">
        <v>132</v>
      </c>
      <c r="D1429" s="51" t="s">
        <v>49</v>
      </c>
      <c r="E1429">
        <f>VLOOKUP(M1429,'MASS - 2016'!$A$1:$G$3418,6,FALSE)</f>
        <v>-79635.270999999993</v>
      </c>
      <c r="F1429">
        <f>VLOOKUP(M1429,'MASS - 2016'!$A$1:$G$3418,7,FALSE)</f>
        <v>2.4670000000000001</v>
      </c>
      <c r="G1429">
        <f t="shared" si="116"/>
        <v>-79635.270999999993</v>
      </c>
      <c r="H1429">
        <f t="shared" si="112"/>
        <v>131.91450802067968</v>
      </c>
      <c r="I1429">
        <f t="shared" si="113"/>
        <v>122.87758078099998</v>
      </c>
      <c r="J1429">
        <f t="shared" si="115"/>
        <v>122851.51978099998</v>
      </c>
      <c r="M1429">
        <f t="shared" si="114"/>
        <v>81051</v>
      </c>
    </row>
    <row r="1430" spans="1:13" x14ac:dyDescent="0.2">
      <c r="A1430">
        <v>80</v>
      </c>
      <c r="B1430">
        <v>52</v>
      </c>
      <c r="C1430">
        <v>132</v>
      </c>
      <c r="D1430" s="51" t="s">
        <v>50</v>
      </c>
      <c r="E1430">
        <f>VLOOKUP(M1430,'MASS - 2016'!$A$1:$G$3418,6,FALSE)</f>
        <v>-85188.186000000002</v>
      </c>
      <c r="F1430">
        <f>VLOOKUP(M1430,'MASS - 2016'!$A$1:$G$3418,7,FALSE)</f>
        <v>3.4860000000000002</v>
      </c>
      <c r="G1430">
        <f t="shared" si="116"/>
        <v>-85188.186000000002</v>
      </c>
      <c r="H1430">
        <f t="shared" si="112"/>
        <v>131.90854672126568</v>
      </c>
      <c r="I1430">
        <f t="shared" si="113"/>
        <v>122.872027866</v>
      </c>
      <c r="J1430">
        <f t="shared" si="115"/>
        <v>122845.45586599999</v>
      </c>
      <c r="M1430">
        <f t="shared" si="114"/>
        <v>80052</v>
      </c>
    </row>
    <row r="1431" spans="1:13" x14ac:dyDescent="0.2">
      <c r="A1431">
        <v>79</v>
      </c>
      <c r="B1431">
        <v>53</v>
      </c>
      <c r="C1431">
        <v>132</v>
      </c>
      <c r="D1431" s="51" t="s">
        <v>51</v>
      </c>
      <c r="E1431">
        <f>VLOOKUP(M1431,'MASS - 2016'!$A$1:$G$3418,6,FALSE)</f>
        <v>-85703.49</v>
      </c>
      <c r="F1431">
        <f>VLOOKUP(M1431,'MASS - 2016'!$A$1:$G$3418,7,FALSE)</f>
        <v>4.0650000000000004</v>
      </c>
      <c r="G1431">
        <f t="shared" si="116"/>
        <v>-85703.49</v>
      </c>
      <c r="H1431">
        <f t="shared" si="112"/>
        <v>131.90799351967098</v>
      </c>
      <c r="I1431">
        <f t="shared" si="113"/>
        <v>122.87151256200001</v>
      </c>
      <c r="J1431">
        <f t="shared" si="115"/>
        <v>122844.429562</v>
      </c>
      <c r="M1431">
        <f t="shared" si="114"/>
        <v>79053</v>
      </c>
    </row>
    <row r="1432" spans="1:13" x14ac:dyDescent="0.2">
      <c r="A1432">
        <v>78</v>
      </c>
      <c r="B1432">
        <v>54</v>
      </c>
      <c r="C1432">
        <v>132</v>
      </c>
      <c r="D1432" s="51" t="s">
        <v>52</v>
      </c>
      <c r="E1432">
        <f>VLOOKUP(M1432,'MASS - 2016'!$A$1:$G$3418,6,FALSE)</f>
        <v>-89278.961790000001</v>
      </c>
      <c r="F1432">
        <f>VLOOKUP(M1432,'MASS - 2016'!$A$1:$G$3418,7,FALSE)</f>
        <v>5.1500000000000001E-3</v>
      </c>
      <c r="G1432">
        <f t="shared" si="116"/>
        <v>-89278.961790000001</v>
      </c>
      <c r="H1432">
        <f t="shared" si="112"/>
        <v>131.90415509284711</v>
      </c>
      <c r="I1432">
        <f t="shared" si="113"/>
        <v>122.86793709020998</v>
      </c>
      <c r="J1432">
        <f t="shared" si="115"/>
        <v>122840.34309020998</v>
      </c>
      <c r="M1432">
        <f t="shared" si="114"/>
        <v>78054</v>
      </c>
    </row>
    <row r="1433" spans="1:13" x14ac:dyDescent="0.2">
      <c r="A1433">
        <v>77</v>
      </c>
      <c r="B1433">
        <v>55</v>
      </c>
      <c r="C1433">
        <v>132</v>
      </c>
      <c r="D1433" s="51" t="s">
        <v>53</v>
      </c>
      <c r="E1433">
        <f>VLOOKUP(M1433,'MASS - 2016'!$A$1:$G$3418,6,FALSE)</f>
        <v>-87152.680999999997</v>
      </c>
      <c r="F1433">
        <f>VLOOKUP(M1433,'MASS - 2016'!$A$1:$G$3418,7,FALSE)</f>
        <v>1.036</v>
      </c>
      <c r="G1433">
        <f t="shared" si="116"/>
        <v>-87152.680999999997</v>
      </c>
      <c r="H1433">
        <f t="shared" si="112"/>
        <v>131.9064377491506</v>
      </c>
      <c r="I1433">
        <f t="shared" si="113"/>
        <v>122.87006337099999</v>
      </c>
      <c r="J1433">
        <f t="shared" si="115"/>
        <v>122841.95837099999</v>
      </c>
      <c r="M1433">
        <f t="shared" si="114"/>
        <v>77055</v>
      </c>
    </row>
    <row r="1434" spans="1:13" x14ac:dyDescent="0.2">
      <c r="A1434">
        <v>76</v>
      </c>
      <c r="B1434">
        <v>56</v>
      </c>
      <c r="C1434">
        <v>132</v>
      </c>
      <c r="D1434" s="51" t="s">
        <v>54</v>
      </c>
      <c r="E1434">
        <f>VLOOKUP(M1434,'MASS - 2016'!$A$1:$G$3418,6,FALSE)</f>
        <v>-88435.017000000007</v>
      </c>
      <c r="F1434">
        <f>VLOOKUP(M1434,'MASS - 2016'!$A$1:$G$3418,7,FALSE)</f>
        <v>1.054</v>
      </c>
      <c r="G1434">
        <f t="shared" si="116"/>
        <v>-88435.017000000007</v>
      </c>
      <c r="H1434">
        <f t="shared" si="112"/>
        <v>131.9050611048394</v>
      </c>
      <c r="I1434">
        <f t="shared" si="113"/>
        <v>122.868781035</v>
      </c>
      <c r="J1434">
        <f t="shared" si="115"/>
        <v>122840.165035</v>
      </c>
      <c r="M1434">
        <f t="shared" si="114"/>
        <v>76056</v>
      </c>
    </row>
    <row r="1435" spans="1:13" x14ac:dyDescent="0.2">
      <c r="A1435">
        <v>75</v>
      </c>
      <c r="B1435">
        <v>57</v>
      </c>
      <c r="C1435">
        <v>132</v>
      </c>
      <c r="D1435" s="51" t="s">
        <v>55</v>
      </c>
      <c r="E1435">
        <f>VLOOKUP(M1435,'MASS - 2016'!$A$1:$G$3418,6,FALSE)</f>
        <v>-83723.649999999994</v>
      </c>
      <c r="F1435">
        <f>VLOOKUP(M1435,'MASS - 2016'!$A$1:$G$3418,7,FALSE)</f>
        <v>36.359000000000002</v>
      </c>
      <c r="G1435">
        <f t="shared" si="116"/>
        <v>-83723.649999999994</v>
      </c>
      <c r="H1435">
        <f t="shared" si="112"/>
        <v>131.91011896532103</v>
      </c>
      <c r="I1435">
        <f t="shared" si="113"/>
        <v>122.87349240200001</v>
      </c>
      <c r="J1435">
        <f t="shared" si="115"/>
        <v>122844.36540200001</v>
      </c>
      <c r="M1435">
        <f t="shared" si="114"/>
        <v>75057</v>
      </c>
    </row>
    <row r="1436" spans="1:13" x14ac:dyDescent="0.2">
      <c r="A1436">
        <v>74</v>
      </c>
      <c r="B1436">
        <v>58</v>
      </c>
      <c r="C1436">
        <v>132</v>
      </c>
      <c r="D1436" s="51" t="s">
        <v>56</v>
      </c>
      <c r="E1436">
        <f>VLOOKUP(M1436,'MASS - 2016'!$A$1:$G$3418,6,FALSE)</f>
        <v>-82470.895999999993</v>
      </c>
      <c r="F1436">
        <f>VLOOKUP(M1436,'MASS - 2016'!$A$1:$G$3418,7,FALSE)</f>
        <v>20.442</v>
      </c>
      <c r="G1436">
        <f t="shared" si="116"/>
        <v>-82470.895999999993</v>
      </c>
      <c r="H1436">
        <f t="shared" si="112"/>
        <v>131.91146385204917</v>
      </c>
      <c r="I1436">
        <f t="shared" si="113"/>
        <v>122.87474515599997</v>
      </c>
      <c r="J1436">
        <f t="shared" si="115"/>
        <v>122845.10715599997</v>
      </c>
      <c r="M1436">
        <f t="shared" si="114"/>
        <v>74058</v>
      </c>
    </row>
    <row r="1437" spans="1:13" x14ac:dyDescent="0.2">
      <c r="A1437">
        <v>73</v>
      </c>
      <c r="B1437">
        <v>59</v>
      </c>
      <c r="C1437">
        <v>132</v>
      </c>
      <c r="D1437" s="51" t="s">
        <v>57</v>
      </c>
      <c r="E1437">
        <f>VLOOKUP(M1437,'MASS - 2016'!$A$1:$G$3418,6,FALSE)</f>
        <v>-75227.456000000006</v>
      </c>
      <c r="F1437">
        <f>VLOOKUP(M1437,'MASS - 2016'!$A$1:$G$3418,7,FALSE)</f>
        <v>28.876000000000001</v>
      </c>
      <c r="G1437">
        <f t="shared" si="116"/>
        <v>-75227.456000000006</v>
      </c>
      <c r="H1437">
        <f t="shared" si="112"/>
        <v>131.91924000468748</v>
      </c>
      <c r="I1437">
        <f t="shared" si="113"/>
        <v>122.881988596</v>
      </c>
      <c r="J1437">
        <f t="shared" si="115"/>
        <v>122851.83959599999</v>
      </c>
      <c r="M1437">
        <f t="shared" si="114"/>
        <v>73059</v>
      </c>
    </row>
    <row r="1438" spans="1:13" x14ac:dyDescent="0.2">
      <c r="A1438">
        <v>72</v>
      </c>
      <c r="B1438">
        <v>60</v>
      </c>
      <c r="C1438">
        <v>132</v>
      </c>
      <c r="D1438" s="51" t="s">
        <v>58</v>
      </c>
      <c r="E1438">
        <f>VLOOKUP(M1438,'MASS - 2016'!$A$1:$G$3418,6,FALSE)</f>
        <v>-71425.807000000001</v>
      </c>
      <c r="F1438">
        <f>VLOOKUP(M1438,'MASS - 2016'!$A$1:$G$3418,7,FALSE)</f>
        <v>24.204999999999998</v>
      </c>
      <c r="G1438">
        <f t="shared" si="116"/>
        <v>-71425.807000000001</v>
      </c>
      <c r="H1438">
        <f t="shared" si="112"/>
        <v>131.92332124273199</v>
      </c>
      <c r="I1438">
        <f t="shared" si="113"/>
        <v>122.88579024499998</v>
      </c>
      <c r="J1438">
        <f t="shared" si="115"/>
        <v>122855.13024499998</v>
      </c>
      <c r="M1438">
        <f t="shared" si="114"/>
        <v>72060</v>
      </c>
    </row>
    <row r="1439" spans="1:13" x14ac:dyDescent="0.2">
      <c r="A1439">
        <v>71</v>
      </c>
      <c r="B1439">
        <v>61</v>
      </c>
      <c r="C1439">
        <v>132</v>
      </c>
      <c r="D1439" s="51" t="s">
        <v>59</v>
      </c>
      <c r="E1439" t="str">
        <f>VLOOKUP(M1439,'MASS - 2016'!$A$1:$G$3418,6,FALSE)</f>
        <v>-61628#</v>
      </c>
      <c r="F1439" t="str">
        <f>VLOOKUP(M1439,'MASS - 2016'!$A$1:$G$3418,7,FALSE)</f>
        <v>149#</v>
      </c>
      <c r="G1439">
        <f t="shared" si="116"/>
        <v>-61628.01</v>
      </c>
      <c r="H1439">
        <f t="shared" si="112"/>
        <v>131.93383961038478</v>
      </c>
      <c r="I1439">
        <f t="shared" si="113"/>
        <v>122.89558804199997</v>
      </c>
      <c r="J1439">
        <f t="shared" si="115"/>
        <v>122864.41704199997</v>
      </c>
      <c r="M1439">
        <f t="shared" si="114"/>
        <v>71061</v>
      </c>
    </row>
    <row r="1440" spans="1:13" x14ac:dyDescent="0.2">
      <c r="A1440">
        <v>70</v>
      </c>
      <c r="B1440">
        <v>62</v>
      </c>
      <c r="C1440">
        <v>132</v>
      </c>
      <c r="D1440" s="51" t="s">
        <v>60</v>
      </c>
      <c r="E1440" t="str">
        <f>VLOOKUP(M1440,'MASS - 2016'!$A$1:$G$3418,6,FALSE)</f>
        <v>-55079#</v>
      </c>
      <c r="F1440" t="str">
        <f>VLOOKUP(M1440,'MASS - 2016'!$A$1:$G$3418,7,FALSE)</f>
        <v>298#</v>
      </c>
      <c r="G1440">
        <f t="shared" si="116"/>
        <v>-55079.01</v>
      </c>
      <c r="H1440">
        <f t="shared" si="112"/>
        <v>131.94087025102354</v>
      </c>
      <c r="I1440">
        <f t="shared" si="113"/>
        <v>122.90213704200001</v>
      </c>
      <c r="J1440">
        <f t="shared" si="115"/>
        <v>122870.455042</v>
      </c>
      <c r="M1440">
        <f t="shared" si="114"/>
        <v>70062</v>
      </c>
    </row>
    <row r="1441" spans="1:13" x14ac:dyDescent="0.2">
      <c r="A1441">
        <v>69</v>
      </c>
      <c r="B1441">
        <v>63</v>
      </c>
      <c r="C1441">
        <v>132</v>
      </c>
      <c r="D1441" s="51" t="s">
        <v>61</v>
      </c>
      <c r="E1441" t="str">
        <f>VLOOKUP(M1441,'MASS - 2016'!$A$1:$G$3418,6,FALSE)</f>
        <v>-42200#</v>
      </c>
      <c r="F1441" t="str">
        <f>VLOOKUP(M1441,'MASS - 2016'!$A$1:$G$3418,7,FALSE)</f>
        <v>400#</v>
      </c>
      <c r="G1441">
        <f t="shared" si="116"/>
        <v>-42200.01</v>
      </c>
      <c r="H1441">
        <f t="shared" si="112"/>
        <v>131.95469642613213</v>
      </c>
      <c r="I1441">
        <f t="shared" si="113"/>
        <v>122.915016042</v>
      </c>
      <c r="J1441">
        <f t="shared" si="115"/>
        <v>122882.823042</v>
      </c>
      <c r="M1441">
        <f t="shared" si="114"/>
        <v>69063</v>
      </c>
    </row>
    <row r="1442" spans="1:13" x14ac:dyDescent="0.2">
      <c r="A1442">
        <v>84</v>
      </c>
      <c r="B1442">
        <v>49</v>
      </c>
      <c r="C1442">
        <v>133</v>
      </c>
      <c r="D1442" s="51" t="s">
        <v>47</v>
      </c>
      <c r="E1442" t="str">
        <f>VLOOKUP(M1442,'MASS - 2016'!$A$1:$G$3418,6,FALSE)</f>
        <v>-57464#</v>
      </c>
      <c r="F1442" t="str">
        <f>VLOOKUP(M1442,'MASS - 2016'!$A$1:$G$3418,7,FALSE)</f>
        <v>196#</v>
      </c>
      <c r="G1442">
        <f t="shared" si="116"/>
        <v>-57464.01</v>
      </c>
      <c r="H1442">
        <f t="shared" si="112"/>
        <v>132.93830984822566</v>
      </c>
      <c r="I1442">
        <f t="shared" si="113"/>
        <v>123.83124610300001</v>
      </c>
      <c r="J1442">
        <f t="shared" si="115"/>
        <v>123806.20710300001</v>
      </c>
      <c r="M1442">
        <f t="shared" si="114"/>
        <v>84049</v>
      </c>
    </row>
    <row r="1443" spans="1:13" x14ac:dyDescent="0.2">
      <c r="A1443">
        <v>83</v>
      </c>
      <c r="B1443">
        <v>50</v>
      </c>
      <c r="C1443">
        <v>133</v>
      </c>
      <c r="D1443" s="51" t="s">
        <v>48</v>
      </c>
      <c r="E1443">
        <f>VLOOKUP(M1443,'MASS - 2016'!$A$1:$G$3418,6,FALSE)</f>
        <v>-70873.88</v>
      </c>
      <c r="F1443">
        <f>VLOOKUP(M1443,'MASS - 2016'!$A$1:$G$3418,7,FALSE)</f>
        <v>1.9039999999999999</v>
      </c>
      <c r="G1443">
        <f t="shared" si="116"/>
        <v>-70873.88</v>
      </c>
      <c r="H1443">
        <f t="shared" si="112"/>
        <v>132.92391376073411</v>
      </c>
      <c r="I1443">
        <f t="shared" si="113"/>
        <v>123.81783623299999</v>
      </c>
      <c r="J1443">
        <f t="shared" si="115"/>
        <v>123792.28623299999</v>
      </c>
      <c r="M1443">
        <f t="shared" si="114"/>
        <v>83050</v>
      </c>
    </row>
    <row r="1444" spans="1:13" x14ac:dyDescent="0.2">
      <c r="A1444">
        <v>82</v>
      </c>
      <c r="B1444">
        <v>51</v>
      </c>
      <c r="C1444">
        <v>133</v>
      </c>
      <c r="D1444" s="51" t="s">
        <v>49</v>
      </c>
      <c r="E1444">
        <f>VLOOKUP(M1444,'MASS - 2016'!$A$1:$G$3418,6,FALSE)</f>
        <v>-78923.502999999997</v>
      </c>
      <c r="F1444">
        <f>VLOOKUP(M1444,'MASS - 2016'!$A$1:$G$3418,7,FALSE)</f>
        <v>3.1280000000000001</v>
      </c>
      <c r="G1444">
        <f t="shared" si="116"/>
        <v>-78923.502999999997</v>
      </c>
      <c r="H1444">
        <f t="shared" si="112"/>
        <v>132.91527213505231</v>
      </c>
      <c r="I1444">
        <f t="shared" si="113"/>
        <v>123.80978661</v>
      </c>
      <c r="J1444">
        <f t="shared" si="115"/>
        <v>123783.72561000001</v>
      </c>
      <c r="M1444">
        <f t="shared" si="114"/>
        <v>82051</v>
      </c>
    </row>
    <row r="1445" spans="1:13" x14ac:dyDescent="0.2">
      <c r="A1445">
        <v>81</v>
      </c>
      <c r="B1445">
        <v>52</v>
      </c>
      <c r="C1445">
        <v>133</v>
      </c>
      <c r="D1445" s="51" t="s">
        <v>50</v>
      </c>
      <c r="E1445">
        <f>VLOOKUP(M1445,'MASS - 2016'!$A$1:$G$3418,6,FALSE)</f>
        <v>-82937.122000000003</v>
      </c>
      <c r="F1445">
        <f>VLOOKUP(M1445,'MASS - 2016'!$A$1:$G$3418,7,FALSE)</f>
        <v>2.0659999999999998</v>
      </c>
      <c r="G1445">
        <f t="shared" si="116"/>
        <v>-82937.122000000003</v>
      </c>
      <c r="H1445">
        <f t="shared" si="112"/>
        <v>132.91096333785427</v>
      </c>
      <c r="I1445">
        <f t="shared" si="113"/>
        <v>123.80577299099998</v>
      </c>
      <c r="J1445">
        <f t="shared" si="115"/>
        <v>123779.20099099999</v>
      </c>
      <c r="M1445">
        <f t="shared" si="114"/>
        <v>81052</v>
      </c>
    </row>
    <row r="1446" spans="1:13" x14ac:dyDescent="0.2">
      <c r="A1446">
        <v>80</v>
      </c>
      <c r="B1446">
        <v>53</v>
      </c>
      <c r="C1446">
        <v>133</v>
      </c>
      <c r="D1446" s="51" t="s">
        <v>51</v>
      </c>
      <c r="E1446">
        <f>VLOOKUP(M1446,'MASS - 2016'!$A$1:$G$3418,6,FALSE)</f>
        <v>-85858.26</v>
      </c>
      <c r="F1446">
        <f>VLOOKUP(M1446,'MASS - 2016'!$A$1:$G$3418,7,FALSE)</f>
        <v>6.4269999999999996</v>
      </c>
      <c r="G1446">
        <f t="shared" si="116"/>
        <v>-85858.26</v>
      </c>
      <c r="H1446">
        <f t="shared" si="112"/>
        <v>132.90782736724287</v>
      </c>
      <c r="I1446">
        <f t="shared" si="113"/>
        <v>123.80285185300001</v>
      </c>
      <c r="J1446">
        <f t="shared" si="115"/>
        <v>123775.768853</v>
      </c>
      <c r="M1446">
        <f t="shared" si="114"/>
        <v>80053</v>
      </c>
    </row>
    <row r="1447" spans="1:13" x14ac:dyDescent="0.2">
      <c r="A1447">
        <v>79</v>
      </c>
      <c r="B1447">
        <v>54</v>
      </c>
      <c r="C1447">
        <v>133</v>
      </c>
      <c r="D1447" s="51" t="s">
        <v>52</v>
      </c>
      <c r="E1447">
        <f>VLOOKUP(M1447,'MASS - 2016'!$A$1:$G$3418,6,FALSE)</f>
        <v>-87643.570999999996</v>
      </c>
      <c r="F1447">
        <f>VLOOKUP(M1447,'MASS - 2016'!$A$1:$G$3418,7,FALSE)</f>
        <v>2.4</v>
      </c>
      <c r="G1447">
        <f t="shared" si="116"/>
        <v>-87643.570999999996</v>
      </c>
      <c r="H1447">
        <f t="shared" si="112"/>
        <v>132.9059107570628</v>
      </c>
      <c r="I1447">
        <f t="shared" si="113"/>
        <v>123.80106654200002</v>
      </c>
      <c r="J1447">
        <f t="shared" si="115"/>
        <v>123773.47254200002</v>
      </c>
      <c r="M1447">
        <f t="shared" si="114"/>
        <v>79054</v>
      </c>
    </row>
    <row r="1448" spans="1:13" x14ac:dyDescent="0.2">
      <c r="A1448">
        <v>78</v>
      </c>
      <c r="B1448">
        <v>55</v>
      </c>
      <c r="C1448">
        <v>133</v>
      </c>
      <c r="D1448" s="51" t="s">
        <v>53</v>
      </c>
      <c r="E1448">
        <f>VLOOKUP(M1448,'MASS - 2016'!$A$1:$G$3418,6,FALSE)</f>
        <v>-88070.930999999997</v>
      </c>
      <c r="F1448">
        <f>VLOOKUP(M1448,'MASS - 2016'!$A$1:$G$3418,7,FALSE)</f>
        <v>8.0000000000000002E-3</v>
      </c>
      <c r="G1448">
        <f t="shared" si="116"/>
        <v>-88070.930999999997</v>
      </c>
      <c r="H1448">
        <f t="shared" si="112"/>
        <v>132.90545196723482</v>
      </c>
      <c r="I1448">
        <f t="shared" si="113"/>
        <v>123.800639182</v>
      </c>
      <c r="J1448">
        <f t="shared" si="115"/>
        <v>123772.534182</v>
      </c>
      <c r="M1448">
        <f t="shared" si="114"/>
        <v>78055</v>
      </c>
    </row>
    <row r="1449" spans="1:13" x14ac:dyDescent="0.2">
      <c r="A1449">
        <v>77</v>
      </c>
      <c r="B1449">
        <v>56</v>
      </c>
      <c r="C1449">
        <v>133</v>
      </c>
      <c r="D1449" s="51" t="s">
        <v>54</v>
      </c>
      <c r="E1449">
        <f>VLOOKUP(M1449,'MASS - 2016'!$A$1:$G$3418,6,FALSE)</f>
        <v>-87553.612999999998</v>
      </c>
      <c r="F1449">
        <f>VLOOKUP(M1449,'MASS - 2016'!$A$1:$G$3418,7,FALSE)</f>
        <v>0.99199999999999999</v>
      </c>
      <c r="G1449">
        <f t="shared" si="116"/>
        <v>-87553.612999999998</v>
      </c>
      <c r="H1449">
        <f t="shared" si="112"/>
        <v>132.90600733094743</v>
      </c>
      <c r="I1449">
        <f t="shared" si="113"/>
        <v>123.80115649999999</v>
      </c>
      <c r="J1449">
        <f t="shared" si="115"/>
        <v>123772.5405</v>
      </c>
      <c r="M1449">
        <f t="shared" si="114"/>
        <v>77056</v>
      </c>
    </row>
    <row r="1450" spans="1:13" x14ac:dyDescent="0.2">
      <c r="A1450">
        <v>76</v>
      </c>
      <c r="B1450">
        <v>57</v>
      </c>
      <c r="C1450">
        <v>133</v>
      </c>
      <c r="D1450" s="51" t="s">
        <v>55</v>
      </c>
      <c r="E1450">
        <f>VLOOKUP(M1450,'MASS - 2016'!$A$1:$G$3418,6,FALSE)</f>
        <v>-85494.383000000002</v>
      </c>
      <c r="F1450">
        <f>VLOOKUP(M1450,'MASS - 2016'!$A$1:$G$3418,7,FALSE)</f>
        <v>27.945</v>
      </c>
      <c r="G1450">
        <f t="shared" si="116"/>
        <v>-85494.383000000002</v>
      </c>
      <c r="H1450">
        <f t="shared" si="112"/>
        <v>132.90821800526757</v>
      </c>
      <c r="I1450">
        <f t="shared" si="113"/>
        <v>123.80321573000001</v>
      </c>
      <c r="J1450">
        <f t="shared" si="115"/>
        <v>123774.08873000002</v>
      </c>
      <c r="M1450">
        <f t="shared" si="114"/>
        <v>76057</v>
      </c>
    </row>
    <row r="1451" spans="1:13" x14ac:dyDescent="0.2">
      <c r="A1451">
        <v>75</v>
      </c>
      <c r="B1451">
        <v>58</v>
      </c>
      <c r="C1451">
        <v>133</v>
      </c>
      <c r="D1451" s="51" t="s">
        <v>56</v>
      </c>
      <c r="E1451">
        <f>VLOOKUP(M1451,'MASS - 2016'!$A$1:$G$3418,6,FALSE)</f>
        <v>-82418.214000000007</v>
      </c>
      <c r="F1451">
        <f>VLOOKUP(M1451,'MASS - 2016'!$A$1:$G$3418,7,FALSE)</f>
        <v>16.353999999999999</v>
      </c>
      <c r="G1451">
        <f t="shared" si="116"/>
        <v>-82418.214000000007</v>
      </c>
      <c r="H1451">
        <f t="shared" si="112"/>
        <v>132.9115204085021</v>
      </c>
      <c r="I1451">
        <f t="shared" si="113"/>
        <v>123.806291899</v>
      </c>
      <c r="J1451">
        <f t="shared" si="115"/>
        <v>123776.653899</v>
      </c>
      <c r="M1451">
        <f t="shared" si="114"/>
        <v>75058</v>
      </c>
    </row>
    <row r="1452" spans="1:13" x14ac:dyDescent="0.2">
      <c r="A1452">
        <v>74</v>
      </c>
      <c r="B1452">
        <v>59</v>
      </c>
      <c r="C1452">
        <v>133</v>
      </c>
      <c r="D1452" s="51" t="s">
        <v>57</v>
      </c>
      <c r="E1452">
        <f>VLOOKUP(M1452,'MASS - 2016'!$A$1:$G$3418,6,FALSE)</f>
        <v>-77937.581000000006</v>
      </c>
      <c r="F1452">
        <f>VLOOKUP(M1452,'MASS - 2016'!$A$1:$G$3418,7,FALSE)</f>
        <v>12.497</v>
      </c>
      <c r="G1452">
        <f t="shared" si="116"/>
        <v>-77937.581000000006</v>
      </c>
      <c r="H1452">
        <f t="shared" si="112"/>
        <v>132.9163305658478</v>
      </c>
      <c r="I1452">
        <f t="shared" si="113"/>
        <v>123.81077253199999</v>
      </c>
      <c r="J1452">
        <f t="shared" si="115"/>
        <v>123780.62353199998</v>
      </c>
      <c r="M1452">
        <f t="shared" si="114"/>
        <v>74059</v>
      </c>
    </row>
    <row r="1453" spans="1:13" x14ac:dyDescent="0.2">
      <c r="A1453">
        <v>73</v>
      </c>
      <c r="B1453">
        <v>60</v>
      </c>
      <c r="C1453">
        <v>133</v>
      </c>
      <c r="D1453" s="51" t="s">
        <v>58</v>
      </c>
      <c r="E1453">
        <f>VLOOKUP(M1453,'MASS - 2016'!$A$1:$G$3418,6,FALSE)</f>
        <v>-72332.372000000003</v>
      </c>
      <c r="F1453">
        <f>VLOOKUP(M1453,'MASS - 2016'!$A$1:$G$3418,7,FALSE)</f>
        <v>46.575000000000003</v>
      </c>
      <c r="G1453">
        <f t="shared" si="116"/>
        <v>-72332.372000000003</v>
      </c>
      <c r="H1453">
        <f t="shared" si="112"/>
        <v>132.9223480051796</v>
      </c>
      <c r="I1453">
        <f t="shared" si="113"/>
        <v>123.816377741</v>
      </c>
      <c r="J1453">
        <f t="shared" si="115"/>
        <v>123785.717741</v>
      </c>
      <c r="M1453">
        <f t="shared" si="114"/>
        <v>73060</v>
      </c>
    </row>
    <row r="1454" spans="1:13" x14ac:dyDescent="0.2">
      <c r="A1454">
        <v>72</v>
      </c>
      <c r="B1454">
        <v>61</v>
      </c>
      <c r="C1454">
        <v>133</v>
      </c>
      <c r="D1454" s="51" t="s">
        <v>59</v>
      </c>
      <c r="E1454">
        <f>VLOOKUP(M1454,'MASS - 2016'!$A$1:$G$3418,6,FALSE)</f>
        <v>-65407.646000000001</v>
      </c>
      <c r="F1454">
        <f>VLOOKUP(M1454,'MASS - 2016'!$A$1:$G$3418,7,FALSE)</f>
        <v>50.301000000000002</v>
      </c>
      <c r="G1454">
        <f t="shared" si="116"/>
        <v>-65407.646000000001</v>
      </c>
      <c r="H1454">
        <f t="shared" si="112"/>
        <v>132.92978200426768</v>
      </c>
      <c r="I1454">
        <f t="shared" si="113"/>
        <v>123.82330246700002</v>
      </c>
      <c r="J1454">
        <f t="shared" si="115"/>
        <v>123792.13146700001</v>
      </c>
      <c r="M1454">
        <f t="shared" si="114"/>
        <v>72061</v>
      </c>
    </row>
    <row r="1455" spans="1:13" x14ac:dyDescent="0.2">
      <c r="A1455">
        <v>71</v>
      </c>
      <c r="B1455">
        <v>62</v>
      </c>
      <c r="C1455">
        <v>133</v>
      </c>
      <c r="D1455" s="51" t="s">
        <v>60</v>
      </c>
      <c r="E1455" t="str">
        <f>VLOOKUP(M1455,'MASS - 2016'!$A$1:$G$3418,6,FALSE)</f>
        <v>-57231#</v>
      </c>
      <c r="F1455" t="str">
        <f>VLOOKUP(M1455,'MASS - 2016'!$A$1:$G$3418,7,FALSE)</f>
        <v>298#</v>
      </c>
      <c r="G1455">
        <f t="shared" si="116"/>
        <v>-57231.01</v>
      </c>
      <c r="H1455">
        <f t="shared" si="112"/>
        <v>132.93855998401261</v>
      </c>
      <c r="I1455">
        <f t="shared" si="113"/>
        <v>123.83147910300001</v>
      </c>
      <c r="J1455">
        <f t="shared" si="115"/>
        <v>123799.797103</v>
      </c>
      <c r="M1455">
        <f t="shared" si="114"/>
        <v>71062</v>
      </c>
    </row>
    <row r="1456" spans="1:13" x14ac:dyDescent="0.2">
      <c r="A1456">
        <v>70</v>
      </c>
      <c r="B1456">
        <v>63</v>
      </c>
      <c r="C1456">
        <v>133</v>
      </c>
      <c r="D1456" s="51" t="s">
        <v>61</v>
      </c>
      <c r="E1456" t="str">
        <f>VLOOKUP(M1456,'MASS - 2016'!$A$1:$G$3418,6,FALSE)</f>
        <v>-47236#</v>
      </c>
      <c r="F1456" t="str">
        <f>VLOOKUP(M1456,'MASS - 2016'!$A$1:$G$3418,7,FALSE)</f>
        <v>298#</v>
      </c>
      <c r="G1456">
        <f t="shared" si="116"/>
        <v>-47236.01</v>
      </c>
      <c r="H1456">
        <f t="shared" si="112"/>
        <v>132.94929005779244</v>
      </c>
      <c r="I1456">
        <f t="shared" si="113"/>
        <v>123.841474103</v>
      </c>
      <c r="J1456">
        <f t="shared" si="115"/>
        <v>123809.281103</v>
      </c>
      <c r="M1456">
        <f t="shared" si="114"/>
        <v>70063</v>
      </c>
    </row>
    <row r="1457" spans="1:13" x14ac:dyDescent="0.2">
      <c r="A1457">
        <v>85</v>
      </c>
      <c r="B1457">
        <v>49</v>
      </c>
      <c r="C1457">
        <v>134</v>
      </c>
      <c r="D1457" s="51" t="s">
        <v>47</v>
      </c>
      <c r="E1457" t="str">
        <f>VLOOKUP(M1457,'MASS - 2016'!$A$1:$G$3418,6,FALSE)</f>
        <v>-51661#</v>
      </c>
      <c r="F1457" t="str">
        <f>VLOOKUP(M1457,'MASS - 2016'!$A$1:$G$3418,7,FALSE)</f>
        <v>298#</v>
      </c>
      <c r="G1457">
        <f t="shared" si="116"/>
        <v>-51661.01</v>
      </c>
      <c r="H1457">
        <f t="shared" si="112"/>
        <v>133.94453962492844</v>
      </c>
      <c r="I1457">
        <f t="shared" si="113"/>
        <v>124.76854316400001</v>
      </c>
      <c r="J1457">
        <f t="shared" si="115"/>
        <v>124743.504164</v>
      </c>
      <c r="M1457">
        <f t="shared" si="114"/>
        <v>85049</v>
      </c>
    </row>
    <row r="1458" spans="1:13" x14ac:dyDescent="0.2">
      <c r="A1458">
        <v>84</v>
      </c>
      <c r="B1458">
        <v>50</v>
      </c>
      <c r="C1458">
        <v>134</v>
      </c>
      <c r="D1458" s="51" t="s">
        <v>48</v>
      </c>
      <c r="E1458">
        <f>VLOOKUP(M1458,'MASS - 2016'!$A$1:$G$3418,6,FALSE)</f>
        <v>-66433.748000000007</v>
      </c>
      <c r="F1458">
        <f>VLOOKUP(M1458,'MASS - 2016'!$A$1:$G$3418,7,FALSE)</f>
        <v>3.1669999999999998</v>
      </c>
      <c r="G1458">
        <f t="shared" si="116"/>
        <v>-66433.748000000007</v>
      </c>
      <c r="H1458">
        <f t="shared" si="112"/>
        <v>133.92868043846821</v>
      </c>
      <c r="I1458">
        <f t="shared" si="113"/>
        <v>124.753770426</v>
      </c>
      <c r="J1458">
        <f t="shared" si="115"/>
        <v>124728.220426</v>
      </c>
      <c r="M1458">
        <f t="shared" si="114"/>
        <v>84050</v>
      </c>
    </row>
    <row r="1459" spans="1:13" x14ac:dyDescent="0.2">
      <c r="A1459">
        <v>83</v>
      </c>
      <c r="B1459">
        <v>51</v>
      </c>
      <c r="C1459">
        <v>134</v>
      </c>
      <c r="D1459" s="51" t="s">
        <v>49</v>
      </c>
      <c r="E1459">
        <f>VLOOKUP(M1459,'MASS - 2016'!$A$1:$G$3418,6,FALSE)</f>
        <v>-74020.542000000001</v>
      </c>
      <c r="F1459">
        <f>VLOOKUP(M1459,'MASS - 2016'!$A$1:$G$3418,7,FALSE)</f>
        <v>1.7050000000000001</v>
      </c>
      <c r="G1459">
        <f t="shared" si="116"/>
        <v>-74020.542000000001</v>
      </c>
      <c r="H1459">
        <f t="shared" si="112"/>
        <v>133.9205356801518</v>
      </c>
      <c r="I1459">
        <f t="shared" si="113"/>
        <v>124.746183632</v>
      </c>
      <c r="J1459">
        <f t="shared" si="115"/>
        <v>124720.122632</v>
      </c>
      <c r="M1459">
        <f t="shared" si="114"/>
        <v>83051</v>
      </c>
    </row>
    <row r="1460" spans="1:13" x14ac:dyDescent="0.2">
      <c r="A1460">
        <v>82</v>
      </c>
      <c r="B1460">
        <v>52</v>
      </c>
      <c r="C1460">
        <v>134</v>
      </c>
      <c r="D1460" s="51" t="s">
        <v>50</v>
      </c>
      <c r="E1460">
        <f>VLOOKUP(M1460,'MASS - 2016'!$A$1:$G$3418,6,FALSE)</f>
        <v>-82533.740999999995</v>
      </c>
      <c r="F1460">
        <f>VLOOKUP(M1460,'MASS - 2016'!$A$1:$G$3418,7,FALSE)</f>
        <v>2.746</v>
      </c>
      <c r="G1460">
        <f t="shared" si="116"/>
        <v>-82533.740999999995</v>
      </c>
      <c r="H1460">
        <f t="shared" si="112"/>
        <v>133.91139638516708</v>
      </c>
      <c r="I1460">
        <f t="shared" si="113"/>
        <v>124.73767043300001</v>
      </c>
      <c r="J1460">
        <f t="shared" si="115"/>
        <v>124711.09843300001</v>
      </c>
      <c r="M1460">
        <f t="shared" si="114"/>
        <v>82052</v>
      </c>
    </row>
    <row r="1461" spans="1:13" x14ac:dyDescent="0.2">
      <c r="A1461">
        <v>81</v>
      </c>
      <c r="B1461">
        <v>53</v>
      </c>
      <c r="C1461">
        <v>134</v>
      </c>
      <c r="D1461" s="51" t="s">
        <v>51</v>
      </c>
      <c r="E1461">
        <f>VLOOKUP(M1461,'MASS - 2016'!$A$1:$G$3418,6,FALSE)</f>
        <v>-84043.429000000004</v>
      </c>
      <c r="F1461">
        <f>VLOOKUP(M1461,'MASS - 2016'!$A$1:$G$3418,7,FALSE)</f>
        <v>4.8570000000000002</v>
      </c>
      <c r="G1461">
        <f t="shared" si="116"/>
        <v>-84043.429000000004</v>
      </c>
      <c r="H1461">
        <f t="shared" si="112"/>
        <v>133.90977566844626</v>
      </c>
      <c r="I1461">
        <f t="shared" si="113"/>
        <v>124.73616074499999</v>
      </c>
      <c r="J1461">
        <f t="shared" si="115"/>
        <v>124709.07774499999</v>
      </c>
      <c r="M1461">
        <f t="shared" si="114"/>
        <v>81053</v>
      </c>
    </row>
    <row r="1462" spans="1:13" x14ac:dyDescent="0.2">
      <c r="A1462">
        <v>80</v>
      </c>
      <c r="B1462">
        <v>54</v>
      </c>
      <c r="C1462">
        <v>134</v>
      </c>
      <c r="D1462" s="51" t="s">
        <v>52</v>
      </c>
      <c r="E1462">
        <f>VLOOKUP(M1462,'MASS - 2016'!$A$1:$G$3418,6,FALSE)</f>
        <v>-88125.822</v>
      </c>
      <c r="F1462">
        <f>VLOOKUP(M1462,'MASS - 2016'!$A$1:$G$3418,7,FALSE)</f>
        <v>8.9999999999999993E-3</v>
      </c>
      <c r="G1462">
        <f t="shared" si="116"/>
        <v>-88125.822</v>
      </c>
      <c r="H1462">
        <f t="shared" si="112"/>
        <v>133.90539303932289</v>
      </c>
      <c r="I1462">
        <f t="shared" si="113"/>
        <v>124.732078352</v>
      </c>
      <c r="J1462">
        <f t="shared" si="115"/>
        <v>124704.484352</v>
      </c>
      <c r="M1462">
        <f t="shared" si="114"/>
        <v>80054</v>
      </c>
    </row>
    <row r="1463" spans="1:13" x14ac:dyDescent="0.2">
      <c r="A1463">
        <v>79</v>
      </c>
      <c r="B1463">
        <v>55</v>
      </c>
      <c r="C1463">
        <v>134</v>
      </c>
      <c r="D1463" s="51" t="s">
        <v>53</v>
      </c>
      <c r="E1463">
        <f>VLOOKUP(M1463,'MASS - 2016'!$A$1:$G$3418,6,FALSE)</f>
        <v>-86891.153999999995</v>
      </c>
      <c r="F1463">
        <f>VLOOKUP(M1463,'MASS - 2016'!$A$1:$G$3418,7,FALSE)</f>
        <v>1.6E-2</v>
      </c>
      <c r="G1463">
        <f t="shared" si="116"/>
        <v>-86891.153999999995</v>
      </c>
      <c r="H1463">
        <f t="shared" si="112"/>
        <v>133.90671850993155</v>
      </c>
      <c r="I1463">
        <f t="shared" si="113"/>
        <v>124.73331302000001</v>
      </c>
      <c r="J1463">
        <f t="shared" si="115"/>
        <v>124705.20802000002</v>
      </c>
      <c r="M1463">
        <f t="shared" si="114"/>
        <v>79055</v>
      </c>
    </row>
    <row r="1464" spans="1:13" x14ac:dyDescent="0.2">
      <c r="A1464">
        <v>78</v>
      </c>
      <c r="B1464">
        <v>56</v>
      </c>
      <c r="C1464">
        <v>134</v>
      </c>
      <c r="D1464" s="51" t="s">
        <v>54</v>
      </c>
      <c r="E1464">
        <f>VLOOKUP(M1464,'MASS - 2016'!$A$1:$G$3418,6,FALSE)</f>
        <v>-88949.853000000003</v>
      </c>
      <c r="F1464">
        <f>VLOOKUP(M1464,'MASS - 2016'!$A$1:$G$3418,7,FALSE)</f>
        <v>0.30399999999999999</v>
      </c>
      <c r="G1464">
        <f t="shared" si="116"/>
        <v>-88949.853000000003</v>
      </c>
      <c r="H1464">
        <f t="shared" si="112"/>
        <v>133.90450840566336</v>
      </c>
      <c r="I1464">
        <f t="shared" si="113"/>
        <v>124.73125432099999</v>
      </c>
      <c r="J1464">
        <f t="shared" si="115"/>
        <v>124702.63832100001</v>
      </c>
      <c r="M1464">
        <f t="shared" si="114"/>
        <v>78056</v>
      </c>
    </row>
    <row r="1465" spans="1:13" x14ac:dyDescent="0.2">
      <c r="A1465">
        <v>77</v>
      </c>
      <c r="B1465">
        <v>57</v>
      </c>
      <c r="C1465">
        <v>134</v>
      </c>
      <c r="D1465" s="51" t="s">
        <v>55</v>
      </c>
      <c r="E1465">
        <f>VLOOKUP(M1465,'MASS - 2016'!$A$1:$G$3418,6,FALSE)</f>
        <v>-85218.65</v>
      </c>
      <c r="F1465">
        <f>VLOOKUP(M1465,'MASS - 2016'!$A$1:$G$3418,7,FALSE)</f>
        <v>19.93</v>
      </c>
      <c r="G1465">
        <f t="shared" si="116"/>
        <v>-85218.65</v>
      </c>
      <c r="H1465">
        <f t="shared" si="112"/>
        <v>133.9085140168167</v>
      </c>
      <c r="I1465">
        <f t="shared" si="113"/>
        <v>124.73498552400001</v>
      </c>
      <c r="J1465">
        <f t="shared" si="115"/>
        <v>124705.85852400001</v>
      </c>
      <c r="M1465">
        <f t="shared" si="114"/>
        <v>77057</v>
      </c>
    </row>
    <row r="1466" spans="1:13" x14ac:dyDescent="0.2">
      <c r="A1466">
        <v>76</v>
      </c>
      <c r="B1466">
        <v>58</v>
      </c>
      <c r="C1466">
        <v>134</v>
      </c>
      <c r="D1466" s="51" t="s">
        <v>56</v>
      </c>
      <c r="E1466">
        <f>VLOOKUP(M1466,'MASS - 2016'!$A$1:$G$3418,6,FALSE)</f>
        <v>-84832.888999999996</v>
      </c>
      <c r="F1466">
        <f>VLOOKUP(M1466,'MASS - 2016'!$A$1:$G$3418,7,FALSE)</f>
        <v>20.387</v>
      </c>
      <c r="G1466">
        <f t="shared" si="116"/>
        <v>-84832.888999999996</v>
      </c>
      <c r="H1466">
        <f t="shared" si="112"/>
        <v>133.90892814828157</v>
      </c>
      <c r="I1466">
        <f t="shared" si="113"/>
        <v>124.73537128500001</v>
      </c>
      <c r="J1466">
        <f t="shared" si="115"/>
        <v>124705.73328500001</v>
      </c>
      <c r="M1466">
        <f t="shared" si="114"/>
        <v>76058</v>
      </c>
    </row>
    <row r="1467" spans="1:13" x14ac:dyDescent="0.2">
      <c r="A1467">
        <v>75</v>
      </c>
      <c r="B1467">
        <v>59</v>
      </c>
      <c r="C1467">
        <v>134</v>
      </c>
      <c r="D1467" s="51" t="s">
        <v>57</v>
      </c>
      <c r="E1467">
        <f>VLOOKUP(M1467,'MASS - 2016'!$A$1:$G$3418,6,FALSE)</f>
        <v>-78527.990999999995</v>
      </c>
      <c r="F1467">
        <f>VLOOKUP(M1467,'MASS - 2016'!$A$1:$G$3418,7,FALSE)</f>
        <v>20.315999999999999</v>
      </c>
      <c r="G1467">
        <f t="shared" si="116"/>
        <v>-78527.990999999995</v>
      </c>
      <c r="H1467">
        <f t="shared" si="112"/>
        <v>133.91569673464616</v>
      </c>
      <c r="I1467">
        <f t="shared" si="113"/>
        <v>124.741676183</v>
      </c>
      <c r="J1467">
        <f t="shared" si="115"/>
        <v>124711.52718299998</v>
      </c>
      <c r="M1467">
        <f t="shared" si="114"/>
        <v>75059</v>
      </c>
    </row>
    <row r="1468" spans="1:13" x14ac:dyDescent="0.2">
      <c r="A1468">
        <v>74</v>
      </c>
      <c r="B1468">
        <v>60</v>
      </c>
      <c r="C1468">
        <v>134</v>
      </c>
      <c r="D1468" s="51" t="s">
        <v>58</v>
      </c>
      <c r="E1468">
        <f>VLOOKUP(M1468,'MASS - 2016'!$A$1:$G$3418,6,FALSE)</f>
        <v>-75646.432000000001</v>
      </c>
      <c r="F1468">
        <f>VLOOKUP(M1468,'MASS - 2016'!$A$1:$G$3418,7,FALSE)</f>
        <v>11.817</v>
      </c>
      <c r="G1468">
        <f t="shared" si="116"/>
        <v>-75646.432000000001</v>
      </c>
      <c r="H1468">
        <f t="shared" si="112"/>
        <v>133.91879021545367</v>
      </c>
      <c r="I1468">
        <f t="shared" si="113"/>
        <v>124.744557742</v>
      </c>
      <c r="J1468">
        <f t="shared" si="115"/>
        <v>124713.897742</v>
      </c>
      <c r="M1468">
        <f t="shared" si="114"/>
        <v>74060</v>
      </c>
    </row>
    <row r="1469" spans="1:13" x14ac:dyDescent="0.2">
      <c r="A1469">
        <v>73</v>
      </c>
      <c r="B1469">
        <v>61</v>
      </c>
      <c r="C1469">
        <v>134</v>
      </c>
      <c r="D1469" s="51" t="s">
        <v>59</v>
      </c>
      <c r="E1469">
        <f>VLOOKUP(M1469,'MASS - 2016'!$A$1:$G$3418,6,FALSE)</f>
        <v>-66738.751000000004</v>
      </c>
      <c r="F1469">
        <f>VLOOKUP(M1469,'MASS - 2016'!$A$1:$G$3418,7,FALSE)</f>
        <v>57.753</v>
      </c>
      <c r="G1469">
        <f t="shared" si="116"/>
        <v>-66738.751000000004</v>
      </c>
      <c r="H1469">
        <f t="shared" si="112"/>
        <v>133.9283530042818</v>
      </c>
      <c r="I1469">
        <f t="shared" si="113"/>
        <v>124.75346542300001</v>
      </c>
      <c r="J1469">
        <f t="shared" si="115"/>
        <v>124722.294423</v>
      </c>
      <c r="M1469">
        <f t="shared" si="114"/>
        <v>73061</v>
      </c>
    </row>
    <row r="1470" spans="1:13" x14ac:dyDescent="0.2">
      <c r="A1470">
        <v>72</v>
      </c>
      <c r="B1470">
        <v>62</v>
      </c>
      <c r="C1470">
        <v>134</v>
      </c>
      <c r="D1470" s="51" t="s">
        <v>60</v>
      </c>
      <c r="E1470" t="str">
        <f>VLOOKUP(M1470,'MASS - 2016'!$A$1:$G$3418,6,FALSE)</f>
        <v>-61376#</v>
      </c>
      <c r="F1470" t="str">
        <f>VLOOKUP(M1470,'MASS - 2016'!$A$1:$G$3418,7,FALSE)</f>
        <v>196#</v>
      </c>
      <c r="G1470">
        <f t="shared" si="116"/>
        <v>-61376.01</v>
      </c>
      <c r="H1470">
        <f t="shared" si="112"/>
        <v>133.93411014351062</v>
      </c>
      <c r="I1470">
        <f t="shared" si="113"/>
        <v>124.75882816399999</v>
      </c>
      <c r="J1470">
        <f t="shared" si="115"/>
        <v>124727.14616399999</v>
      </c>
      <c r="M1470">
        <f t="shared" si="114"/>
        <v>72062</v>
      </c>
    </row>
    <row r="1471" spans="1:13" x14ac:dyDescent="0.2">
      <c r="A1471">
        <v>71</v>
      </c>
      <c r="B1471">
        <v>63</v>
      </c>
      <c r="C1471">
        <v>134</v>
      </c>
      <c r="D1471" s="51" t="s">
        <v>61</v>
      </c>
      <c r="E1471" t="str">
        <f>VLOOKUP(M1471,'MASS - 2016'!$A$1:$G$3418,6,FALSE)</f>
        <v>-49928#</v>
      </c>
      <c r="F1471" t="str">
        <f>VLOOKUP(M1471,'MASS - 2016'!$A$1:$G$3418,7,FALSE)</f>
        <v>298#</v>
      </c>
      <c r="G1471">
        <f t="shared" si="116"/>
        <v>-49928.01</v>
      </c>
      <c r="H1471">
        <f t="shared" si="112"/>
        <v>133.94640007694048</v>
      </c>
      <c r="I1471">
        <f t="shared" si="113"/>
        <v>124.77027616399999</v>
      </c>
      <c r="J1471">
        <f t="shared" si="115"/>
        <v>124738.083164</v>
      </c>
      <c r="M1471">
        <f t="shared" si="114"/>
        <v>71063</v>
      </c>
    </row>
    <row r="1472" spans="1:13" x14ac:dyDescent="0.2">
      <c r="A1472">
        <v>85</v>
      </c>
      <c r="B1472">
        <v>50</v>
      </c>
      <c r="C1472">
        <v>135</v>
      </c>
      <c r="D1472" s="51" t="s">
        <v>48</v>
      </c>
      <c r="E1472">
        <f>VLOOKUP(M1472,'MASS - 2016'!$A$1:$G$3418,6,FALSE)</f>
        <v>-60632.243999999999</v>
      </c>
      <c r="F1472">
        <f>VLOOKUP(M1472,'MASS - 2016'!$A$1:$G$3418,7,FALSE)</f>
        <v>3.0739999999999998</v>
      </c>
      <c r="G1472">
        <f t="shared" si="116"/>
        <v>-60632.243999999999</v>
      </c>
      <c r="H1472">
        <f t="shared" si="112"/>
        <v>134.93490860914892</v>
      </c>
      <c r="I1472">
        <f t="shared" si="113"/>
        <v>125.69106599099999</v>
      </c>
      <c r="J1472">
        <f t="shared" si="115"/>
        <v>125665.51599099998</v>
      </c>
      <c r="M1472">
        <f t="shared" si="114"/>
        <v>85050</v>
      </c>
    </row>
    <row r="1473" spans="1:13" x14ac:dyDescent="0.2">
      <c r="A1473">
        <v>84</v>
      </c>
      <c r="B1473">
        <v>51</v>
      </c>
      <c r="C1473">
        <v>135</v>
      </c>
      <c r="D1473" s="51" t="s">
        <v>49</v>
      </c>
      <c r="E1473">
        <f>VLOOKUP(M1473,'MASS - 2016'!$A$1:$G$3418,6,FALSE)</f>
        <v>-69690.323000000004</v>
      </c>
      <c r="F1473">
        <f>VLOOKUP(M1473,'MASS - 2016'!$A$1:$G$3418,7,FALSE)</f>
        <v>2.64</v>
      </c>
      <c r="G1473">
        <f t="shared" si="116"/>
        <v>-69690.323000000004</v>
      </c>
      <c r="H1473">
        <f t="shared" si="112"/>
        <v>134.92518436142771</v>
      </c>
      <c r="I1473">
        <f t="shared" si="113"/>
        <v>125.68200791199999</v>
      </c>
      <c r="J1473">
        <f t="shared" si="115"/>
        <v>125655.94691199998</v>
      </c>
      <c r="M1473">
        <f t="shared" si="114"/>
        <v>84051</v>
      </c>
    </row>
    <row r="1474" spans="1:13" x14ac:dyDescent="0.2">
      <c r="A1474">
        <v>83</v>
      </c>
      <c r="B1474">
        <v>52</v>
      </c>
      <c r="C1474">
        <v>135</v>
      </c>
      <c r="D1474" s="51" t="s">
        <v>50</v>
      </c>
      <c r="E1474">
        <f>VLOOKUP(M1474,'MASS - 2016'!$A$1:$G$3418,6,FALSE)</f>
        <v>-77728.78</v>
      </c>
      <c r="F1474">
        <f>VLOOKUP(M1474,'MASS - 2016'!$A$1:$G$3418,7,FALSE)</f>
        <v>1.722</v>
      </c>
      <c r="G1474">
        <f t="shared" si="116"/>
        <v>-77728.78</v>
      </c>
      <c r="H1474">
        <f t="shared" si="112"/>
        <v>134.91655472293988</v>
      </c>
      <c r="I1474">
        <f t="shared" si="113"/>
        <v>125.67396945499999</v>
      </c>
      <c r="J1474">
        <f t="shared" si="115"/>
        <v>125647.39745499998</v>
      </c>
      <c r="M1474">
        <f t="shared" si="114"/>
        <v>83052</v>
      </c>
    </row>
    <row r="1475" spans="1:13" x14ac:dyDescent="0.2">
      <c r="A1475">
        <v>82</v>
      </c>
      <c r="B1475">
        <v>53</v>
      </c>
      <c r="C1475">
        <v>135</v>
      </c>
      <c r="D1475" s="51" t="s">
        <v>51</v>
      </c>
      <c r="E1475">
        <f>VLOOKUP(M1475,'MASS - 2016'!$A$1:$G$3418,6,FALSE)</f>
        <v>-83779.145000000004</v>
      </c>
      <c r="F1475">
        <f>VLOOKUP(M1475,'MASS - 2016'!$A$1:$G$3418,7,FALSE)</f>
        <v>2.0609999999999999</v>
      </c>
      <c r="G1475">
        <f t="shared" si="116"/>
        <v>-83779.145000000004</v>
      </c>
      <c r="H1475">
        <f t="shared" si="112"/>
        <v>134.91005938898843</v>
      </c>
      <c r="I1475">
        <f t="shared" si="113"/>
        <v>125.66791909000001</v>
      </c>
      <c r="J1475">
        <f t="shared" si="115"/>
        <v>125640.83609000001</v>
      </c>
      <c r="M1475">
        <f t="shared" si="114"/>
        <v>82053</v>
      </c>
    </row>
    <row r="1476" spans="1:13" x14ac:dyDescent="0.2">
      <c r="A1476">
        <v>81</v>
      </c>
      <c r="B1476">
        <v>54</v>
      </c>
      <c r="C1476">
        <v>135</v>
      </c>
      <c r="D1476" s="51" t="s">
        <v>52</v>
      </c>
      <c r="E1476">
        <f>VLOOKUP(M1476,'MASS - 2016'!$A$1:$G$3418,6,FALSE)</f>
        <v>-86413.150999999998</v>
      </c>
      <c r="F1476">
        <f>VLOOKUP(M1476,'MASS - 2016'!$A$1:$G$3418,7,FALSE)</f>
        <v>3.72</v>
      </c>
      <c r="G1476">
        <f t="shared" si="116"/>
        <v>-86413.150999999998</v>
      </c>
      <c r="H1476">
        <f t="shared" si="112"/>
        <v>134.9072316672559</v>
      </c>
      <c r="I1476">
        <f t="shared" si="113"/>
        <v>125.66528508399999</v>
      </c>
      <c r="J1476">
        <f t="shared" si="115"/>
        <v>125637.69108399999</v>
      </c>
      <c r="M1476">
        <f t="shared" si="114"/>
        <v>81054</v>
      </c>
    </row>
    <row r="1477" spans="1:13" x14ac:dyDescent="0.2">
      <c r="A1477">
        <v>80</v>
      </c>
      <c r="B1477">
        <v>55</v>
      </c>
      <c r="C1477">
        <v>135</v>
      </c>
      <c r="D1477" s="51" t="s">
        <v>53</v>
      </c>
      <c r="E1477">
        <f>VLOOKUP(M1477,'MASS - 2016'!$A$1:$G$3418,6,FALSE)</f>
        <v>-87581.642999999996</v>
      </c>
      <c r="F1477">
        <f>VLOOKUP(M1477,'MASS - 2016'!$A$1:$G$3418,7,FALSE)</f>
        <v>0.99199999999999999</v>
      </c>
      <c r="G1477">
        <f t="shared" si="116"/>
        <v>-87581.642999999996</v>
      </c>
      <c r="H1477">
        <f t="shared" si="112"/>
        <v>134.90597723950492</v>
      </c>
      <c r="I1477">
        <f t="shared" si="113"/>
        <v>125.664116592</v>
      </c>
      <c r="J1477">
        <f t="shared" si="115"/>
        <v>125636.01159200001</v>
      </c>
      <c r="M1477">
        <f t="shared" si="114"/>
        <v>80055</v>
      </c>
    </row>
    <row r="1478" spans="1:13" x14ac:dyDescent="0.2">
      <c r="A1478">
        <v>79</v>
      </c>
      <c r="B1478">
        <v>56</v>
      </c>
      <c r="C1478">
        <v>135</v>
      </c>
      <c r="D1478" s="51" t="s">
        <v>54</v>
      </c>
      <c r="E1478">
        <f>VLOOKUP(M1478,'MASS - 2016'!$A$1:$G$3418,6,FALSE)</f>
        <v>-87850.498000000007</v>
      </c>
      <c r="F1478">
        <f>VLOOKUP(M1478,'MASS - 2016'!$A$1:$G$3418,7,FALSE)</f>
        <v>0.30599999999999999</v>
      </c>
      <c r="G1478">
        <f t="shared" si="116"/>
        <v>-87850.498000000007</v>
      </c>
      <c r="H1478">
        <f t="shared" si="112"/>
        <v>134.90568861179244</v>
      </c>
      <c r="I1478">
        <f t="shared" si="113"/>
        <v>125.663847737</v>
      </c>
      <c r="J1478">
        <f t="shared" si="115"/>
        <v>125635.23173700001</v>
      </c>
      <c r="M1478">
        <f t="shared" si="114"/>
        <v>79056</v>
      </c>
    </row>
    <row r="1479" spans="1:13" x14ac:dyDescent="0.2">
      <c r="A1479">
        <v>78</v>
      </c>
      <c r="B1479">
        <v>57</v>
      </c>
      <c r="C1479">
        <v>135</v>
      </c>
      <c r="D1479" s="51" t="s">
        <v>55</v>
      </c>
      <c r="E1479">
        <f>VLOOKUP(M1479,'MASS - 2016'!$A$1:$G$3418,6,FALSE)</f>
        <v>-86643.316999999995</v>
      </c>
      <c r="F1479">
        <f>VLOOKUP(M1479,'MASS - 2016'!$A$1:$G$3418,7,FALSE)</f>
        <v>9.4339999999999993</v>
      </c>
      <c r="G1479">
        <f t="shared" si="116"/>
        <v>-86643.316999999995</v>
      </c>
      <c r="H1479">
        <f t="shared" si="112"/>
        <v>134.90698457389306</v>
      </c>
      <c r="I1479">
        <f t="shared" si="113"/>
        <v>125.665054918</v>
      </c>
      <c r="J1479">
        <f t="shared" si="115"/>
        <v>125635.927918</v>
      </c>
      <c r="M1479">
        <f t="shared" si="114"/>
        <v>78057</v>
      </c>
    </row>
    <row r="1480" spans="1:13" x14ac:dyDescent="0.2">
      <c r="A1480">
        <v>77</v>
      </c>
      <c r="B1480">
        <v>58</v>
      </c>
      <c r="C1480">
        <v>135</v>
      </c>
      <c r="D1480" s="51" t="s">
        <v>56</v>
      </c>
      <c r="E1480">
        <f>VLOOKUP(M1480,'MASS - 2016'!$A$1:$G$3418,6,FALSE)</f>
        <v>-84616.171000000002</v>
      </c>
      <c r="F1480">
        <f>VLOOKUP(M1480,'MASS - 2016'!$A$1:$G$3418,7,FALSE)</f>
        <v>10.266999999999999</v>
      </c>
      <c r="G1480">
        <f t="shared" si="116"/>
        <v>-84616.171000000002</v>
      </c>
      <c r="H1480">
        <f t="shared" si="112"/>
        <v>134.90916080462267</v>
      </c>
      <c r="I1480">
        <f t="shared" si="113"/>
        <v>125.667082064</v>
      </c>
      <c r="J1480">
        <f t="shared" si="115"/>
        <v>125637.444064</v>
      </c>
      <c r="M1480">
        <f t="shared" si="114"/>
        <v>77058</v>
      </c>
    </row>
    <row r="1481" spans="1:13" x14ac:dyDescent="0.2">
      <c r="A1481">
        <v>76</v>
      </c>
      <c r="B1481">
        <v>59</v>
      </c>
      <c r="C1481">
        <v>135</v>
      </c>
      <c r="D1481" s="51" t="s">
        <v>57</v>
      </c>
      <c r="E1481">
        <f>VLOOKUP(M1481,'MASS - 2016'!$A$1:$G$3418,6,FALSE)</f>
        <v>-80935.861000000004</v>
      </c>
      <c r="F1481">
        <f>VLOOKUP(M1481,'MASS - 2016'!$A$1:$G$3418,7,FALSE)</f>
        <v>11.817</v>
      </c>
      <c r="G1481">
        <f t="shared" si="116"/>
        <v>-80935.861000000004</v>
      </c>
      <c r="H1481">
        <f t="shared" ref="H1481:H1544" si="117">(C1481*$A$3+G1481/1000000)/$A$3</f>
        <v>134.91311177989357</v>
      </c>
      <c r="I1481">
        <f t="shared" ref="I1481:I1544" si="118">H1481*$A$3</f>
        <v>125.67076237399999</v>
      </c>
      <c r="J1481">
        <f t="shared" si="115"/>
        <v>125640.61337399999</v>
      </c>
      <c r="M1481">
        <f t="shared" ref="M1481:M1544" si="119">1000*A1481+B1481</f>
        <v>76059</v>
      </c>
    </row>
    <row r="1482" spans="1:13" x14ac:dyDescent="0.2">
      <c r="A1482">
        <v>75</v>
      </c>
      <c r="B1482">
        <v>60</v>
      </c>
      <c r="C1482">
        <v>135</v>
      </c>
      <c r="D1482" s="51" t="s">
        <v>58</v>
      </c>
      <c r="E1482">
        <f>VLOOKUP(M1482,'MASS - 2016'!$A$1:$G$3418,6,FALSE)</f>
        <v>-76213.608999999997</v>
      </c>
      <c r="F1482">
        <f>VLOOKUP(M1482,'MASS - 2016'!$A$1:$G$3418,7,FALSE)</f>
        <v>19.128</v>
      </c>
      <c r="G1482">
        <f t="shared" si="116"/>
        <v>-76213.608999999997</v>
      </c>
      <c r="H1482">
        <f t="shared" si="117"/>
        <v>134.91818132590325</v>
      </c>
      <c r="I1482">
        <f t="shared" si="118"/>
        <v>125.67548462599999</v>
      </c>
      <c r="J1482">
        <f t="shared" si="115"/>
        <v>125644.82462599999</v>
      </c>
      <c r="M1482">
        <f t="shared" si="119"/>
        <v>75060</v>
      </c>
    </row>
    <row r="1483" spans="1:13" x14ac:dyDescent="0.2">
      <c r="A1483">
        <v>74</v>
      </c>
      <c r="B1483">
        <v>61</v>
      </c>
      <c r="C1483">
        <v>135</v>
      </c>
      <c r="D1483" s="51" t="s">
        <v>59</v>
      </c>
      <c r="E1483">
        <f>VLOOKUP(M1483,'MASS - 2016'!$A$1:$G$3418,6,FALSE)</f>
        <v>-70052.074999999997</v>
      </c>
      <c r="F1483">
        <f>VLOOKUP(M1483,'MASS - 2016'!$A$1:$G$3418,7,FALSE)</f>
        <v>75.450999999999993</v>
      </c>
      <c r="G1483">
        <f t="shared" si="116"/>
        <v>-70052.074999999997</v>
      </c>
      <c r="H1483">
        <f t="shared" si="117"/>
        <v>134.92479600468434</v>
      </c>
      <c r="I1483">
        <f t="shared" si="118"/>
        <v>125.68164615999999</v>
      </c>
      <c r="J1483">
        <f t="shared" si="115"/>
        <v>125650.47515999999</v>
      </c>
      <c r="M1483">
        <f t="shared" si="119"/>
        <v>74061</v>
      </c>
    </row>
    <row r="1484" spans="1:13" x14ac:dyDescent="0.2">
      <c r="A1484">
        <v>73</v>
      </c>
      <c r="B1484">
        <v>62</v>
      </c>
      <c r="C1484">
        <v>135</v>
      </c>
      <c r="D1484" s="51" t="s">
        <v>60</v>
      </c>
      <c r="E1484">
        <f>VLOOKUP(M1484,'MASS - 2016'!$A$1:$G$3418,6,FALSE)</f>
        <v>-62857.214999999997</v>
      </c>
      <c r="F1484">
        <f>VLOOKUP(M1484,'MASS - 2016'!$A$1:$G$3418,7,FALSE)</f>
        <v>154.62799999999999</v>
      </c>
      <c r="G1484">
        <f t="shared" si="116"/>
        <v>-62857.214999999997</v>
      </c>
      <c r="H1484">
        <f t="shared" si="117"/>
        <v>134.93252000454783</v>
      </c>
      <c r="I1484">
        <f t="shared" si="118"/>
        <v>125.68884101999998</v>
      </c>
      <c r="J1484">
        <f t="shared" ref="J1484:J1547" si="120">1000*I1484-B1484*0.511</f>
        <v>125657.15901999998</v>
      </c>
      <c r="M1484">
        <f t="shared" si="119"/>
        <v>73062</v>
      </c>
    </row>
    <row r="1485" spans="1:13" x14ac:dyDescent="0.2">
      <c r="A1485">
        <v>72</v>
      </c>
      <c r="B1485">
        <v>63</v>
      </c>
      <c r="C1485">
        <v>135</v>
      </c>
      <c r="D1485" s="51" t="s">
        <v>61</v>
      </c>
      <c r="E1485" t="str">
        <f>VLOOKUP(M1485,'MASS - 2016'!$A$1:$G$3418,6,FALSE)</f>
        <v>-54148#</v>
      </c>
      <c r="F1485" t="str">
        <f>VLOOKUP(M1485,'MASS - 2016'!$A$1:$G$3418,7,FALSE)</f>
        <v>196#</v>
      </c>
      <c r="G1485">
        <f t="shared" si="116"/>
        <v>-54148.01</v>
      </c>
      <c r="H1485">
        <f t="shared" si="117"/>
        <v>134.94186972062721</v>
      </c>
      <c r="I1485">
        <f t="shared" si="118"/>
        <v>125.69755022499997</v>
      </c>
      <c r="J1485">
        <f t="shared" si="120"/>
        <v>125665.35722499997</v>
      </c>
      <c r="M1485">
        <f t="shared" si="119"/>
        <v>72063</v>
      </c>
    </row>
    <row r="1486" spans="1:13" x14ac:dyDescent="0.2">
      <c r="A1486">
        <v>86</v>
      </c>
      <c r="B1486">
        <v>50</v>
      </c>
      <c r="C1486">
        <v>136</v>
      </c>
      <c r="D1486" s="51" t="s">
        <v>48</v>
      </c>
      <c r="E1486" t="str">
        <f>VLOOKUP(M1486,'MASS - 2016'!$A$1:$G$3418,6,FALSE)</f>
        <v>-55899#</v>
      </c>
      <c r="F1486" t="str">
        <f>VLOOKUP(M1486,'MASS - 2016'!$A$1:$G$3418,7,FALSE)</f>
        <v>298#</v>
      </c>
      <c r="G1486">
        <f t="shared" si="116"/>
        <v>-55899.01</v>
      </c>
      <c r="H1486">
        <f t="shared" si="117"/>
        <v>135.9399899448205</v>
      </c>
      <c r="I1486">
        <f t="shared" si="118"/>
        <v>126.62729328600001</v>
      </c>
      <c r="J1486">
        <f t="shared" si="120"/>
        <v>126601.74328600001</v>
      </c>
      <c r="M1486">
        <f t="shared" si="119"/>
        <v>86050</v>
      </c>
    </row>
    <row r="1487" spans="1:13" x14ac:dyDescent="0.2">
      <c r="A1487">
        <v>85</v>
      </c>
      <c r="B1487">
        <v>51</v>
      </c>
      <c r="C1487">
        <v>136</v>
      </c>
      <c r="D1487" s="51" t="s">
        <v>49</v>
      </c>
      <c r="E1487">
        <f>VLOOKUP(M1487,'MASS - 2016'!$A$1:$G$3418,6,FALSE)</f>
        <v>-64506.879999999997</v>
      </c>
      <c r="F1487">
        <f>VLOOKUP(M1487,'MASS - 2016'!$A$1:$G$3418,7,FALSE)</f>
        <v>5.83</v>
      </c>
      <c r="G1487">
        <f t="shared" ref="G1487:G1550" si="121">IF(ISNUMBER(E1487),E1487,VALUE(SUBSTITUTE(E1487,"#",".01")))</f>
        <v>-64506.879999999997</v>
      </c>
      <c r="H1487">
        <f t="shared" si="117"/>
        <v>135.93074901633753</v>
      </c>
      <c r="I1487">
        <f t="shared" si="118"/>
        <v>126.61868541600001</v>
      </c>
      <c r="J1487">
        <f t="shared" si="120"/>
        <v>126592.62441600001</v>
      </c>
      <c r="M1487">
        <f t="shared" si="119"/>
        <v>85051</v>
      </c>
    </row>
    <row r="1488" spans="1:13" x14ac:dyDescent="0.2">
      <c r="A1488">
        <v>84</v>
      </c>
      <c r="B1488">
        <v>52</v>
      </c>
      <c r="C1488">
        <v>136</v>
      </c>
      <c r="D1488" s="51" t="s">
        <v>50</v>
      </c>
      <c r="E1488">
        <f>VLOOKUP(M1488,'MASS - 2016'!$A$1:$G$3418,6,FALSE)</f>
        <v>-74425.269</v>
      </c>
      <c r="F1488">
        <f>VLOOKUP(M1488,'MASS - 2016'!$A$1:$G$3418,7,FALSE)</f>
        <v>2.2810000000000001</v>
      </c>
      <c r="G1488">
        <f t="shared" si="121"/>
        <v>-74425.269</v>
      </c>
      <c r="H1488">
        <f t="shared" si="117"/>
        <v>135.92010118784859</v>
      </c>
      <c r="I1488">
        <f t="shared" si="118"/>
        <v>126.608767027</v>
      </c>
      <c r="J1488">
        <f t="shared" si="120"/>
        <v>126582.19502699999</v>
      </c>
      <c r="M1488">
        <f t="shared" si="119"/>
        <v>84052</v>
      </c>
    </row>
    <row r="1489" spans="1:13" x14ac:dyDescent="0.2">
      <c r="A1489">
        <v>83</v>
      </c>
      <c r="B1489">
        <v>53</v>
      </c>
      <c r="C1489">
        <v>136</v>
      </c>
      <c r="D1489" s="51" t="s">
        <v>51</v>
      </c>
      <c r="E1489">
        <f>VLOOKUP(M1489,'MASS - 2016'!$A$1:$G$3418,6,FALSE)</f>
        <v>-79545.214000000007</v>
      </c>
      <c r="F1489">
        <f>VLOOKUP(M1489,'MASS - 2016'!$A$1:$G$3418,7,FALSE)</f>
        <v>14.188000000000001</v>
      </c>
      <c r="G1489">
        <f t="shared" si="121"/>
        <v>-79545.214000000007</v>
      </c>
      <c r="H1489">
        <f t="shared" si="117"/>
        <v>135.91460470084522</v>
      </c>
      <c r="I1489">
        <f t="shared" si="118"/>
        <v>126.60364708199999</v>
      </c>
      <c r="J1489">
        <f t="shared" si="120"/>
        <v>126576.564082</v>
      </c>
      <c r="M1489">
        <f t="shared" si="119"/>
        <v>83053</v>
      </c>
    </row>
    <row r="1490" spans="1:13" x14ac:dyDescent="0.2">
      <c r="A1490">
        <v>82</v>
      </c>
      <c r="B1490">
        <v>54</v>
      </c>
      <c r="C1490">
        <v>136</v>
      </c>
      <c r="D1490" s="51" t="s">
        <v>52</v>
      </c>
      <c r="E1490">
        <f>VLOOKUP(M1490,'MASS - 2016'!$A$1:$G$3418,6,FALSE)</f>
        <v>-86429.159</v>
      </c>
      <c r="F1490">
        <f>VLOOKUP(M1490,'MASS - 2016'!$A$1:$G$3418,7,FALSE)</f>
        <v>7.0000000000000001E-3</v>
      </c>
      <c r="G1490">
        <f t="shared" si="121"/>
        <v>-86429.159</v>
      </c>
      <c r="H1490">
        <f t="shared" si="117"/>
        <v>135.90721448196115</v>
      </c>
      <c r="I1490">
        <f t="shared" si="118"/>
        <v>126.596763137</v>
      </c>
      <c r="J1490">
        <f t="shared" si="120"/>
        <v>126569.169137</v>
      </c>
      <c r="M1490">
        <f t="shared" si="119"/>
        <v>82054</v>
      </c>
    </row>
    <row r="1491" spans="1:13" x14ac:dyDescent="0.2">
      <c r="A1491">
        <v>81</v>
      </c>
      <c r="B1491">
        <v>55</v>
      </c>
      <c r="C1491">
        <v>136</v>
      </c>
      <c r="D1491" s="51" t="s">
        <v>53</v>
      </c>
      <c r="E1491">
        <f>VLOOKUP(M1491,'MASS - 2016'!$A$1:$G$3418,6,FALSE)</f>
        <v>-86338.697</v>
      </c>
      <c r="F1491">
        <f>VLOOKUP(M1491,'MASS - 2016'!$A$1:$G$3418,7,FALSE)</f>
        <v>1.8819999999999999</v>
      </c>
      <c r="G1491">
        <f t="shared" si="121"/>
        <v>-86338.697</v>
      </c>
      <c r="H1491">
        <f t="shared" si="117"/>
        <v>135.90731159691205</v>
      </c>
      <c r="I1491">
        <f t="shared" si="118"/>
        <v>126.596853599</v>
      </c>
      <c r="J1491">
        <f t="shared" si="120"/>
        <v>126568.748599</v>
      </c>
      <c r="M1491">
        <f t="shared" si="119"/>
        <v>81055</v>
      </c>
    </row>
    <row r="1492" spans="1:13" x14ac:dyDescent="0.2">
      <c r="A1492">
        <v>80</v>
      </c>
      <c r="B1492">
        <v>56</v>
      </c>
      <c r="C1492">
        <v>136</v>
      </c>
      <c r="D1492" s="51" t="s">
        <v>54</v>
      </c>
      <c r="E1492">
        <f>VLOOKUP(M1492,'MASS - 2016'!$A$1:$G$3418,6,FALSE)</f>
        <v>-88886.921000000002</v>
      </c>
      <c r="F1492">
        <f>VLOOKUP(M1492,'MASS - 2016'!$A$1:$G$3418,7,FALSE)</f>
        <v>0.30599999999999999</v>
      </c>
      <c r="G1492">
        <f t="shared" si="121"/>
        <v>-88886.921000000002</v>
      </c>
      <c r="H1492">
        <f t="shared" si="117"/>
        <v>135.90457596594382</v>
      </c>
      <c r="I1492">
        <f t="shared" si="118"/>
        <v>126.594305375</v>
      </c>
      <c r="J1492">
        <f t="shared" si="120"/>
        <v>126565.68937500002</v>
      </c>
      <c r="M1492">
        <f t="shared" si="119"/>
        <v>80056</v>
      </c>
    </row>
    <row r="1493" spans="1:13" x14ac:dyDescent="0.2">
      <c r="A1493">
        <v>79</v>
      </c>
      <c r="B1493">
        <v>57</v>
      </c>
      <c r="C1493">
        <v>136</v>
      </c>
      <c r="D1493" s="51" t="s">
        <v>55</v>
      </c>
      <c r="E1493">
        <f>VLOOKUP(M1493,'MASS - 2016'!$A$1:$G$3418,6,FALSE)</f>
        <v>-86037.479000000007</v>
      </c>
      <c r="F1493">
        <f>VLOOKUP(M1493,'MASS - 2016'!$A$1:$G$3418,7,FALSE)</f>
        <v>53.170999999999999</v>
      </c>
      <c r="G1493">
        <f t="shared" si="121"/>
        <v>-86037.479000000007</v>
      </c>
      <c r="H1493">
        <f t="shared" si="117"/>
        <v>135.90763496773386</v>
      </c>
      <c r="I1493">
        <f t="shared" si="118"/>
        <v>126.59715481700002</v>
      </c>
      <c r="J1493">
        <f t="shared" si="120"/>
        <v>126568.02781700002</v>
      </c>
      <c r="M1493">
        <f t="shared" si="119"/>
        <v>79057</v>
      </c>
    </row>
    <row r="1494" spans="1:13" x14ac:dyDescent="0.2">
      <c r="A1494">
        <v>78</v>
      </c>
      <c r="B1494">
        <v>58</v>
      </c>
      <c r="C1494">
        <v>136</v>
      </c>
      <c r="D1494" s="51" t="s">
        <v>56</v>
      </c>
      <c r="E1494">
        <f>VLOOKUP(M1494,'MASS - 2016'!$A$1:$G$3418,6,FALSE)</f>
        <v>-86508.372000000003</v>
      </c>
      <c r="F1494">
        <f>VLOOKUP(M1494,'MASS - 2016'!$A$1:$G$3418,7,FALSE)</f>
        <v>0.40799999999999997</v>
      </c>
      <c r="G1494">
        <f t="shared" si="121"/>
        <v>-86508.372000000003</v>
      </c>
      <c r="H1494">
        <f t="shared" si="117"/>
        <v>135.90712944330841</v>
      </c>
      <c r="I1494">
        <f t="shared" si="118"/>
        <v>126.59668392400002</v>
      </c>
      <c r="J1494">
        <f t="shared" si="120"/>
        <v>126567.04592400001</v>
      </c>
      <c r="M1494">
        <f t="shared" si="119"/>
        <v>78058</v>
      </c>
    </row>
    <row r="1495" spans="1:13" x14ac:dyDescent="0.2">
      <c r="A1495">
        <v>77</v>
      </c>
      <c r="B1495">
        <v>59</v>
      </c>
      <c r="C1495">
        <v>136</v>
      </c>
      <c r="D1495" s="51" t="s">
        <v>57</v>
      </c>
      <c r="E1495">
        <f>VLOOKUP(M1495,'MASS - 2016'!$A$1:$G$3418,6,FALSE)</f>
        <v>-81340.354999999996</v>
      </c>
      <c r="F1495">
        <f>VLOOKUP(M1495,'MASS - 2016'!$A$1:$G$3418,7,FALSE)</f>
        <v>11.455</v>
      </c>
      <c r="G1495">
        <f t="shared" si="121"/>
        <v>-81340.354999999996</v>
      </c>
      <c r="H1495">
        <f t="shared" si="117"/>
        <v>135.91267753772615</v>
      </c>
      <c r="I1495">
        <f t="shared" si="118"/>
        <v>126.60185194100001</v>
      </c>
      <c r="J1495">
        <f t="shared" si="120"/>
        <v>126571.702941</v>
      </c>
      <c r="M1495">
        <f t="shared" si="119"/>
        <v>77059</v>
      </c>
    </row>
    <row r="1496" spans="1:13" x14ac:dyDescent="0.2">
      <c r="A1496">
        <v>76</v>
      </c>
      <c r="B1496">
        <v>60</v>
      </c>
      <c r="C1496">
        <v>136</v>
      </c>
      <c r="D1496" s="51" t="s">
        <v>58</v>
      </c>
      <c r="E1496">
        <f>VLOOKUP(M1496,'MASS - 2016'!$A$1:$G$3418,6,FALSE)</f>
        <v>-79199.286999999997</v>
      </c>
      <c r="F1496">
        <f>VLOOKUP(M1496,'MASS - 2016'!$A$1:$G$3418,7,FALSE)</f>
        <v>11.817</v>
      </c>
      <c r="G1496">
        <f t="shared" si="121"/>
        <v>-79199.286999999997</v>
      </c>
      <c r="H1496">
        <f t="shared" si="117"/>
        <v>135.91497606875242</v>
      </c>
      <c r="I1496">
        <f t="shared" si="118"/>
        <v>126.60399300900001</v>
      </c>
      <c r="J1496">
        <f t="shared" si="120"/>
        <v>126573.33300900001</v>
      </c>
      <c r="M1496">
        <f t="shared" si="119"/>
        <v>76060</v>
      </c>
    </row>
    <row r="1497" spans="1:13" x14ac:dyDescent="0.2">
      <c r="A1497">
        <v>75</v>
      </c>
      <c r="B1497">
        <v>61</v>
      </c>
      <c r="C1497">
        <v>136</v>
      </c>
      <c r="D1497" s="51" t="s">
        <v>59</v>
      </c>
      <c r="E1497">
        <f>VLOOKUP(M1497,'MASS - 2016'!$A$1:$G$3418,6,FALSE)</f>
        <v>-71169.914999999994</v>
      </c>
      <c r="F1497">
        <f>VLOOKUP(M1497,'MASS - 2016'!$A$1:$G$3418,7,FALSE)</f>
        <v>69.072999999999993</v>
      </c>
      <c r="G1497">
        <f t="shared" si="121"/>
        <v>-71169.914999999994</v>
      </c>
      <c r="H1497">
        <f t="shared" si="117"/>
        <v>135.92359595409167</v>
      </c>
      <c r="I1497">
        <f t="shared" si="118"/>
        <v>126.61202238100002</v>
      </c>
      <c r="J1497">
        <f t="shared" si="120"/>
        <v>126580.85138100001</v>
      </c>
      <c r="M1497">
        <f t="shared" si="119"/>
        <v>75061</v>
      </c>
    </row>
    <row r="1498" spans="1:13" x14ac:dyDescent="0.2">
      <c r="A1498">
        <v>74</v>
      </c>
      <c r="B1498">
        <v>62</v>
      </c>
      <c r="C1498">
        <v>136</v>
      </c>
      <c r="D1498" s="51" t="s">
        <v>60</v>
      </c>
      <c r="E1498">
        <f>VLOOKUP(M1498,'MASS - 2016'!$A$1:$G$3418,6,FALSE)</f>
        <v>-66810.89</v>
      </c>
      <c r="F1498">
        <f>VLOOKUP(M1498,'MASS - 2016'!$A$1:$G$3418,7,FALSE)</f>
        <v>12.497</v>
      </c>
      <c r="G1498">
        <f t="shared" si="121"/>
        <v>-66810.89</v>
      </c>
      <c r="H1498">
        <f t="shared" si="117"/>
        <v>135.92827555988035</v>
      </c>
      <c r="I1498">
        <f t="shared" si="118"/>
        <v>126.61638140599999</v>
      </c>
      <c r="J1498">
        <f t="shared" si="120"/>
        <v>126584.69940599999</v>
      </c>
      <c r="M1498">
        <f t="shared" si="119"/>
        <v>74062</v>
      </c>
    </row>
    <row r="1499" spans="1:13" x14ac:dyDescent="0.2">
      <c r="A1499">
        <v>73</v>
      </c>
      <c r="B1499">
        <v>63</v>
      </c>
      <c r="C1499">
        <v>136</v>
      </c>
      <c r="D1499" s="51" t="s">
        <v>61</v>
      </c>
      <c r="E1499" t="str">
        <f>VLOOKUP(M1499,'MASS - 2016'!$A$1:$G$3418,6,FALSE)</f>
        <v>-56244#</v>
      </c>
      <c r="F1499" t="str">
        <f>VLOOKUP(M1499,'MASS - 2016'!$A$1:$G$3418,7,FALSE)</f>
        <v>196#</v>
      </c>
      <c r="G1499">
        <f t="shared" si="121"/>
        <v>-56244.01</v>
      </c>
      <c r="H1499">
        <f t="shared" si="117"/>
        <v>135.93961957208873</v>
      </c>
      <c r="I1499">
        <f t="shared" si="118"/>
        <v>126.62694828600002</v>
      </c>
      <c r="J1499">
        <f t="shared" si="120"/>
        <v>126594.75528600001</v>
      </c>
      <c r="M1499">
        <f t="shared" si="119"/>
        <v>73063</v>
      </c>
    </row>
    <row r="1500" spans="1:13" x14ac:dyDescent="0.2">
      <c r="A1500">
        <v>72</v>
      </c>
      <c r="B1500">
        <v>64</v>
      </c>
      <c r="C1500">
        <v>136</v>
      </c>
      <c r="D1500" s="51" t="s">
        <v>62</v>
      </c>
      <c r="E1500" t="str">
        <f>VLOOKUP(M1500,'MASS - 2016'!$A$1:$G$3418,6,FALSE)</f>
        <v>-49090#</v>
      </c>
      <c r="F1500" t="str">
        <f>VLOOKUP(M1500,'MASS - 2016'!$A$1:$G$3418,7,FALSE)</f>
        <v>298#</v>
      </c>
      <c r="G1500">
        <f t="shared" si="121"/>
        <v>-49090.01</v>
      </c>
      <c r="H1500">
        <f t="shared" si="117"/>
        <v>135.94729970693822</v>
      </c>
      <c r="I1500">
        <f t="shared" si="118"/>
        <v>126.634102286</v>
      </c>
      <c r="J1500">
        <f t="shared" si="120"/>
        <v>126601.398286</v>
      </c>
      <c r="M1500">
        <f t="shared" si="119"/>
        <v>72064</v>
      </c>
    </row>
    <row r="1501" spans="1:13" x14ac:dyDescent="0.2">
      <c r="A1501">
        <v>87</v>
      </c>
      <c r="B1501">
        <v>50</v>
      </c>
      <c r="C1501">
        <v>137</v>
      </c>
      <c r="D1501" s="51" t="s">
        <v>48</v>
      </c>
      <c r="E1501" t="str">
        <f>VLOOKUP(M1501,'MASS - 2016'!$A$1:$G$3418,6,FALSE)</f>
        <v>-49788#</v>
      </c>
      <c r="F1501" t="str">
        <f>VLOOKUP(M1501,'MASS - 2016'!$A$1:$G$3418,7,FALSE)</f>
        <v>401#</v>
      </c>
      <c r="G1501">
        <f t="shared" si="121"/>
        <v>-49788.01</v>
      </c>
      <c r="H1501">
        <f t="shared" si="117"/>
        <v>136.94655037312148</v>
      </c>
      <c r="I1501">
        <f t="shared" si="118"/>
        <v>127.564898347</v>
      </c>
      <c r="J1501">
        <f t="shared" si="120"/>
        <v>127539.34834699999</v>
      </c>
      <c r="M1501">
        <f t="shared" si="119"/>
        <v>87050</v>
      </c>
    </row>
    <row r="1502" spans="1:13" x14ac:dyDescent="0.2">
      <c r="A1502">
        <v>86</v>
      </c>
      <c r="B1502">
        <v>51</v>
      </c>
      <c r="C1502">
        <v>137</v>
      </c>
      <c r="D1502" s="51" t="s">
        <v>49</v>
      </c>
      <c r="E1502">
        <f>VLOOKUP(M1502,'MASS - 2016'!$A$1:$G$3418,6,FALSE)</f>
        <v>-60060.383999999998</v>
      </c>
      <c r="F1502">
        <f>VLOOKUP(M1502,'MASS - 2016'!$A$1:$G$3418,7,FALSE)</f>
        <v>52.164000000000001</v>
      </c>
      <c r="G1502">
        <f t="shared" si="121"/>
        <v>-60060.383999999998</v>
      </c>
      <c r="H1502">
        <f t="shared" si="117"/>
        <v>136.93552252610658</v>
      </c>
      <c r="I1502">
        <f t="shared" si="118"/>
        <v>127.554625973</v>
      </c>
      <c r="J1502">
        <f t="shared" si="120"/>
        <v>127528.564973</v>
      </c>
      <c r="M1502">
        <f t="shared" si="119"/>
        <v>86051</v>
      </c>
    </row>
    <row r="1503" spans="1:13" x14ac:dyDescent="0.2">
      <c r="A1503">
        <v>85</v>
      </c>
      <c r="B1503">
        <v>52</v>
      </c>
      <c r="C1503">
        <v>137</v>
      </c>
      <c r="D1503" s="51" t="s">
        <v>50</v>
      </c>
      <c r="E1503">
        <f>VLOOKUP(M1503,'MASS - 2016'!$A$1:$G$3418,6,FALSE)</f>
        <v>-69303.752999999997</v>
      </c>
      <c r="F1503">
        <f>VLOOKUP(M1503,'MASS - 2016'!$A$1:$G$3418,7,FALSE)</f>
        <v>2.1</v>
      </c>
      <c r="G1503">
        <f t="shared" si="121"/>
        <v>-69303.752999999997</v>
      </c>
      <c r="H1503">
        <f t="shared" si="117"/>
        <v>136.9255993613898</v>
      </c>
      <c r="I1503">
        <f t="shared" si="118"/>
        <v>127.54538260399998</v>
      </c>
      <c r="J1503">
        <f t="shared" si="120"/>
        <v>127518.81060399998</v>
      </c>
      <c r="M1503">
        <f t="shared" si="119"/>
        <v>85052</v>
      </c>
    </row>
    <row r="1504" spans="1:13" x14ac:dyDescent="0.2">
      <c r="A1504">
        <v>84</v>
      </c>
      <c r="B1504">
        <v>53</v>
      </c>
      <c r="C1504">
        <v>137</v>
      </c>
      <c r="D1504" s="51" t="s">
        <v>51</v>
      </c>
      <c r="E1504">
        <f>VLOOKUP(M1504,'MASS - 2016'!$A$1:$G$3418,6,FALSE)</f>
        <v>-76356.258000000002</v>
      </c>
      <c r="F1504">
        <f>VLOOKUP(M1504,'MASS - 2016'!$A$1:$G$3418,7,FALSE)</f>
        <v>8.3829999999999991</v>
      </c>
      <c r="G1504">
        <f t="shared" si="121"/>
        <v>-76356.258000000002</v>
      </c>
      <c r="H1504">
        <f t="shared" si="117"/>
        <v>136.91802818590381</v>
      </c>
      <c r="I1504">
        <f t="shared" si="118"/>
        <v>127.53833009899999</v>
      </c>
      <c r="J1504">
        <f t="shared" si="120"/>
        <v>127511.247099</v>
      </c>
      <c r="M1504">
        <f t="shared" si="119"/>
        <v>84053</v>
      </c>
    </row>
    <row r="1505" spans="1:13" x14ac:dyDescent="0.2">
      <c r="A1505">
        <v>83</v>
      </c>
      <c r="B1505">
        <v>54</v>
      </c>
      <c r="C1505">
        <v>137</v>
      </c>
      <c r="D1505" s="51" t="s">
        <v>52</v>
      </c>
      <c r="E1505">
        <f>VLOOKUP(M1505,'MASS - 2016'!$A$1:$G$3418,6,FALSE)</f>
        <v>-82383.403999999995</v>
      </c>
      <c r="F1505">
        <f>VLOOKUP(M1505,'MASS - 2016'!$A$1:$G$3418,7,FALSE)</f>
        <v>0.10299999999999999</v>
      </c>
      <c r="G1505">
        <f t="shared" si="121"/>
        <v>-82383.403999999995</v>
      </c>
      <c r="H1505">
        <f t="shared" si="117"/>
        <v>136.91155777857395</v>
      </c>
      <c r="I1505">
        <f t="shared" si="118"/>
        <v>127.53230295299998</v>
      </c>
      <c r="J1505">
        <f t="shared" si="120"/>
        <v>127504.70895299999</v>
      </c>
      <c r="M1505">
        <f t="shared" si="119"/>
        <v>83054</v>
      </c>
    </row>
    <row r="1506" spans="1:13" x14ac:dyDescent="0.2">
      <c r="A1506">
        <v>82</v>
      </c>
      <c r="B1506">
        <v>55</v>
      </c>
      <c r="C1506">
        <v>137</v>
      </c>
      <c r="D1506" s="51" t="s">
        <v>53</v>
      </c>
      <c r="E1506">
        <f>VLOOKUP(M1506,'MASS - 2016'!$A$1:$G$3418,6,FALSE)</f>
        <v>-86545.606</v>
      </c>
      <c r="F1506">
        <f>VLOOKUP(M1506,'MASS - 2016'!$A$1:$G$3418,7,FALSE)</f>
        <v>0.35799999999999998</v>
      </c>
      <c r="G1506">
        <f t="shared" si="121"/>
        <v>-86545.606</v>
      </c>
      <c r="H1506">
        <f t="shared" si="117"/>
        <v>136.9070894709655</v>
      </c>
      <c r="I1506">
        <f t="shared" si="118"/>
        <v>127.528140751</v>
      </c>
      <c r="J1506">
        <f t="shared" si="120"/>
        <v>127500.035751</v>
      </c>
      <c r="M1506">
        <f t="shared" si="119"/>
        <v>82055</v>
      </c>
    </row>
    <row r="1507" spans="1:13" x14ac:dyDescent="0.2">
      <c r="A1507">
        <v>81</v>
      </c>
      <c r="B1507">
        <v>56</v>
      </c>
      <c r="C1507">
        <v>137</v>
      </c>
      <c r="D1507" s="51" t="s">
        <v>54</v>
      </c>
      <c r="E1507">
        <f>VLOOKUP(M1507,'MASS - 2016'!$A$1:$G$3418,6,FALSE)</f>
        <v>-87721.235000000001</v>
      </c>
      <c r="F1507">
        <f>VLOOKUP(M1507,'MASS - 2016'!$A$1:$G$3418,7,FALSE)</f>
        <v>0.314</v>
      </c>
      <c r="G1507">
        <f t="shared" si="121"/>
        <v>-87721.235000000001</v>
      </c>
      <c r="H1507">
        <f t="shared" si="117"/>
        <v>136.90582738132991</v>
      </c>
      <c r="I1507">
        <f t="shared" si="118"/>
        <v>127.52696512199999</v>
      </c>
      <c r="J1507">
        <f t="shared" si="120"/>
        <v>127498.349122</v>
      </c>
      <c r="M1507">
        <f t="shared" si="119"/>
        <v>81056</v>
      </c>
    </row>
    <row r="1508" spans="1:13" x14ac:dyDescent="0.2">
      <c r="A1508">
        <v>80</v>
      </c>
      <c r="B1508">
        <v>57</v>
      </c>
      <c r="C1508">
        <v>137</v>
      </c>
      <c r="D1508" s="51" t="s">
        <v>55</v>
      </c>
      <c r="E1508">
        <f>VLOOKUP(M1508,'MASS - 2016'!$A$1:$G$3418,6,FALSE)</f>
        <v>-87140.687999999995</v>
      </c>
      <c r="F1508">
        <f>VLOOKUP(M1508,'MASS - 2016'!$A$1:$G$3418,7,FALSE)</f>
        <v>1.659</v>
      </c>
      <c r="G1508">
        <f t="shared" si="121"/>
        <v>-87140.687999999995</v>
      </c>
      <c r="H1508">
        <f t="shared" si="117"/>
        <v>136.90645062416559</v>
      </c>
      <c r="I1508">
        <f t="shared" si="118"/>
        <v>127.52754566899999</v>
      </c>
      <c r="J1508">
        <f t="shared" si="120"/>
        <v>127498.41866899999</v>
      </c>
      <c r="M1508">
        <f t="shared" si="119"/>
        <v>80057</v>
      </c>
    </row>
    <row r="1509" spans="1:13" x14ac:dyDescent="0.2">
      <c r="A1509">
        <v>79</v>
      </c>
      <c r="B1509">
        <v>58</v>
      </c>
      <c r="C1509">
        <v>137</v>
      </c>
      <c r="D1509" s="51" t="s">
        <v>56</v>
      </c>
      <c r="E1509">
        <f>VLOOKUP(M1509,'MASS - 2016'!$A$1:$G$3418,6,FALSE)</f>
        <v>-85918.588000000003</v>
      </c>
      <c r="F1509">
        <f>VLOOKUP(M1509,'MASS - 2016'!$A$1:$G$3418,7,FALSE)</f>
        <v>0.437</v>
      </c>
      <c r="G1509">
        <f t="shared" si="121"/>
        <v>-85918.588000000003</v>
      </c>
      <c r="H1509">
        <f t="shared" si="117"/>
        <v>136.90776260247139</v>
      </c>
      <c r="I1509">
        <f t="shared" si="118"/>
        <v>127.528767769</v>
      </c>
      <c r="J1509">
        <f t="shared" si="120"/>
        <v>127499.12976899999</v>
      </c>
      <c r="M1509">
        <f t="shared" si="119"/>
        <v>79058</v>
      </c>
    </row>
    <row r="1510" spans="1:13" x14ac:dyDescent="0.2">
      <c r="A1510">
        <v>78</v>
      </c>
      <c r="B1510">
        <v>59</v>
      </c>
      <c r="C1510">
        <v>137</v>
      </c>
      <c r="D1510" s="51" t="s">
        <v>57</v>
      </c>
      <c r="E1510">
        <f>VLOOKUP(M1510,'MASS - 2016'!$A$1:$G$3418,6,FALSE)</f>
        <v>-83201.692999999999</v>
      </c>
      <c r="F1510">
        <f>VLOOKUP(M1510,'MASS - 2016'!$A$1:$G$3418,7,FALSE)</f>
        <v>8.1370000000000005</v>
      </c>
      <c r="G1510">
        <f t="shared" si="121"/>
        <v>-83201.692999999999</v>
      </c>
      <c r="H1510">
        <f t="shared" si="117"/>
        <v>136.91067930920494</v>
      </c>
      <c r="I1510">
        <f t="shared" si="118"/>
        <v>127.53148466399998</v>
      </c>
      <c r="J1510">
        <f t="shared" si="120"/>
        <v>127501.33566399997</v>
      </c>
      <c r="M1510">
        <f t="shared" si="119"/>
        <v>78059</v>
      </c>
    </row>
    <row r="1511" spans="1:13" x14ac:dyDescent="0.2">
      <c r="A1511">
        <v>77</v>
      </c>
      <c r="B1511">
        <v>60</v>
      </c>
      <c r="C1511">
        <v>137</v>
      </c>
      <c r="D1511" s="51" t="s">
        <v>58</v>
      </c>
      <c r="E1511">
        <f>VLOOKUP(M1511,'MASS - 2016'!$A$1:$G$3418,6,FALSE)</f>
        <v>-79584.566999999995</v>
      </c>
      <c r="F1511">
        <f>VLOOKUP(M1511,'MASS - 2016'!$A$1:$G$3418,7,FALSE)</f>
        <v>11.737</v>
      </c>
      <c r="G1511">
        <f t="shared" si="121"/>
        <v>-79584.566999999995</v>
      </c>
      <c r="H1511">
        <f t="shared" si="117"/>
        <v>136.91456245366228</v>
      </c>
      <c r="I1511">
        <f t="shared" si="118"/>
        <v>127.53510179</v>
      </c>
      <c r="J1511">
        <f t="shared" si="120"/>
        <v>127504.44179</v>
      </c>
      <c r="M1511">
        <f t="shared" si="119"/>
        <v>77060</v>
      </c>
    </row>
    <row r="1512" spans="1:13" x14ac:dyDescent="0.2">
      <c r="A1512">
        <v>76</v>
      </c>
      <c r="B1512">
        <v>61</v>
      </c>
      <c r="C1512">
        <v>137</v>
      </c>
      <c r="D1512" s="51" t="s">
        <v>59</v>
      </c>
      <c r="E1512">
        <f>VLOOKUP(M1512,'MASS - 2016'!$A$1:$G$3418,6,FALSE)</f>
        <v>-74072.847999999998</v>
      </c>
      <c r="F1512">
        <f>VLOOKUP(M1512,'MASS - 2016'!$A$1:$G$3418,7,FALSE)</f>
        <v>13.041</v>
      </c>
      <c r="G1512">
        <f t="shared" si="121"/>
        <v>-74072.847999999998</v>
      </c>
      <c r="H1512">
        <f t="shared" si="117"/>
        <v>136.92047952735149</v>
      </c>
      <c r="I1512">
        <f t="shared" si="118"/>
        <v>127.540613509</v>
      </c>
      <c r="J1512">
        <f t="shared" si="120"/>
        <v>127509.442509</v>
      </c>
      <c r="M1512">
        <f t="shared" si="119"/>
        <v>76061</v>
      </c>
    </row>
    <row r="1513" spans="1:13" x14ac:dyDescent="0.2">
      <c r="A1513">
        <v>75</v>
      </c>
      <c r="B1513">
        <v>62</v>
      </c>
      <c r="C1513">
        <v>137</v>
      </c>
      <c r="D1513" s="51" t="s">
        <v>60</v>
      </c>
      <c r="E1513">
        <f>VLOOKUP(M1513,'MASS - 2016'!$A$1:$G$3418,6,FALSE)</f>
        <v>-68026.524999999994</v>
      </c>
      <c r="F1513">
        <f>VLOOKUP(M1513,'MASS - 2016'!$A$1:$G$3418,7,FALSE)</f>
        <v>42.395000000000003</v>
      </c>
      <c r="G1513">
        <f t="shared" si="121"/>
        <v>-68026.524999999994</v>
      </c>
      <c r="H1513">
        <f t="shared" si="117"/>
        <v>136.92697052203749</v>
      </c>
      <c r="I1513">
        <f t="shared" si="118"/>
        <v>127.54665983199999</v>
      </c>
      <c r="J1513">
        <f t="shared" si="120"/>
        <v>127514.97783199999</v>
      </c>
      <c r="M1513">
        <f t="shared" si="119"/>
        <v>75062</v>
      </c>
    </row>
    <row r="1514" spans="1:13" x14ac:dyDescent="0.2">
      <c r="A1514">
        <v>74</v>
      </c>
      <c r="B1514">
        <v>63</v>
      </c>
      <c r="C1514">
        <v>137</v>
      </c>
      <c r="D1514" s="51" t="s">
        <v>61</v>
      </c>
      <c r="E1514">
        <f>VLOOKUP(M1514,'MASS - 2016'!$A$1:$G$3418,6,FALSE)</f>
        <v>-60145.894999999997</v>
      </c>
      <c r="F1514">
        <f>VLOOKUP(M1514,'MASS - 2016'!$A$1:$G$3418,7,FALSE)</f>
        <v>4.3780000000000001</v>
      </c>
      <c r="G1514">
        <f t="shared" si="121"/>
        <v>-60145.894999999997</v>
      </c>
      <c r="H1514">
        <f t="shared" si="117"/>
        <v>136.93543072627276</v>
      </c>
      <c r="I1514">
        <f t="shared" si="118"/>
        <v>127.55454046199999</v>
      </c>
      <c r="J1514">
        <f t="shared" si="120"/>
        <v>127522.34746199999</v>
      </c>
      <c r="M1514">
        <f t="shared" si="119"/>
        <v>74063</v>
      </c>
    </row>
    <row r="1515" spans="1:13" x14ac:dyDescent="0.2">
      <c r="A1515">
        <v>73</v>
      </c>
      <c r="B1515">
        <v>64</v>
      </c>
      <c r="C1515">
        <v>137</v>
      </c>
      <c r="D1515" s="51" t="s">
        <v>62</v>
      </c>
      <c r="E1515" t="str">
        <f>VLOOKUP(M1515,'MASS - 2016'!$A$1:$G$3418,6,FALSE)</f>
        <v>-51214#</v>
      </c>
      <c r="F1515" t="str">
        <f>VLOOKUP(M1515,'MASS - 2016'!$A$1:$G$3418,7,FALSE)</f>
        <v>298#</v>
      </c>
      <c r="G1515">
        <f t="shared" si="121"/>
        <v>-51214.01</v>
      </c>
      <c r="H1515">
        <f t="shared" si="117"/>
        <v>136.94501949916352</v>
      </c>
      <c r="I1515">
        <f t="shared" si="118"/>
        <v>127.56347234700002</v>
      </c>
      <c r="J1515">
        <f t="shared" si="120"/>
        <v>127530.76834700002</v>
      </c>
      <c r="M1515">
        <f t="shared" si="119"/>
        <v>73064</v>
      </c>
    </row>
    <row r="1516" spans="1:13" x14ac:dyDescent="0.2">
      <c r="A1516">
        <v>87</v>
      </c>
      <c r="B1516">
        <v>51</v>
      </c>
      <c r="C1516">
        <v>138</v>
      </c>
      <c r="D1516" s="51" t="s">
        <v>49</v>
      </c>
      <c r="E1516">
        <f>VLOOKUP(M1516,'MASS - 2016'!$A$1:$G$3418,6,FALSE)</f>
        <v>-54220.402999999998</v>
      </c>
      <c r="F1516">
        <f>VLOOKUP(M1516,'MASS - 2016'!$A$1:$G$3418,7,FALSE)</f>
        <v>1064.232</v>
      </c>
      <c r="G1516">
        <f t="shared" si="121"/>
        <v>-54220.402999999998</v>
      </c>
      <c r="H1516">
        <f t="shared" si="117"/>
        <v>137.9417920035456</v>
      </c>
      <c r="I1516">
        <f t="shared" si="118"/>
        <v>128.49196001500002</v>
      </c>
      <c r="J1516">
        <f t="shared" si="120"/>
        <v>128465.89901500002</v>
      </c>
      <c r="M1516">
        <f t="shared" si="119"/>
        <v>87051</v>
      </c>
    </row>
    <row r="1517" spans="1:13" x14ac:dyDescent="0.2">
      <c r="A1517">
        <v>86</v>
      </c>
      <c r="B1517">
        <v>52</v>
      </c>
      <c r="C1517">
        <v>138</v>
      </c>
      <c r="D1517" s="51" t="s">
        <v>50</v>
      </c>
      <c r="E1517">
        <f>VLOOKUP(M1517,'MASS - 2016'!$A$1:$G$3418,6,FALSE)</f>
        <v>-65695.985000000001</v>
      </c>
      <c r="F1517">
        <f>VLOOKUP(M1517,'MASS - 2016'!$A$1:$G$3418,7,FALSE)</f>
        <v>3.7869999999999999</v>
      </c>
      <c r="G1517">
        <f t="shared" si="121"/>
        <v>-65695.985000000001</v>
      </c>
      <c r="H1517">
        <f t="shared" si="117"/>
        <v>137.929472459621</v>
      </c>
      <c r="I1517">
        <f t="shared" si="118"/>
        <v>128.48048443300002</v>
      </c>
      <c r="J1517">
        <f t="shared" si="120"/>
        <v>128453.91243300002</v>
      </c>
      <c r="M1517">
        <f t="shared" si="119"/>
        <v>86052</v>
      </c>
    </row>
    <row r="1518" spans="1:13" x14ac:dyDescent="0.2">
      <c r="A1518">
        <v>85</v>
      </c>
      <c r="B1518">
        <v>53</v>
      </c>
      <c r="C1518">
        <v>138</v>
      </c>
      <c r="D1518" s="51" t="s">
        <v>51</v>
      </c>
      <c r="E1518">
        <f>VLOOKUP(M1518,'MASS - 2016'!$A$1:$G$3418,6,FALSE)</f>
        <v>-71979.899999999994</v>
      </c>
      <c r="F1518">
        <f>VLOOKUP(M1518,'MASS - 2016'!$A$1:$G$3418,7,FALSE)</f>
        <v>5.9619999999999997</v>
      </c>
      <c r="G1518">
        <f t="shared" si="121"/>
        <v>-71979.899999999994</v>
      </c>
      <c r="H1518">
        <f t="shared" si="117"/>
        <v>137.92272639943326</v>
      </c>
      <c r="I1518">
        <f t="shared" si="118"/>
        <v>128.474200518</v>
      </c>
      <c r="J1518">
        <f t="shared" si="120"/>
        <v>128447.117518</v>
      </c>
      <c r="M1518">
        <f t="shared" si="119"/>
        <v>85053</v>
      </c>
    </row>
    <row r="1519" spans="1:13" x14ac:dyDescent="0.2">
      <c r="A1519">
        <v>84</v>
      </c>
      <c r="B1519">
        <v>54</v>
      </c>
      <c r="C1519">
        <v>138</v>
      </c>
      <c r="D1519" s="51" t="s">
        <v>52</v>
      </c>
      <c r="E1519">
        <f>VLOOKUP(M1519,'MASS - 2016'!$A$1:$G$3418,6,FALSE)</f>
        <v>-79972.232999999993</v>
      </c>
      <c r="F1519">
        <f>VLOOKUP(M1519,'MASS - 2016'!$A$1:$G$3418,7,FALSE)</f>
        <v>2.8039999999999998</v>
      </c>
      <c r="G1519">
        <f t="shared" si="121"/>
        <v>-79972.232999999993</v>
      </c>
      <c r="H1519">
        <f t="shared" si="117"/>
        <v>137.9141462770958</v>
      </c>
      <c r="I1519">
        <f t="shared" si="118"/>
        <v>128.466208185</v>
      </c>
      <c r="J1519">
        <f t="shared" si="120"/>
        <v>128438.614185</v>
      </c>
      <c r="M1519">
        <f t="shared" si="119"/>
        <v>84054</v>
      </c>
    </row>
    <row r="1520" spans="1:13" x14ac:dyDescent="0.2">
      <c r="A1520">
        <v>83</v>
      </c>
      <c r="B1520">
        <v>55</v>
      </c>
      <c r="C1520">
        <v>138</v>
      </c>
      <c r="D1520" s="51" t="s">
        <v>53</v>
      </c>
      <c r="E1520">
        <f>VLOOKUP(M1520,'MASS - 2016'!$A$1:$G$3418,6,FALSE)</f>
        <v>-82886.937000000005</v>
      </c>
      <c r="F1520">
        <f>VLOOKUP(M1520,'MASS - 2016'!$A$1:$G$3418,7,FALSE)</f>
        <v>9.1590000000000007</v>
      </c>
      <c r="G1520">
        <f t="shared" si="121"/>
        <v>-82886.937000000005</v>
      </c>
      <c r="H1520">
        <f t="shared" si="117"/>
        <v>137.91101721366744</v>
      </c>
      <c r="I1520">
        <f t="shared" si="118"/>
        <v>128.46329348099999</v>
      </c>
      <c r="J1520">
        <f t="shared" si="120"/>
        <v>128435.188481</v>
      </c>
      <c r="M1520">
        <f t="shared" si="119"/>
        <v>83055</v>
      </c>
    </row>
    <row r="1521" spans="1:13" x14ac:dyDescent="0.2">
      <c r="A1521">
        <v>82</v>
      </c>
      <c r="B1521">
        <v>56</v>
      </c>
      <c r="C1521">
        <v>138</v>
      </c>
      <c r="D1521" s="51" t="s">
        <v>54</v>
      </c>
      <c r="E1521">
        <f>VLOOKUP(M1521,'MASS - 2016'!$A$1:$G$3418,6,FALSE)</f>
        <v>-88261.638000000006</v>
      </c>
      <c r="F1521">
        <f>VLOOKUP(M1521,'MASS - 2016'!$A$1:$G$3418,7,FALSE)</f>
        <v>0.317</v>
      </c>
      <c r="G1521">
        <f t="shared" si="121"/>
        <v>-88261.638000000006</v>
      </c>
      <c r="H1521">
        <f t="shared" si="117"/>
        <v>137.90524723485061</v>
      </c>
      <c r="I1521">
        <f t="shared" si="118"/>
        <v>128.45791878</v>
      </c>
      <c r="J1521">
        <f t="shared" si="120"/>
        <v>128429.30278000001</v>
      </c>
      <c r="M1521">
        <f t="shared" si="119"/>
        <v>82056</v>
      </c>
    </row>
    <row r="1522" spans="1:13" x14ac:dyDescent="0.2">
      <c r="A1522">
        <v>81</v>
      </c>
      <c r="B1522">
        <v>57</v>
      </c>
      <c r="C1522">
        <v>138</v>
      </c>
      <c r="D1522" s="51" t="s">
        <v>55</v>
      </c>
      <c r="E1522">
        <f>VLOOKUP(M1522,'MASS - 2016'!$A$1:$G$3418,6,FALSE)</f>
        <v>-86519.18</v>
      </c>
      <c r="F1522">
        <f>VLOOKUP(M1522,'MASS - 2016'!$A$1:$G$3418,7,FALSE)</f>
        <v>3.1880000000000002</v>
      </c>
      <c r="G1522">
        <f t="shared" si="121"/>
        <v>-86519.18</v>
      </c>
      <c r="H1522">
        <f t="shared" si="117"/>
        <v>137.90711784044322</v>
      </c>
      <c r="I1522">
        <f t="shared" si="118"/>
        <v>128.459661238</v>
      </c>
      <c r="J1522">
        <f t="shared" si="120"/>
        <v>128430.53423800001</v>
      </c>
      <c r="M1522">
        <f t="shared" si="119"/>
        <v>81057</v>
      </c>
    </row>
    <row r="1523" spans="1:13" x14ac:dyDescent="0.2">
      <c r="A1523">
        <v>80</v>
      </c>
      <c r="B1523">
        <v>58</v>
      </c>
      <c r="C1523">
        <v>138</v>
      </c>
      <c r="D1523" s="51" t="s">
        <v>56</v>
      </c>
      <c r="E1523">
        <f>VLOOKUP(M1523,'MASS - 2016'!$A$1:$G$3418,6,FALSE)</f>
        <v>-87570.922000000006</v>
      </c>
      <c r="F1523">
        <f>VLOOKUP(M1523,'MASS - 2016'!$A$1:$G$3418,7,FALSE)</f>
        <v>4.931</v>
      </c>
      <c r="G1523">
        <f t="shared" si="121"/>
        <v>-87570.922000000006</v>
      </c>
      <c r="H1523">
        <f t="shared" si="117"/>
        <v>137.90598874897177</v>
      </c>
      <c r="I1523">
        <f t="shared" si="118"/>
        <v>128.45860949600001</v>
      </c>
      <c r="J1523">
        <f t="shared" si="120"/>
        <v>128428.971496</v>
      </c>
      <c r="M1523">
        <f t="shared" si="119"/>
        <v>80058</v>
      </c>
    </row>
    <row r="1524" spans="1:13" x14ac:dyDescent="0.2">
      <c r="A1524">
        <v>79</v>
      </c>
      <c r="B1524">
        <v>59</v>
      </c>
      <c r="C1524">
        <v>138</v>
      </c>
      <c r="D1524" s="51" t="s">
        <v>57</v>
      </c>
      <c r="E1524">
        <f>VLOOKUP(M1524,'MASS - 2016'!$A$1:$G$3418,6,FALSE)</f>
        <v>-83133.922000000006</v>
      </c>
      <c r="F1524">
        <f>VLOOKUP(M1524,'MASS - 2016'!$A$1:$G$3418,7,FALSE)</f>
        <v>11.15</v>
      </c>
      <c r="G1524">
        <f t="shared" si="121"/>
        <v>-83133.922000000006</v>
      </c>
      <c r="H1524">
        <f t="shared" si="117"/>
        <v>137.91075206436557</v>
      </c>
      <c r="I1524">
        <f t="shared" si="118"/>
        <v>128.463046496</v>
      </c>
      <c r="J1524">
        <f t="shared" si="120"/>
        <v>128432.89749600001</v>
      </c>
      <c r="M1524">
        <f t="shared" si="119"/>
        <v>79059</v>
      </c>
    </row>
    <row r="1525" spans="1:13" x14ac:dyDescent="0.2">
      <c r="A1525">
        <v>78</v>
      </c>
      <c r="B1525">
        <v>60</v>
      </c>
      <c r="C1525">
        <v>138</v>
      </c>
      <c r="D1525" s="51" t="s">
        <v>58</v>
      </c>
      <c r="E1525">
        <f>VLOOKUP(M1525,'MASS - 2016'!$A$1:$G$3418,6,FALSE)</f>
        <v>-82018.31</v>
      </c>
      <c r="F1525">
        <f>VLOOKUP(M1525,'MASS - 2016'!$A$1:$G$3418,7,FALSE)</f>
        <v>11.601000000000001</v>
      </c>
      <c r="G1525">
        <f t="shared" si="121"/>
        <v>-82018.31</v>
      </c>
      <c r="H1525">
        <f t="shared" si="117"/>
        <v>137.91194972310191</v>
      </c>
      <c r="I1525">
        <f t="shared" si="118"/>
        <v>128.46416210800001</v>
      </c>
      <c r="J1525">
        <f t="shared" si="120"/>
        <v>128433.502108</v>
      </c>
      <c r="M1525">
        <f t="shared" si="119"/>
        <v>78060</v>
      </c>
    </row>
    <row r="1526" spans="1:13" x14ac:dyDescent="0.2">
      <c r="A1526">
        <v>77</v>
      </c>
      <c r="B1526">
        <v>61</v>
      </c>
      <c r="C1526">
        <v>138</v>
      </c>
      <c r="D1526" s="51" t="s">
        <v>59</v>
      </c>
      <c r="E1526">
        <f>VLOOKUP(M1526,'MASS - 2016'!$A$1:$G$3418,6,FALSE)</f>
        <v>-74940.482999999993</v>
      </c>
      <c r="F1526">
        <f>VLOOKUP(M1526,'MASS - 2016'!$A$1:$G$3418,7,FALSE)</f>
        <v>27.739000000000001</v>
      </c>
      <c r="G1526">
        <f t="shared" si="121"/>
        <v>-74940.482999999993</v>
      </c>
      <c r="H1526">
        <f t="shared" si="117"/>
        <v>137.91954808287286</v>
      </c>
      <c r="I1526">
        <f t="shared" si="118"/>
        <v>128.471239935</v>
      </c>
      <c r="J1526">
        <f t="shared" si="120"/>
        <v>128440.068935</v>
      </c>
      <c r="M1526">
        <f t="shared" si="119"/>
        <v>77061</v>
      </c>
    </row>
    <row r="1527" spans="1:13" x14ac:dyDescent="0.2">
      <c r="A1527">
        <v>76</v>
      </c>
      <c r="B1527">
        <v>62</v>
      </c>
      <c r="C1527">
        <v>138</v>
      </c>
      <c r="D1527" s="51" t="s">
        <v>60</v>
      </c>
      <c r="E1527">
        <f>VLOOKUP(M1527,'MASS - 2016'!$A$1:$G$3418,6,FALSE)</f>
        <v>-71497.762000000002</v>
      </c>
      <c r="F1527">
        <f>VLOOKUP(M1527,'MASS - 2016'!$A$1:$G$3418,7,FALSE)</f>
        <v>11.817</v>
      </c>
      <c r="G1527">
        <f t="shared" si="121"/>
        <v>-71497.762000000002</v>
      </c>
      <c r="H1527">
        <f t="shared" si="117"/>
        <v>137.92324399586269</v>
      </c>
      <c r="I1527">
        <f t="shared" si="118"/>
        <v>128.474682656</v>
      </c>
      <c r="J1527">
        <f t="shared" si="120"/>
        <v>128443.000656</v>
      </c>
      <c r="M1527">
        <f t="shared" si="119"/>
        <v>76062</v>
      </c>
    </row>
    <row r="1528" spans="1:13" x14ac:dyDescent="0.2">
      <c r="A1528">
        <v>75</v>
      </c>
      <c r="B1528">
        <v>63</v>
      </c>
      <c r="C1528">
        <v>138</v>
      </c>
      <c r="D1528" s="51" t="s">
        <v>61</v>
      </c>
      <c r="E1528">
        <f>VLOOKUP(M1528,'MASS - 2016'!$A$1:$G$3418,6,FALSE)</f>
        <v>-61749.669000000002</v>
      </c>
      <c r="F1528">
        <f>VLOOKUP(M1528,'MASS - 2016'!$A$1:$G$3418,7,FALSE)</f>
        <v>27.945</v>
      </c>
      <c r="G1528">
        <f t="shared" si="121"/>
        <v>-61749.669000000002</v>
      </c>
      <c r="H1528">
        <f t="shared" si="117"/>
        <v>137.93370900407706</v>
      </c>
      <c r="I1528">
        <f t="shared" si="118"/>
        <v>128.48443074900001</v>
      </c>
      <c r="J1528">
        <f t="shared" si="120"/>
        <v>128452.23774900001</v>
      </c>
      <c r="M1528">
        <f t="shared" si="119"/>
        <v>75063</v>
      </c>
    </row>
    <row r="1529" spans="1:13" x14ac:dyDescent="0.2">
      <c r="A1529">
        <v>74</v>
      </c>
      <c r="B1529">
        <v>64</v>
      </c>
      <c r="C1529">
        <v>138</v>
      </c>
      <c r="D1529" s="51" t="s">
        <v>62</v>
      </c>
      <c r="E1529" t="str">
        <f>VLOOKUP(M1529,'MASS - 2016'!$A$1:$G$3418,6,FALSE)</f>
        <v>-55800#</v>
      </c>
      <c r="F1529" t="str">
        <f>VLOOKUP(M1529,'MASS - 2016'!$A$1:$G$3418,7,FALSE)</f>
        <v>196#</v>
      </c>
      <c r="G1529">
        <f t="shared" si="121"/>
        <v>-55800.01</v>
      </c>
      <c r="H1529">
        <f t="shared" si="117"/>
        <v>137.94009622569135</v>
      </c>
      <c r="I1529">
        <f t="shared" si="118"/>
        <v>128.49038040799999</v>
      </c>
      <c r="J1529">
        <f t="shared" si="120"/>
        <v>128457.676408</v>
      </c>
      <c r="M1529">
        <f t="shared" si="119"/>
        <v>74064</v>
      </c>
    </row>
    <row r="1530" spans="1:13" x14ac:dyDescent="0.2">
      <c r="A1530">
        <v>73</v>
      </c>
      <c r="B1530">
        <v>65</v>
      </c>
      <c r="C1530">
        <v>138</v>
      </c>
      <c r="D1530" s="51" t="s">
        <v>63</v>
      </c>
      <c r="E1530" t="str">
        <f>VLOOKUP(M1530,'MASS - 2016'!$A$1:$G$3418,6,FALSE)</f>
        <v>-43668#</v>
      </c>
      <c r="F1530" t="str">
        <f>VLOOKUP(M1530,'MASS - 2016'!$A$1:$G$3418,7,FALSE)</f>
        <v>298#</v>
      </c>
      <c r="G1530">
        <f t="shared" si="121"/>
        <v>-43668.01</v>
      </c>
      <c r="H1530">
        <f t="shared" si="117"/>
        <v>137.95312046331983</v>
      </c>
      <c r="I1530">
        <f t="shared" si="118"/>
        <v>128.502512408</v>
      </c>
      <c r="J1530">
        <f t="shared" si="120"/>
        <v>128469.297408</v>
      </c>
      <c r="M1530">
        <f t="shared" si="119"/>
        <v>73065</v>
      </c>
    </row>
    <row r="1531" spans="1:13" x14ac:dyDescent="0.2">
      <c r="A1531">
        <v>88</v>
      </c>
      <c r="B1531">
        <v>51</v>
      </c>
      <c r="C1531">
        <v>139</v>
      </c>
      <c r="D1531" s="51" t="s">
        <v>49</v>
      </c>
      <c r="E1531" t="str">
        <f>VLOOKUP(M1531,'MASS - 2016'!$A$1:$G$3418,6,FALSE)</f>
        <v>-49788#</v>
      </c>
      <c r="F1531" t="str">
        <f>VLOOKUP(M1531,'MASS - 2016'!$A$1:$G$3418,7,FALSE)</f>
        <v>401#</v>
      </c>
      <c r="G1531">
        <f t="shared" si="121"/>
        <v>-49788.01</v>
      </c>
      <c r="H1531">
        <f t="shared" si="117"/>
        <v>138.94655037312151</v>
      </c>
      <c r="I1531">
        <f t="shared" si="118"/>
        <v>129.42788646900001</v>
      </c>
      <c r="J1531">
        <f t="shared" si="120"/>
        <v>129401.82546900002</v>
      </c>
      <c r="M1531">
        <f t="shared" si="119"/>
        <v>88051</v>
      </c>
    </row>
    <row r="1532" spans="1:13" x14ac:dyDescent="0.2">
      <c r="A1532">
        <v>87</v>
      </c>
      <c r="B1532">
        <v>52</v>
      </c>
      <c r="C1532">
        <v>139</v>
      </c>
      <c r="D1532" s="51" t="s">
        <v>50</v>
      </c>
      <c r="E1532">
        <f>VLOOKUP(M1532,'MASS - 2016'!$A$1:$G$3418,6,FALSE)</f>
        <v>-60205.072</v>
      </c>
      <c r="F1532">
        <f>VLOOKUP(M1532,'MASS - 2016'!$A$1:$G$3418,7,FALSE)</f>
        <v>3.54</v>
      </c>
      <c r="G1532">
        <f t="shared" si="121"/>
        <v>-60205.072</v>
      </c>
      <c r="H1532">
        <f t="shared" si="117"/>
        <v>138.93536719715061</v>
      </c>
      <c r="I1532">
        <f t="shared" si="118"/>
        <v>129.417469407</v>
      </c>
      <c r="J1532">
        <f t="shared" si="120"/>
        <v>129390.897407</v>
      </c>
      <c r="M1532">
        <f t="shared" si="119"/>
        <v>87052</v>
      </c>
    </row>
    <row r="1533" spans="1:13" x14ac:dyDescent="0.2">
      <c r="A1533">
        <v>86</v>
      </c>
      <c r="B1533">
        <v>53</v>
      </c>
      <c r="C1533">
        <v>139</v>
      </c>
      <c r="D1533" s="51" t="s">
        <v>51</v>
      </c>
      <c r="E1533">
        <f>VLOOKUP(M1533,'MASS - 2016'!$A$1:$G$3418,6,FALSE)</f>
        <v>-68470.953999999998</v>
      </c>
      <c r="F1533">
        <f>VLOOKUP(M1533,'MASS - 2016'!$A$1:$G$3418,7,FALSE)</f>
        <v>4.0049999999999999</v>
      </c>
      <c r="G1533">
        <f t="shared" si="121"/>
        <v>-68470.953999999998</v>
      </c>
      <c r="H1533">
        <f t="shared" si="117"/>
        <v>138.92649340788444</v>
      </c>
      <c r="I1533">
        <f t="shared" si="118"/>
        <v>129.40920352500001</v>
      </c>
      <c r="J1533">
        <f t="shared" si="120"/>
        <v>129382.12052500001</v>
      </c>
      <c r="M1533">
        <f t="shared" si="119"/>
        <v>86053</v>
      </c>
    </row>
    <row r="1534" spans="1:13" x14ac:dyDescent="0.2">
      <c r="A1534">
        <v>85</v>
      </c>
      <c r="B1534">
        <v>54</v>
      </c>
      <c r="C1534">
        <v>139</v>
      </c>
      <c r="D1534" s="51" t="s">
        <v>52</v>
      </c>
      <c r="E1534">
        <f>VLOOKUP(M1534,'MASS - 2016'!$A$1:$G$3418,6,FALSE)</f>
        <v>-75644.576000000001</v>
      </c>
      <c r="F1534">
        <f>VLOOKUP(M1534,'MASS - 2016'!$A$1:$G$3418,7,FALSE)</f>
        <v>2.1419999999999999</v>
      </c>
      <c r="G1534">
        <f t="shared" si="121"/>
        <v>-75644.576000000001</v>
      </c>
      <c r="H1534">
        <f t="shared" si="117"/>
        <v>138.91879220795161</v>
      </c>
      <c r="I1534">
        <f t="shared" si="118"/>
        <v>129.402029903</v>
      </c>
      <c r="J1534">
        <f t="shared" si="120"/>
        <v>129374.43590300001</v>
      </c>
      <c r="M1534">
        <f t="shared" si="119"/>
        <v>85054</v>
      </c>
    </row>
    <row r="1535" spans="1:13" x14ac:dyDescent="0.2">
      <c r="A1535">
        <v>84</v>
      </c>
      <c r="B1535">
        <v>55</v>
      </c>
      <c r="C1535">
        <v>139</v>
      </c>
      <c r="D1535" s="51" t="s">
        <v>53</v>
      </c>
      <c r="E1535">
        <f>VLOOKUP(M1535,'MASS - 2016'!$A$1:$G$3418,6,FALSE)</f>
        <v>-80700.921000000002</v>
      </c>
      <c r="F1535">
        <f>VLOOKUP(M1535,'MASS - 2016'!$A$1:$G$3418,7,FALSE)</f>
        <v>3.14</v>
      </c>
      <c r="G1535">
        <f t="shared" si="121"/>
        <v>-80700.921000000002</v>
      </c>
      <c r="H1535">
        <f t="shared" si="117"/>
        <v>138.9133639983562</v>
      </c>
      <c r="I1535">
        <f t="shared" si="118"/>
        <v>129.39697355800001</v>
      </c>
      <c r="J1535">
        <f t="shared" si="120"/>
        <v>129368.86855800002</v>
      </c>
      <c r="M1535">
        <f t="shared" si="119"/>
        <v>84055</v>
      </c>
    </row>
    <row r="1536" spans="1:13" x14ac:dyDescent="0.2">
      <c r="A1536">
        <v>83</v>
      </c>
      <c r="B1536">
        <v>56</v>
      </c>
      <c r="C1536">
        <v>139</v>
      </c>
      <c r="D1536" s="51" t="s">
        <v>54</v>
      </c>
      <c r="E1536">
        <f>VLOOKUP(M1536,'MASS - 2016'!$A$1:$G$3418,6,FALSE)</f>
        <v>-84913.751000000004</v>
      </c>
      <c r="F1536">
        <f>VLOOKUP(M1536,'MASS - 2016'!$A$1:$G$3418,7,FALSE)</f>
        <v>0.31900000000000001</v>
      </c>
      <c r="G1536">
        <f t="shared" si="121"/>
        <v>-84913.751000000004</v>
      </c>
      <c r="H1536">
        <f t="shared" si="117"/>
        <v>138.90884133935452</v>
      </c>
      <c r="I1536">
        <f t="shared" si="118"/>
        <v>129.39276072800001</v>
      </c>
      <c r="J1536">
        <f t="shared" si="120"/>
        <v>129364.14472800001</v>
      </c>
      <c r="M1536">
        <f t="shared" si="119"/>
        <v>83056</v>
      </c>
    </row>
    <row r="1537" spans="1:13" x14ac:dyDescent="0.2">
      <c r="A1537">
        <v>82</v>
      </c>
      <c r="B1537">
        <v>57</v>
      </c>
      <c r="C1537">
        <v>139</v>
      </c>
      <c r="D1537" s="51" t="s">
        <v>55</v>
      </c>
      <c r="E1537">
        <f>VLOOKUP(M1537,'MASS - 2016'!$A$1:$G$3418,6,FALSE)</f>
        <v>-87226.212</v>
      </c>
      <c r="F1537">
        <f>VLOOKUP(M1537,'MASS - 2016'!$A$1:$G$3418,7,FALSE)</f>
        <v>2.0089999999999999</v>
      </c>
      <c r="G1537">
        <f t="shared" si="121"/>
        <v>-87226.212</v>
      </c>
      <c r="H1537">
        <f t="shared" si="117"/>
        <v>138.90635881037574</v>
      </c>
      <c r="I1537">
        <f t="shared" si="118"/>
        <v>129.39044826700001</v>
      </c>
      <c r="J1537">
        <f t="shared" si="120"/>
        <v>129361.32126700002</v>
      </c>
      <c r="M1537">
        <f t="shared" si="119"/>
        <v>82057</v>
      </c>
    </row>
    <row r="1538" spans="1:13" x14ac:dyDescent="0.2">
      <c r="A1538">
        <v>81</v>
      </c>
      <c r="B1538">
        <v>58</v>
      </c>
      <c r="C1538">
        <v>139</v>
      </c>
      <c r="D1538" s="51" t="s">
        <v>56</v>
      </c>
      <c r="E1538">
        <f>VLOOKUP(M1538,'MASS - 2016'!$A$1:$G$3418,6,FALSE)</f>
        <v>-86947.861999999994</v>
      </c>
      <c r="F1538">
        <f>VLOOKUP(M1538,'MASS - 2016'!$A$1:$G$3418,7,FALSE)</f>
        <v>7.23</v>
      </c>
      <c r="G1538">
        <f t="shared" si="121"/>
        <v>-86947.861999999994</v>
      </c>
      <c r="H1538">
        <f t="shared" si="117"/>
        <v>138.90665763138989</v>
      </c>
      <c r="I1538">
        <f t="shared" si="118"/>
        <v>129.39072661700001</v>
      </c>
      <c r="J1538">
        <f t="shared" si="120"/>
        <v>129361.088617</v>
      </c>
      <c r="M1538">
        <f t="shared" si="119"/>
        <v>81058</v>
      </c>
    </row>
    <row r="1539" spans="1:13" x14ac:dyDescent="0.2">
      <c r="A1539">
        <v>80</v>
      </c>
      <c r="B1539">
        <v>59</v>
      </c>
      <c r="C1539">
        <v>139</v>
      </c>
      <c r="D1539" s="51" t="s">
        <v>57</v>
      </c>
      <c r="E1539">
        <f>VLOOKUP(M1539,'MASS - 2016'!$A$1:$G$3418,6,FALSE)</f>
        <v>-84818.797999999995</v>
      </c>
      <c r="F1539">
        <f>VLOOKUP(M1539,'MASS - 2016'!$A$1:$G$3418,7,FALSE)</f>
        <v>7.8090000000000002</v>
      </c>
      <c r="G1539">
        <f t="shared" si="121"/>
        <v>-84818.797999999995</v>
      </c>
      <c r="H1539">
        <f t="shared" si="117"/>
        <v>138.90894327559221</v>
      </c>
      <c r="I1539">
        <f t="shared" si="118"/>
        <v>129.39285568100001</v>
      </c>
      <c r="J1539">
        <f t="shared" si="120"/>
        <v>129362.70668100001</v>
      </c>
      <c r="M1539">
        <f t="shared" si="119"/>
        <v>80059</v>
      </c>
    </row>
    <row r="1540" spans="1:13" x14ac:dyDescent="0.2">
      <c r="A1540">
        <v>79</v>
      </c>
      <c r="B1540">
        <v>60</v>
      </c>
      <c r="C1540">
        <v>139</v>
      </c>
      <c r="D1540" s="51" t="s">
        <v>58</v>
      </c>
      <c r="E1540">
        <f>VLOOKUP(M1540,'MASS - 2016'!$A$1:$G$3418,6,FALSE)</f>
        <v>-82013.941999999995</v>
      </c>
      <c r="F1540">
        <f>VLOOKUP(M1540,'MASS - 2016'!$A$1:$G$3418,7,FALSE)</f>
        <v>27.6</v>
      </c>
      <c r="G1540">
        <f t="shared" si="121"/>
        <v>-82013.941999999995</v>
      </c>
      <c r="H1540">
        <f t="shared" si="117"/>
        <v>138.91195441234274</v>
      </c>
      <c r="I1540">
        <f t="shared" si="118"/>
        <v>129.395660537</v>
      </c>
      <c r="J1540">
        <f t="shared" si="120"/>
        <v>129365.000537</v>
      </c>
      <c r="M1540">
        <f t="shared" si="119"/>
        <v>79060</v>
      </c>
    </row>
    <row r="1541" spans="1:13" x14ac:dyDescent="0.2">
      <c r="A1541">
        <v>78</v>
      </c>
      <c r="B1541">
        <v>61</v>
      </c>
      <c r="C1541">
        <v>139</v>
      </c>
      <c r="D1541" s="51" t="s">
        <v>59</v>
      </c>
      <c r="E1541">
        <f>VLOOKUP(M1541,'MASS - 2016'!$A$1:$G$3418,6,FALSE)</f>
        <v>-77500.481</v>
      </c>
      <c r="F1541">
        <f>VLOOKUP(M1541,'MASS - 2016'!$A$1:$G$3418,7,FALSE)</f>
        <v>13.593</v>
      </c>
      <c r="G1541">
        <f t="shared" si="121"/>
        <v>-77500.481</v>
      </c>
      <c r="H1541">
        <f t="shared" si="117"/>
        <v>138.91679981199582</v>
      </c>
      <c r="I1541">
        <f t="shared" si="118"/>
        <v>129.40017399800001</v>
      </c>
      <c r="J1541">
        <f t="shared" si="120"/>
        <v>129369.00299800001</v>
      </c>
      <c r="M1541">
        <f t="shared" si="119"/>
        <v>78061</v>
      </c>
    </row>
    <row r="1542" spans="1:13" x14ac:dyDescent="0.2">
      <c r="A1542">
        <v>77</v>
      </c>
      <c r="B1542">
        <v>62</v>
      </c>
      <c r="C1542">
        <v>139</v>
      </c>
      <c r="D1542" s="51" t="s">
        <v>60</v>
      </c>
      <c r="E1542">
        <f>VLOOKUP(M1542,'MASS - 2016'!$A$1:$G$3418,6,FALSE)</f>
        <v>-72380.218999999997</v>
      </c>
      <c r="F1542">
        <f>VLOOKUP(M1542,'MASS - 2016'!$A$1:$G$3418,7,FALSE)</f>
        <v>10.884</v>
      </c>
      <c r="G1542">
        <f t="shared" si="121"/>
        <v>-72380.218999999997</v>
      </c>
      <c r="H1542">
        <f t="shared" si="117"/>
        <v>138.92229663931266</v>
      </c>
      <c r="I1542">
        <f t="shared" si="118"/>
        <v>129.40529426000001</v>
      </c>
      <c r="J1542">
        <f t="shared" si="120"/>
        <v>129373.61226000001</v>
      </c>
      <c r="M1542">
        <f t="shared" si="119"/>
        <v>77062</v>
      </c>
    </row>
    <row r="1543" spans="1:13" x14ac:dyDescent="0.2">
      <c r="A1543">
        <v>76</v>
      </c>
      <c r="B1543">
        <v>63</v>
      </c>
      <c r="C1543">
        <v>139</v>
      </c>
      <c r="D1543" s="51" t="s">
        <v>61</v>
      </c>
      <c r="E1543">
        <f>VLOOKUP(M1543,'MASS - 2016'!$A$1:$G$3418,6,FALSE)</f>
        <v>-65398.042000000001</v>
      </c>
      <c r="F1543">
        <f>VLOOKUP(M1543,'MASS - 2016'!$A$1:$G$3418,7,FALSE)</f>
        <v>13.151</v>
      </c>
      <c r="G1543">
        <f t="shared" si="121"/>
        <v>-65398.042000000001</v>
      </c>
      <c r="H1543">
        <f t="shared" si="117"/>
        <v>138.92979231458568</v>
      </c>
      <c r="I1543">
        <f t="shared" si="118"/>
        <v>129.412276437</v>
      </c>
      <c r="J1543">
        <f t="shared" si="120"/>
        <v>129380.08343700001</v>
      </c>
      <c r="M1543">
        <f t="shared" si="119"/>
        <v>76063</v>
      </c>
    </row>
    <row r="1544" spans="1:13" x14ac:dyDescent="0.2">
      <c r="A1544">
        <v>75</v>
      </c>
      <c r="B1544">
        <v>64</v>
      </c>
      <c r="C1544">
        <v>139</v>
      </c>
      <c r="D1544" s="51" t="s">
        <v>62</v>
      </c>
      <c r="E1544" t="str">
        <f>VLOOKUP(M1544,'MASS - 2016'!$A$1:$G$3418,6,FALSE)</f>
        <v>-57632#</v>
      </c>
      <c r="F1544" t="str">
        <f>VLOOKUP(M1544,'MASS - 2016'!$A$1:$G$3418,7,FALSE)</f>
        <v>196#</v>
      </c>
      <c r="G1544">
        <f t="shared" si="121"/>
        <v>-57632.01</v>
      </c>
      <c r="H1544">
        <f t="shared" si="117"/>
        <v>138.93812949280846</v>
      </c>
      <c r="I1544">
        <f t="shared" si="118"/>
        <v>129.42004246900001</v>
      </c>
      <c r="J1544">
        <f t="shared" si="120"/>
        <v>129387.33846900001</v>
      </c>
      <c r="M1544">
        <f t="shared" si="119"/>
        <v>75064</v>
      </c>
    </row>
    <row r="1545" spans="1:13" x14ac:dyDescent="0.2">
      <c r="A1545">
        <v>74</v>
      </c>
      <c r="B1545">
        <v>65</v>
      </c>
      <c r="C1545">
        <v>139</v>
      </c>
      <c r="D1545" s="51" t="s">
        <v>63</v>
      </c>
      <c r="E1545" t="str">
        <f>VLOOKUP(M1545,'MASS - 2016'!$A$1:$G$3418,6,FALSE)</f>
        <v>-48130#</v>
      </c>
      <c r="F1545" t="str">
        <f>VLOOKUP(M1545,'MASS - 2016'!$A$1:$G$3418,7,FALSE)</f>
        <v>298#</v>
      </c>
      <c r="G1545">
        <f t="shared" si="121"/>
        <v>-48130.01</v>
      </c>
      <c r="H1545">
        <f t="shared" ref="H1545:H1608" si="122">(C1545*$A$3+G1545/1000000)/$A$3</f>
        <v>138.9483303093223</v>
      </c>
      <c r="I1545">
        <f t="shared" ref="I1545:I1608" si="123">H1545*$A$3</f>
        <v>129.42954446900001</v>
      </c>
      <c r="J1545">
        <f t="shared" si="120"/>
        <v>129396.329469</v>
      </c>
      <c r="M1545">
        <f t="shared" ref="M1545:M1608" si="124">1000*A1545+B1545</f>
        <v>74065</v>
      </c>
    </row>
    <row r="1546" spans="1:13" x14ac:dyDescent="0.2">
      <c r="A1546">
        <v>88</v>
      </c>
      <c r="B1546">
        <v>52</v>
      </c>
      <c r="C1546">
        <v>140</v>
      </c>
      <c r="D1546" s="51" t="s">
        <v>50</v>
      </c>
      <c r="E1546">
        <f>VLOOKUP(M1546,'MASS - 2016'!$A$1:$G$3418,6,FALSE)</f>
        <v>-56576.228000000003</v>
      </c>
      <c r="F1546">
        <f>VLOOKUP(M1546,'MASS - 2016'!$A$1:$G$3418,7,FALSE)</f>
        <v>62.41</v>
      </c>
      <c r="G1546">
        <f t="shared" si="121"/>
        <v>-56576.228000000003</v>
      </c>
      <c r="H1546">
        <f t="shared" si="122"/>
        <v>139.93926292139827</v>
      </c>
      <c r="I1546">
        <f t="shared" si="123"/>
        <v>130.35259231199998</v>
      </c>
      <c r="J1546">
        <f t="shared" si="120"/>
        <v>130326.02031199998</v>
      </c>
      <c r="M1546">
        <f t="shared" si="124"/>
        <v>88052</v>
      </c>
    </row>
    <row r="1547" spans="1:13" x14ac:dyDescent="0.2">
      <c r="A1547">
        <v>87</v>
      </c>
      <c r="B1547">
        <v>53</v>
      </c>
      <c r="C1547">
        <v>140</v>
      </c>
      <c r="D1547" s="51" t="s">
        <v>51</v>
      </c>
      <c r="E1547">
        <f>VLOOKUP(M1547,'MASS - 2016'!$A$1:$G$3418,6,FALSE)</f>
        <v>-63606.213000000003</v>
      </c>
      <c r="F1547">
        <f>VLOOKUP(M1547,'MASS - 2016'!$A$1:$G$3418,7,FALSE)</f>
        <v>12.109</v>
      </c>
      <c r="G1547">
        <f t="shared" si="121"/>
        <v>-63606.213000000003</v>
      </c>
      <c r="H1547">
        <f t="shared" si="122"/>
        <v>139.9317159221265</v>
      </c>
      <c r="I1547">
        <f t="shared" si="123"/>
        <v>130.34556232699998</v>
      </c>
      <c r="J1547">
        <f t="shared" si="120"/>
        <v>130318.47932699998</v>
      </c>
      <c r="M1547">
        <f t="shared" si="124"/>
        <v>87053</v>
      </c>
    </row>
    <row r="1548" spans="1:13" x14ac:dyDescent="0.2">
      <c r="A1548">
        <v>86</v>
      </c>
      <c r="B1548">
        <v>54</v>
      </c>
      <c r="C1548">
        <v>140</v>
      </c>
      <c r="D1548" s="51" t="s">
        <v>52</v>
      </c>
      <c r="E1548">
        <f>VLOOKUP(M1548,'MASS - 2016'!$A$1:$G$3418,6,FALSE)</f>
        <v>-72986.451000000001</v>
      </c>
      <c r="F1548">
        <f>VLOOKUP(M1548,'MASS - 2016'!$A$1:$G$3418,7,FALSE)</f>
        <v>2.3290000000000002</v>
      </c>
      <c r="G1548">
        <f t="shared" si="121"/>
        <v>-72986.451000000001</v>
      </c>
      <c r="H1548">
        <f t="shared" si="122"/>
        <v>139.92164582249549</v>
      </c>
      <c r="I1548">
        <f t="shared" si="123"/>
        <v>130.336182089</v>
      </c>
      <c r="J1548">
        <f t="shared" ref="J1548:J1611" si="125">1000*I1548-B1548*0.511</f>
        <v>130308.58808900001</v>
      </c>
      <c r="M1548">
        <f t="shared" si="124"/>
        <v>86054</v>
      </c>
    </row>
    <row r="1549" spans="1:13" x14ac:dyDescent="0.2">
      <c r="A1549">
        <v>85</v>
      </c>
      <c r="B1549">
        <v>55</v>
      </c>
      <c r="C1549">
        <v>140</v>
      </c>
      <c r="D1549" s="51" t="s">
        <v>53</v>
      </c>
      <c r="E1549">
        <f>VLOOKUP(M1549,'MASS - 2016'!$A$1:$G$3418,6,FALSE)</f>
        <v>-77050.104999999996</v>
      </c>
      <c r="F1549">
        <f>VLOOKUP(M1549,'MASS - 2016'!$A$1:$G$3418,7,FALSE)</f>
        <v>8.2010000000000005</v>
      </c>
      <c r="G1549">
        <f t="shared" si="121"/>
        <v>-77050.104999999996</v>
      </c>
      <c r="H1549">
        <f t="shared" si="122"/>
        <v>139.9172833105159</v>
      </c>
      <c r="I1549">
        <f t="shared" si="123"/>
        <v>130.33211843499998</v>
      </c>
      <c r="J1549">
        <f t="shared" si="125"/>
        <v>130304.01343499999</v>
      </c>
      <c r="M1549">
        <f t="shared" si="124"/>
        <v>85055</v>
      </c>
    </row>
    <row r="1550" spans="1:13" x14ac:dyDescent="0.2">
      <c r="A1550">
        <v>84</v>
      </c>
      <c r="B1550">
        <v>56</v>
      </c>
      <c r="C1550">
        <v>140</v>
      </c>
      <c r="D1550" s="51" t="s">
        <v>54</v>
      </c>
      <c r="E1550">
        <f>VLOOKUP(M1550,'MASS - 2016'!$A$1:$G$3418,6,FALSE)</f>
        <v>-83269.354000000007</v>
      </c>
      <c r="F1550">
        <f>VLOOKUP(M1550,'MASS - 2016'!$A$1:$G$3418,7,FALSE)</f>
        <v>7.9329999999999998</v>
      </c>
      <c r="G1550">
        <f t="shared" si="121"/>
        <v>-83269.354000000007</v>
      </c>
      <c r="H1550">
        <f t="shared" si="122"/>
        <v>139.91060667213421</v>
      </c>
      <c r="I1550">
        <f t="shared" si="123"/>
        <v>130.32589918599999</v>
      </c>
      <c r="J1550">
        <f t="shared" si="125"/>
        <v>130297.28318599999</v>
      </c>
      <c r="M1550">
        <f t="shared" si="124"/>
        <v>84056</v>
      </c>
    </row>
    <row r="1551" spans="1:13" x14ac:dyDescent="0.2">
      <c r="A1551">
        <v>83</v>
      </c>
      <c r="B1551">
        <v>57</v>
      </c>
      <c r="C1551">
        <v>140</v>
      </c>
      <c r="D1551" s="51" t="s">
        <v>55</v>
      </c>
      <c r="E1551">
        <f>VLOOKUP(M1551,'MASS - 2016'!$A$1:$G$3418,6,FALSE)</f>
        <v>-84315.870999999999</v>
      </c>
      <c r="F1551">
        <f>VLOOKUP(M1551,'MASS - 2016'!$A$1:$G$3418,7,FALSE)</f>
        <v>2.0089999999999999</v>
      </c>
      <c r="G1551">
        <f t="shared" ref="G1551:G1614" si="126">IF(ISNUMBER(E1551),E1551,VALUE(SUBSTITUTE(E1551,"#",".01")))</f>
        <v>-84315.870999999999</v>
      </c>
      <c r="H1551">
        <f t="shared" si="122"/>
        <v>139.90948318993094</v>
      </c>
      <c r="I1551">
        <f t="shared" si="123"/>
        <v>130.32485266899999</v>
      </c>
      <c r="J1551">
        <f t="shared" si="125"/>
        <v>130295.72566900001</v>
      </c>
      <c r="M1551">
        <f t="shared" si="124"/>
        <v>83057</v>
      </c>
    </row>
    <row r="1552" spans="1:13" x14ac:dyDescent="0.2">
      <c r="A1552">
        <v>82</v>
      </c>
      <c r="B1552">
        <v>58</v>
      </c>
      <c r="C1552">
        <v>140</v>
      </c>
      <c r="D1552" s="51" t="s">
        <v>56</v>
      </c>
      <c r="E1552">
        <f>VLOOKUP(M1552,'MASS - 2016'!$A$1:$G$3418,6,FALSE)</f>
        <v>-88076.089000000007</v>
      </c>
      <c r="F1552">
        <f>VLOOKUP(M1552,'MASS - 2016'!$A$1:$G$3418,7,FALSE)</f>
        <v>1.5960000000000001</v>
      </c>
      <c r="G1552">
        <f t="shared" si="126"/>
        <v>-88076.089000000007</v>
      </c>
      <c r="H1552">
        <f t="shared" si="122"/>
        <v>139.90544642989408</v>
      </c>
      <c r="I1552">
        <f t="shared" si="123"/>
        <v>130.321092451</v>
      </c>
      <c r="J1552">
        <f t="shared" si="125"/>
        <v>130291.454451</v>
      </c>
      <c r="M1552">
        <f t="shared" si="124"/>
        <v>82058</v>
      </c>
    </row>
    <row r="1553" spans="1:13" x14ac:dyDescent="0.2">
      <c r="A1553">
        <v>81</v>
      </c>
      <c r="B1553">
        <v>59</v>
      </c>
      <c r="C1553">
        <v>140</v>
      </c>
      <c r="D1553" s="51" t="s">
        <v>57</v>
      </c>
      <c r="E1553">
        <f>VLOOKUP(M1553,'MASS - 2016'!$A$1:$G$3418,6,FALSE)</f>
        <v>-84688.089000000007</v>
      </c>
      <c r="F1553">
        <f>VLOOKUP(M1553,'MASS - 2016'!$A$1:$G$3418,7,FALSE)</f>
        <v>6.2089999999999996</v>
      </c>
      <c r="G1553">
        <f t="shared" si="126"/>
        <v>-84688.089000000007</v>
      </c>
      <c r="H1553">
        <f t="shared" si="122"/>
        <v>139.90908359747448</v>
      </c>
      <c r="I1553">
        <f t="shared" si="123"/>
        <v>130.324480451</v>
      </c>
      <c r="J1553">
        <f t="shared" si="125"/>
        <v>130294.33145099999</v>
      </c>
      <c r="M1553">
        <f t="shared" si="124"/>
        <v>81059</v>
      </c>
    </row>
    <row r="1554" spans="1:13" x14ac:dyDescent="0.2">
      <c r="A1554">
        <v>80</v>
      </c>
      <c r="B1554">
        <v>60</v>
      </c>
      <c r="C1554">
        <v>140</v>
      </c>
      <c r="D1554" s="51" t="s">
        <v>58</v>
      </c>
      <c r="E1554">
        <f>VLOOKUP(M1554,'MASS - 2016'!$A$1:$G$3418,6,FALSE)</f>
        <v>-84258.911999999997</v>
      </c>
      <c r="F1554">
        <f>VLOOKUP(M1554,'MASS - 2016'!$A$1:$G$3418,7,FALSE)</f>
        <v>3.4470000000000001</v>
      </c>
      <c r="G1554">
        <f t="shared" si="126"/>
        <v>-84258.911999999997</v>
      </c>
      <c r="H1554">
        <f t="shared" si="122"/>
        <v>139.90954433793218</v>
      </c>
      <c r="I1554">
        <f t="shared" si="123"/>
        <v>130.324909628</v>
      </c>
      <c r="J1554">
        <f t="shared" si="125"/>
        <v>130294.24962799999</v>
      </c>
      <c r="M1554">
        <f t="shared" si="124"/>
        <v>80060</v>
      </c>
    </row>
    <row r="1555" spans="1:13" x14ac:dyDescent="0.2">
      <c r="A1555">
        <v>79</v>
      </c>
      <c r="B1555">
        <v>61</v>
      </c>
      <c r="C1555">
        <v>140</v>
      </c>
      <c r="D1555" s="51" t="s">
        <v>59</v>
      </c>
      <c r="E1555">
        <f>VLOOKUP(M1555,'MASS - 2016'!$A$1:$G$3418,6,FALSE)</f>
        <v>-78213.712</v>
      </c>
      <c r="F1555">
        <f>VLOOKUP(M1555,'MASS - 2016'!$A$1:$G$3418,7,FALSE)</f>
        <v>24.245999999999999</v>
      </c>
      <c r="G1555">
        <f t="shared" si="126"/>
        <v>-78213.712</v>
      </c>
      <c r="H1555">
        <f t="shared" si="122"/>
        <v>139.9160341270281</v>
      </c>
      <c r="I1555">
        <f t="shared" si="123"/>
        <v>130.33095482799999</v>
      </c>
      <c r="J1555">
        <f t="shared" si="125"/>
        <v>130299.78382799999</v>
      </c>
      <c r="M1555">
        <f t="shared" si="124"/>
        <v>79061</v>
      </c>
    </row>
    <row r="1556" spans="1:13" x14ac:dyDescent="0.2">
      <c r="A1556">
        <v>78</v>
      </c>
      <c r="B1556">
        <v>62</v>
      </c>
      <c r="C1556">
        <v>140</v>
      </c>
      <c r="D1556" s="51" t="s">
        <v>60</v>
      </c>
      <c r="E1556">
        <f>VLOOKUP(M1556,'MASS - 2016'!$A$1:$G$3418,6,FALSE)</f>
        <v>-75455.934999999998</v>
      </c>
      <c r="F1556">
        <f>VLOOKUP(M1556,'MASS - 2016'!$A$1:$G$3418,7,FALSE)</f>
        <v>12.497</v>
      </c>
      <c r="G1556">
        <f t="shared" si="126"/>
        <v>-75455.934999999998</v>
      </c>
      <c r="H1556">
        <f t="shared" si="122"/>
        <v>139.91899472239362</v>
      </c>
      <c r="I1556">
        <f t="shared" si="123"/>
        <v>130.33371260499999</v>
      </c>
      <c r="J1556">
        <f t="shared" si="125"/>
        <v>130302.03060499999</v>
      </c>
      <c r="M1556">
        <f t="shared" si="124"/>
        <v>78062</v>
      </c>
    </row>
    <row r="1557" spans="1:13" x14ac:dyDescent="0.2">
      <c r="A1557">
        <v>77</v>
      </c>
      <c r="B1557">
        <v>63</v>
      </c>
      <c r="C1557">
        <v>140</v>
      </c>
      <c r="D1557" s="51" t="s">
        <v>61</v>
      </c>
      <c r="E1557">
        <f>VLOOKUP(M1557,'MASS - 2016'!$A$1:$G$3418,6,FALSE)</f>
        <v>-66985.934999999998</v>
      </c>
      <c r="F1557">
        <f>VLOOKUP(M1557,'MASS - 2016'!$A$1:$G$3418,7,FALSE)</f>
        <v>51.537999999999997</v>
      </c>
      <c r="G1557">
        <f t="shared" si="126"/>
        <v>-66985.934999999998</v>
      </c>
      <c r="H1557">
        <f t="shared" si="122"/>
        <v>139.9280876413446</v>
      </c>
      <c r="I1557">
        <f t="shared" si="123"/>
        <v>130.342182605</v>
      </c>
      <c r="J1557">
        <f t="shared" si="125"/>
        <v>130309.98960500001</v>
      </c>
      <c r="M1557">
        <f t="shared" si="124"/>
        <v>77063</v>
      </c>
    </row>
    <row r="1558" spans="1:13" x14ac:dyDescent="0.2">
      <c r="A1558">
        <v>76</v>
      </c>
      <c r="B1558">
        <v>64</v>
      </c>
      <c r="C1558">
        <v>140</v>
      </c>
      <c r="D1558" s="51" t="s">
        <v>62</v>
      </c>
      <c r="E1558">
        <f>VLOOKUP(M1558,'MASS - 2016'!$A$1:$G$3418,6,FALSE)</f>
        <v>-61782.271000000001</v>
      </c>
      <c r="F1558">
        <f>VLOOKUP(M1558,'MASS - 2016'!$A$1:$G$3418,7,FALSE)</f>
        <v>27.945</v>
      </c>
      <c r="G1558">
        <f t="shared" si="126"/>
        <v>-61782.271000000001</v>
      </c>
      <c r="H1558">
        <f t="shared" si="122"/>
        <v>139.93367400439067</v>
      </c>
      <c r="I1558">
        <f t="shared" si="123"/>
        <v>130.347386269</v>
      </c>
      <c r="J1558">
        <f t="shared" si="125"/>
        <v>130314.682269</v>
      </c>
      <c r="M1558">
        <f t="shared" si="124"/>
        <v>76064</v>
      </c>
    </row>
    <row r="1559" spans="1:13" x14ac:dyDescent="0.2">
      <c r="A1559">
        <v>75</v>
      </c>
      <c r="B1559">
        <v>65</v>
      </c>
      <c r="C1559">
        <v>140</v>
      </c>
      <c r="D1559" s="51" t="s">
        <v>63</v>
      </c>
      <c r="E1559">
        <f>VLOOKUP(M1559,'MASS - 2016'!$A$1:$G$3418,6,FALSE)</f>
        <v>-50482.271000000001</v>
      </c>
      <c r="F1559">
        <f>VLOOKUP(M1559,'MASS - 2016'!$A$1:$G$3418,7,FALSE)</f>
        <v>800.48800000000006</v>
      </c>
      <c r="G1559">
        <f t="shared" si="126"/>
        <v>-50482.271000000001</v>
      </c>
      <c r="H1559">
        <f t="shared" si="122"/>
        <v>139.94580505328634</v>
      </c>
      <c r="I1559">
        <f t="shared" si="123"/>
        <v>130.358686269</v>
      </c>
      <c r="J1559">
        <f t="shared" si="125"/>
        <v>130325.471269</v>
      </c>
      <c r="M1559">
        <f t="shared" si="124"/>
        <v>75065</v>
      </c>
    </row>
    <row r="1560" spans="1:13" x14ac:dyDescent="0.2">
      <c r="A1560">
        <v>74</v>
      </c>
      <c r="B1560">
        <v>66</v>
      </c>
      <c r="C1560">
        <v>140</v>
      </c>
      <c r="D1560" s="51" t="s">
        <v>64</v>
      </c>
      <c r="E1560" t="str">
        <f>VLOOKUP(M1560,'MASS - 2016'!$A$1:$G$3418,6,FALSE)</f>
        <v>-42830#</v>
      </c>
      <c r="F1560" t="str">
        <f>VLOOKUP(M1560,'MASS - 2016'!$A$1:$G$3418,7,FALSE)</f>
        <v>401#</v>
      </c>
      <c r="G1560">
        <f t="shared" si="126"/>
        <v>-42830.01</v>
      </c>
      <c r="H1560">
        <f t="shared" si="122"/>
        <v>139.95402009331761</v>
      </c>
      <c r="I1560">
        <f t="shared" si="123"/>
        <v>130.36633853000001</v>
      </c>
      <c r="J1560">
        <f t="shared" si="125"/>
        <v>130332.61253000001</v>
      </c>
      <c r="M1560">
        <f t="shared" si="124"/>
        <v>74066</v>
      </c>
    </row>
    <row r="1561" spans="1:13" x14ac:dyDescent="0.2">
      <c r="A1561">
        <v>89</v>
      </c>
      <c r="B1561">
        <v>52</v>
      </c>
      <c r="C1561">
        <v>141</v>
      </c>
      <c r="D1561" s="51" t="s">
        <v>50</v>
      </c>
      <c r="E1561" t="str">
        <f>VLOOKUP(M1561,'MASS - 2016'!$A$1:$G$3418,6,FALSE)</f>
        <v>-50487#</v>
      </c>
      <c r="F1561" t="str">
        <f>VLOOKUP(M1561,'MASS - 2016'!$A$1:$G$3418,7,FALSE)</f>
        <v>401#</v>
      </c>
      <c r="G1561">
        <f t="shared" si="126"/>
        <v>-50487.01</v>
      </c>
      <c r="H1561">
        <f t="shared" si="122"/>
        <v>140.94579996576059</v>
      </c>
      <c r="I1561">
        <f t="shared" si="123"/>
        <v>131.29017559099998</v>
      </c>
      <c r="J1561">
        <f t="shared" si="125"/>
        <v>131263.60359099999</v>
      </c>
      <c r="M1561">
        <f t="shared" si="124"/>
        <v>89052</v>
      </c>
    </row>
    <row r="1562" spans="1:13" x14ac:dyDescent="0.2">
      <c r="A1562">
        <v>88</v>
      </c>
      <c r="B1562">
        <v>53</v>
      </c>
      <c r="C1562">
        <v>141</v>
      </c>
      <c r="D1562" s="51" t="s">
        <v>51</v>
      </c>
      <c r="E1562">
        <f>VLOOKUP(M1562,'MASS - 2016'!$A$1:$G$3418,6,FALSE)</f>
        <v>-59926.656999999999</v>
      </c>
      <c r="F1562">
        <f>VLOOKUP(M1562,'MASS - 2016'!$A$1:$G$3418,7,FALSE)</f>
        <v>15.835000000000001</v>
      </c>
      <c r="G1562">
        <f t="shared" si="126"/>
        <v>-59926.656999999999</v>
      </c>
      <c r="H1562">
        <f t="shared" si="122"/>
        <v>140.93566608794512</v>
      </c>
      <c r="I1562">
        <f t="shared" si="123"/>
        <v>131.28073594399999</v>
      </c>
      <c r="J1562">
        <f t="shared" si="125"/>
        <v>131253.65294399997</v>
      </c>
      <c r="M1562">
        <f t="shared" si="124"/>
        <v>88053</v>
      </c>
    </row>
    <row r="1563" spans="1:13" x14ac:dyDescent="0.2">
      <c r="A1563">
        <v>87</v>
      </c>
      <c r="B1563">
        <v>54</v>
      </c>
      <c r="C1563">
        <v>141</v>
      </c>
      <c r="D1563" s="51" t="s">
        <v>52</v>
      </c>
      <c r="E1563">
        <f>VLOOKUP(M1563,'MASS - 2016'!$A$1:$G$3418,6,FALSE)</f>
        <v>-68197.298999999999</v>
      </c>
      <c r="F1563">
        <f>VLOOKUP(M1563,'MASS - 2016'!$A$1:$G$3418,7,FALSE)</f>
        <v>2.8879999999999999</v>
      </c>
      <c r="G1563">
        <f t="shared" si="126"/>
        <v>-68197.298999999999</v>
      </c>
      <c r="H1563">
        <f t="shared" si="122"/>
        <v>140.92678718860881</v>
      </c>
      <c r="I1563">
        <f t="shared" si="123"/>
        <v>131.272465302</v>
      </c>
      <c r="J1563">
        <f t="shared" si="125"/>
        <v>131244.87130199999</v>
      </c>
      <c r="M1563">
        <f t="shared" si="124"/>
        <v>87054</v>
      </c>
    </row>
    <row r="1564" spans="1:13" x14ac:dyDescent="0.2">
      <c r="A1564">
        <v>86</v>
      </c>
      <c r="B1564">
        <v>55</v>
      </c>
      <c r="C1564">
        <v>141</v>
      </c>
      <c r="D1564" s="51" t="s">
        <v>53</v>
      </c>
      <c r="E1564">
        <f>VLOOKUP(M1564,'MASS - 2016'!$A$1:$G$3418,6,FALSE)</f>
        <v>-74477.523000000001</v>
      </c>
      <c r="F1564">
        <f>VLOOKUP(M1564,'MASS - 2016'!$A$1:$G$3418,7,FALSE)</f>
        <v>9.1950000000000003</v>
      </c>
      <c r="G1564">
        <f t="shared" si="126"/>
        <v>-74477.523000000001</v>
      </c>
      <c r="H1564">
        <f t="shared" si="122"/>
        <v>140.92004509087255</v>
      </c>
      <c r="I1564">
        <f t="shared" si="123"/>
        <v>131.26618507799998</v>
      </c>
      <c r="J1564">
        <f t="shared" si="125"/>
        <v>131238.08007799997</v>
      </c>
      <c r="M1564">
        <f t="shared" si="124"/>
        <v>86055</v>
      </c>
    </row>
    <row r="1565" spans="1:13" x14ac:dyDescent="0.2">
      <c r="A1565">
        <v>85</v>
      </c>
      <c r="B1565">
        <v>56</v>
      </c>
      <c r="C1565">
        <v>141</v>
      </c>
      <c r="D1565" s="51" t="s">
        <v>54</v>
      </c>
      <c r="E1565">
        <f>VLOOKUP(M1565,'MASS - 2016'!$A$1:$G$3418,6,FALSE)</f>
        <v>-79732.626000000004</v>
      </c>
      <c r="F1565">
        <f>VLOOKUP(M1565,'MASS - 2016'!$A$1:$G$3418,7,FALSE)</f>
        <v>5.319</v>
      </c>
      <c r="G1565">
        <f t="shared" si="126"/>
        <v>-79732.626000000004</v>
      </c>
      <c r="H1565">
        <f t="shared" si="122"/>
        <v>140.91440350578895</v>
      </c>
      <c r="I1565">
        <f t="shared" si="123"/>
        <v>131.26092997499998</v>
      </c>
      <c r="J1565">
        <f t="shared" si="125"/>
        <v>131232.31397499997</v>
      </c>
      <c r="M1565">
        <f t="shared" si="124"/>
        <v>85056</v>
      </c>
    </row>
    <row r="1566" spans="1:13" x14ac:dyDescent="0.2">
      <c r="A1566">
        <v>84</v>
      </c>
      <c r="B1566">
        <v>57</v>
      </c>
      <c r="C1566">
        <v>141</v>
      </c>
      <c r="D1566" s="51" t="s">
        <v>55</v>
      </c>
      <c r="E1566">
        <f>VLOOKUP(M1566,'MASS - 2016'!$A$1:$G$3418,6,FALSE)</f>
        <v>-82931.635999999999</v>
      </c>
      <c r="F1566">
        <f>VLOOKUP(M1566,'MASS - 2016'!$A$1:$G$3418,7,FALSE)</f>
        <v>4.2190000000000003</v>
      </c>
      <c r="G1566">
        <f t="shared" si="126"/>
        <v>-82931.635999999999</v>
      </c>
      <c r="H1566">
        <f t="shared" si="122"/>
        <v>140.91096922731748</v>
      </c>
      <c r="I1566">
        <f t="shared" si="123"/>
        <v>131.25773096499998</v>
      </c>
      <c r="J1566">
        <f t="shared" si="125"/>
        <v>131228.60396499996</v>
      </c>
      <c r="M1566">
        <f t="shared" si="124"/>
        <v>84057</v>
      </c>
    </row>
    <row r="1567" spans="1:13" x14ac:dyDescent="0.2">
      <c r="A1567">
        <v>83</v>
      </c>
      <c r="B1567">
        <v>58</v>
      </c>
      <c r="C1567">
        <v>141</v>
      </c>
      <c r="D1567" s="51" t="s">
        <v>56</v>
      </c>
      <c r="E1567">
        <f>VLOOKUP(M1567,'MASS - 2016'!$A$1:$G$3418,6,FALSE)</f>
        <v>-85432.915999999997</v>
      </c>
      <c r="F1567">
        <f>VLOOKUP(M1567,'MASS - 2016'!$A$1:$G$3418,7,FALSE)</f>
        <v>1.597</v>
      </c>
      <c r="G1567">
        <f t="shared" si="126"/>
        <v>-85432.915999999997</v>
      </c>
      <c r="H1567">
        <f t="shared" si="122"/>
        <v>140.90828399280582</v>
      </c>
      <c r="I1567">
        <f t="shared" si="123"/>
        <v>131.25522968499999</v>
      </c>
      <c r="J1567">
        <f t="shared" si="125"/>
        <v>131225.59168499999</v>
      </c>
      <c r="M1567">
        <f t="shared" si="124"/>
        <v>83058</v>
      </c>
    </row>
    <row r="1568" spans="1:13" x14ac:dyDescent="0.2">
      <c r="A1568">
        <v>82</v>
      </c>
      <c r="B1568">
        <v>59</v>
      </c>
      <c r="C1568">
        <v>141</v>
      </c>
      <c r="D1568" s="51" t="s">
        <v>57</v>
      </c>
      <c r="E1568">
        <f>VLOOKUP(M1568,'MASS - 2016'!$A$1:$G$3418,6,FALSE)</f>
        <v>-86015.644</v>
      </c>
      <c r="F1568">
        <f>VLOOKUP(M1568,'MASS - 2016'!$A$1:$G$3418,7,FALSE)</f>
        <v>1.665</v>
      </c>
      <c r="G1568">
        <f t="shared" si="126"/>
        <v>-86015.644</v>
      </c>
      <c r="H1568">
        <f t="shared" si="122"/>
        <v>140.90765840857034</v>
      </c>
      <c r="I1568">
        <f t="shared" si="123"/>
        <v>131.25464695699998</v>
      </c>
      <c r="J1568">
        <f t="shared" si="125"/>
        <v>131224.49795699999</v>
      </c>
      <c r="M1568">
        <f t="shared" si="124"/>
        <v>82059</v>
      </c>
    </row>
    <row r="1569" spans="1:13" x14ac:dyDescent="0.2">
      <c r="A1569">
        <v>81</v>
      </c>
      <c r="B1569">
        <v>60</v>
      </c>
      <c r="C1569">
        <v>141</v>
      </c>
      <c r="D1569" s="51" t="s">
        <v>58</v>
      </c>
      <c r="E1569">
        <f>VLOOKUP(M1569,'MASS - 2016'!$A$1:$G$3418,6,FALSE)</f>
        <v>-84192.63</v>
      </c>
      <c r="F1569">
        <f>VLOOKUP(M1569,'MASS - 2016'!$A$1:$G$3418,7,FALSE)</f>
        <v>3.2650000000000001</v>
      </c>
      <c r="G1569">
        <f t="shared" si="126"/>
        <v>-84192.63</v>
      </c>
      <c r="H1569">
        <f t="shared" si="122"/>
        <v>140.90961549458552</v>
      </c>
      <c r="I1569">
        <f t="shared" si="123"/>
        <v>131.256469971</v>
      </c>
      <c r="J1569">
        <f t="shared" si="125"/>
        <v>131225.80997100001</v>
      </c>
      <c r="M1569">
        <f t="shared" si="124"/>
        <v>81060</v>
      </c>
    </row>
    <row r="1570" spans="1:13" x14ac:dyDescent="0.2">
      <c r="A1570">
        <v>80</v>
      </c>
      <c r="B1570">
        <v>61</v>
      </c>
      <c r="C1570">
        <v>141</v>
      </c>
      <c r="D1570" s="51" t="s">
        <v>59</v>
      </c>
      <c r="E1570">
        <f>VLOOKUP(M1570,'MASS - 2016'!$A$1:$G$3418,6,FALSE)</f>
        <v>-80522.921000000002</v>
      </c>
      <c r="F1570">
        <f>VLOOKUP(M1570,'MASS - 2016'!$A$1:$G$3418,7,FALSE)</f>
        <v>13.972</v>
      </c>
      <c r="G1570">
        <f t="shared" si="126"/>
        <v>-80522.921000000002</v>
      </c>
      <c r="H1570">
        <f t="shared" si="122"/>
        <v>140.91355508921487</v>
      </c>
      <c r="I1570">
        <f t="shared" si="123"/>
        <v>131.26013967999998</v>
      </c>
      <c r="J1570">
        <f t="shared" si="125"/>
        <v>131228.96867999999</v>
      </c>
      <c r="M1570">
        <f t="shared" si="124"/>
        <v>80061</v>
      </c>
    </row>
    <row r="1571" spans="1:13" x14ac:dyDescent="0.2">
      <c r="A1571">
        <v>79</v>
      </c>
      <c r="B1571">
        <v>62</v>
      </c>
      <c r="C1571">
        <v>141</v>
      </c>
      <c r="D1571" s="51" t="s">
        <v>60</v>
      </c>
      <c r="E1571">
        <f>VLOOKUP(M1571,'MASS - 2016'!$A$1:$G$3418,6,FALSE)</f>
        <v>-75933.909</v>
      </c>
      <c r="F1571">
        <f>VLOOKUP(M1571,'MASS - 2016'!$A$1:$G$3418,7,FALSE)</f>
        <v>8.5389999999999997</v>
      </c>
      <c r="G1571">
        <f t="shared" si="126"/>
        <v>-75933.909</v>
      </c>
      <c r="H1571">
        <f t="shared" si="122"/>
        <v>140.91848159620201</v>
      </c>
      <c r="I1571">
        <f t="shared" si="123"/>
        <v>131.26472869199998</v>
      </c>
      <c r="J1571">
        <f t="shared" si="125"/>
        <v>131233.04669199997</v>
      </c>
      <c r="M1571">
        <f t="shared" si="124"/>
        <v>79062</v>
      </c>
    </row>
    <row r="1572" spans="1:13" x14ac:dyDescent="0.2">
      <c r="A1572">
        <v>78</v>
      </c>
      <c r="B1572">
        <v>63</v>
      </c>
      <c r="C1572">
        <v>141</v>
      </c>
      <c r="D1572" s="51" t="s">
        <v>61</v>
      </c>
      <c r="E1572">
        <f>VLOOKUP(M1572,'MASS - 2016'!$A$1:$G$3418,6,FALSE)</f>
        <v>-69925.629000000001</v>
      </c>
      <c r="F1572">
        <f>VLOOKUP(M1572,'MASS - 2016'!$A$1:$G$3418,7,FALSE)</f>
        <v>12.638999999999999</v>
      </c>
      <c r="G1572">
        <f t="shared" si="126"/>
        <v>-69925.629000000001</v>
      </c>
      <c r="H1572">
        <f t="shared" si="122"/>
        <v>140.92493175004793</v>
      </c>
      <c r="I1572">
        <f t="shared" si="123"/>
        <v>131.27073697199998</v>
      </c>
      <c r="J1572">
        <f t="shared" si="125"/>
        <v>131238.54397199998</v>
      </c>
      <c r="M1572">
        <f t="shared" si="124"/>
        <v>78063</v>
      </c>
    </row>
    <row r="1573" spans="1:13" x14ac:dyDescent="0.2">
      <c r="A1573">
        <v>77</v>
      </c>
      <c r="B1573">
        <v>64</v>
      </c>
      <c r="C1573">
        <v>141</v>
      </c>
      <c r="D1573" s="51" t="s">
        <v>62</v>
      </c>
      <c r="E1573">
        <f>VLOOKUP(M1573,'MASS - 2016'!$A$1:$G$3418,6,FALSE)</f>
        <v>-63224.224000000002</v>
      </c>
      <c r="F1573">
        <f>VLOOKUP(M1573,'MASS - 2016'!$A$1:$G$3418,7,FALSE)</f>
        <v>19.760000000000002</v>
      </c>
      <c r="G1573">
        <f t="shared" si="126"/>
        <v>-63224.224000000002</v>
      </c>
      <c r="H1573">
        <f t="shared" si="122"/>
        <v>140.93212600418283</v>
      </c>
      <c r="I1573">
        <f t="shared" si="123"/>
        <v>131.27743837699998</v>
      </c>
      <c r="J1573">
        <f t="shared" si="125"/>
        <v>131244.73437699999</v>
      </c>
      <c r="M1573">
        <f t="shared" si="124"/>
        <v>77064</v>
      </c>
    </row>
    <row r="1574" spans="1:13" x14ac:dyDescent="0.2">
      <c r="A1574">
        <v>76</v>
      </c>
      <c r="B1574">
        <v>65</v>
      </c>
      <c r="C1574">
        <v>141</v>
      </c>
      <c r="D1574" s="51" t="s">
        <v>63</v>
      </c>
      <c r="E1574">
        <f>VLOOKUP(M1574,'MASS - 2016'!$A$1:$G$3418,6,FALSE)</f>
        <v>-54540.837</v>
      </c>
      <c r="F1574">
        <f>VLOOKUP(M1574,'MASS - 2016'!$A$1:$G$3418,7,FALSE)</f>
        <v>105.259</v>
      </c>
      <c r="G1574">
        <f t="shared" si="126"/>
        <v>-54540.837</v>
      </c>
      <c r="H1574">
        <f t="shared" si="122"/>
        <v>140.9414480034994</v>
      </c>
      <c r="I1574">
        <f t="shared" si="123"/>
        <v>131.286121764</v>
      </c>
      <c r="J1574">
        <f t="shared" si="125"/>
        <v>131252.90676400001</v>
      </c>
      <c r="M1574">
        <f t="shared" si="124"/>
        <v>76065</v>
      </c>
    </row>
    <row r="1575" spans="1:13" x14ac:dyDescent="0.2">
      <c r="A1575">
        <v>75</v>
      </c>
      <c r="B1575">
        <v>66</v>
      </c>
      <c r="C1575">
        <v>141</v>
      </c>
      <c r="D1575" s="51" t="s">
        <v>64</v>
      </c>
      <c r="E1575" t="str">
        <f>VLOOKUP(M1575,'MASS - 2016'!$A$1:$G$3418,6,FALSE)</f>
        <v>-45382#</v>
      </c>
      <c r="F1575" t="str">
        <f>VLOOKUP(M1575,'MASS - 2016'!$A$1:$G$3418,7,FALSE)</f>
        <v>298#</v>
      </c>
      <c r="G1575">
        <f t="shared" si="126"/>
        <v>-45382.01</v>
      </c>
      <c r="H1575">
        <f t="shared" si="122"/>
        <v>140.95128040864662</v>
      </c>
      <c r="I1575">
        <f t="shared" si="123"/>
        <v>131.29528059099999</v>
      </c>
      <c r="J1575">
        <f t="shared" si="125"/>
        <v>131261.55459099999</v>
      </c>
      <c r="M1575">
        <f t="shared" si="124"/>
        <v>75066</v>
      </c>
    </row>
    <row r="1576" spans="1:13" x14ac:dyDescent="0.2">
      <c r="A1576">
        <v>90</v>
      </c>
      <c r="B1576">
        <v>52</v>
      </c>
      <c r="C1576">
        <v>142</v>
      </c>
      <c r="D1576" s="51" t="s">
        <v>50</v>
      </c>
      <c r="E1576" t="str">
        <f>VLOOKUP(M1576,'MASS - 2016'!$A$1:$G$3418,6,FALSE)</f>
        <v>-46370#</v>
      </c>
      <c r="F1576" t="str">
        <f>VLOOKUP(M1576,'MASS - 2016'!$A$1:$G$3418,7,FALSE)</f>
        <v>503#</v>
      </c>
      <c r="G1576">
        <f t="shared" si="126"/>
        <v>-46370.01</v>
      </c>
      <c r="H1576">
        <f t="shared" si="122"/>
        <v>141.95021974702638</v>
      </c>
      <c r="I1576">
        <f t="shared" si="123"/>
        <v>132.22578665199998</v>
      </c>
      <c r="J1576">
        <f t="shared" si="125"/>
        <v>132199.214652</v>
      </c>
      <c r="M1576">
        <f t="shared" si="124"/>
        <v>90052</v>
      </c>
    </row>
    <row r="1577" spans="1:13" x14ac:dyDescent="0.2">
      <c r="A1577">
        <v>89</v>
      </c>
      <c r="B1577">
        <v>53</v>
      </c>
      <c r="C1577">
        <v>142</v>
      </c>
      <c r="D1577" s="51" t="s">
        <v>51</v>
      </c>
      <c r="E1577">
        <f>VLOOKUP(M1577,'MASS - 2016'!$A$1:$G$3418,6,FALSE)</f>
        <v>-54769.983999999997</v>
      </c>
      <c r="F1577">
        <f>VLOOKUP(M1577,'MASS - 2016'!$A$1:$G$3418,7,FALSE)</f>
        <v>374.46100000000001</v>
      </c>
      <c r="G1577">
        <f t="shared" si="126"/>
        <v>-54769.983999999997</v>
      </c>
      <c r="H1577">
        <f t="shared" si="122"/>
        <v>141.94120200407804</v>
      </c>
      <c r="I1577">
        <f t="shared" si="123"/>
        <v>132.217386678</v>
      </c>
      <c r="J1577">
        <f t="shared" si="125"/>
        <v>132190.303678</v>
      </c>
      <c r="M1577">
        <f t="shared" si="124"/>
        <v>89053</v>
      </c>
    </row>
    <row r="1578" spans="1:13" x14ac:dyDescent="0.2">
      <c r="A1578">
        <v>88</v>
      </c>
      <c r="B1578">
        <v>54</v>
      </c>
      <c r="C1578">
        <v>142</v>
      </c>
      <c r="D1578" s="51" t="s">
        <v>52</v>
      </c>
      <c r="E1578">
        <f>VLOOKUP(M1578,'MASS - 2016'!$A$1:$G$3418,6,FALSE)</f>
        <v>-65229.639000000003</v>
      </c>
      <c r="F1578">
        <f>VLOOKUP(M1578,'MASS - 2016'!$A$1:$G$3418,7,FALSE)</f>
        <v>2.7010000000000001</v>
      </c>
      <c r="G1578">
        <f t="shared" si="126"/>
        <v>-65229.639000000003</v>
      </c>
      <c r="H1578">
        <f t="shared" si="122"/>
        <v>141.92997310264116</v>
      </c>
      <c r="I1578">
        <f t="shared" si="123"/>
        <v>132.20692702299999</v>
      </c>
      <c r="J1578">
        <f t="shared" si="125"/>
        <v>132179.33302299998</v>
      </c>
      <c r="M1578">
        <f t="shared" si="124"/>
        <v>88054</v>
      </c>
    </row>
    <row r="1579" spans="1:13" x14ac:dyDescent="0.2">
      <c r="A1579">
        <v>87</v>
      </c>
      <c r="B1579">
        <v>55</v>
      </c>
      <c r="C1579">
        <v>142</v>
      </c>
      <c r="D1579" s="51" t="s">
        <v>53</v>
      </c>
      <c r="E1579">
        <f>VLOOKUP(M1579,'MASS - 2016'!$A$1:$G$3418,6,FALSE)</f>
        <v>-70514.55</v>
      </c>
      <c r="F1579">
        <f>VLOOKUP(M1579,'MASS - 2016'!$A$1:$G$3418,7,FALSE)</f>
        <v>7.0670000000000002</v>
      </c>
      <c r="G1579">
        <f t="shared" si="126"/>
        <v>-70514.55</v>
      </c>
      <c r="H1579">
        <f t="shared" si="122"/>
        <v>141.92429951735352</v>
      </c>
      <c r="I1579">
        <f t="shared" si="123"/>
        <v>132.20164211199997</v>
      </c>
      <c r="J1579">
        <f t="shared" si="125"/>
        <v>132173.53711199996</v>
      </c>
      <c r="M1579">
        <f t="shared" si="124"/>
        <v>87055</v>
      </c>
    </row>
    <row r="1580" spans="1:13" x14ac:dyDescent="0.2">
      <c r="A1580">
        <v>86</v>
      </c>
      <c r="B1580">
        <v>56</v>
      </c>
      <c r="C1580">
        <v>142</v>
      </c>
      <c r="D1580" s="51" t="s">
        <v>54</v>
      </c>
      <c r="E1580">
        <f>VLOOKUP(M1580,'MASS - 2016'!$A$1:$G$3418,6,FALSE)</f>
        <v>-77842.263999999996</v>
      </c>
      <c r="F1580">
        <f>VLOOKUP(M1580,'MASS - 2016'!$A$1:$G$3418,7,FALSE)</f>
        <v>5.92</v>
      </c>
      <c r="G1580">
        <f t="shared" si="126"/>
        <v>-77842.263999999996</v>
      </c>
      <c r="H1580">
        <f t="shared" si="122"/>
        <v>141.91643289285554</v>
      </c>
      <c r="I1580">
        <f t="shared" si="123"/>
        <v>132.19431439799999</v>
      </c>
      <c r="J1580">
        <f t="shared" si="125"/>
        <v>132165.69839799998</v>
      </c>
      <c r="M1580">
        <f t="shared" si="124"/>
        <v>86056</v>
      </c>
    </row>
    <row r="1581" spans="1:13" x14ac:dyDescent="0.2">
      <c r="A1581">
        <v>85</v>
      </c>
      <c r="B1581">
        <v>57</v>
      </c>
      <c r="C1581">
        <v>142</v>
      </c>
      <c r="D1581" s="51" t="s">
        <v>55</v>
      </c>
      <c r="E1581">
        <f>VLOOKUP(M1581,'MASS - 2016'!$A$1:$G$3418,6,FALSE)</f>
        <v>-80024.226999999999</v>
      </c>
      <c r="F1581">
        <f>VLOOKUP(M1581,'MASS - 2016'!$A$1:$G$3418,7,FALSE)</f>
        <v>6.3090000000000002</v>
      </c>
      <c r="G1581">
        <f t="shared" si="126"/>
        <v>-80024.226999999999</v>
      </c>
      <c r="H1581">
        <f t="shared" si="122"/>
        <v>141.91409045924127</v>
      </c>
      <c r="I1581">
        <f t="shared" si="123"/>
        <v>132.19213243499999</v>
      </c>
      <c r="J1581">
        <f t="shared" si="125"/>
        <v>132163.00543499997</v>
      </c>
      <c r="M1581">
        <f t="shared" si="124"/>
        <v>85057</v>
      </c>
    </row>
    <row r="1582" spans="1:13" x14ac:dyDescent="0.2">
      <c r="A1582">
        <v>84</v>
      </c>
      <c r="B1582">
        <v>58</v>
      </c>
      <c r="C1582">
        <v>142</v>
      </c>
      <c r="D1582" s="51" t="s">
        <v>56</v>
      </c>
      <c r="E1582">
        <f>VLOOKUP(M1582,'MASS - 2016'!$A$1:$G$3418,6,FALSE)</f>
        <v>-84533.187999999995</v>
      </c>
      <c r="F1582">
        <f>VLOOKUP(M1582,'MASS - 2016'!$A$1:$G$3418,7,FALSE)</f>
        <v>2.5089999999999999</v>
      </c>
      <c r="G1582">
        <f t="shared" si="126"/>
        <v>-84533.187999999995</v>
      </c>
      <c r="H1582">
        <f t="shared" si="122"/>
        <v>141.90924989053687</v>
      </c>
      <c r="I1582">
        <f t="shared" si="123"/>
        <v>132.18762347399999</v>
      </c>
      <c r="J1582">
        <f t="shared" si="125"/>
        <v>132157.98547399999</v>
      </c>
      <c r="M1582">
        <f t="shared" si="124"/>
        <v>84058</v>
      </c>
    </row>
    <row r="1583" spans="1:13" x14ac:dyDescent="0.2">
      <c r="A1583">
        <v>83</v>
      </c>
      <c r="B1583">
        <v>59</v>
      </c>
      <c r="C1583">
        <v>142</v>
      </c>
      <c r="D1583" s="51" t="s">
        <v>57</v>
      </c>
      <c r="E1583">
        <f>VLOOKUP(M1583,'MASS - 2016'!$A$1:$G$3418,6,FALSE)</f>
        <v>-83787.475999999995</v>
      </c>
      <c r="F1583">
        <f>VLOOKUP(M1583,'MASS - 2016'!$A$1:$G$3418,7,FALSE)</f>
        <v>1.665</v>
      </c>
      <c r="G1583">
        <f t="shared" si="126"/>
        <v>-83787.475999999995</v>
      </c>
      <c r="H1583">
        <f t="shared" si="122"/>
        <v>141.91005044529209</v>
      </c>
      <c r="I1583">
        <f t="shared" si="123"/>
        <v>132.18836918599999</v>
      </c>
      <c r="J1583">
        <f t="shared" si="125"/>
        <v>132158.22018599999</v>
      </c>
      <c r="M1583">
        <f t="shared" si="124"/>
        <v>83059</v>
      </c>
    </row>
    <row r="1584" spans="1:13" x14ac:dyDescent="0.2">
      <c r="A1584">
        <v>82</v>
      </c>
      <c r="B1584">
        <v>60</v>
      </c>
      <c r="C1584">
        <v>142</v>
      </c>
      <c r="D1584" s="51" t="s">
        <v>58</v>
      </c>
      <c r="E1584">
        <f>VLOOKUP(M1584,'MASS - 2016'!$A$1:$G$3418,6,FALSE)</f>
        <v>-85949.98</v>
      </c>
      <c r="F1584">
        <f>VLOOKUP(M1584,'MASS - 2016'!$A$1:$G$3418,7,FALSE)</f>
        <v>1.3680000000000001</v>
      </c>
      <c r="G1584">
        <f t="shared" si="126"/>
        <v>-85949.98</v>
      </c>
      <c r="H1584">
        <f t="shared" si="122"/>
        <v>141.9077289017734</v>
      </c>
      <c r="I1584">
        <f t="shared" si="123"/>
        <v>132.18620668199998</v>
      </c>
      <c r="J1584">
        <f t="shared" si="125"/>
        <v>132155.54668199999</v>
      </c>
      <c r="M1584">
        <f t="shared" si="124"/>
        <v>82060</v>
      </c>
    </row>
    <row r="1585" spans="1:13" x14ac:dyDescent="0.2">
      <c r="A1585">
        <v>81</v>
      </c>
      <c r="B1585">
        <v>61</v>
      </c>
      <c r="C1585">
        <v>142</v>
      </c>
      <c r="D1585" s="51" t="s">
        <v>59</v>
      </c>
      <c r="E1585">
        <f>VLOOKUP(M1585,'MASS - 2016'!$A$1:$G$3418,6,FALSE)</f>
        <v>-81142.043999999994</v>
      </c>
      <c r="F1585">
        <f>VLOOKUP(M1585,'MASS - 2016'!$A$1:$G$3418,7,FALSE)</f>
        <v>23.597000000000001</v>
      </c>
      <c r="G1585">
        <f t="shared" si="126"/>
        <v>-81142.043999999994</v>
      </c>
      <c r="H1585">
        <f t="shared" si="122"/>
        <v>141.91289043334007</v>
      </c>
      <c r="I1585">
        <f t="shared" si="123"/>
        <v>132.191014618</v>
      </c>
      <c r="J1585">
        <f t="shared" si="125"/>
        <v>132159.84361799998</v>
      </c>
      <c r="M1585">
        <f t="shared" si="124"/>
        <v>81061</v>
      </c>
    </row>
    <row r="1586" spans="1:13" x14ac:dyDescent="0.2">
      <c r="A1586">
        <v>80</v>
      </c>
      <c r="B1586">
        <v>62</v>
      </c>
      <c r="C1586">
        <v>142</v>
      </c>
      <c r="D1586" s="51" t="s">
        <v>60</v>
      </c>
      <c r="E1586">
        <f>VLOOKUP(M1586,'MASS - 2016'!$A$1:$G$3418,6,FALSE)</f>
        <v>-78986.47</v>
      </c>
      <c r="F1586">
        <f>VLOOKUP(M1586,'MASS - 2016'!$A$1:$G$3418,7,FALSE)</f>
        <v>3.0790000000000002</v>
      </c>
      <c r="G1586">
        <f t="shared" si="126"/>
        <v>-78986.47</v>
      </c>
      <c r="H1586">
        <f t="shared" si="122"/>
        <v>141.91520453719778</v>
      </c>
      <c r="I1586">
        <f t="shared" si="123"/>
        <v>132.193170192</v>
      </c>
      <c r="J1586">
        <f t="shared" si="125"/>
        <v>132161.48819199999</v>
      </c>
      <c r="M1586">
        <f t="shared" si="124"/>
        <v>80062</v>
      </c>
    </row>
    <row r="1587" spans="1:13" x14ac:dyDescent="0.2">
      <c r="A1587">
        <v>79</v>
      </c>
      <c r="B1587">
        <v>63</v>
      </c>
      <c r="C1587">
        <v>142</v>
      </c>
      <c r="D1587" s="51" t="s">
        <v>61</v>
      </c>
      <c r="E1587">
        <f>VLOOKUP(M1587,'MASS - 2016'!$A$1:$G$3418,6,FALSE)</f>
        <v>-71313.47</v>
      </c>
      <c r="F1587">
        <f>VLOOKUP(M1587,'MASS - 2016'!$A$1:$G$3418,7,FALSE)</f>
        <v>30.158000000000001</v>
      </c>
      <c r="G1587">
        <f t="shared" si="126"/>
        <v>-71313.47</v>
      </c>
      <c r="H1587">
        <f t="shared" si="122"/>
        <v>141.92344184146117</v>
      </c>
      <c r="I1587">
        <f t="shared" si="123"/>
        <v>132.20084319199998</v>
      </c>
      <c r="J1587">
        <f t="shared" si="125"/>
        <v>132168.65019199997</v>
      </c>
      <c r="M1587">
        <f t="shared" si="124"/>
        <v>79063</v>
      </c>
    </row>
    <row r="1588" spans="1:13" x14ac:dyDescent="0.2">
      <c r="A1588">
        <v>78</v>
      </c>
      <c r="B1588">
        <v>64</v>
      </c>
      <c r="C1588">
        <v>142</v>
      </c>
      <c r="D1588" s="51" t="s">
        <v>62</v>
      </c>
      <c r="E1588">
        <f>VLOOKUP(M1588,'MASS - 2016'!$A$1:$G$3418,6,FALSE)</f>
        <v>-66959.514999999999</v>
      </c>
      <c r="F1588">
        <f>VLOOKUP(M1588,'MASS - 2016'!$A$1:$G$3418,7,FALSE)</f>
        <v>27.945</v>
      </c>
      <c r="G1588">
        <f t="shared" si="126"/>
        <v>-66959.514999999999</v>
      </c>
      <c r="H1588">
        <f t="shared" si="122"/>
        <v>141.92811600438102</v>
      </c>
      <c r="I1588">
        <f t="shared" si="123"/>
        <v>132.20519714699998</v>
      </c>
      <c r="J1588">
        <f t="shared" si="125"/>
        <v>132172.49314699997</v>
      </c>
      <c r="M1588">
        <f t="shared" si="124"/>
        <v>78064</v>
      </c>
    </row>
    <row r="1589" spans="1:13" x14ac:dyDescent="0.2">
      <c r="A1589">
        <v>77</v>
      </c>
      <c r="B1589">
        <v>65</v>
      </c>
      <c r="C1589">
        <v>142</v>
      </c>
      <c r="D1589" s="51" t="s">
        <v>63</v>
      </c>
      <c r="E1589">
        <f>VLOOKUP(M1589,'MASS - 2016'!$A$1:$G$3418,6,FALSE)</f>
        <v>-56559.514999999999</v>
      </c>
      <c r="F1589">
        <f>VLOOKUP(M1589,'MASS - 2016'!$A$1:$G$3418,7,FALSE)</f>
        <v>700.55799999999999</v>
      </c>
      <c r="G1589">
        <f t="shared" si="126"/>
        <v>-56559.514999999999</v>
      </c>
      <c r="H1589">
        <f t="shared" si="122"/>
        <v>141.93928086354163</v>
      </c>
      <c r="I1589">
        <f t="shared" si="123"/>
        <v>132.21559714699998</v>
      </c>
      <c r="J1589">
        <f t="shared" si="125"/>
        <v>132182.382147</v>
      </c>
      <c r="M1589">
        <f t="shared" si="124"/>
        <v>77065</v>
      </c>
    </row>
    <row r="1590" spans="1:13" x14ac:dyDescent="0.2">
      <c r="A1590">
        <v>76</v>
      </c>
      <c r="B1590">
        <v>66</v>
      </c>
      <c r="C1590">
        <v>142</v>
      </c>
      <c r="D1590" s="51" t="s">
        <v>64</v>
      </c>
      <c r="E1590" t="str">
        <f>VLOOKUP(M1590,'MASS - 2016'!$A$1:$G$3418,6,FALSE)</f>
        <v>-50120#</v>
      </c>
      <c r="F1590" t="str">
        <f>VLOOKUP(M1590,'MASS - 2016'!$A$1:$G$3418,7,FALSE)</f>
        <v>729#</v>
      </c>
      <c r="G1590">
        <f t="shared" si="126"/>
        <v>-50120.01</v>
      </c>
      <c r="H1590">
        <f t="shared" si="122"/>
        <v>141.94619395646365</v>
      </c>
      <c r="I1590">
        <f t="shared" si="123"/>
        <v>132.22203665199999</v>
      </c>
      <c r="J1590">
        <f t="shared" si="125"/>
        <v>132188.31065199999</v>
      </c>
      <c r="M1590">
        <f t="shared" si="124"/>
        <v>76066</v>
      </c>
    </row>
    <row r="1591" spans="1:13" x14ac:dyDescent="0.2">
      <c r="A1591">
        <v>75</v>
      </c>
      <c r="B1591">
        <v>67</v>
      </c>
      <c r="C1591">
        <v>142</v>
      </c>
      <c r="D1591" s="51" t="s">
        <v>65</v>
      </c>
      <c r="E1591" t="str">
        <f>VLOOKUP(M1591,'MASS - 2016'!$A$1:$G$3418,6,FALSE)</f>
        <v>-37250#</v>
      </c>
      <c r="F1591" t="str">
        <f>VLOOKUP(M1591,'MASS - 2016'!$A$1:$G$3418,7,FALSE)</f>
        <v>401#</v>
      </c>
      <c r="G1591">
        <f t="shared" si="126"/>
        <v>-37250.01</v>
      </c>
      <c r="H1591">
        <f t="shared" si="122"/>
        <v>141.9600104696749</v>
      </c>
      <c r="I1591">
        <f t="shared" si="123"/>
        <v>132.23490665199998</v>
      </c>
      <c r="J1591">
        <f t="shared" si="125"/>
        <v>132200.66965199998</v>
      </c>
      <c r="M1591">
        <f t="shared" si="124"/>
        <v>75067</v>
      </c>
    </row>
    <row r="1592" spans="1:13" x14ac:dyDescent="0.2">
      <c r="A1592">
        <v>90</v>
      </c>
      <c r="B1592">
        <v>53</v>
      </c>
      <c r="C1592">
        <v>143</v>
      </c>
      <c r="D1592" s="51" t="s">
        <v>51</v>
      </c>
      <c r="E1592" t="str">
        <f>VLOOKUP(M1592,'MASS - 2016'!$A$1:$G$3418,6,FALSE)</f>
        <v>-50630#</v>
      </c>
      <c r="F1592" t="str">
        <f>VLOOKUP(M1592,'MASS - 2016'!$A$1:$G$3418,7,FALSE)</f>
        <v>200#</v>
      </c>
      <c r="G1592">
        <f t="shared" si="126"/>
        <v>-50630.01</v>
      </c>
      <c r="H1592">
        <f t="shared" si="122"/>
        <v>142.94564644894717</v>
      </c>
      <c r="I1592">
        <f t="shared" si="123"/>
        <v>133.15302071300002</v>
      </c>
      <c r="J1592">
        <f t="shared" si="125"/>
        <v>133125.93771299999</v>
      </c>
      <c r="M1592">
        <f t="shared" si="124"/>
        <v>90053</v>
      </c>
    </row>
    <row r="1593" spans="1:13" x14ac:dyDescent="0.2">
      <c r="A1593">
        <v>89</v>
      </c>
      <c r="B1593">
        <v>54</v>
      </c>
      <c r="C1593">
        <v>143</v>
      </c>
      <c r="D1593" s="51" t="s">
        <v>52</v>
      </c>
      <c r="E1593">
        <f>VLOOKUP(M1593,'MASS - 2016'!$A$1:$G$3418,6,FALSE)</f>
        <v>-60202.873</v>
      </c>
      <c r="F1593">
        <f>VLOOKUP(M1593,'MASS - 2016'!$A$1:$G$3418,7,FALSE)</f>
        <v>4.657</v>
      </c>
      <c r="G1593">
        <f t="shared" si="126"/>
        <v>-60202.873</v>
      </c>
      <c r="H1593">
        <f t="shared" si="122"/>
        <v>142.9353695578742</v>
      </c>
      <c r="I1593">
        <f t="shared" si="123"/>
        <v>133.14344785</v>
      </c>
      <c r="J1593">
        <f t="shared" si="125"/>
        <v>133115.85384999998</v>
      </c>
      <c r="M1593">
        <f t="shared" si="124"/>
        <v>89054</v>
      </c>
    </row>
    <row r="1594" spans="1:13" x14ac:dyDescent="0.2">
      <c r="A1594">
        <v>88</v>
      </c>
      <c r="B1594">
        <v>55</v>
      </c>
      <c r="C1594">
        <v>143</v>
      </c>
      <c r="D1594" s="51" t="s">
        <v>53</v>
      </c>
      <c r="E1594">
        <f>VLOOKUP(M1594,'MASS - 2016'!$A$1:$G$3418,6,FALSE)</f>
        <v>-67675.509000000005</v>
      </c>
      <c r="F1594">
        <f>VLOOKUP(M1594,'MASS - 2016'!$A$1:$G$3418,7,FALSE)</f>
        <v>7.5730000000000004</v>
      </c>
      <c r="G1594">
        <f t="shared" si="126"/>
        <v>-67675.509000000005</v>
      </c>
      <c r="H1594">
        <f t="shared" si="122"/>
        <v>142.92734735321091</v>
      </c>
      <c r="I1594">
        <f t="shared" si="123"/>
        <v>133.13597521400001</v>
      </c>
      <c r="J1594">
        <f t="shared" si="125"/>
        <v>133107.870214</v>
      </c>
      <c r="M1594">
        <f t="shared" si="124"/>
        <v>88055</v>
      </c>
    </row>
    <row r="1595" spans="1:13" x14ac:dyDescent="0.2">
      <c r="A1595">
        <v>87</v>
      </c>
      <c r="B1595">
        <v>56</v>
      </c>
      <c r="C1595">
        <v>143</v>
      </c>
      <c r="D1595" s="51" t="s">
        <v>54</v>
      </c>
      <c r="E1595">
        <f>VLOOKUP(M1595,'MASS - 2016'!$A$1:$G$3418,6,FALSE)</f>
        <v>-73937.197</v>
      </c>
      <c r="F1595">
        <f>VLOOKUP(M1595,'MASS - 2016'!$A$1:$G$3418,7,FALSE)</f>
        <v>6.7560000000000002</v>
      </c>
      <c r="G1595">
        <f t="shared" si="126"/>
        <v>-73937.197</v>
      </c>
      <c r="H1595">
        <f t="shared" si="122"/>
        <v>142.92062515468902</v>
      </c>
      <c r="I1595">
        <f t="shared" si="123"/>
        <v>133.12971352600002</v>
      </c>
      <c r="J1595">
        <f t="shared" si="125"/>
        <v>133101.097526</v>
      </c>
      <c r="M1595">
        <f t="shared" si="124"/>
        <v>87056</v>
      </c>
    </row>
    <row r="1596" spans="1:13" x14ac:dyDescent="0.2">
      <c r="A1596">
        <v>86</v>
      </c>
      <c r="B1596">
        <v>57</v>
      </c>
      <c r="C1596">
        <v>143</v>
      </c>
      <c r="D1596" s="51" t="s">
        <v>55</v>
      </c>
      <c r="E1596">
        <f>VLOOKUP(M1596,'MASS - 2016'!$A$1:$G$3418,6,FALSE)</f>
        <v>-78171.514999999999</v>
      </c>
      <c r="F1596">
        <f>VLOOKUP(M1596,'MASS - 2016'!$A$1:$G$3418,7,FALSE)</f>
        <v>7.33</v>
      </c>
      <c r="G1596">
        <f t="shared" si="126"/>
        <v>-78171.514999999999</v>
      </c>
      <c r="H1596">
        <f t="shared" si="122"/>
        <v>142.91607942737062</v>
      </c>
      <c r="I1596">
        <f t="shared" si="123"/>
        <v>133.125479208</v>
      </c>
      <c r="J1596">
        <f t="shared" si="125"/>
        <v>133096.352208</v>
      </c>
      <c r="M1596">
        <f t="shared" si="124"/>
        <v>86057</v>
      </c>
    </row>
    <row r="1597" spans="1:13" x14ac:dyDescent="0.2">
      <c r="A1597">
        <v>85</v>
      </c>
      <c r="B1597">
        <v>58</v>
      </c>
      <c r="C1597">
        <v>143</v>
      </c>
      <c r="D1597" s="51" t="s">
        <v>56</v>
      </c>
      <c r="E1597">
        <f>VLOOKUP(M1597,'MASS - 2016'!$A$1:$G$3418,6,FALSE)</f>
        <v>-81606.671000000002</v>
      </c>
      <c r="F1597">
        <f>VLOOKUP(M1597,'MASS - 2016'!$A$1:$G$3418,7,FALSE)</f>
        <v>2.508</v>
      </c>
      <c r="G1597">
        <f t="shared" si="126"/>
        <v>-81606.671000000002</v>
      </c>
      <c r="H1597">
        <f t="shared" si="122"/>
        <v>142.91239163574227</v>
      </c>
      <c r="I1597">
        <f t="shared" si="123"/>
        <v>133.12204405200001</v>
      </c>
      <c r="J1597">
        <f t="shared" si="125"/>
        <v>133092.40605200001</v>
      </c>
      <c r="M1597">
        <f t="shared" si="124"/>
        <v>85058</v>
      </c>
    </row>
    <row r="1598" spans="1:13" x14ac:dyDescent="0.2">
      <c r="A1598">
        <v>84</v>
      </c>
      <c r="B1598">
        <v>59</v>
      </c>
      <c r="C1598">
        <v>143</v>
      </c>
      <c r="D1598" s="51" t="s">
        <v>57</v>
      </c>
      <c r="E1598">
        <f>VLOOKUP(M1598,'MASS - 2016'!$A$1:$G$3418,6,FALSE)</f>
        <v>-83068.245999999999</v>
      </c>
      <c r="F1598">
        <f>VLOOKUP(M1598,'MASS - 2016'!$A$1:$G$3418,7,FALSE)</f>
        <v>1.897</v>
      </c>
      <c r="G1598">
        <f t="shared" si="126"/>
        <v>-83068.245999999999</v>
      </c>
      <c r="H1598">
        <f t="shared" si="122"/>
        <v>142.91082257045116</v>
      </c>
      <c r="I1598">
        <f t="shared" si="123"/>
        <v>133.120582477</v>
      </c>
      <c r="J1598">
        <f t="shared" si="125"/>
        <v>133090.43347699998</v>
      </c>
      <c r="M1598">
        <f t="shared" si="124"/>
        <v>84059</v>
      </c>
    </row>
    <row r="1599" spans="1:13" x14ac:dyDescent="0.2">
      <c r="A1599">
        <v>83</v>
      </c>
      <c r="B1599">
        <v>60</v>
      </c>
      <c r="C1599">
        <v>143</v>
      </c>
      <c r="D1599" s="51" t="s">
        <v>58</v>
      </c>
      <c r="E1599">
        <f>VLOOKUP(M1599,'MASS - 2016'!$A$1:$G$3418,6,FALSE)</f>
        <v>-84002.233999999997</v>
      </c>
      <c r="F1599">
        <f>VLOOKUP(M1599,'MASS - 2016'!$A$1:$G$3418,7,FALSE)</f>
        <v>1.367</v>
      </c>
      <c r="G1599">
        <f t="shared" si="126"/>
        <v>-84002.233999999997</v>
      </c>
      <c r="H1599">
        <f t="shared" si="122"/>
        <v>142.90981989309753</v>
      </c>
      <c r="I1599">
        <f t="shared" si="123"/>
        <v>133.11964848900001</v>
      </c>
      <c r="J1599">
        <f t="shared" si="125"/>
        <v>133088.98848900001</v>
      </c>
      <c r="M1599">
        <f t="shared" si="124"/>
        <v>83060</v>
      </c>
    </row>
    <row r="1600" spans="1:13" x14ac:dyDescent="0.2">
      <c r="A1600">
        <v>82</v>
      </c>
      <c r="B1600">
        <v>61</v>
      </c>
      <c r="C1600">
        <v>143</v>
      </c>
      <c r="D1600" s="51" t="s">
        <v>59</v>
      </c>
      <c r="E1600">
        <f>VLOOKUP(M1600,'MASS - 2016'!$A$1:$G$3418,6,FALSE)</f>
        <v>-82960.650999999998</v>
      </c>
      <c r="F1600">
        <f>VLOOKUP(M1600,'MASS - 2016'!$A$1:$G$3418,7,FALSE)</f>
        <v>2.996</v>
      </c>
      <c r="G1600">
        <f t="shared" si="126"/>
        <v>-82960.650999999998</v>
      </c>
      <c r="H1600">
        <f t="shared" si="122"/>
        <v>142.91093807843399</v>
      </c>
      <c r="I1600">
        <f t="shared" si="123"/>
        <v>133.120690072</v>
      </c>
      <c r="J1600">
        <f t="shared" si="125"/>
        <v>133089.519072</v>
      </c>
      <c r="M1600">
        <f t="shared" si="124"/>
        <v>82061</v>
      </c>
    </row>
    <row r="1601" spans="1:13" x14ac:dyDescent="0.2">
      <c r="A1601">
        <v>81</v>
      </c>
      <c r="B1601">
        <v>62</v>
      </c>
      <c r="C1601">
        <v>143</v>
      </c>
      <c r="D1601" s="51" t="s">
        <v>60</v>
      </c>
      <c r="E1601">
        <f>VLOOKUP(M1601,'MASS - 2016'!$A$1:$G$3418,6,FALSE)</f>
        <v>-79517.152000000002</v>
      </c>
      <c r="F1601">
        <f>VLOOKUP(M1601,'MASS - 2016'!$A$1:$G$3418,7,FALSE)</f>
        <v>2.8039999999999998</v>
      </c>
      <c r="G1601">
        <f t="shared" si="126"/>
        <v>-79517.152000000002</v>
      </c>
      <c r="H1601">
        <f t="shared" si="122"/>
        <v>142.91463482664116</v>
      </c>
      <c r="I1601">
        <f t="shared" si="123"/>
        <v>133.12413357100002</v>
      </c>
      <c r="J1601">
        <f t="shared" si="125"/>
        <v>133092.45157100001</v>
      </c>
      <c r="M1601">
        <f t="shared" si="124"/>
        <v>81062</v>
      </c>
    </row>
    <row r="1602" spans="1:13" x14ac:dyDescent="0.2">
      <c r="A1602">
        <v>80</v>
      </c>
      <c r="B1602">
        <v>63</v>
      </c>
      <c r="C1602">
        <v>143</v>
      </c>
      <c r="D1602" s="51" t="s">
        <v>61</v>
      </c>
      <c r="E1602">
        <f>VLOOKUP(M1602,'MASS - 2016'!$A$1:$G$3418,6,FALSE)</f>
        <v>-74241.3</v>
      </c>
      <c r="F1602">
        <f>VLOOKUP(M1602,'MASS - 2016'!$A$1:$G$3418,7,FALSE)</f>
        <v>10.986000000000001</v>
      </c>
      <c r="G1602">
        <f t="shared" si="126"/>
        <v>-74241.3</v>
      </c>
      <c r="H1602">
        <f t="shared" si="122"/>
        <v>142.92029868669232</v>
      </c>
      <c r="I1602">
        <f t="shared" si="123"/>
        <v>133.129409423</v>
      </c>
      <c r="J1602">
        <f t="shared" si="125"/>
        <v>133097.21642300001</v>
      </c>
      <c r="M1602">
        <f t="shared" si="124"/>
        <v>80063</v>
      </c>
    </row>
    <row r="1603" spans="1:13" x14ac:dyDescent="0.2">
      <c r="A1603">
        <v>79</v>
      </c>
      <c r="B1603">
        <v>64</v>
      </c>
      <c r="C1603">
        <v>143</v>
      </c>
      <c r="D1603" s="51" t="s">
        <v>62</v>
      </c>
      <c r="E1603">
        <f>VLOOKUP(M1603,'MASS - 2016'!$A$1:$G$3418,6,FALSE)</f>
        <v>-68231.3</v>
      </c>
      <c r="F1603">
        <f>VLOOKUP(M1603,'MASS - 2016'!$A$1:$G$3418,7,FALSE)</f>
        <v>200.30099999999999</v>
      </c>
      <c r="G1603">
        <f t="shared" si="126"/>
        <v>-68231.3</v>
      </c>
      <c r="H1603">
        <f t="shared" si="122"/>
        <v>142.92675068703417</v>
      </c>
      <c r="I1603">
        <f t="shared" si="123"/>
        <v>133.135419423</v>
      </c>
      <c r="J1603">
        <f t="shared" si="125"/>
        <v>133102.71542300002</v>
      </c>
      <c r="M1603">
        <f t="shared" si="124"/>
        <v>79064</v>
      </c>
    </row>
    <row r="1604" spans="1:13" x14ac:dyDescent="0.2">
      <c r="A1604">
        <v>78</v>
      </c>
      <c r="B1604">
        <v>65</v>
      </c>
      <c r="C1604">
        <v>143</v>
      </c>
      <c r="D1604" s="51" t="s">
        <v>63</v>
      </c>
      <c r="E1604">
        <f>VLOOKUP(M1604,'MASS - 2016'!$A$1:$G$3418,6,FALSE)</f>
        <v>-60419.182999999997</v>
      </c>
      <c r="F1604">
        <f>VLOOKUP(M1604,'MASS - 2016'!$A$1:$G$3418,7,FALSE)</f>
        <v>51.231999999999999</v>
      </c>
      <c r="G1604">
        <f t="shared" si="126"/>
        <v>-60419.182999999997</v>
      </c>
      <c r="H1604">
        <f t="shared" si="122"/>
        <v>142.9351373395391</v>
      </c>
      <c r="I1604">
        <f t="shared" si="123"/>
        <v>133.14323154000002</v>
      </c>
      <c r="J1604">
        <f t="shared" si="125"/>
        <v>133110.01654000001</v>
      </c>
      <c r="M1604">
        <f t="shared" si="124"/>
        <v>78065</v>
      </c>
    </row>
    <row r="1605" spans="1:13" x14ac:dyDescent="0.2">
      <c r="A1605">
        <v>77</v>
      </c>
      <c r="B1605">
        <v>66</v>
      </c>
      <c r="C1605">
        <v>143</v>
      </c>
      <c r="D1605" s="51" t="s">
        <v>64</v>
      </c>
      <c r="E1605">
        <f>VLOOKUP(M1605,'MASS - 2016'!$A$1:$G$3418,6,FALSE)</f>
        <v>-52168.940999999999</v>
      </c>
      <c r="F1605">
        <f>VLOOKUP(M1605,'MASS - 2016'!$A$1:$G$3418,7,FALSE)</f>
        <v>13.041</v>
      </c>
      <c r="G1605">
        <f t="shared" si="126"/>
        <v>-52168.940999999999</v>
      </c>
      <c r="H1605">
        <f t="shared" si="122"/>
        <v>142.94399433857478</v>
      </c>
      <c r="I1605">
        <f t="shared" si="123"/>
        <v>133.15148178200002</v>
      </c>
      <c r="J1605">
        <f t="shared" si="125"/>
        <v>133117.75578200002</v>
      </c>
      <c r="M1605">
        <f t="shared" si="124"/>
        <v>77066</v>
      </c>
    </row>
    <row r="1606" spans="1:13" x14ac:dyDescent="0.2">
      <c r="A1606">
        <v>76</v>
      </c>
      <c r="B1606">
        <v>67</v>
      </c>
      <c r="C1606">
        <v>143</v>
      </c>
      <c r="D1606" s="51" t="s">
        <v>65</v>
      </c>
      <c r="E1606" t="str">
        <f>VLOOKUP(M1606,'MASS - 2016'!$A$1:$G$3418,6,FALSE)</f>
        <v>-42048#</v>
      </c>
      <c r="F1606" t="str">
        <f>VLOOKUP(M1606,'MASS - 2016'!$A$1:$G$3418,7,FALSE)</f>
        <v>298#</v>
      </c>
      <c r="G1606">
        <f t="shared" si="126"/>
        <v>-42048.01</v>
      </c>
      <c r="H1606">
        <f t="shared" si="122"/>
        <v>142.95485960484294</v>
      </c>
      <c r="I1606">
        <f t="shared" si="123"/>
        <v>133.16160271300001</v>
      </c>
      <c r="J1606">
        <f t="shared" si="125"/>
        <v>133127.36571300001</v>
      </c>
      <c r="M1606">
        <f t="shared" si="124"/>
        <v>76067</v>
      </c>
    </row>
    <row r="1607" spans="1:13" x14ac:dyDescent="0.2">
      <c r="A1607">
        <v>91</v>
      </c>
      <c r="B1607">
        <v>53</v>
      </c>
      <c r="C1607">
        <v>144</v>
      </c>
      <c r="D1607" s="51" t="s">
        <v>51</v>
      </c>
      <c r="E1607" t="str">
        <f>VLOOKUP(M1607,'MASS - 2016'!$A$1:$G$3418,6,FALSE)</f>
        <v>-45280#</v>
      </c>
      <c r="F1607" t="str">
        <f>VLOOKUP(M1607,'MASS - 2016'!$A$1:$G$3418,7,FALSE)</f>
        <v>401#</v>
      </c>
      <c r="G1607">
        <f t="shared" si="126"/>
        <v>-45280.01</v>
      </c>
      <c r="H1607">
        <f t="shared" si="122"/>
        <v>143.95138991014997</v>
      </c>
      <c r="I1607">
        <f t="shared" si="123"/>
        <v>134.08986477400001</v>
      </c>
      <c r="J1607">
        <f t="shared" si="125"/>
        <v>134062.781774</v>
      </c>
      <c r="M1607">
        <f t="shared" si="124"/>
        <v>91053</v>
      </c>
    </row>
    <row r="1608" spans="1:13" x14ac:dyDescent="0.2">
      <c r="A1608">
        <v>90</v>
      </c>
      <c r="B1608">
        <v>54</v>
      </c>
      <c r="C1608">
        <v>144</v>
      </c>
      <c r="D1608" s="51" t="s">
        <v>52</v>
      </c>
      <c r="E1608">
        <f>VLOOKUP(M1608,'MASS - 2016'!$A$1:$G$3418,6,FALSE)</f>
        <v>-56872.292999999998</v>
      </c>
      <c r="F1608">
        <f>VLOOKUP(M1608,'MASS - 2016'!$A$1:$G$3418,7,FALSE)</f>
        <v>5.31</v>
      </c>
      <c r="G1608">
        <f t="shared" si="126"/>
        <v>-56872.292999999998</v>
      </c>
      <c r="H1608">
        <f t="shared" si="122"/>
        <v>143.93894508254951</v>
      </c>
      <c r="I1608">
        <f t="shared" si="123"/>
        <v>134.07827249100001</v>
      </c>
      <c r="J1608">
        <f t="shared" si="125"/>
        <v>134050.678491</v>
      </c>
      <c r="M1608">
        <f t="shared" si="124"/>
        <v>90054</v>
      </c>
    </row>
    <row r="1609" spans="1:13" x14ac:dyDescent="0.2">
      <c r="A1609">
        <v>89</v>
      </c>
      <c r="B1609">
        <v>55</v>
      </c>
      <c r="C1609">
        <v>144</v>
      </c>
      <c r="D1609" s="51" t="s">
        <v>53</v>
      </c>
      <c r="E1609">
        <f>VLOOKUP(M1609,'MASS - 2016'!$A$1:$G$3418,6,FALSE)</f>
        <v>-63271.353000000003</v>
      </c>
      <c r="F1609">
        <f>VLOOKUP(M1609,'MASS - 2016'!$A$1:$G$3418,7,FALSE)</f>
        <v>20.132000000000001</v>
      </c>
      <c r="G1609">
        <f t="shared" si="126"/>
        <v>-63271.353000000003</v>
      </c>
      <c r="H1609">
        <f t="shared" ref="H1609:H1672" si="127">(C1609*$A$3+G1609/1000000)/$A$3</f>
        <v>143.93207540912061</v>
      </c>
      <c r="I1609">
        <f t="shared" ref="I1609:I1672" si="128">H1609*$A$3</f>
        <v>134.071873431</v>
      </c>
      <c r="J1609">
        <f t="shared" si="125"/>
        <v>134043.768431</v>
      </c>
      <c r="M1609">
        <f t="shared" ref="M1609:M1672" si="129">1000*A1609+B1609</f>
        <v>89055</v>
      </c>
    </row>
    <row r="1610" spans="1:13" x14ac:dyDescent="0.2">
      <c r="A1610">
        <v>88</v>
      </c>
      <c r="B1610">
        <v>56</v>
      </c>
      <c r="C1610">
        <v>144</v>
      </c>
      <c r="D1610" s="51" t="s">
        <v>54</v>
      </c>
      <c r="E1610">
        <f>VLOOKUP(M1610,'MASS - 2016'!$A$1:$G$3418,6,FALSE)</f>
        <v>-71767.120999999999</v>
      </c>
      <c r="F1610">
        <f>VLOOKUP(M1610,'MASS - 2016'!$A$1:$G$3418,7,FALSE)</f>
        <v>7.1360000000000001</v>
      </c>
      <c r="G1610">
        <f t="shared" si="126"/>
        <v>-71767.120999999999</v>
      </c>
      <c r="H1610">
        <f t="shared" si="127"/>
        <v>143.922954827084</v>
      </c>
      <c r="I1610">
        <f t="shared" si="128"/>
        <v>134.06337766300001</v>
      </c>
      <c r="J1610">
        <f t="shared" si="125"/>
        <v>134034.76166300001</v>
      </c>
      <c r="M1610">
        <f t="shared" si="129"/>
        <v>88056</v>
      </c>
    </row>
    <row r="1611" spans="1:13" x14ac:dyDescent="0.2">
      <c r="A1611">
        <v>87</v>
      </c>
      <c r="B1611">
        <v>57</v>
      </c>
      <c r="C1611">
        <v>144</v>
      </c>
      <c r="D1611" s="51" t="s">
        <v>55</v>
      </c>
      <c r="E1611">
        <f>VLOOKUP(M1611,'MASS - 2016'!$A$1:$G$3418,6,FALSE)</f>
        <v>-74849.652000000002</v>
      </c>
      <c r="F1611">
        <f>VLOOKUP(M1611,'MASS - 2016'!$A$1:$G$3418,7,FALSE)</f>
        <v>12.936999999999999</v>
      </c>
      <c r="G1611">
        <f t="shared" si="126"/>
        <v>-74849.652000000002</v>
      </c>
      <c r="H1611">
        <f t="shared" si="127"/>
        <v>143.91964559396155</v>
      </c>
      <c r="I1611">
        <f t="shared" si="128"/>
        <v>134.06029513199999</v>
      </c>
      <c r="J1611">
        <f t="shared" si="125"/>
        <v>134031.16813199999</v>
      </c>
      <c r="M1611">
        <f t="shared" si="129"/>
        <v>87057</v>
      </c>
    </row>
    <row r="1612" spans="1:13" x14ac:dyDescent="0.2">
      <c r="A1612">
        <v>86</v>
      </c>
      <c r="B1612">
        <v>58</v>
      </c>
      <c r="C1612">
        <v>144</v>
      </c>
      <c r="D1612" s="51" t="s">
        <v>56</v>
      </c>
      <c r="E1612">
        <f>VLOOKUP(M1612,'MASS - 2016'!$A$1:$G$3418,6,FALSE)</f>
        <v>-80431.87</v>
      </c>
      <c r="F1612">
        <f>VLOOKUP(M1612,'MASS - 2016'!$A$1:$G$3418,7,FALSE)</f>
        <v>2.8849999999999998</v>
      </c>
      <c r="G1612">
        <f t="shared" si="126"/>
        <v>-80431.87</v>
      </c>
      <c r="H1612">
        <f t="shared" si="127"/>
        <v>143.91365283648329</v>
      </c>
      <c r="I1612">
        <f t="shared" si="128"/>
        <v>134.05471291399999</v>
      </c>
      <c r="J1612">
        <f t="shared" ref="J1612:J1675" si="130">1000*I1612-B1612*0.511</f>
        <v>134025.074914</v>
      </c>
      <c r="M1612">
        <f t="shared" si="129"/>
        <v>86058</v>
      </c>
    </row>
    <row r="1613" spans="1:13" x14ac:dyDescent="0.2">
      <c r="A1613">
        <v>85</v>
      </c>
      <c r="B1613">
        <v>59</v>
      </c>
      <c r="C1613">
        <v>144</v>
      </c>
      <c r="D1613" s="51" t="s">
        <v>57</v>
      </c>
      <c r="E1613">
        <f>VLOOKUP(M1613,'MASS - 2016'!$A$1:$G$3418,6,FALSE)</f>
        <v>-80750.517000000007</v>
      </c>
      <c r="F1613">
        <f>VLOOKUP(M1613,'MASS - 2016'!$A$1:$G$3418,7,FALSE)</f>
        <v>2.762</v>
      </c>
      <c r="G1613">
        <f t="shared" si="126"/>
        <v>-80750.517000000007</v>
      </c>
      <c r="H1613">
        <f t="shared" si="127"/>
        <v>143.9133107548605</v>
      </c>
      <c r="I1613">
        <f t="shared" si="128"/>
        <v>134.05439426699999</v>
      </c>
      <c r="J1613">
        <f t="shared" si="130"/>
        <v>134024.24526699999</v>
      </c>
      <c r="M1613">
        <f t="shared" si="129"/>
        <v>85059</v>
      </c>
    </row>
    <row r="1614" spans="1:13" x14ac:dyDescent="0.2">
      <c r="A1614">
        <v>84</v>
      </c>
      <c r="B1614">
        <v>60</v>
      </c>
      <c r="C1614">
        <v>144</v>
      </c>
      <c r="D1614" s="51" t="s">
        <v>58</v>
      </c>
      <c r="E1614">
        <f>VLOOKUP(M1614,'MASS - 2016'!$A$1:$G$3418,6,FALSE)</f>
        <v>-83747.956999999995</v>
      </c>
      <c r="F1614">
        <f>VLOOKUP(M1614,'MASS - 2016'!$A$1:$G$3418,7,FALSE)</f>
        <v>1.367</v>
      </c>
      <c r="G1614">
        <f t="shared" si="126"/>
        <v>-83747.956999999995</v>
      </c>
      <c r="H1614">
        <f t="shared" si="127"/>
        <v>143.91009287068337</v>
      </c>
      <c r="I1614">
        <f t="shared" si="128"/>
        <v>134.05139682699999</v>
      </c>
      <c r="J1614">
        <f t="shared" si="130"/>
        <v>134020.73682699999</v>
      </c>
      <c r="M1614">
        <f t="shared" si="129"/>
        <v>84060</v>
      </c>
    </row>
    <row r="1615" spans="1:13" x14ac:dyDescent="0.2">
      <c r="A1615">
        <v>83</v>
      </c>
      <c r="B1615">
        <v>61</v>
      </c>
      <c r="C1615">
        <v>144</v>
      </c>
      <c r="D1615" s="51" t="s">
        <v>59</v>
      </c>
      <c r="E1615">
        <f>VLOOKUP(M1615,'MASS - 2016'!$A$1:$G$3418,6,FALSE)</f>
        <v>-81416.092999999993</v>
      </c>
      <c r="F1615">
        <f>VLOOKUP(M1615,'MASS - 2016'!$A$1:$G$3418,7,FALSE)</f>
        <v>2.964</v>
      </c>
      <c r="G1615">
        <f t="shared" ref="G1615:G1678" si="131">IF(ISNUMBER(E1615),E1615,VALUE(SUBSTITUTE(E1615,"#",".01")))</f>
        <v>-81416.092999999993</v>
      </c>
      <c r="H1615">
        <f t="shared" si="127"/>
        <v>143.91259622963932</v>
      </c>
      <c r="I1615">
        <f t="shared" si="128"/>
        <v>134.053728691</v>
      </c>
      <c r="J1615">
        <f t="shared" si="130"/>
        <v>134022.55769099999</v>
      </c>
      <c r="M1615">
        <f t="shared" si="129"/>
        <v>83061</v>
      </c>
    </row>
    <row r="1616" spans="1:13" x14ac:dyDescent="0.2">
      <c r="A1616">
        <v>82</v>
      </c>
      <c r="B1616">
        <v>62</v>
      </c>
      <c r="C1616">
        <v>144</v>
      </c>
      <c r="D1616" s="51" t="s">
        <v>60</v>
      </c>
      <c r="E1616">
        <f>VLOOKUP(M1616,'MASS - 2016'!$A$1:$G$3418,6,FALSE)</f>
        <v>-81965.535000000003</v>
      </c>
      <c r="F1616">
        <f>VLOOKUP(M1616,'MASS - 2016'!$A$1:$G$3418,7,FALSE)</f>
        <v>1.554</v>
      </c>
      <c r="G1616">
        <f t="shared" si="131"/>
        <v>-81965.535000000003</v>
      </c>
      <c r="H1616">
        <f t="shared" si="127"/>
        <v>143.91200637939443</v>
      </c>
      <c r="I1616">
        <f t="shared" si="128"/>
        <v>134.05317924900001</v>
      </c>
      <c r="J1616">
        <f t="shared" si="130"/>
        <v>134021.49724900001</v>
      </c>
      <c r="M1616">
        <f t="shared" si="129"/>
        <v>82062</v>
      </c>
    </row>
    <row r="1617" spans="1:13" x14ac:dyDescent="0.2">
      <c r="A1617">
        <v>81</v>
      </c>
      <c r="B1617">
        <v>63</v>
      </c>
      <c r="C1617">
        <v>144</v>
      </c>
      <c r="D1617" s="51" t="s">
        <v>61</v>
      </c>
      <c r="E1617">
        <f>VLOOKUP(M1617,'MASS - 2016'!$A$1:$G$3418,6,FALSE)</f>
        <v>-75619.133000000002</v>
      </c>
      <c r="F1617">
        <f>VLOOKUP(M1617,'MASS - 2016'!$A$1:$G$3418,7,FALSE)</f>
        <v>10.789</v>
      </c>
      <c r="G1617">
        <f t="shared" si="131"/>
        <v>-75619.133000000002</v>
      </c>
      <c r="H1617">
        <f t="shared" si="127"/>
        <v>143.91881952213541</v>
      </c>
      <c r="I1617">
        <f t="shared" si="128"/>
        <v>134.059525651</v>
      </c>
      <c r="J1617">
        <f t="shared" si="130"/>
        <v>134027.332651</v>
      </c>
      <c r="M1617">
        <f t="shared" si="129"/>
        <v>81063</v>
      </c>
    </row>
    <row r="1618" spans="1:13" x14ac:dyDescent="0.2">
      <c r="A1618">
        <v>80</v>
      </c>
      <c r="B1618">
        <v>64</v>
      </c>
      <c r="C1618">
        <v>144</v>
      </c>
      <c r="D1618" s="51" t="s">
        <v>62</v>
      </c>
      <c r="E1618">
        <f>VLOOKUP(M1618,'MASS - 2016'!$A$1:$G$3418,6,FALSE)</f>
        <v>-71759.504000000001</v>
      </c>
      <c r="F1618">
        <f>VLOOKUP(M1618,'MASS - 2016'!$A$1:$G$3418,7,FALSE)</f>
        <v>27.945</v>
      </c>
      <c r="G1618">
        <f t="shared" si="131"/>
        <v>-71759.504000000001</v>
      </c>
      <c r="H1618">
        <f t="shared" si="127"/>
        <v>143.92296300426977</v>
      </c>
      <c r="I1618">
        <f t="shared" si="128"/>
        <v>134.06338528000001</v>
      </c>
      <c r="J1618">
        <f t="shared" si="130"/>
        <v>134030.68128000002</v>
      </c>
      <c r="M1618">
        <f t="shared" si="129"/>
        <v>80064</v>
      </c>
    </row>
    <row r="1619" spans="1:13" x14ac:dyDescent="0.2">
      <c r="A1619">
        <v>79</v>
      </c>
      <c r="B1619">
        <v>65</v>
      </c>
      <c r="C1619">
        <v>144</v>
      </c>
      <c r="D1619" s="51" t="s">
        <v>63</v>
      </c>
      <c r="E1619">
        <f>VLOOKUP(M1619,'MASS - 2016'!$A$1:$G$3418,6,FALSE)</f>
        <v>-62368.180999999997</v>
      </c>
      <c r="F1619">
        <f>VLOOKUP(M1619,'MASS - 2016'!$A$1:$G$3418,7,FALSE)</f>
        <v>27.945</v>
      </c>
      <c r="G1619">
        <f t="shared" si="131"/>
        <v>-62368.180999999997</v>
      </c>
      <c r="H1619">
        <f t="shared" si="127"/>
        <v>143.93304500413771</v>
      </c>
      <c r="I1619">
        <f t="shared" si="128"/>
        <v>134.07277660299999</v>
      </c>
      <c r="J1619">
        <f t="shared" si="130"/>
        <v>134039.56160300001</v>
      </c>
      <c r="M1619">
        <f t="shared" si="129"/>
        <v>79065</v>
      </c>
    </row>
    <row r="1620" spans="1:13" x14ac:dyDescent="0.2">
      <c r="A1620">
        <v>78</v>
      </c>
      <c r="B1620">
        <v>66</v>
      </c>
      <c r="C1620">
        <v>144</v>
      </c>
      <c r="D1620" s="51" t="s">
        <v>64</v>
      </c>
      <c r="E1620">
        <f>VLOOKUP(M1620,'MASS - 2016'!$A$1:$G$3418,6,FALSE)</f>
        <v>-56570.082999999999</v>
      </c>
      <c r="F1620">
        <f>VLOOKUP(M1620,'MASS - 2016'!$A$1:$G$3418,7,FALSE)</f>
        <v>7.173</v>
      </c>
      <c r="G1620">
        <f t="shared" si="131"/>
        <v>-56570.082999999999</v>
      </c>
      <c r="H1620">
        <f t="shared" si="127"/>
        <v>143.93926951832708</v>
      </c>
      <c r="I1620">
        <f t="shared" si="128"/>
        <v>134.07857470100001</v>
      </c>
      <c r="J1620">
        <f t="shared" si="130"/>
        <v>134044.84870100001</v>
      </c>
      <c r="M1620">
        <f t="shared" si="129"/>
        <v>78066</v>
      </c>
    </row>
    <row r="1621" spans="1:13" x14ac:dyDescent="0.2">
      <c r="A1621">
        <v>77</v>
      </c>
      <c r="B1621">
        <v>67</v>
      </c>
      <c r="C1621">
        <v>144</v>
      </c>
      <c r="D1621" s="51" t="s">
        <v>65</v>
      </c>
      <c r="E1621">
        <f>VLOOKUP(M1621,'MASS - 2016'!$A$1:$G$3418,6,FALSE)</f>
        <v>-44609.512999999999</v>
      </c>
      <c r="F1621">
        <f>VLOOKUP(M1621,'MASS - 2016'!$A$1:$G$3418,7,FALSE)</f>
        <v>8.4770000000000003</v>
      </c>
      <c r="G1621">
        <f t="shared" si="131"/>
        <v>-44609.512999999999</v>
      </c>
      <c r="H1621">
        <f t="shared" si="127"/>
        <v>143.95210971828192</v>
      </c>
      <c r="I1621">
        <f t="shared" si="128"/>
        <v>134.09053527099999</v>
      </c>
      <c r="J1621">
        <f t="shared" si="130"/>
        <v>134056.29827100001</v>
      </c>
      <c r="M1621">
        <f t="shared" si="129"/>
        <v>77067</v>
      </c>
    </row>
    <row r="1622" spans="1:13" x14ac:dyDescent="0.2">
      <c r="A1622">
        <v>76</v>
      </c>
      <c r="B1622">
        <v>68</v>
      </c>
      <c r="C1622">
        <v>144</v>
      </c>
      <c r="D1622" s="51" t="s">
        <v>66</v>
      </c>
      <c r="E1622" t="str">
        <f>VLOOKUP(M1622,'MASS - 2016'!$A$1:$G$3418,6,FALSE)</f>
        <v>-36608#</v>
      </c>
      <c r="F1622" t="str">
        <f>VLOOKUP(M1622,'MASS - 2016'!$A$1:$G$3418,7,FALSE)</f>
        <v>196#</v>
      </c>
      <c r="G1622">
        <f t="shared" si="131"/>
        <v>-36608.01</v>
      </c>
      <c r="H1622">
        <f t="shared" si="127"/>
        <v>143.96069968501925</v>
      </c>
      <c r="I1622">
        <f t="shared" si="128"/>
        <v>134.098536774</v>
      </c>
      <c r="J1622">
        <f t="shared" si="130"/>
        <v>134063.78877400002</v>
      </c>
      <c r="M1622">
        <f t="shared" si="129"/>
        <v>76068</v>
      </c>
    </row>
    <row r="1623" spans="1:13" x14ac:dyDescent="0.2">
      <c r="A1623">
        <v>91</v>
      </c>
      <c r="B1623">
        <v>54</v>
      </c>
      <c r="C1623">
        <v>145</v>
      </c>
      <c r="D1623" s="51" t="s">
        <v>52</v>
      </c>
      <c r="E1623">
        <f>VLOOKUP(M1623,'MASS - 2016'!$A$1:$G$3418,6,FALSE)</f>
        <v>-51493.328999999998</v>
      </c>
      <c r="F1623">
        <f>VLOOKUP(M1623,'MASS - 2016'!$A$1:$G$3418,7,FALSE)</f>
        <v>11.178000000000001</v>
      </c>
      <c r="G1623">
        <f t="shared" si="131"/>
        <v>-51493.328999999998</v>
      </c>
      <c r="H1623">
        <f t="shared" si="127"/>
        <v>144.94471963788504</v>
      </c>
      <c r="I1623">
        <f t="shared" si="128"/>
        <v>135.01514551599999</v>
      </c>
      <c r="J1623">
        <f t="shared" si="130"/>
        <v>134987.55151599998</v>
      </c>
      <c r="M1623">
        <f t="shared" si="129"/>
        <v>91054</v>
      </c>
    </row>
    <row r="1624" spans="1:13" x14ac:dyDescent="0.2">
      <c r="A1624">
        <v>90</v>
      </c>
      <c r="B1624">
        <v>55</v>
      </c>
      <c r="C1624">
        <v>145</v>
      </c>
      <c r="D1624" s="51" t="s">
        <v>53</v>
      </c>
      <c r="E1624">
        <f>VLOOKUP(M1624,'MASS - 2016'!$A$1:$G$3418,6,FALSE)</f>
        <v>-60054.415000000001</v>
      </c>
      <c r="F1624">
        <f>VLOOKUP(M1624,'MASS - 2016'!$A$1:$G$3418,7,FALSE)</f>
        <v>9.0670000000000002</v>
      </c>
      <c r="G1624">
        <f t="shared" si="131"/>
        <v>-60054.415000000001</v>
      </c>
      <c r="H1624">
        <f t="shared" si="127"/>
        <v>144.93552893409162</v>
      </c>
      <c r="I1624">
        <f t="shared" si="128"/>
        <v>135.00658443</v>
      </c>
      <c r="J1624">
        <f t="shared" si="130"/>
        <v>134978.47943000001</v>
      </c>
      <c r="M1624">
        <f t="shared" si="129"/>
        <v>90055</v>
      </c>
    </row>
    <row r="1625" spans="1:13" x14ac:dyDescent="0.2">
      <c r="A1625">
        <v>89</v>
      </c>
      <c r="B1625">
        <v>56</v>
      </c>
      <c r="C1625">
        <v>145</v>
      </c>
      <c r="D1625" s="51" t="s">
        <v>54</v>
      </c>
      <c r="E1625">
        <f>VLOOKUP(M1625,'MASS - 2016'!$A$1:$G$3418,6,FALSE)</f>
        <v>-67516.176000000007</v>
      </c>
      <c r="F1625">
        <f>VLOOKUP(M1625,'MASS - 2016'!$A$1:$G$3418,7,FALSE)</f>
        <v>8.4770000000000003</v>
      </c>
      <c r="G1625">
        <f t="shared" si="131"/>
        <v>-67516.176000000007</v>
      </c>
      <c r="H1625">
        <f t="shared" si="127"/>
        <v>144.92751840422093</v>
      </c>
      <c r="I1625">
        <f t="shared" si="128"/>
        <v>134.999122669</v>
      </c>
      <c r="J1625">
        <f t="shared" si="130"/>
        <v>134970.50666899999</v>
      </c>
      <c r="M1625">
        <f t="shared" si="129"/>
        <v>89056</v>
      </c>
    </row>
    <row r="1626" spans="1:13" x14ac:dyDescent="0.2">
      <c r="A1626">
        <v>88</v>
      </c>
      <c r="B1626">
        <v>57</v>
      </c>
      <c r="C1626">
        <v>145</v>
      </c>
      <c r="D1626" s="51" t="s">
        <v>55</v>
      </c>
      <c r="E1626">
        <f>VLOOKUP(M1626,'MASS - 2016'!$A$1:$G$3418,6,FALSE)</f>
        <v>-72835.316999999995</v>
      </c>
      <c r="F1626">
        <f>VLOOKUP(M1626,'MASS - 2016'!$A$1:$G$3418,7,FALSE)</f>
        <v>12.269</v>
      </c>
      <c r="G1626">
        <f t="shared" si="131"/>
        <v>-72835.316999999995</v>
      </c>
      <c r="H1626">
        <f t="shared" si="127"/>
        <v>144.92180807151706</v>
      </c>
      <c r="I1626">
        <f t="shared" si="128"/>
        <v>134.993803528</v>
      </c>
      <c r="J1626">
        <f t="shared" si="130"/>
        <v>134964.67652799998</v>
      </c>
      <c r="M1626">
        <f t="shared" si="129"/>
        <v>88057</v>
      </c>
    </row>
    <row r="1627" spans="1:13" x14ac:dyDescent="0.2">
      <c r="A1627">
        <v>87</v>
      </c>
      <c r="B1627">
        <v>58</v>
      </c>
      <c r="C1627">
        <v>145</v>
      </c>
      <c r="D1627" s="51" t="s">
        <v>56</v>
      </c>
      <c r="E1627">
        <f>VLOOKUP(M1627,'MASS - 2016'!$A$1:$G$3418,6,FALSE)</f>
        <v>-77067.021999999997</v>
      </c>
      <c r="F1627">
        <f>VLOOKUP(M1627,'MASS - 2016'!$A$1:$G$3418,7,FALSE)</f>
        <v>33.902000000000001</v>
      </c>
      <c r="G1627">
        <f t="shared" si="131"/>
        <v>-77067.021999999997</v>
      </c>
      <c r="H1627">
        <f t="shared" si="127"/>
        <v>144.91726514936954</v>
      </c>
      <c r="I1627">
        <f t="shared" si="128"/>
        <v>134.98957182300001</v>
      </c>
      <c r="J1627">
        <f t="shared" si="130"/>
        <v>134959.933823</v>
      </c>
      <c r="M1627">
        <f t="shared" si="129"/>
        <v>87058</v>
      </c>
    </row>
    <row r="1628" spans="1:13" x14ac:dyDescent="0.2">
      <c r="A1628">
        <v>86</v>
      </c>
      <c r="B1628">
        <v>59</v>
      </c>
      <c r="C1628">
        <v>145</v>
      </c>
      <c r="D1628" s="51" t="s">
        <v>57</v>
      </c>
      <c r="E1628">
        <f>VLOOKUP(M1628,'MASS - 2016'!$A$1:$G$3418,6,FALSE)</f>
        <v>-79625.94</v>
      </c>
      <c r="F1628">
        <f>VLOOKUP(M1628,'MASS - 2016'!$A$1:$G$3418,7,FALSE)</f>
        <v>7.1689999999999996</v>
      </c>
      <c r="G1628">
        <f t="shared" si="131"/>
        <v>-79625.94</v>
      </c>
      <c r="H1628">
        <f t="shared" si="127"/>
        <v>144.91451803792017</v>
      </c>
      <c r="I1628">
        <f t="shared" si="128"/>
        <v>134.987012905</v>
      </c>
      <c r="J1628">
        <f t="shared" si="130"/>
        <v>134956.86390500001</v>
      </c>
      <c r="M1628">
        <f t="shared" si="129"/>
        <v>86059</v>
      </c>
    </row>
    <row r="1629" spans="1:13" x14ac:dyDescent="0.2">
      <c r="A1629">
        <v>85</v>
      </c>
      <c r="B1629">
        <v>60</v>
      </c>
      <c r="C1629">
        <v>145</v>
      </c>
      <c r="D1629" s="51" t="s">
        <v>58</v>
      </c>
      <c r="E1629">
        <f>VLOOKUP(M1629,'MASS - 2016'!$A$1:$G$3418,6,FALSE)</f>
        <v>-81431.951000000001</v>
      </c>
      <c r="F1629">
        <f>VLOOKUP(M1629,'MASS - 2016'!$A$1:$G$3418,7,FALSE)</f>
        <v>1.3839999999999999</v>
      </c>
      <c r="G1629">
        <f t="shared" si="131"/>
        <v>-81431.951000000001</v>
      </c>
      <c r="H1629">
        <f t="shared" si="127"/>
        <v>144.91257920537615</v>
      </c>
      <c r="I1629">
        <f t="shared" si="128"/>
        <v>134.98520689399999</v>
      </c>
      <c r="J1629">
        <f t="shared" si="130"/>
        <v>134954.54689399997</v>
      </c>
      <c r="M1629">
        <f t="shared" si="129"/>
        <v>85060</v>
      </c>
    </row>
    <row r="1630" spans="1:13" x14ac:dyDescent="0.2">
      <c r="A1630">
        <v>84</v>
      </c>
      <c r="B1630">
        <v>61</v>
      </c>
      <c r="C1630">
        <v>145</v>
      </c>
      <c r="D1630" s="51" t="s">
        <v>59</v>
      </c>
      <c r="E1630">
        <f>VLOOKUP(M1630,'MASS - 2016'!$A$1:$G$3418,6,FALSE)</f>
        <v>-81267.474000000002</v>
      </c>
      <c r="F1630">
        <f>VLOOKUP(M1630,'MASS - 2016'!$A$1:$G$3418,7,FALSE)</f>
        <v>2.859</v>
      </c>
      <c r="G1630">
        <f t="shared" si="131"/>
        <v>-81267.474000000002</v>
      </c>
      <c r="H1630">
        <f t="shared" si="127"/>
        <v>144.91275577869735</v>
      </c>
      <c r="I1630">
        <f t="shared" si="128"/>
        <v>134.98537137100001</v>
      </c>
      <c r="J1630">
        <f t="shared" si="130"/>
        <v>134954.20037100001</v>
      </c>
      <c r="M1630">
        <f t="shared" si="129"/>
        <v>84061</v>
      </c>
    </row>
    <row r="1631" spans="1:13" x14ac:dyDescent="0.2">
      <c r="A1631">
        <v>83</v>
      </c>
      <c r="B1631">
        <v>62</v>
      </c>
      <c r="C1631">
        <v>145</v>
      </c>
      <c r="D1631" s="51" t="s">
        <v>60</v>
      </c>
      <c r="E1631">
        <f>VLOOKUP(M1631,'MASS - 2016'!$A$1:$G$3418,6,FALSE)</f>
        <v>-80651.317999999999</v>
      </c>
      <c r="F1631">
        <f>VLOOKUP(M1631,'MASS - 2016'!$A$1:$G$3418,7,FALSE)</f>
        <v>1.5780000000000001</v>
      </c>
      <c r="G1631">
        <f t="shared" si="131"/>
        <v>-80651.317999999999</v>
      </c>
      <c r="H1631">
        <f t="shared" si="127"/>
        <v>144.91341724936666</v>
      </c>
      <c r="I1631">
        <f t="shared" si="128"/>
        <v>134.98598752699999</v>
      </c>
      <c r="J1631">
        <f t="shared" si="130"/>
        <v>134954.30552699999</v>
      </c>
      <c r="M1631">
        <f t="shared" si="129"/>
        <v>83062</v>
      </c>
    </row>
    <row r="1632" spans="1:13" x14ac:dyDescent="0.2">
      <c r="A1632">
        <v>82</v>
      </c>
      <c r="B1632">
        <v>63</v>
      </c>
      <c r="C1632">
        <v>145</v>
      </c>
      <c r="D1632" s="51" t="s">
        <v>61</v>
      </c>
      <c r="E1632">
        <f>VLOOKUP(M1632,'MASS - 2016'!$A$1:$G$3418,6,FALSE)</f>
        <v>-77991.506999999998</v>
      </c>
      <c r="F1632">
        <f>VLOOKUP(M1632,'MASS - 2016'!$A$1:$G$3418,7,FALSE)</f>
        <v>3.1059999999999999</v>
      </c>
      <c r="G1632">
        <f t="shared" si="131"/>
        <v>-77991.506999999998</v>
      </c>
      <c r="H1632">
        <f t="shared" si="127"/>
        <v>144.91627267390595</v>
      </c>
      <c r="I1632">
        <f t="shared" si="128"/>
        <v>134.98864733799999</v>
      </c>
      <c r="J1632">
        <f t="shared" si="130"/>
        <v>134956.45433799998</v>
      </c>
      <c r="M1632">
        <f t="shared" si="129"/>
        <v>82063</v>
      </c>
    </row>
    <row r="1633" spans="1:13" x14ac:dyDescent="0.2">
      <c r="A1633">
        <v>81</v>
      </c>
      <c r="B1633">
        <v>64</v>
      </c>
      <c r="C1633">
        <v>145</v>
      </c>
      <c r="D1633" s="51" t="s">
        <v>62</v>
      </c>
      <c r="E1633">
        <f>VLOOKUP(M1633,'MASS - 2016'!$A$1:$G$3418,6,FALSE)</f>
        <v>-72926.320000000007</v>
      </c>
      <c r="F1633">
        <f>VLOOKUP(M1633,'MASS - 2016'!$A$1:$G$3418,7,FALSE)</f>
        <v>19.709</v>
      </c>
      <c r="G1633">
        <f t="shared" si="131"/>
        <v>-72926.320000000007</v>
      </c>
      <c r="H1633">
        <f t="shared" si="127"/>
        <v>144.92171037577879</v>
      </c>
      <c r="I1633">
        <f t="shared" si="128"/>
        <v>134.99371252500001</v>
      </c>
      <c r="J1633">
        <f t="shared" si="130"/>
        <v>134961.00852500001</v>
      </c>
      <c r="M1633">
        <f t="shared" si="129"/>
        <v>81064</v>
      </c>
    </row>
    <row r="1634" spans="1:13" x14ac:dyDescent="0.2">
      <c r="A1634">
        <v>80</v>
      </c>
      <c r="B1634">
        <v>65</v>
      </c>
      <c r="C1634">
        <v>145</v>
      </c>
      <c r="D1634" s="51" t="s">
        <v>63</v>
      </c>
      <c r="E1634">
        <f>VLOOKUP(M1634,'MASS - 2016'!$A$1:$G$3418,6,FALSE)</f>
        <v>-66388.410999999993</v>
      </c>
      <c r="F1634">
        <f>VLOOKUP(M1634,'MASS - 2016'!$A$1:$G$3418,7,FALSE)</f>
        <v>109.17400000000001</v>
      </c>
      <c r="G1634">
        <f t="shared" si="131"/>
        <v>-66388.410999999993</v>
      </c>
      <c r="H1634">
        <f t="shared" si="127"/>
        <v>144.92872910973935</v>
      </c>
      <c r="I1634">
        <f t="shared" si="128"/>
        <v>135.00025043400001</v>
      </c>
      <c r="J1634">
        <f t="shared" si="130"/>
        <v>134967.03543400002</v>
      </c>
      <c r="M1634">
        <f t="shared" si="129"/>
        <v>80065</v>
      </c>
    </row>
    <row r="1635" spans="1:13" x14ac:dyDescent="0.2">
      <c r="A1635">
        <v>79</v>
      </c>
      <c r="B1635">
        <v>66</v>
      </c>
      <c r="C1635">
        <v>145</v>
      </c>
      <c r="D1635" s="51" t="s">
        <v>64</v>
      </c>
      <c r="E1635">
        <f>VLOOKUP(M1635,'MASS - 2016'!$A$1:$G$3418,6,FALSE)</f>
        <v>-58242.599000000002</v>
      </c>
      <c r="F1635">
        <f>VLOOKUP(M1635,'MASS - 2016'!$A$1:$G$3418,7,FALSE)</f>
        <v>6.52</v>
      </c>
      <c r="G1635">
        <f t="shared" si="131"/>
        <v>-58242.599000000002</v>
      </c>
      <c r="H1635">
        <f t="shared" si="127"/>
        <v>144.9374739985594</v>
      </c>
      <c r="I1635">
        <f t="shared" si="128"/>
        <v>135.00839624599999</v>
      </c>
      <c r="J1635">
        <f t="shared" si="130"/>
        <v>134974.67024599999</v>
      </c>
      <c r="M1635">
        <f t="shared" si="129"/>
        <v>79066</v>
      </c>
    </row>
    <row r="1636" spans="1:13" x14ac:dyDescent="0.2">
      <c r="A1636">
        <v>78</v>
      </c>
      <c r="B1636">
        <v>67</v>
      </c>
      <c r="C1636">
        <v>145</v>
      </c>
      <c r="D1636" s="51" t="s">
        <v>65</v>
      </c>
      <c r="E1636">
        <f>VLOOKUP(M1636,'MASS - 2016'!$A$1:$G$3418,6,FALSE)</f>
        <v>-49120.105000000003</v>
      </c>
      <c r="F1636">
        <f>VLOOKUP(M1636,'MASS - 2016'!$A$1:$G$3418,7,FALSE)</f>
        <v>7.452</v>
      </c>
      <c r="G1636">
        <f t="shared" si="131"/>
        <v>-49120.105000000003</v>
      </c>
      <c r="H1636">
        <f t="shared" si="127"/>
        <v>144.94726739862705</v>
      </c>
      <c r="I1636">
        <f t="shared" si="128"/>
        <v>135.01751874000001</v>
      </c>
      <c r="J1636">
        <f t="shared" si="130"/>
        <v>134983.28174000003</v>
      </c>
      <c r="M1636">
        <f t="shared" si="129"/>
        <v>78067</v>
      </c>
    </row>
    <row r="1637" spans="1:13" x14ac:dyDescent="0.2">
      <c r="A1637">
        <v>77</v>
      </c>
      <c r="B1637">
        <v>68</v>
      </c>
      <c r="C1637">
        <v>145</v>
      </c>
      <c r="D1637" s="51" t="s">
        <v>66</v>
      </c>
      <c r="E1637" t="str">
        <f>VLOOKUP(M1637,'MASS - 2016'!$A$1:$G$3418,6,FALSE)</f>
        <v>-39240#</v>
      </c>
      <c r="F1637" t="str">
        <f>VLOOKUP(M1637,'MASS - 2016'!$A$1:$G$3418,7,FALSE)</f>
        <v>200#</v>
      </c>
      <c r="G1637">
        <f t="shared" si="131"/>
        <v>-39240.01</v>
      </c>
      <c r="H1637">
        <f t="shared" si="127"/>
        <v>144.9578741168163</v>
      </c>
      <c r="I1637">
        <f t="shared" si="128"/>
        <v>135.02739883500001</v>
      </c>
      <c r="J1637">
        <f t="shared" si="130"/>
        <v>134992.65083500001</v>
      </c>
      <c r="M1637">
        <f t="shared" si="129"/>
        <v>77068</v>
      </c>
    </row>
    <row r="1638" spans="1:13" x14ac:dyDescent="0.2">
      <c r="A1638">
        <v>92</v>
      </c>
      <c r="B1638">
        <v>54</v>
      </c>
      <c r="C1638">
        <v>146</v>
      </c>
      <c r="D1638" s="51" t="s">
        <v>52</v>
      </c>
      <c r="E1638">
        <f>VLOOKUP(M1638,'MASS - 2016'!$A$1:$G$3418,6,FALSE)</f>
        <v>-47954.942999999999</v>
      </c>
      <c r="F1638">
        <f>VLOOKUP(M1638,'MASS - 2016'!$A$1:$G$3418,7,FALSE)</f>
        <v>24.219000000000001</v>
      </c>
      <c r="G1638">
        <f t="shared" si="131"/>
        <v>-47954.942999999999</v>
      </c>
      <c r="H1638">
        <f t="shared" si="127"/>
        <v>145.948518251476</v>
      </c>
      <c r="I1638">
        <f t="shared" si="128"/>
        <v>135.95017796299999</v>
      </c>
      <c r="J1638">
        <f t="shared" si="130"/>
        <v>135922.58396299998</v>
      </c>
      <c r="M1638">
        <f t="shared" si="129"/>
        <v>92054</v>
      </c>
    </row>
    <row r="1639" spans="1:13" x14ac:dyDescent="0.2">
      <c r="A1639">
        <v>91</v>
      </c>
      <c r="B1639">
        <v>55</v>
      </c>
      <c r="C1639">
        <v>146</v>
      </c>
      <c r="D1639" s="51" t="s">
        <v>53</v>
      </c>
      <c r="E1639">
        <f>VLOOKUP(M1639,'MASS - 2016'!$A$1:$G$3418,6,FALSE)</f>
        <v>-55310.372000000003</v>
      </c>
      <c r="F1639">
        <f>VLOOKUP(M1639,'MASS - 2016'!$A$1:$G$3418,7,FALSE)</f>
        <v>2.8929999999999998</v>
      </c>
      <c r="G1639">
        <f t="shared" si="131"/>
        <v>-55310.372000000003</v>
      </c>
      <c r="H1639">
        <f t="shared" si="127"/>
        <v>145.94062187370187</v>
      </c>
      <c r="I1639">
        <f t="shared" si="128"/>
        <v>135.94282253399999</v>
      </c>
      <c r="J1639">
        <f t="shared" si="130"/>
        <v>135914.71753399997</v>
      </c>
      <c r="M1639">
        <f t="shared" si="129"/>
        <v>91055</v>
      </c>
    </row>
    <row r="1640" spans="1:13" x14ac:dyDescent="0.2">
      <c r="A1640">
        <v>90</v>
      </c>
      <c r="B1640">
        <v>56</v>
      </c>
      <c r="C1640">
        <v>146</v>
      </c>
      <c r="D1640" s="51" t="s">
        <v>54</v>
      </c>
      <c r="E1640">
        <f>VLOOKUP(M1640,'MASS - 2016'!$A$1:$G$3418,6,FALSE)</f>
        <v>-64947.086000000003</v>
      </c>
      <c r="F1640">
        <f>VLOOKUP(M1640,'MASS - 2016'!$A$1:$G$3418,7,FALSE)</f>
        <v>20.863</v>
      </c>
      <c r="G1640">
        <f t="shared" si="131"/>
        <v>-64947.086000000003</v>
      </c>
      <c r="H1640">
        <f t="shared" si="127"/>
        <v>145.93027643576141</v>
      </c>
      <c r="I1640">
        <f t="shared" si="128"/>
        <v>135.93318582000001</v>
      </c>
      <c r="J1640">
        <f t="shared" si="130"/>
        <v>135904.56982</v>
      </c>
      <c r="M1640">
        <f t="shared" si="129"/>
        <v>90056</v>
      </c>
    </row>
    <row r="1641" spans="1:13" x14ac:dyDescent="0.2">
      <c r="A1641">
        <v>89</v>
      </c>
      <c r="B1641">
        <v>57</v>
      </c>
      <c r="C1641">
        <v>146</v>
      </c>
      <c r="D1641" s="51" t="s">
        <v>55</v>
      </c>
      <c r="E1641">
        <f>VLOOKUP(M1641,'MASS - 2016'!$A$1:$G$3418,6,FALSE)</f>
        <v>-69050.282999999996</v>
      </c>
      <c r="F1641">
        <f>VLOOKUP(M1641,'MASS - 2016'!$A$1:$G$3418,7,FALSE)</f>
        <v>33.616</v>
      </c>
      <c r="G1641">
        <f t="shared" si="131"/>
        <v>-69050.282999999996</v>
      </c>
      <c r="H1641">
        <f t="shared" si="127"/>
        <v>145.92587147262552</v>
      </c>
      <c r="I1641">
        <f t="shared" si="128"/>
        <v>135.929082623</v>
      </c>
      <c r="J1641">
        <f t="shared" si="130"/>
        <v>135899.95562299999</v>
      </c>
      <c r="M1641">
        <f t="shared" si="129"/>
        <v>89057</v>
      </c>
    </row>
    <row r="1642" spans="1:13" x14ac:dyDescent="0.2">
      <c r="A1642">
        <v>88</v>
      </c>
      <c r="B1642">
        <v>58</v>
      </c>
      <c r="C1642">
        <v>146</v>
      </c>
      <c r="D1642" s="51" t="s">
        <v>56</v>
      </c>
      <c r="E1642">
        <f>VLOOKUP(M1642,'MASS - 2016'!$A$1:$G$3418,6,FALSE)</f>
        <v>-75635.388999999996</v>
      </c>
      <c r="F1642">
        <f>VLOOKUP(M1642,'MASS - 2016'!$A$1:$G$3418,7,FALSE)</f>
        <v>16.306000000000001</v>
      </c>
      <c r="G1642">
        <f t="shared" si="131"/>
        <v>-75635.388999999996</v>
      </c>
      <c r="H1642">
        <f t="shared" si="127"/>
        <v>145.91880207060169</v>
      </c>
      <c r="I1642">
        <f t="shared" si="128"/>
        <v>135.92249751699998</v>
      </c>
      <c r="J1642">
        <f t="shared" si="130"/>
        <v>135892.85951699998</v>
      </c>
      <c r="M1642">
        <f t="shared" si="129"/>
        <v>88058</v>
      </c>
    </row>
    <row r="1643" spans="1:13" x14ac:dyDescent="0.2">
      <c r="A1643">
        <v>87</v>
      </c>
      <c r="B1643">
        <v>59</v>
      </c>
      <c r="C1643">
        <v>146</v>
      </c>
      <c r="D1643" s="51" t="s">
        <v>57</v>
      </c>
      <c r="E1643">
        <f>VLOOKUP(M1643,'MASS - 2016'!$A$1:$G$3418,6,FALSE)</f>
        <v>-76681.005999999994</v>
      </c>
      <c r="F1643">
        <f>VLOOKUP(M1643,'MASS - 2016'!$A$1:$G$3418,7,FALSE)</f>
        <v>34.816000000000003</v>
      </c>
      <c r="G1643">
        <f t="shared" si="131"/>
        <v>-76681.005999999994</v>
      </c>
      <c r="H1643">
        <f t="shared" si="127"/>
        <v>145.91767955458815</v>
      </c>
      <c r="I1643">
        <f t="shared" si="128"/>
        <v>135.92145189999999</v>
      </c>
      <c r="J1643">
        <f t="shared" si="130"/>
        <v>135891.30289999998</v>
      </c>
      <c r="M1643">
        <f t="shared" si="129"/>
        <v>87059</v>
      </c>
    </row>
    <row r="1644" spans="1:13" x14ac:dyDescent="0.2">
      <c r="A1644">
        <v>86</v>
      </c>
      <c r="B1644">
        <v>60</v>
      </c>
      <c r="C1644">
        <v>146</v>
      </c>
      <c r="D1644" s="51" t="s">
        <v>58</v>
      </c>
      <c r="E1644">
        <f>VLOOKUP(M1644,'MASS - 2016'!$A$1:$G$3418,6,FALSE)</f>
        <v>-80925.866999999998</v>
      </c>
      <c r="F1644">
        <f>VLOOKUP(M1644,'MASS - 2016'!$A$1:$G$3418,7,FALSE)</f>
        <v>1.3859999999999999</v>
      </c>
      <c r="G1644">
        <f t="shared" si="131"/>
        <v>-80925.866999999998</v>
      </c>
      <c r="H1644">
        <f t="shared" si="127"/>
        <v>145.91312250889382</v>
      </c>
      <c r="I1644">
        <f t="shared" si="128"/>
        <v>135.917207039</v>
      </c>
      <c r="J1644">
        <f t="shared" si="130"/>
        <v>135886.547039</v>
      </c>
      <c r="M1644">
        <f t="shared" si="129"/>
        <v>86060</v>
      </c>
    </row>
    <row r="1645" spans="1:13" x14ac:dyDescent="0.2">
      <c r="A1645">
        <v>85</v>
      </c>
      <c r="B1645">
        <v>61</v>
      </c>
      <c r="C1645">
        <v>146</v>
      </c>
      <c r="D1645" s="51" t="s">
        <v>59</v>
      </c>
      <c r="E1645">
        <f>VLOOKUP(M1645,'MASS - 2016'!$A$1:$G$3418,6,FALSE)</f>
        <v>-79454.308999999994</v>
      </c>
      <c r="F1645">
        <f>VLOOKUP(M1645,'MASS - 2016'!$A$1:$G$3418,7,FALSE)</f>
        <v>4.3079999999999998</v>
      </c>
      <c r="G1645">
        <f t="shared" si="131"/>
        <v>-79454.308999999994</v>
      </c>
      <c r="H1645">
        <f t="shared" si="127"/>
        <v>145.91470229137619</v>
      </c>
      <c r="I1645">
        <f t="shared" si="128"/>
        <v>135.918678597</v>
      </c>
      <c r="J1645">
        <f t="shared" si="130"/>
        <v>135887.50759699999</v>
      </c>
      <c r="M1645">
        <f t="shared" si="129"/>
        <v>85061</v>
      </c>
    </row>
    <row r="1646" spans="1:13" x14ac:dyDescent="0.2">
      <c r="A1646">
        <v>84</v>
      </c>
      <c r="B1646">
        <v>62</v>
      </c>
      <c r="C1646">
        <v>146</v>
      </c>
      <c r="D1646" s="51" t="s">
        <v>60</v>
      </c>
      <c r="E1646">
        <f>VLOOKUP(M1646,'MASS - 2016'!$A$1:$G$3418,6,FALSE)</f>
        <v>-80996.308999999994</v>
      </c>
      <c r="F1646">
        <f>VLOOKUP(M1646,'MASS - 2016'!$A$1:$G$3418,7,FALSE)</f>
        <v>3.0920000000000001</v>
      </c>
      <c r="G1646">
        <f t="shared" si="131"/>
        <v>-80996.308999999994</v>
      </c>
      <c r="H1646">
        <f t="shared" si="127"/>
        <v>145.9130468862968</v>
      </c>
      <c r="I1646">
        <f t="shared" si="128"/>
        <v>135.917136597</v>
      </c>
      <c r="J1646">
        <f t="shared" si="130"/>
        <v>135885.454597</v>
      </c>
      <c r="M1646">
        <f t="shared" si="129"/>
        <v>84062</v>
      </c>
    </row>
    <row r="1647" spans="1:13" x14ac:dyDescent="0.2">
      <c r="A1647">
        <v>83</v>
      </c>
      <c r="B1647">
        <v>63</v>
      </c>
      <c r="C1647">
        <v>146</v>
      </c>
      <c r="D1647" s="51" t="s">
        <v>61</v>
      </c>
      <c r="E1647">
        <f>VLOOKUP(M1647,'MASS - 2016'!$A$1:$G$3418,6,FALSE)</f>
        <v>-77117.540999999997</v>
      </c>
      <c r="F1647">
        <f>VLOOKUP(M1647,'MASS - 2016'!$A$1:$G$3418,7,FALSE)</f>
        <v>6.0259999999999998</v>
      </c>
      <c r="G1647">
        <f t="shared" si="131"/>
        <v>-77117.540999999997</v>
      </c>
      <c r="H1647">
        <f t="shared" si="127"/>
        <v>145.91721091499261</v>
      </c>
      <c r="I1647">
        <f t="shared" si="128"/>
        <v>135.92101536499999</v>
      </c>
      <c r="J1647">
        <f t="shared" si="130"/>
        <v>135888.822365</v>
      </c>
      <c r="M1647">
        <f t="shared" si="129"/>
        <v>83063</v>
      </c>
    </row>
    <row r="1648" spans="1:13" x14ac:dyDescent="0.2">
      <c r="A1648">
        <v>82</v>
      </c>
      <c r="B1648">
        <v>64</v>
      </c>
      <c r="C1648">
        <v>146</v>
      </c>
      <c r="D1648" s="51" t="s">
        <v>62</v>
      </c>
      <c r="E1648">
        <f>VLOOKUP(M1648,'MASS - 2016'!$A$1:$G$3418,6,FALSE)</f>
        <v>-76085.782999999996</v>
      </c>
      <c r="F1648">
        <f>VLOOKUP(M1648,'MASS - 2016'!$A$1:$G$3418,7,FALSE)</f>
        <v>4.1079999999999997</v>
      </c>
      <c r="G1648">
        <f t="shared" si="131"/>
        <v>-76085.782999999996</v>
      </c>
      <c r="H1648">
        <f t="shared" si="127"/>
        <v>145.9183185527578</v>
      </c>
      <c r="I1648">
        <f t="shared" si="128"/>
        <v>135.922047123</v>
      </c>
      <c r="J1648">
        <f t="shared" si="130"/>
        <v>135889.343123</v>
      </c>
      <c r="M1648">
        <f t="shared" si="129"/>
        <v>82064</v>
      </c>
    </row>
    <row r="1649" spans="1:13" x14ac:dyDescent="0.2">
      <c r="A1649">
        <v>81</v>
      </c>
      <c r="B1649">
        <v>65</v>
      </c>
      <c r="C1649">
        <v>146</v>
      </c>
      <c r="D1649" s="51" t="s">
        <v>63</v>
      </c>
      <c r="E1649">
        <f>VLOOKUP(M1649,'MASS - 2016'!$A$1:$G$3418,6,FALSE)</f>
        <v>-67763.61</v>
      </c>
      <c r="F1649">
        <f>VLOOKUP(M1649,'MASS - 2016'!$A$1:$G$3418,7,FALSE)</f>
        <v>44.862000000000002</v>
      </c>
      <c r="G1649">
        <f t="shared" si="131"/>
        <v>-67763.61</v>
      </c>
      <c r="H1649">
        <f t="shared" si="127"/>
        <v>145.92725277289773</v>
      </c>
      <c r="I1649">
        <f t="shared" si="128"/>
        <v>135.93036929600001</v>
      </c>
      <c r="J1649">
        <f t="shared" si="130"/>
        <v>135897.15429600002</v>
      </c>
      <c r="M1649">
        <f t="shared" si="129"/>
        <v>81065</v>
      </c>
    </row>
    <row r="1650" spans="1:13" x14ac:dyDescent="0.2">
      <c r="A1650">
        <v>80</v>
      </c>
      <c r="B1650">
        <v>66</v>
      </c>
      <c r="C1650">
        <v>146</v>
      </c>
      <c r="D1650" s="51" t="s">
        <v>64</v>
      </c>
      <c r="E1650">
        <f>VLOOKUP(M1650,'MASS - 2016'!$A$1:$G$3418,6,FALSE)</f>
        <v>-62554.917999999998</v>
      </c>
      <c r="F1650">
        <f>VLOOKUP(M1650,'MASS - 2016'!$A$1:$G$3418,7,FALSE)</f>
        <v>6.6950000000000003</v>
      </c>
      <c r="G1650">
        <f t="shared" si="131"/>
        <v>-62554.917999999998</v>
      </c>
      <c r="H1650">
        <f t="shared" si="127"/>
        <v>145.93284453372377</v>
      </c>
      <c r="I1650">
        <f t="shared" si="128"/>
        <v>135.93557798800001</v>
      </c>
      <c r="J1650">
        <f t="shared" si="130"/>
        <v>135901.85198800001</v>
      </c>
      <c r="M1650">
        <f t="shared" si="129"/>
        <v>80066</v>
      </c>
    </row>
    <row r="1651" spans="1:13" x14ac:dyDescent="0.2">
      <c r="A1651">
        <v>79</v>
      </c>
      <c r="B1651">
        <v>67</v>
      </c>
      <c r="C1651">
        <v>146</v>
      </c>
      <c r="D1651" s="51" t="s">
        <v>65</v>
      </c>
      <c r="E1651">
        <f>VLOOKUP(M1651,'MASS - 2016'!$A$1:$G$3418,6,FALSE)</f>
        <v>-51238.218999999997</v>
      </c>
      <c r="F1651">
        <f>VLOOKUP(M1651,'MASS - 2016'!$A$1:$G$3418,7,FALSE)</f>
        <v>6.5869999999999997</v>
      </c>
      <c r="G1651">
        <f t="shared" si="131"/>
        <v>-51238.218999999997</v>
      </c>
      <c r="H1651">
        <f t="shared" si="127"/>
        <v>145.94499350973317</v>
      </c>
      <c r="I1651">
        <f t="shared" si="128"/>
        <v>135.946894687</v>
      </c>
      <c r="J1651">
        <f t="shared" si="130"/>
        <v>135912.657687</v>
      </c>
      <c r="M1651">
        <f t="shared" si="129"/>
        <v>79067</v>
      </c>
    </row>
    <row r="1652" spans="1:13" x14ac:dyDescent="0.2">
      <c r="A1652">
        <v>78</v>
      </c>
      <c r="B1652">
        <v>68</v>
      </c>
      <c r="C1652">
        <v>146</v>
      </c>
      <c r="D1652" s="51" t="s">
        <v>66</v>
      </c>
      <c r="E1652">
        <f>VLOOKUP(M1652,'MASS - 2016'!$A$1:$G$3418,6,FALSE)</f>
        <v>-44322.012000000002</v>
      </c>
      <c r="F1652">
        <f>VLOOKUP(M1652,'MASS - 2016'!$A$1:$G$3418,7,FALSE)</f>
        <v>6.7050000000000001</v>
      </c>
      <c r="G1652">
        <f t="shared" si="131"/>
        <v>-44322.012000000002</v>
      </c>
      <c r="H1652">
        <f t="shared" si="127"/>
        <v>145.95241836329859</v>
      </c>
      <c r="I1652">
        <f t="shared" si="128"/>
        <v>135.95381089399999</v>
      </c>
      <c r="J1652">
        <f t="shared" si="130"/>
        <v>135919.062894</v>
      </c>
      <c r="M1652">
        <f t="shared" si="129"/>
        <v>78068</v>
      </c>
    </row>
    <row r="1653" spans="1:13" x14ac:dyDescent="0.2">
      <c r="A1653">
        <v>77</v>
      </c>
      <c r="B1653">
        <v>69</v>
      </c>
      <c r="C1653">
        <v>146</v>
      </c>
      <c r="D1653" s="51" t="s">
        <v>67</v>
      </c>
      <c r="E1653" t="str">
        <f>VLOOKUP(M1653,'MASS - 2016'!$A$1:$G$3418,6,FALSE)</f>
        <v>-31055#</v>
      </c>
      <c r="F1653" t="str">
        <f>VLOOKUP(M1653,'MASS - 2016'!$A$1:$G$3418,7,FALSE)</f>
        <v>200#</v>
      </c>
      <c r="G1653">
        <f t="shared" si="131"/>
        <v>-31055.01</v>
      </c>
      <c r="H1653">
        <f t="shared" si="127"/>
        <v>145.96666107568453</v>
      </c>
      <c r="I1653">
        <f t="shared" si="128"/>
        <v>135.96707789600001</v>
      </c>
      <c r="J1653">
        <f t="shared" si="130"/>
        <v>135931.81889600001</v>
      </c>
      <c r="M1653">
        <f t="shared" si="129"/>
        <v>77069</v>
      </c>
    </row>
    <row r="1654" spans="1:13" x14ac:dyDescent="0.2">
      <c r="A1654">
        <v>93</v>
      </c>
      <c r="B1654">
        <v>54</v>
      </c>
      <c r="C1654">
        <v>147</v>
      </c>
      <c r="D1654" s="51" t="s">
        <v>52</v>
      </c>
      <c r="E1654" t="str">
        <f>VLOOKUP(M1654,'MASS - 2016'!$A$1:$G$3418,6,FALSE)</f>
        <v>-42360#</v>
      </c>
      <c r="F1654" t="str">
        <f>VLOOKUP(M1654,'MASS - 2016'!$A$1:$G$3418,7,FALSE)</f>
        <v>200#</v>
      </c>
      <c r="G1654">
        <f t="shared" si="131"/>
        <v>-42360.01</v>
      </c>
      <c r="H1654">
        <f t="shared" si="127"/>
        <v>146.95452465906808</v>
      </c>
      <c r="I1654">
        <f t="shared" si="128"/>
        <v>136.88726695699998</v>
      </c>
      <c r="J1654">
        <f t="shared" si="130"/>
        <v>136859.67295699997</v>
      </c>
      <c r="M1654">
        <f t="shared" si="129"/>
        <v>93054</v>
      </c>
    </row>
    <row r="1655" spans="1:13" x14ac:dyDescent="0.2">
      <c r="A1655">
        <v>92</v>
      </c>
      <c r="B1655">
        <v>55</v>
      </c>
      <c r="C1655">
        <v>147</v>
      </c>
      <c r="D1655" s="51" t="s">
        <v>53</v>
      </c>
      <c r="E1655">
        <f>VLOOKUP(M1655,'MASS - 2016'!$A$1:$G$3418,6,FALSE)</f>
        <v>-51920.063999999998</v>
      </c>
      <c r="F1655">
        <f>VLOOKUP(M1655,'MASS - 2016'!$A$1:$G$3418,7,FALSE)</f>
        <v>8.3829999999999991</v>
      </c>
      <c r="G1655">
        <f t="shared" si="131"/>
        <v>-51920.063999999998</v>
      </c>
      <c r="H1655">
        <f t="shared" si="127"/>
        <v>146.94426151902218</v>
      </c>
      <c r="I1655">
        <f t="shared" si="128"/>
        <v>136.87770690299999</v>
      </c>
      <c r="J1655">
        <f t="shared" si="130"/>
        <v>136849.60190299997</v>
      </c>
      <c r="M1655">
        <f t="shared" si="129"/>
        <v>92055</v>
      </c>
    </row>
    <row r="1656" spans="1:13" x14ac:dyDescent="0.2">
      <c r="A1656">
        <v>91</v>
      </c>
      <c r="B1656">
        <v>56</v>
      </c>
      <c r="C1656">
        <v>147</v>
      </c>
      <c r="D1656" s="51" t="s">
        <v>54</v>
      </c>
      <c r="E1656">
        <f>VLOOKUP(M1656,'MASS - 2016'!$A$1:$G$3418,6,FALSE)</f>
        <v>-60264.029000000002</v>
      </c>
      <c r="F1656">
        <f>VLOOKUP(M1656,'MASS - 2016'!$A$1:$G$3418,7,FALSE)</f>
        <v>19.748000000000001</v>
      </c>
      <c r="G1656">
        <f t="shared" si="131"/>
        <v>-60264.029000000002</v>
      </c>
      <c r="H1656">
        <f t="shared" si="127"/>
        <v>146.93530390420815</v>
      </c>
      <c r="I1656">
        <f t="shared" si="128"/>
        <v>136.86936293799999</v>
      </c>
      <c r="J1656">
        <f t="shared" si="130"/>
        <v>136840.746938</v>
      </c>
      <c r="M1656">
        <f t="shared" si="129"/>
        <v>91056</v>
      </c>
    </row>
    <row r="1657" spans="1:13" x14ac:dyDescent="0.2">
      <c r="A1657">
        <v>90</v>
      </c>
      <c r="B1657">
        <v>57</v>
      </c>
      <c r="C1657">
        <v>147</v>
      </c>
      <c r="D1657" s="51" t="s">
        <v>55</v>
      </c>
      <c r="E1657">
        <f>VLOOKUP(M1657,'MASS - 2016'!$A$1:$G$3418,6,FALSE)</f>
        <v>-66678.39</v>
      </c>
      <c r="F1657">
        <f>VLOOKUP(M1657,'MASS - 2016'!$A$1:$G$3418,7,FALSE)</f>
        <v>10.712</v>
      </c>
      <c r="G1657">
        <f t="shared" si="131"/>
        <v>-66678.39</v>
      </c>
      <c r="H1657">
        <f t="shared" si="127"/>
        <v>146.92841780448023</v>
      </c>
      <c r="I1657">
        <f t="shared" si="128"/>
        <v>136.862948577</v>
      </c>
      <c r="J1657">
        <f t="shared" si="130"/>
        <v>136833.821577</v>
      </c>
      <c r="M1657">
        <f t="shared" si="129"/>
        <v>90057</v>
      </c>
    </row>
    <row r="1658" spans="1:13" x14ac:dyDescent="0.2">
      <c r="A1658">
        <v>89</v>
      </c>
      <c r="B1658">
        <v>58</v>
      </c>
      <c r="C1658">
        <v>147</v>
      </c>
      <c r="D1658" s="51" t="s">
        <v>56</v>
      </c>
      <c r="E1658">
        <f>VLOOKUP(M1658,'MASS - 2016'!$A$1:$G$3418,6,FALSE)</f>
        <v>-72013.891000000003</v>
      </c>
      <c r="F1658">
        <f>VLOOKUP(M1658,'MASS - 2016'!$A$1:$G$3418,7,FALSE)</f>
        <v>8.58</v>
      </c>
      <c r="G1658">
        <f t="shared" si="131"/>
        <v>-72013.891000000003</v>
      </c>
      <c r="H1658">
        <f t="shared" si="127"/>
        <v>146.92268990859404</v>
      </c>
      <c r="I1658">
        <f t="shared" si="128"/>
        <v>136.85761307599998</v>
      </c>
      <c r="J1658">
        <f t="shared" si="130"/>
        <v>136827.97507599997</v>
      </c>
      <c r="M1658">
        <f t="shared" si="129"/>
        <v>89058</v>
      </c>
    </row>
    <row r="1659" spans="1:13" x14ac:dyDescent="0.2">
      <c r="A1659">
        <v>88</v>
      </c>
      <c r="B1659">
        <v>59</v>
      </c>
      <c r="C1659">
        <v>147</v>
      </c>
      <c r="D1659" s="51" t="s">
        <v>57</v>
      </c>
      <c r="E1659">
        <f>VLOOKUP(M1659,'MASS - 2016'!$A$1:$G$3418,6,FALSE)</f>
        <v>-75444.066999999995</v>
      </c>
      <c r="F1659">
        <f>VLOOKUP(M1659,'MASS - 2016'!$A$1:$G$3418,7,FALSE)</f>
        <v>15.856999999999999</v>
      </c>
      <c r="G1659">
        <f t="shared" si="131"/>
        <v>-75444.066999999995</v>
      </c>
      <c r="H1659">
        <f t="shared" si="127"/>
        <v>146.91900746321556</v>
      </c>
      <c r="I1659">
        <f t="shared" si="128"/>
        <v>136.85418289999998</v>
      </c>
      <c r="J1659">
        <f t="shared" si="130"/>
        <v>136824.03389999998</v>
      </c>
      <c r="M1659">
        <f t="shared" si="129"/>
        <v>88059</v>
      </c>
    </row>
    <row r="1660" spans="1:13" x14ac:dyDescent="0.2">
      <c r="A1660">
        <v>87</v>
      </c>
      <c r="B1660">
        <v>60</v>
      </c>
      <c r="C1660">
        <v>147</v>
      </c>
      <c r="D1660" s="51" t="s">
        <v>58</v>
      </c>
      <c r="E1660">
        <f>VLOOKUP(M1660,'MASS - 2016'!$A$1:$G$3418,6,FALSE)</f>
        <v>-78146.748000000007</v>
      </c>
      <c r="F1660">
        <f>VLOOKUP(M1660,'MASS - 2016'!$A$1:$G$3418,7,FALSE)</f>
        <v>1.3879999999999999</v>
      </c>
      <c r="G1660">
        <f t="shared" si="131"/>
        <v>-78146.748000000007</v>
      </c>
      <c r="H1660">
        <f t="shared" si="127"/>
        <v>146.91610601583858</v>
      </c>
      <c r="I1660">
        <f t="shared" si="128"/>
        <v>136.851480219</v>
      </c>
      <c r="J1660">
        <f t="shared" si="130"/>
        <v>136820.82021899999</v>
      </c>
      <c r="M1660">
        <f t="shared" si="129"/>
        <v>87060</v>
      </c>
    </row>
    <row r="1661" spans="1:13" x14ac:dyDescent="0.2">
      <c r="A1661">
        <v>86</v>
      </c>
      <c r="B1661">
        <v>61</v>
      </c>
      <c r="C1661">
        <v>147</v>
      </c>
      <c r="D1661" s="51" t="s">
        <v>59</v>
      </c>
      <c r="E1661">
        <f>VLOOKUP(M1661,'MASS - 2016'!$A$1:$G$3418,6,FALSE)</f>
        <v>-79042.259999999995</v>
      </c>
      <c r="F1661">
        <f>VLOOKUP(M1661,'MASS - 2016'!$A$1:$G$3418,7,FALSE)</f>
        <v>1.399</v>
      </c>
      <c r="G1661">
        <f t="shared" si="131"/>
        <v>-79042.259999999995</v>
      </c>
      <c r="H1661">
        <f t="shared" si="127"/>
        <v>146.91514464416966</v>
      </c>
      <c r="I1661">
        <f t="shared" si="128"/>
        <v>136.850584707</v>
      </c>
      <c r="J1661">
        <f t="shared" si="130"/>
        <v>136819.413707</v>
      </c>
      <c r="M1661">
        <f t="shared" si="129"/>
        <v>86061</v>
      </c>
    </row>
    <row r="1662" spans="1:13" x14ac:dyDescent="0.2">
      <c r="A1662">
        <v>85</v>
      </c>
      <c r="B1662">
        <v>62</v>
      </c>
      <c r="C1662">
        <v>147</v>
      </c>
      <c r="D1662" s="51" t="s">
        <v>60</v>
      </c>
      <c r="E1662">
        <f>VLOOKUP(M1662,'MASS - 2016'!$A$1:$G$3418,6,FALSE)</f>
        <v>-79266.354000000007</v>
      </c>
      <c r="F1662">
        <f>VLOOKUP(M1662,'MASS - 2016'!$A$1:$G$3418,7,FALSE)</f>
        <v>1.3720000000000001</v>
      </c>
      <c r="G1662">
        <f t="shared" si="131"/>
        <v>-79266.354000000007</v>
      </c>
      <c r="H1662">
        <f t="shared" si="127"/>
        <v>146.91490406936688</v>
      </c>
      <c r="I1662">
        <f t="shared" si="128"/>
        <v>136.85036061299999</v>
      </c>
      <c r="J1662">
        <f t="shared" si="130"/>
        <v>136818.678613</v>
      </c>
      <c r="M1662">
        <f t="shared" si="129"/>
        <v>85062</v>
      </c>
    </row>
    <row r="1663" spans="1:13" x14ac:dyDescent="0.2">
      <c r="A1663">
        <v>84</v>
      </c>
      <c r="B1663">
        <v>63</v>
      </c>
      <c r="C1663">
        <v>147</v>
      </c>
      <c r="D1663" s="51" t="s">
        <v>61</v>
      </c>
      <c r="E1663">
        <f>VLOOKUP(M1663,'MASS - 2016'!$A$1:$G$3418,6,FALSE)</f>
        <v>-77544.755999999994</v>
      </c>
      <c r="F1663">
        <f>VLOOKUP(M1663,'MASS - 2016'!$A$1:$G$3418,7,FALSE)</f>
        <v>2.63</v>
      </c>
      <c r="G1663">
        <f t="shared" si="131"/>
        <v>-77544.755999999994</v>
      </c>
      <c r="H1663">
        <f t="shared" si="127"/>
        <v>146.91675228082855</v>
      </c>
      <c r="I1663">
        <f t="shared" si="128"/>
        <v>136.85208221099998</v>
      </c>
      <c r="J1663">
        <f t="shared" si="130"/>
        <v>136819.88921099997</v>
      </c>
      <c r="M1663">
        <f t="shared" si="129"/>
        <v>84063</v>
      </c>
    </row>
    <row r="1664" spans="1:13" x14ac:dyDescent="0.2">
      <c r="A1664">
        <v>83</v>
      </c>
      <c r="B1664">
        <v>64</v>
      </c>
      <c r="C1664">
        <v>147</v>
      </c>
      <c r="D1664" s="51" t="s">
        <v>62</v>
      </c>
      <c r="E1664">
        <f>VLOOKUP(M1664,'MASS - 2016'!$A$1:$G$3418,6,FALSE)</f>
        <v>-75356.945000000007</v>
      </c>
      <c r="F1664">
        <f>VLOOKUP(M1664,'MASS - 2016'!$A$1:$G$3418,7,FALSE)</f>
        <v>1.9650000000000001</v>
      </c>
      <c r="G1664">
        <f t="shared" si="131"/>
        <v>-75356.945000000007</v>
      </c>
      <c r="H1664">
        <f t="shared" si="127"/>
        <v>146.91910099252902</v>
      </c>
      <c r="I1664">
        <f t="shared" si="128"/>
        <v>136.85427002199998</v>
      </c>
      <c r="J1664">
        <f t="shared" si="130"/>
        <v>136821.56602199998</v>
      </c>
      <c r="M1664">
        <f t="shared" si="129"/>
        <v>83064</v>
      </c>
    </row>
    <row r="1665" spans="1:13" x14ac:dyDescent="0.2">
      <c r="A1665">
        <v>82</v>
      </c>
      <c r="B1665">
        <v>65</v>
      </c>
      <c r="C1665">
        <v>147</v>
      </c>
      <c r="D1665" s="51" t="s">
        <v>63</v>
      </c>
      <c r="E1665">
        <f>VLOOKUP(M1665,'MASS - 2016'!$A$1:$G$3418,6,FALSE)</f>
        <v>-70742.664999999994</v>
      </c>
      <c r="F1665">
        <f>VLOOKUP(M1665,'MASS - 2016'!$A$1:$G$3418,7,FALSE)</f>
        <v>8.1</v>
      </c>
      <c r="G1665">
        <f t="shared" si="131"/>
        <v>-70742.664999999994</v>
      </c>
      <c r="H1665">
        <f t="shared" si="127"/>
        <v>146.92405462582974</v>
      </c>
      <c r="I1665">
        <f t="shared" si="128"/>
        <v>136.85888430199998</v>
      </c>
      <c r="J1665">
        <f t="shared" si="130"/>
        <v>136825.66930199999</v>
      </c>
      <c r="M1665">
        <f t="shared" si="129"/>
        <v>82065</v>
      </c>
    </row>
    <row r="1666" spans="1:13" x14ac:dyDescent="0.2">
      <c r="A1666">
        <v>81</v>
      </c>
      <c r="B1666">
        <v>66</v>
      </c>
      <c r="C1666">
        <v>147</v>
      </c>
      <c r="D1666" s="51" t="s">
        <v>64</v>
      </c>
      <c r="E1666">
        <f>VLOOKUP(M1666,'MASS - 2016'!$A$1:$G$3418,6,FALSE)</f>
        <v>-64196.038</v>
      </c>
      <c r="F1666">
        <f>VLOOKUP(M1666,'MASS - 2016'!$A$1:$G$3418,7,FALSE)</f>
        <v>8.8490000000000002</v>
      </c>
      <c r="G1666">
        <f t="shared" si="131"/>
        <v>-64196.038</v>
      </c>
      <c r="H1666">
        <f t="shared" si="127"/>
        <v>146.9310827189482</v>
      </c>
      <c r="I1666">
        <f t="shared" si="128"/>
        <v>136.86543092899998</v>
      </c>
      <c r="J1666">
        <f t="shared" si="130"/>
        <v>136831.704929</v>
      </c>
      <c r="M1666">
        <f t="shared" si="129"/>
        <v>81066</v>
      </c>
    </row>
    <row r="1667" spans="1:13" x14ac:dyDescent="0.2">
      <c r="A1667">
        <v>80</v>
      </c>
      <c r="B1667">
        <v>67</v>
      </c>
      <c r="C1667">
        <v>147</v>
      </c>
      <c r="D1667" s="51" t="s">
        <v>65</v>
      </c>
      <c r="E1667">
        <f>VLOOKUP(M1667,'MASS - 2016'!$A$1:$G$3418,6,FALSE)</f>
        <v>-55757.091999999997</v>
      </c>
      <c r="F1667">
        <f>VLOOKUP(M1667,'MASS - 2016'!$A$1:$G$3418,7,FALSE)</f>
        <v>5.0010000000000003</v>
      </c>
      <c r="G1667">
        <f t="shared" si="131"/>
        <v>-55757.091999999997</v>
      </c>
      <c r="H1667">
        <f t="shared" si="127"/>
        <v>146.94014230005916</v>
      </c>
      <c r="I1667">
        <f t="shared" si="128"/>
        <v>136.873869875</v>
      </c>
      <c r="J1667">
        <f t="shared" si="130"/>
        <v>136839.63287500001</v>
      </c>
      <c r="M1667">
        <f t="shared" si="129"/>
        <v>80067</v>
      </c>
    </row>
    <row r="1668" spans="1:13" x14ac:dyDescent="0.2">
      <c r="A1668">
        <v>79</v>
      </c>
      <c r="B1668">
        <v>68</v>
      </c>
      <c r="C1668">
        <v>147</v>
      </c>
      <c r="D1668" s="51" t="s">
        <v>66</v>
      </c>
      <c r="E1668">
        <f>VLOOKUP(M1668,'MASS - 2016'!$A$1:$G$3418,6,FALSE)</f>
        <v>-46607.807000000001</v>
      </c>
      <c r="F1668">
        <f>VLOOKUP(M1668,'MASS - 2016'!$A$1:$G$3418,7,FALSE)</f>
        <v>38.191000000000003</v>
      </c>
      <c r="G1668">
        <f t="shared" si="131"/>
        <v>-46607.807000000001</v>
      </c>
      <c r="H1668">
        <f t="shared" si="127"/>
        <v>146.94996446144813</v>
      </c>
      <c r="I1668">
        <f t="shared" si="128"/>
        <v>136.88301916</v>
      </c>
      <c r="J1668">
        <f t="shared" si="130"/>
        <v>136848.27116</v>
      </c>
      <c r="M1668">
        <f t="shared" si="129"/>
        <v>79068</v>
      </c>
    </row>
    <row r="1669" spans="1:13" x14ac:dyDescent="0.2">
      <c r="A1669">
        <v>78</v>
      </c>
      <c r="B1669">
        <v>69</v>
      </c>
      <c r="C1669">
        <v>147</v>
      </c>
      <c r="D1669" s="51" t="s">
        <v>67</v>
      </c>
      <c r="E1669">
        <f>VLOOKUP(M1669,'MASS - 2016'!$A$1:$G$3418,6,FALSE)</f>
        <v>-35974.400000000001</v>
      </c>
      <c r="F1669">
        <f>VLOOKUP(M1669,'MASS - 2016'!$A$1:$G$3418,7,FALSE)</f>
        <v>6.8390000000000004</v>
      </c>
      <c r="G1669">
        <f t="shared" si="131"/>
        <v>-35974.400000000001</v>
      </c>
      <c r="H1669">
        <f t="shared" si="127"/>
        <v>146.96137989332817</v>
      </c>
      <c r="I1669">
        <f t="shared" si="128"/>
        <v>136.893652567</v>
      </c>
      <c r="J1669">
        <f t="shared" si="130"/>
        <v>136858.39356700002</v>
      </c>
      <c r="M1669">
        <f t="shared" si="129"/>
        <v>78069</v>
      </c>
    </row>
    <row r="1670" spans="1:13" x14ac:dyDescent="0.2">
      <c r="A1670">
        <v>93</v>
      </c>
      <c r="B1670">
        <v>55</v>
      </c>
      <c r="C1670">
        <v>148</v>
      </c>
      <c r="D1670" s="51" t="s">
        <v>53</v>
      </c>
      <c r="E1670">
        <f>VLOOKUP(M1670,'MASS - 2016'!$A$1:$G$3418,6,FALSE)</f>
        <v>-46910.942000000003</v>
      </c>
      <c r="F1670">
        <f>VLOOKUP(M1670,'MASS - 2016'!$A$1:$G$3418,7,FALSE)</f>
        <v>13.041</v>
      </c>
      <c r="G1670">
        <f t="shared" si="131"/>
        <v>-46910.942000000003</v>
      </c>
      <c r="H1670">
        <f t="shared" si="127"/>
        <v>147.94963903264218</v>
      </c>
      <c r="I1670">
        <f t="shared" si="128"/>
        <v>137.81421008599997</v>
      </c>
      <c r="J1670">
        <f t="shared" si="130"/>
        <v>137786.10508599997</v>
      </c>
      <c r="M1670">
        <f t="shared" si="129"/>
        <v>93055</v>
      </c>
    </row>
    <row r="1671" spans="1:13" x14ac:dyDescent="0.2">
      <c r="A1671">
        <v>92</v>
      </c>
      <c r="B1671">
        <v>56</v>
      </c>
      <c r="C1671">
        <v>148</v>
      </c>
      <c r="D1671" s="51" t="s">
        <v>54</v>
      </c>
      <c r="E1671">
        <f>VLOOKUP(M1671,'MASS - 2016'!$A$1:$G$3418,6,FALSE)</f>
        <v>-57593.735000000001</v>
      </c>
      <c r="F1671">
        <f>VLOOKUP(M1671,'MASS - 2016'!$A$1:$G$3418,7,FALSE)</f>
        <v>63.079000000000001</v>
      </c>
      <c r="G1671">
        <f t="shared" si="131"/>
        <v>-57593.735000000001</v>
      </c>
      <c r="H1671">
        <f t="shared" si="127"/>
        <v>147.93817058271074</v>
      </c>
      <c r="I1671">
        <f t="shared" si="128"/>
        <v>137.80352729299997</v>
      </c>
      <c r="J1671">
        <f t="shared" si="130"/>
        <v>137774.91129299995</v>
      </c>
      <c r="M1671">
        <f t="shared" si="129"/>
        <v>92056</v>
      </c>
    </row>
    <row r="1672" spans="1:13" x14ac:dyDescent="0.2">
      <c r="A1672">
        <v>91</v>
      </c>
      <c r="B1672">
        <v>57</v>
      </c>
      <c r="C1672">
        <v>148</v>
      </c>
      <c r="D1672" s="51" t="s">
        <v>55</v>
      </c>
      <c r="E1672">
        <f>VLOOKUP(M1672,'MASS - 2016'!$A$1:$G$3418,6,FALSE)</f>
        <v>-62708.735000000001</v>
      </c>
      <c r="F1672">
        <f>VLOOKUP(M1672,'MASS - 2016'!$A$1:$G$3418,7,FALSE)</f>
        <v>19.468</v>
      </c>
      <c r="G1672">
        <f t="shared" si="131"/>
        <v>-62708.735000000001</v>
      </c>
      <c r="H1672">
        <f t="shared" si="127"/>
        <v>147.93267940438321</v>
      </c>
      <c r="I1672">
        <f t="shared" si="128"/>
        <v>137.79841229299998</v>
      </c>
      <c r="J1672">
        <f t="shared" si="130"/>
        <v>137769.28529299996</v>
      </c>
      <c r="M1672">
        <f t="shared" si="129"/>
        <v>91057</v>
      </c>
    </row>
    <row r="1673" spans="1:13" x14ac:dyDescent="0.2">
      <c r="A1673">
        <v>90</v>
      </c>
      <c r="B1673">
        <v>58</v>
      </c>
      <c r="C1673">
        <v>148</v>
      </c>
      <c r="D1673" s="51" t="s">
        <v>56</v>
      </c>
      <c r="E1673">
        <f>VLOOKUP(M1673,'MASS - 2016'!$A$1:$G$3418,6,FALSE)</f>
        <v>-70398.407999999996</v>
      </c>
      <c r="F1673">
        <f>VLOOKUP(M1673,'MASS - 2016'!$A$1:$G$3418,7,FALSE)</f>
        <v>11.195</v>
      </c>
      <c r="G1673">
        <f t="shared" si="131"/>
        <v>-70398.407999999996</v>
      </c>
      <c r="H1673">
        <f t="shared" ref="H1673:H1736" si="132">(C1673*$A$3+G1673/1000000)/$A$3</f>
        <v>147.92442420091822</v>
      </c>
      <c r="I1673">
        <f t="shared" ref="I1673:I1736" si="133">H1673*$A$3</f>
        <v>137.79072262</v>
      </c>
      <c r="J1673">
        <f t="shared" si="130"/>
        <v>137761.08461999998</v>
      </c>
      <c r="M1673">
        <f t="shared" ref="M1673:M1736" si="134">1000*A1673+B1673</f>
        <v>90058</v>
      </c>
    </row>
    <row r="1674" spans="1:13" x14ac:dyDescent="0.2">
      <c r="A1674">
        <v>89</v>
      </c>
      <c r="B1674">
        <v>59</v>
      </c>
      <c r="C1674">
        <v>148</v>
      </c>
      <c r="D1674" s="51" t="s">
        <v>57</v>
      </c>
      <c r="E1674">
        <f>VLOOKUP(M1674,'MASS - 2016'!$A$1:$G$3418,6,FALSE)</f>
        <v>-72535.423999999999</v>
      </c>
      <c r="F1674">
        <f>VLOOKUP(M1674,'MASS - 2016'!$A$1:$G$3418,7,FALSE)</f>
        <v>15.042999999999999</v>
      </c>
      <c r="G1674">
        <f t="shared" si="131"/>
        <v>-72535.423999999999</v>
      </c>
      <c r="H1674">
        <f t="shared" si="132"/>
        <v>147.92213001989285</v>
      </c>
      <c r="I1674">
        <f t="shared" si="133"/>
        <v>137.78858560399999</v>
      </c>
      <c r="J1674">
        <f t="shared" si="130"/>
        <v>137758.43660399999</v>
      </c>
      <c r="M1674">
        <f t="shared" si="134"/>
        <v>89059</v>
      </c>
    </row>
    <row r="1675" spans="1:13" x14ac:dyDescent="0.2">
      <c r="A1675">
        <v>88</v>
      </c>
      <c r="B1675">
        <v>60</v>
      </c>
      <c r="C1675">
        <v>148</v>
      </c>
      <c r="D1675" s="51" t="s">
        <v>58</v>
      </c>
      <c r="E1675">
        <f>VLOOKUP(M1675,'MASS - 2016'!$A$1:$G$3418,6,FALSE)</f>
        <v>-77407.995999999999</v>
      </c>
      <c r="F1675">
        <f>VLOOKUP(M1675,'MASS - 2016'!$A$1:$G$3418,7,FALSE)</f>
        <v>2.1269999999999998</v>
      </c>
      <c r="G1675">
        <f t="shared" si="131"/>
        <v>-77407.995999999999</v>
      </c>
      <c r="H1675">
        <f t="shared" si="132"/>
        <v>147.9168990987265</v>
      </c>
      <c r="I1675">
        <f t="shared" si="133"/>
        <v>137.78371303199998</v>
      </c>
      <c r="J1675">
        <f t="shared" si="130"/>
        <v>137753.05303199997</v>
      </c>
      <c r="M1675">
        <f t="shared" si="134"/>
        <v>88060</v>
      </c>
    </row>
    <row r="1676" spans="1:13" x14ac:dyDescent="0.2">
      <c r="A1676">
        <v>87</v>
      </c>
      <c r="B1676">
        <v>61</v>
      </c>
      <c r="C1676">
        <v>148</v>
      </c>
      <c r="D1676" s="51" t="s">
        <v>59</v>
      </c>
      <c r="E1676">
        <f>VLOOKUP(M1676,'MASS - 2016'!$A$1:$G$3418,6,FALSE)</f>
        <v>-76865.716</v>
      </c>
      <c r="F1676">
        <f>VLOOKUP(M1676,'MASS - 2016'!$A$1:$G$3418,7,FALSE)</f>
        <v>5.7229999999999999</v>
      </c>
      <c r="G1676">
        <f t="shared" si="131"/>
        <v>-76865.716</v>
      </c>
      <c r="H1676">
        <f t="shared" si="132"/>
        <v>147.91748126024819</v>
      </c>
      <c r="I1676">
        <f t="shared" si="133"/>
        <v>137.784255312</v>
      </c>
      <c r="J1676">
        <f t="shared" ref="J1676:J1739" si="135">1000*I1676-B1676*0.511</f>
        <v>137753.08431199999</v>
      </c>
      <c r="M1676">
        <f t="shared" si="134"/>
        <v>87061</v>
      </c>
    </row>
    <row r="1677" spans="1:13" x14ac:dyDescent="0.2">
      <c r="A1677">
        <v>86</v>
      </c>
      <c r="B1677">
        <v>62</v>
      </c>
      <c r="C1677">
        <v>148</v>
      </c>
      <c r="D1677" s="51" t="s">
        <v>60</v>
      </c>
      <c r="E1677">
        <f>VLOOKUP(M1677,'MASS - 2016'!$A$1:$G$3418,6,FALSE)</f>
        <v>-79336.263999999996</v>
      </c>
      <c r="F1677">
        <f>VLOOKUP(M1677,'MASS - 2016'!$A$1:$G$3418,7,FALSE)</f>
        <v>1.367</v>
      </c>
      <c r="G1677">
        <f t="shared" si="131"/>
        <v>-79336.263999999996</v>
      </c>
      <c r="H1677">
        <f t="shared" si="132"/>
        <v>147.91482901789536</v>
      </c>
      <c r="I1677">
        <f t="shared" si="133"/>
        <v>137.78178476399998</v>
      </c>
      <c r="J1677">
        <f t="shared" si="135"/>
        <v>137750.10276399998</v>
      </c>
      <c r="M1677">
        <f t="shared" si="134"/>
        <v>86062</v>
      </c>
    </row>
    <row r="1678" spans="1:13" x14ac:dyDescent="0.2">
      <c r="A1678">
        <v>85</v>
      </c>
      <c r="B1678">
        <v>63</v>
      </c>
      <c r="C1678">
        <v>148</v>
      </c>
      <c r="D1678" s="51" t="s">
        <v>61</v>
      </c>
      <c r="E1678">
        <f>VLOOKUP(M1678,'MASS - 2016'!$A$1:$G$3418,6,FALSE)</f>
        <v>-76299.331000000006</v>
      </c>
      <c r="F1678">
        <f>VLOOKUP(M1678,'MASS - 2016'!$A$1:$G$3418,7,FALSE)</f>
        <v>10.013</v>
      </c>
      <c r="G1678">
        <f t="shared" si="131"/>
        <v>-76299.331000000006</v>
      </c>
      <c r="H1678">
        <f t="shared" si="132"/>
        <v>147.91808929955161</v>
      </c>
      <c r="I1678">
        <f t="shared" si="133"/>
        <v>137.78482169699998</v>
      </c>
      <c r="J1678">
        <f t="shared" si="135"/>
        <v>137752.62869699998</v>
      </c>
      <c r="M1678">
        <f t="shared" si="134"/>
        <v>85063</v>
      </c>
    </row>
    <row r="1679" spans="1:13" x14ac:dyDescent="0.2">
      <c r="A1679">
        <v>84</v>
      </c>
      <c r="B1679">
        <v>64</v>
      </c>
      <c r="C1679">
        <v>148</v>
      </c>
      <c r="D1679" s="51" t="s">
        <v>62</v>
      </c>
      <c r="E1679">
        <f>VLOOKUP(M1679,'MASS - 2016'!$A$1:$G$3418,6,FALSE)</f>
        <v>-76269.328999999998</v>
      </c>
      <c r="F1679">
        <f>VLOOKUP(M1679,'MASS - 2016'!$A$1:$G$3418,7,FALSE)</f>
        <v>1.554</v>
      </c>
      <c r="G1679">
        <f t="shared" ref="G1679:G1742" si="136">IF(ISNUMBER(E1679),E1679,VALUE(SUBSTITUTE(E1679,"#",".01")))</f>
        <v>-76269.328999999998</v>
      </c>
      <c r="H1679">
        <f t="shared" si="132"/>
        <v>147.91812150802321</v>
      </c>
      <c r="I1679">
        <f t="shared" si="133"/>
        <v>137.78485169899997</v>
      </c>
      <c r="J1679">
        <f t="shared" si="135"/>
        <v>137752.14769899996</v>
      </c>
      <c r="M1679">
        <f t="shared" si="134"/>
        <v>84064</v>
      </c>
    </row>
    <row r="1680" spans="1:13" x14ac:dyDescent="0.2">
      <c r="A1680">
        <v>83</v>
      </c>
      <c r="B1680">
        <v>65</v>
      </c>
      <c r="C1680">
        <v>148</v>
      </c>
      <c r="D1680" s="51" t="s">
        <v>63</v>
      </c>
      <c r="E1680">
        <f>VLOOKUP(M1680,'MASS - 2016'!$A$1:$G$3418,6,FALSE)</f>
        <v>-70537.081999999995</v>
      </c>
      <c r="F1680">
        <f>VLOOKUP(M1680,'MASS - 2016'!$A$1:$G$3418,7,FALSE)</f>
        <v>12.464</v>
      </c>
      <c r="G1680">
        <f t="shared" si="136"/>
        <v>-70537.081999999995</v>
      </c>
      <c r="H1680">
        <f t="shared" si="132"/>
        <v>147.92427532825675</v>
      </c>
      <c r="I1680">
        <f t="shared" si="133"/>
        <v>137.790583946</v>
      </c>
      <c r="J1680">
        <f t="shared" si="135"/>
        <v>137757.368946</v>
      </c>
      <c r="M1680">
        <f t="shared" si="134"/>
        <v>83065</v>
      </c>
    </row>
    <row r="1681" spans="1:13" x14ac:dyDescent="0.2">
      <c r="A1681">
        <v>82</v>
      </c>
      <c r="B1681">
        <v>66</v>
      </c>
      <c r="C1681">
        <v>148</v>
      </c>
      <c r="D1681" s="51" t="s">
        <v>64</v>
      </c>
      <c r="E1681">
        <f>VLOOKUP(M1681,'MASS - 2016'!$A$1:$G$3418,6,FALSE)</f>
        <v>-67859.55</v>
      </c>
      <c r="F1681">
        <f>VLOOKUP(M1681,'MASS - 2016'!$A$1:$G$3418,7,FALSE)</f>
        <v>8.7240000000000002</v>
      </c>
      <c r="G1681">
        <f t="shared" si="136"/>
        <v>-67859.55</v>
      </c>
      <c r="H1681">
        <f t="shared" si="132"/>
        <v>147.92714977707195</v>
      </c>
      <c r="I1681">
        <f t="shared" si="133"/>
        <v>137.79326147799998</v>
      </c>
      <c r="J1681">
        <f t="shared" si="135"/>
        <v>137759.53547799998</v>
      </c>
      <c r="M1681">
        <f t="shared" si="134"/>
        <v>82066</v>
      </c>
    </row>
    <row r="1682" spans="1:13" x14ac:dyDescent="0.2">
      <c r="A1682">
        <v>81</v>
      </c>
      <c r="B1682">
        <v>67</v>
      </c>
      <c r="C1682">
        <v>148</v>
      </c>
      <c r="D1682" s="51" t="s">
        <v>65</v>
      </c>
      <c r="E1682">
        <f>VLOOKUP(M1682,'MASS - 2016'!$A$1:$G$3418,6,FALSE)</f>
        <v>-57991.158000000003</v>
      </c>
      <c r="F1682">
        <f>VLOOKUP(M1682,'MASS - 2016'!$A$1:$G$3418,7,FALSE)</f>
        <v>83.834000000000003</v>
      </c>
      <c r="G1682">
        <f t="shared" si="136"/>
        <v>-57991.158000000003</v>
      </c>
      <c r="H1682">
        <f t="shared" si="132"/>
        <v>147.93774393157403</v>
      </c>
      <c r="I1682">
        <f t="shared" si="133"/>
        <v>137.80312986999999</v>
      </c>
      <c r="J1682">
        <f t="shared" si="135"/>
        <v>137768.89287000001</v>
      </c>
      <c r="M1682">
        <f t="shared" si="134"/>
        <v>81067</v>
      </c>
    </row>
    <row r="1683" spans="1:13" x14ac:dyDescent="0.2">
      <c r="A1683">
        <v>80</v>
      </c>
      <c r="B1683">
        <v>68</v>
      </c>
      <c r="C1683">
        <v>148</v>
      </c>
      <c r="D1683" s="51" t="s">
        <v>66</v>
      </c>
      <c r="E1683">
        <f>VLOOKUP(M1683,'MASS - 2016'!$A$1:$G$3418,6,FALSE)</f>
        <v>-51478.989000000001</v>
      </c>
      <c r="F1683">
        <f>VLOOKUP(M1683,'MASS - 2016'!$A$1:$G$3418,7,FALSE)</f>
        <v>10.246</v>
      </c>
      <c r="G1683">
        <f t="shared" si="136"/>
        <v>-51478.989000000001</v>
      </c>
      <c r="H1683">
        <f t="shared" si="132"/>
        <v>147.94473503250816</v>
      </c>
      <c r="I1683">
        <f t="shared" si="133"/>
        <v>137.80964203899998</v>
      </c>
      <c r="J1683">
        <f t="shared" si="135"/>
        <v>137774.89403899998</v>
      </c>
      <c r="M1683">
        <f t="shared" si="134"/>
        <v>80068</v>
      </c>
    </row>
    <row r="1684" spans="1:13" x14ac:dyDescent="0.2">
      <c r="A1684">
        <v>79</v>
      </c>
      <c r="B1684">
        <v>69</v>
      </c>
      <c r="C1684">
        <v>148</v>
      </c>
      <c r="D1684" s="51" t="s">
        <v>67</v>
      </c>
      <c r="E1684">
        <f>VLOOKUP(M1684,'MASS - 2016'!$A$1:$G$3418,6,FALSE)</f>
        <v>-38765.027000000002</v>
      </c>
      <c r="F1684">
        <f>VLOOKUP(M1684,'MASS - 2016'!$A$1:$G$3418,7,FALSE)</f>
        <v>10.246</v>
      </c>
      <c r="G1684">
        <f t="shared" si="136"/>
        <v>-38765.027000000002</v>
      </c>
      <c r="H1684">
        <f t="shared" si="132"/>
        <v>147.95838403203729</v>
      </c>
      <c r="I1684">
        <f t="shared" si="133"/>
        <v>137.82235600099997</v>
      </c>
      <c r="J1684">
        <f t="shared" si="135"/>
        <v>137787.09700099999</v>
      </c>
      <c r="M1684">
        <f t="shared" si="134"/>
        <v>79069</v>
      </c>
    </row>
    <row r="1685" spans="1:13" x14ac:dyDescent="0.2">
      <c r="A1685">
        <v>78</v>
      </c>
      <c r="B1685">
        <v>70</v>
      </c>
      <c r="C1685">
        <v>148</v>
      </c>
      <c r="D1685" s="51" t="s">
        <v>68</v>
      </c>
      <c r="E1685" t="str">
        <f>VLOOKUP(M1685,'MASS - 2016'!$A$1:$G$3418,6,FALSE)</f>
        <v>-30330#</v>
      </c>
      <c r="F1685" t="str">
        <f>VLOOKUP(M1685,'MASS - 2016'!$A$1:$G$3418,7,FALSE)</f>
        <v>400#</v>
      </c>
      <c r="G1685">
        <f t="shared" si="136"/>
        <v>-30330.01</v>
      </c>
      <c r="H1685">
        <f t="shared" si="132"/>
        <v>147.96743939519331</v>
      </c>
      <c r="I1685">
        <f t="shared" si="133"/>
        <v>137.83079101799999</v>
      </c>
      <c r="J1685">
        <f t="shared" si="135"/>
        <v>137795.021018</v>
      </c>
      <c r="M1685">
        <f t="shared" si="134"/>
        <v>78070</v>
      </c>
    </row>
    <row r="1686" spans="1:13" x14ac:dyDescent="0.2">
      <c r="A1686">
        <v>94</v>
      </c>
      <c r="B1686">
        <v>55</v>
      </c>
      <c r="C1686">
        <v>149</v>
      </c>
      <c r="D1686" s="51" t="s">
        <v>53</v>
      </c>
      <c r="E1686" t="str">
        <f>VLOOKUP(M1686,'MASS - 2016'!$A$1:$G$3418,6,FALSE)</f>
        <v>-43250#</v>
      </c>
      <c r="F1686" t="str">
        <f>VLOOKUP(M1686,'MASS - 2016'!$A$1:$G$3418,7,FALSE)</f>
        <v>400#</v>
      </c>
      <c r="G1686">
        <f t="shared" si="136"/>
        <v>-43250.01</v>
      </c>
      <c r="H1686">
        <f t="shared" si="132"/>
        <v>148.95356920477457</v>
      </c>
      <c r="I1686">
        <f t="shared" si="133"/>
        <v>138.749365079</v>
      </c>
      <c r="J1686">
        <f t="shared" si="135"/>
        <v>138721.260079</v>
      </c>
      <c r="M1686">
        <f t="shared" si="134"/>
        <v>94055</v>
      </c>
    </row>
    <row r="1687" spans="1:13" x14ac:dyDescent="0.2">
      <c r="A1687">
        <v>93</v>
      </c>
      <c r="B1687">
        <v>56</v>
      </c>
      <c r="C1687">
        <v>149</v>
      </c>
      <c r="D1687" s="51" t="s">
        <v>54</v>
      </c>
      <c r="E1687">
        <f>VLOOKUP(M1687,'MASS - 2016'!$A$1:$G$3418,6,FALSE)</f>
        <v>-53120.309000000001</v>
      </c>
      <c r="F1687">
        <f>VLOOKUP(M1687,'MASS - 2016'!$A$1:$G$3418,7,FALSE)</f>
        <v>437.80200000000002</v>
      </c>
      <c r="G1687">
        <f t="shared" si="136"/>
        <v>-53120.309000000001</v>
      </c>
      <c r="H1687">
        <f t="shared" si="132"/>
        <v>148.94297300302381</v>
      </c>
      <c r="I1687">
        <f t="shared" si="133"/>
        <v>138.73949478</v>
      </c>
      <c r="J1687">
        <f t="shared" si="135"/>
        <v>138710.87878</v>
      </c>
      <c r="M1687">
        <f t="shared" si="134"/>
        <v>93056</v>
      </c>
    </row>
    <row r="1688" spans="1:13" x14ac:dyDescent="0.2">
      <c r="A1688">
        <v>92</v>
      </c>
      <c r="B1688">
        <v>57</v>
      </c>
      <c r="C1688">
        <v>149</v>
      </c>
      <c r="D1688" s="51" t="s">
        <v>55</v>
      </c>
      <c r="E1688">
        <f>VLOOKUP(M1688,'MASS - 2016'!$A$1:$G$3418,6,FALSE)</f>
        <v>-60219.913</v>
      </c>
      <c r="F1688">
        <f>VLOOKUP(M1688,'MASS - 2016'!$A$1:$G$3418,7,FALSE)</f>
        <v>200.262</v>
      </c>
      <c r="G1688">
        <f t="shared" si="136"/>
        <v>-60219.913</v>
      </c>
      <c r="H1688">
        <f t="shared" si="132"/>
        <v>148.93535126468188</v>
      </c>
      <c r="I1688">
        <f t="shared" si="133"/>
        <v>138.73239517600001</v>
      </c>
      <c r="J1688">
        <f t="shared" si="135"/>
        <v>138703.26817600001</v>
      </c>
      <c r="M1688">
        <f t="shared" si="134"/>
        <v>92057</v>
      </c>
    </row>
    <row r="1689" spans="1:13" x14ac:dyDescent="0.2">
      <c r="A1689">
        <v>91</v>
      </c>
      <c r="B1689">
        <v>58</v>
      </c>
      <c r="C1689">
        <v>149</v>
      </c>
      <c r="D1689" s="51" t="s">
        <v>56</v>
      </c>
      <c r="E1689">
        <f>VLOOKUP(M1689,'MASS - 2016'!$A$1:$G$3418,6,FALSE)</f>
        <v>-66669.913</v>
      </c>
      <c r="F1689">
        <f>VLOOKUP(M1689,'MASS - 2016'!$A$1:$G$3418,7,FALSE)</f>
        <v>10.246</v>
      </c>
      <c r="G1689">
        <f t="shared" si="136"/>
        <v>-66669.913</v>
      </c>
      <c r="H1689">
        <f t="shared" si="132"/>
        <v>148.92842690491401</v>
      </c>
      <c r="I1689">
        <f t="shared" si="133"/>
        <v>138.72594517600001</v>
      </c>
      <c r="J1689">
        <f t="shared" si="135"/>
        <v>138696.307176</v>
      </c>
      <c r="M1689">
        <f t="shared" si="134"/>
        <v>91058</v>
      </c>
    </row>
    <row r="1690" spans="1:13" x14ac:dyDescent="0.2">
      <c r="A1690">
        <v>90</v>
      </c>
      <c r="B1690">
        <v>59</v>
      </c>
      <c r="C1690">
        <v>149</v>
      </c>
      <c r="D1690" s="51" t="s">
        <v>57</v>
      </c>
      <c r="E1690">
        <f>VLOOKUP(M1690,'MASS - 2016'!$A$1:$G$3418,6,FALSE)</f>
        <v>-71039.365999999995</v>
      </c>
      <c r="F1690">
        <f>VLOOKUP(M1690,'MASS - 2016'!$A$1:$G$3418,7,FALSE)</f>
        <v>9.8740000000000006</v>
      </c>
      <c r="G1690">
        <f t="shared" si="136"/>
        <v>-71039.365999999995</v>
      </c>
      <c r="H1690">
        <f t="shared" si="132"/>
        <v>148.92373610420691</v>
      </c>
      <c r="I1690">
        <f t="shared" si="133"/>
        <v>138.721575723</v>
      </c>
      <c r="J1690">
        <f t="shared" si="135"/>
        <v>138691.42672299998</v>
      </c>
      <c r="M1690">
        <f t="shared" si="134"/>
        <v>90059</v>
      </c>
    </row>
    <row r="1691" spans="1:13" x14ac:dyDescent="0.2">
      <c r="A1691">
        <v>89</v>
      </c>
      <c r="B1691">
        <v>60</v>
      </c>
      <c r="C1691">
        <v>149</v>
      </c>
      <c r="D1691" s="51" t="s">
        <v>58</v>
      </c>
      <c r="E1691">
        <f>VLOOKUP(M1691,'MASS - 2016'!$A$1:$G$3418,6,FALSE)</f>
        <v>-74375.466</v>
      </c>
      <c r="F1691">
        <f>VLOOKUP(M1691,'MASS - 2016'!$A$1:$G$3418,7,FALSE)</f>
        <v>2.1280000000000001</v>
      </c>
      <c r="G1691">
        <f t="shared" si="136"/>
        <v>-74375.466</v>
      </c>
      <c r="H1691">
        <f t="shared" si="132"/>
        <v>148.92015465356792</v>
      </c>
      <c r="I1691">
        <f t="shared" si="133"/>
        <v>138.71823962300002</v>
      </c>
      <c r="J1691">
        <f t="shared" si="135"/>
        <v>138687.57962300003</v>
      </c>
      <c r="M1691">
        <f t="shared" si="134"/>
        <v>89060</v>
      </c>
    </row>
    <row r="1692" spans="1:13" x14ac:dyDescent="0.2">
      <c r="A1692">
        <v>88</v>
      </c>
      <c r="B1692">
        <v>61</v>
      </c>
      <c r="C1692">
        <v>149</v>
      </c>
      <c r="D1692" s="51" t="s">
        <v>59</v>
      </c>
      <c r="E1692">
        <f>VLOOKUP(M1692,'MASS - 2016'!$A$1:$G$3418,6,FALSE)</f>
        <v>-76064.255999999994</v>
      </c>
      <c r="F1692">
        <f>VLOOKUP(M1692,'MASS - 2016'!$A$1:$G$3418,7,FALSE)</f>
        <v>2.2669999999999999</v>
      </c>
      <c r="G1692">
        <f t="shared" si="136"/>
        <v>-76064.255999999994</v>
      </c>
      <c r="H1692">
        <f t="shared" si="132"/>
        <v>148.91834166294274</v>
      </c>
      <c r="I1692">
        <f t="shared" si="133"/>
        <v>138.71655083300001</v>
      </c>
      <c r="J1692">
        <f t="shared" si="135"/>
        <v>138685.37983300001</v>
      </c>
      <c r="M1692">
        <f t="shared" si="134"/>
        <v>88061</v>
      </c>
    </row>
    <row r="1693" spans="1:13" x14ac:dyDescent="0.2">
      <c r="A1693">
        <v>87</v>
      </c>
      <c r="B1693">
        <v>62</v>
      </c>
      <c r="C1693">
        <v>149</v>
      </c>
      <c r="D1693" s="51" t="s">
        <v>60</v>
      </c>
      <c r="E1693">
        <f>VLOOKUP(M1693,'MASS - 2016'!$A$1:$G$3418,6,FALSE)</f>
        <v>-77135.736999999994</v>
      </c>
      <c r="F1693">
        <f>VLOOKUP(M1693,'MASS - 2016'!$A$1:$G$3418,7,FALSE)</f>
        <v>1.3109999999999999</v>
      </c>
      <c r="G1693">
        <f t="shared" si="136"/>
        <v>-77135.736999999994</v>
      </c>
      <c r="H1693">
        <f t="shared" si="132"/>
        <v>148.91719138078329</v>
      </c>
      <c r="I1693">
        <f t="shared" si="133"/>
        <v>138.71547935200002</v>
      </c>
      <c r="J1693">
        <f t="shared" si="135"/>
        <v>138683.79735200002</v>
      </c>
      <c r="M1693">
        <f t="shared" si="134"/>
        <v>87062</v>
      </c>
    </row>
    <row r="1694" spans="1:13" x14ac:dyDescent="0.2">
      <c r="A1694">
        <v>86</v>
      </c>
      <c r="B1694">
        <v>63</v>
      </c>
      <c r="C1694">
        <v>149</v>
      </c>
      <c r="D1694" s="51" t="s">
        <v>61</v>
      </c>
      <c r="E1694">
        <f>VLOOKUP(M1694,'MASS - 2016'!$A$1:$G$3418,6,FALSE)</f>
        <v>-76441.111999999994</v>
      </c>
      <c r="F1694">
        <f>VLOOKUP(M1694,'MASS - 2016'!$A$1:$G$3418,7,FALSE)</f>
        <v>3.9510000000000001</v>
      </c>
      <c r="G1694">
        <f t="shared" si="136"/>
        <v>-76441.111999999994</v>
      </c>
      <c r="H1694">
        <f t="shared" si="132"/>
        <v>148.91793709138852</v>
      </c>
      <c r="I1694">
        <f t="shared" si="133"/>
        <v>138.71617397700001</v>
      </c>
      <c r="J1694">
        <f t="shared" si="135"/>
        <v>138683.980977</v>
      </c>
      <c r="M1694">
        <f t="shared" si="134"/>
        <v>86063</v>
      </c>
    </row>
    <row r="1695" spans="1:13" x14ac:dyDescent="0.2">
      <c r="A1695">
        <v>85</v>
      </c>
      <c r="B1695">
        <v>64</v>
      </c>
      <c r="C1695">
        <v>149</v>
      </c>
      <c r="D1695" s="51" t="s">
        <v>62</v>
      </c>
      <c r="E1695">
        <f>VLOOKUP(M1695,'MASS - 2016'!$A$1:$G$3418,6,FALSE)</f>
        <v>-75127.010999999999</v>
      </c>
      <c r="F1695">
        <f>VLOOKUP(M1695,'MASS - 2016'!$A$1:$G$3418,7,FALSE)</f>
        <v>3.36</v>
      </c>
      <c r="G1695">
        <f t="shared" si="136"/>
        <v>-75127.010999999999</v>
      </c>
      <c r="H1695">
        <f t="shared" si="132"/>
        <v>148.91934783682964</v>
      </c>
      <c r="I1695">
        <f t="shared" si="133"/>
        <v>138.717488078</v>
      </c>
      <c r="J1695">
        <f t="shared" si="135"/>
        <v>138684.784078</v>
      </c>
      <c r="M1695">
        <f t="shared" si="134"/>
        <v>85064</v>
      </c>
    </row>
    <row r="1696" spans="1:13" x14ac:dyDescent="0.2">
      <c r="A1696">
        <v>84</v>
      </c>
      <c r="B1696">
        <v>65</v>
      </c>
      <c r="C1696">
        <v>149</v>
      </c>
      <c r="D1696" s="51" t="s">
        <v>63</v>
      </c>
      <c r="E1696">
        <f>VLOOKUP(M1696,'MASS - 2016'!$A$1:$G$3418,6,FALSE)</f>
        <v>-71488.668999999994</v>
      </c>
      <c r="F1696">
        <f>VLOOKUP(M1696,'MASS - 2016'!$A$1:$G$3418,7,FALSE)</f>
        <v>3.6669999999999998</v>
      </c>
      <c r="G1696">
        <f t="shared" si="136"/>
        <v>-71488.668999999994</v>
      </c>
      <c r="H1696">
        <f t="shared" si="132"/>
        <v>148.92325375759967</v>
      </c>
      <c r="I1696">
        <f t="shared" si="133"/>
        <v>138.72112642000002</v>
      </c>
      <c r="J1696">
        <f t="shared" si="135"/>
        <v>138687.91142000002</v>
      </c>
      <c r="M1696">
        <f t="shared" si="134"/>
        <v>84065</v>
      </c>
    </row>
    <row r="1697" spans="1:13" x14ac:dyDescent="0.2">
      <c r="A1697">
        <v>83</v>
      </c>
      <c r="B1697">
        <v>66</v>
      </c>
      <c r="C1697">
        <v>149</v>
      </c>
      <c r="D1697" s="51" t="s">
        <v>64</v>
      </c>
      <c r="E1697">
        <f>VLOOKUP(M1697,'MASS - 2016'!$A$1:$G$3418,6,FALSE)</f>
        <v>-67695.909</v>
      </c>
      <c r="F1697">
        <f>VLOOKUP(M1697,'MASS - 2016'!$A$1:$G$3418,7,FALSE)</f>
        <v>9.2210000000000001</v>
      </c>
      <c r="G1697">
        <f t="shared" si="136"/>
        <v>-67695.909</v>
      </c>
      <c r="H1697">
        <f t="shared" si="132"/>
        <v>148.92732545291022</v>
      </c>
      <c r="I1697">
        <f t="shared" si="133"/>
        <v>138.72491918</v>
      </c>
      <c r="J1697">
        <f t="shared" si="135"/>
        <v>138691.19318</v>
      </c>
      <c r="M1697">
        <f t="shared" si="134"/>
        <v>83066</v>
      </c>
    </row>
    <row r="1698" spans="1:13" x14ac:dyDescent="0.2">
      <c r="A1698">
        <v>82</v>
      </c>
      <c r="B1698">
        <v>67</v>
      </c>
      <c r="C1698">
        <v>149</v>
      </c>
      <c r="D1698" s="51" t="s">
        <v>65</v>
      </c>
      <c r="E1698">
        <f>VLOOKUP(M1698,'MASS - 2016'!$A$1:$G$3418,6,FALSE)</f>
        <v>-61646.578000000001</v>
      </c>
      <c r="F1698">
        <f>VLOOKUP(M1698,'MASS - 2016'!$A$1:$G$3418,7,FALSE)</f>
        <v>11.99</v>
      </c>
      <c r="G1698">
        <f t="shared" si="136"/>
        <v>-61646.578000000001</v>
      </c>
      <c r="H1698">
        <f t="shared" si="132"/>
        <v>148.93381967681705</v>
      </c>
      <c r="I1698">
        <f t="shared" si="133"/>
        <v>138.73096851100001</v>
      </c>
      <c r="J1698">
        <f t="shared" si="135"/>
        <v>138696.73151100002</v>
      </c>
      <c r="M1698">
        <f t="shared" si="134"/>
        <v>82067</v>
      </c>
    </row>
    <row r="1699" spans="1:13" x14ac:dyDescent="0.2">
      <c r="A1699">
        <v>81</v>
      </c>
      <c r="B1699">
        <v>68</v>
      </c>
      <c r="C1699">
        <v>149</v>
      </c>
      <c r="D1699" s="51" t="s">
        <v>66</v>
      </c>
      <c r="E1699">
        <f>VLOOKUP(M1699,'MASS - 2016'!$A$1:$G$3418,6,FALSE)</f>
        <v>-53741.614999999998</v>
      </c>
      <c r="F1699">
        <f>VLOOKUP(M1699,'MASS - 2016'!$A$1:$G$3418,7,FALSE)</f>
        <v>27.945</v>
      </c>
      <c r="G1699">
        <f t="shared" si="136"/>
        <v>-53741.614999999998</v>
      </c>
      <c r="H1699">
        <f t="shared" si="132"/>
        <v>148.94230600360211</v>
      </c>
      <c r="I1699">
        <f t="shared" si="133"/>
        <v>138.738873474</v>
      </c>
      <c r="J1699">
        <f t="shared" si="135"/>
        <v>138704.125474</v>
      </c>
      <c r="M1699">
        <f t="shared" si="134"/>
        <v>81068</v>
      </c>
    </row>
    <row r="1700" spans="1:13" x14ac:dyDescent="0.2">
      <c r="A1700">
        <v>80</v>
      </c>
      <c r="B1700">
        <v>69</v>
      </c>
      <c r="C1700">
        <v>149</v>
      </c>
      <c r="D1700" s="51" t="s">
        <v>67</v>
      </c>
      <c r="E1700" t="str">
        <f>VLOOKUP(M1700,'MASS - 2016'!$A$1:$G$3418,6,FALSE)</f>
        <v>-43883#</v>
      </c>
      <c r="F1700" t="str">
        <f>VLOOKUP(M1700,'MASS - 2016'!$A$1:$G$3418,7,FALSE)</f>
        <v>196#</v>
      </c>
      <c r="G1700">
        <f t="shared" si="136"/>
        <v>-43883.01</v>
      </c>
      <c r="H1700">
        <f t="shared" si="132"/>
        <v>148.95288965132758</v>
      </c>
      <c r="I1700">
        <f t="shared" si="133"/>
        <v>138.74873207900001</v>
      </c>
      <c r="J1700">
        <f t="shared" si="135"/>
        <v>138713.47307900002</v>
      </c>
      <c r="M1700">
        <f t="shared" si="134"/>
        <v>80069</v>
      </c>
    </row>
    <row r="1701" spans="1:13" x14ac:dyDescent="0.2">
      <c r="A1701">
        <v>79</v>
      </c>
      <c r="B1701">
        <v>70</v>
      </c>
      <c r="C1701">
        <v>149</v>
      </c>
      <c r="D1701" s="51" t="s">
        <v>68</v>
      </c>
      <c r="E1701" t="str">
        <f>VLOOKUP(M1701,'MASS - 2016'!$A$1:$G$3418,6,FALSE)</f>
        <v>-33198#</v>
      </c>
      <c r="F1701" t="str">
        <f>VLOOKUP(M1701,'MASS - 2016'!$A$1:$G$3418,7,FALSE)</f>
        <v>300#</v>
      </c>
      <c r="G1701">
        <f t="shared" si="136"/>
        <v>-33198.01</v>
      </c>
      <c r="H1701">
        <f t="shared" si="132"/>
        <v>148.96436047057094</v>
      </c>
      <c r="I1701">
        <f t="shared" si="133"/>
        <v>138.759417079</v>
      </c>
      <c r="J1701">
        <f t="shared" si="135"/>
        <v>138723.64707900002</v>
      </c>
      <c r="M1701">
        <f t="shared" si="134"/>
        <v>79070</v>
      </c>
    </row>
    <row r="1702" spans="1:13" x14ac:dyDescent="0.2">
      <c r="A1702">
        <v>95</v>
      </c>
      <c r="B1702">
        <v>55</v>
      </c>
      <c r="C1702">
        <v>150</v>
      </c>
      <c r="D1702" s="51" t="s">
        <v>53</v>
      </c>
      <c r="E1702" t="str">
        <f>VLOOKUP(M1702,'MASS - 2016'!$A$1:$G$3418,6,FALSE)</f>
        <v>-38170#</v>
      </c>
      <c r="F1702" t="str">
        <f>VLOOKUP(M1702,'MASS - 2016'!$A$1:$G$3418,7,FALSE)</f>
        <v>400#</v>
      </c>
      <c r="G1702">
        <f t="shared" si="136"/>
        <v>-38170.01</v>
      </c>
      <c r="H1702">
        <f t="shared" si="132"/>
        <v>149.95902280905688</v>
      </c>
      <c r="I1702">
        <f t="shared" si="133"/>
        <v>139.68593914000002</v>
      </c>
      <c r="J1702">
        <f t="shared" si="135"/>
        <v>139657.83413999999</v>
      </c>
      <c r="M1702">
        <f t="shared" si="134"/>
        <v>95055</v>
      </c>
    </row>
    <row r="1703" spans="1:13" x14ac:dyDescent="0.2">
      <c r="A1703">
        <v>94</v>
      </c>
      <c r="B1703">
        <v>56</v>
      </c>
      <c r="C1703">
        <v>150</v>
      </c>
      <c r="D1703" s="51" t="s">
        <v>54</v>
      </c>
      <c r="E1703" t="str">
        <f>VLOOKUP(M1703,'MASS - 2016'!$A$1:$G$3418,6,FALSE)</f>
        <v>-49900#</v>
      </c>
      <c r="F1703" t="str">
        <f>VLOOKUP(M1703,'MASS - 2016'!$A$1:$G$3418,7,FALSE)</f>
        <v>300#</v>
      </c>
      <c r="G1703">
        <f t="shared" si="136"/>
        <v>-49900.01</v>
      </c>
      <c r="H1703">
        <f t="shared" si="132"/>
        <v>149.9464301361767</v>
      </c>
      <c r="I1703">
        <f t="shared" si="133"/>
        <v>139.67420914000002</v>
      </c>
      <c r="J1703">
        <f t="shared" si="135"/>
        <v>139645.59314000001</v>
      </c>
      <c r="M1703">
        <f t="shared" si="134"/>
        <v>94056</v>
      </c>
    </row>
    <row r="1704" spans="1:13" x14ac:dyDescent="0.2">
      <c r="A1704">
        <v>93</v>
      </c>
      <c r="B1704">
        <v>57</v>
      </c>
      <c r="C1704">
        <v>150</v>
      </c>
      <c r="D1704" s="51" t="s">
        <v>55</v>
      </c>
      <c r="E1704">
        <f>VLOOKUP(M1704,'MASS - 2016'!$A$1:$G$3418,6,FALSE)</f>
        <v>-56129.966</v>
      </c>
      <c r="F1704">
        <f>VLOOKUP(M1704,'MASS - 2016'!$A$1:$G$3418,7,FALSE)</f>
        <v>435.47300000000001</v>
      </c>
      <c r="G1704">
        <f t="shared" si="136"/>
        <v>-56129.966</v>
      </c>
      <c r="H1704">
        <f t="shared" si="132"/>
        <v>149.93974200335779</v>
      </c>
      <c r="I1704">
        <f t="shared" si="133"/>
        <v>139.66797918400002</v>
      </c>
      <c r="J1704">
        <f t="shared" si="135"/>
        <v>139638.85218400002</v>
      </c>
      <c r="M1704">
        <f t="shared" si="134"/>
        <v>93057</v>
      </c>
    </row>
    <row r="1705" spans="1:13" x14ac:dyDescent="0.2">
      <c r="A1705">
        <v>92</v>
      </c>
      <c r="B1705">
        <v>58</v>
      </c>
      <c r="C1705">
        <v>150</v>
      </c>
      <c r="D1705" s="51" t="s">
        <v>56</v>
      </c>
      <c r="E1705">
        <f>VLOOKUP(M1705,'MASS - 2016'!$A$1:$G$3418,6,FALSE)</f>
        <v>-64846.853999999999</v>
      </c>
      <c r="F1705">
        <f>VLOOKUP(M1705,'MASS - 2016'!$A$1:$G$3418,7,FALSE)</f>
        <v>11.696999999999999</v>
      </c>
      <c r="G1705">
        <f t="shared" si="136"/>
        <v>-64846.853999999999</v>
      </c>
      <c r="H1705">
        <f t="shared" si="132"/>
        <v>149.93038403923867</v>
      </c>
      <c r="I1705">
        <f t="shared" si="133"/>
        <v>139.65926229600001</v>
      </c>
      <c r="J1705">
        <f t="shared" si="135"/>
        <v>139629.62429599999</v>
      </c>
      <c r="M1705">
        <f t="shared" si="134"/>
        <v>92058</v>
      </c>
    </row>
    <row r="1706" spans="1:13" x14ac:dyDescent="0.2">
      <c r="A1706">
        <v>91</v>
      </c>
      <c r="B1706">
        <v>59</v>
      </c>
      <c r="C1706">
        <v>150</v>
      </c>
      <c r="D1706" s="51" t="s">
        <v>57</v>
      </c>
      <c r="E1706">
        <f>VLOOKUP(M1706,'MASS - 2016'!$A$1:$G$3418,6,FALSE)</f>
        <v>-68300.479000000007</v>
      </c>
      <c r="F1706">
        <f>VLOOKUP(M1706,'MASS - 2016'!$A$1:$G$3418,7,FALSE)</f>
        <v>9.0150000000000006</v>
      </c>
      <c r="G1706">
        <f t="shared" si="136"/>
        <v>-68300.479000000007</v>
      </c>
      <c r="H1706">
        <f t="shared" si="132"/>
        <v>149.92667642032345</v>
      </c>
      <c r="I1706">
        <f t="shared" si="133"/>
        <v>139.65580867100002</v>
      </c>
      <c r="J1706">
        <f t="shared" si="135"/>
        <v>139625.659671</v>
      </c>
      <c r="M1706">
        <f t="shared" si="134"/>
        <v>91059</v>
      </c>
    </row>
    <row r="1707" spans="1:13" x14ac:dyDescent="0.2">
      <c r="A1707">
        <v>90</v>
      </c>
      <c r="B1707">
        <v>60</v>
      </c>
      <c r="C1707">
        <v>150</v>
      </c>
      <c r="D1707" s="51" t="s">
        <v>58</v>
      </c>
      <c r="E1707">
        <f>VLOOKUP(M1707,'MASS - 2016'!$A$1:$G$3418,6,FALSE)</f>
        <v>-73679.755000000005</v>
      </c>
      <c r="F1707">
        <f>VLOOKUP(M1707,'MASS - 2016'!$A$1:$G$3418,7,FALSE)</f>
        <v>1.2889999999999999</v>
      </c>
      <c r="G1707">
        <f t="shared" si="136"/>
        <v>-73679.755000000005</v>
      </c>
      <c r="H1707">
        <f t="shared" si="132"/>
        <v>149.92090153004207</v>
      </c>
      <c r="I1707">
        <f t="shared" si="133"/>
        <v>139.650429395</v>
      </c>
      <c r="J1707">
        <f t="shared" si="135"/>
        <v>139619.76939500001</v>
      </c>
      <c r="M1707">
        <f t="shared" si="134"/>
        <v>90060</v>
      </c>
    </row>
    <row r="1708" spans="1:13" x14ac:dyDescent="0.2">
      <c r="A1708">
        <v>89</v>
      </c>
      <c r="B1708">
        <v>61</v>
      </c>
      <c r="C1708">
        <v>150</v>
      </c>
      <c r="D1708" s="51" t="s">
        <v>59</v>
      </c>
      <c r="E1708">
        <f>VLOOKUP(M1708,'MASS - 2016'!$A$1:$G$3418,6,FALSE)</f>
        <v>-73597.138999999996</v>
      </c>
      <c r="F1708">
        <f>VLOOKUP(M1708,'MASS - 2016'!$A$1:$G$3418,7,FALSE)</f>
        <v>20.041</v>
      </c>
      <c r="G1708">
        <f t="shared" si="136"/>
        <v>-73597.138999999996</v>
      </c>
      <c r="H1708">
        <f t="shared" si="132"/>
        <v>149.92099022196558</v>
      </c>
      <c r="I1708">
        <f t="shared" si="133"/>
        <v>139.65051201100002</v>
      </c>
      <c r="J1708">
        <f t="shared" si="135"/>
        <v>139619.34101100001</v>
      </c>
      <c r="M1708">
        <f t="shared" si="134"/>
        <v>89061</v>
      </c>
    </row>
    <row r="1709" spans="1:13" x14ac:dyDescent="0.2">
      <c r="A1709">
        <v>88</v>
      </c>
      <c r="B1709">
        <v>62</v>
      </c>
      <c r="C1709">
        <v>150</v>
      </c>
      <c r="D1709" s="51" t="s">
        <v>60</v>
      </c>
      <c r="E1709">
        <f>VLOOKUP(M1709,'MASS - 2016'!$A$1:$G$3418,6,FALSE)</f>
        <v>-77051.138999999996</v>
      </c>
      <c r="F1709">
        <f>VLOOKUP(M1709,'MASS - 2016'!$A$1:$G$3418,7,FALSE)</f>
        <v>1.274</v>
      </c>
      <c r="G1709">
        <f t="shared" si="136"/>
        <v>-77051.138999999996</v>
      </c>
      <c r="H1709">
        <f t="shared" si="132"/>
        <v>149.91728220047128</v>
      </c>
      <c r="I1709">
        <f t="shared" si="133"/>
        <v>139.64705801100001</v>
      </c>
      <c r="J1709">
        <f t="shared" si="135"/>
        <v>139615.37601100001</v>
      </c>
      <c r="M1709">
        <f t="shared" si="134"/>
        <v>88062</v>
      </c>
    </row>
    <row r="1710" spans="1:13" x14ac:dyDescent="0.2">
      <c r="A1710">
        <v>87</v>
      </c>
      <c r="B1710">
        <v>63</v>
      </c>
      <c r="C1710">
        <v>150</v>
      </c>
      <c r="D1710" s="51" t="s">
        <v>61</v>
      </c>
      <c r="E1710">
        <f>VLOOKUP(M1710,'MASS - 2016'!$A$1:$G$3418,6,FALSE)</f>
        <v>-74792.233999999997</v>
      </c>
      <c r="F1710">
        <f>VLOOKUP(M1710,'MASS - 2016'!$A$1:$G$3418,7,FALSE)</f>
        <v>6.2530000000000001</v>
      </c>
      <c r="G1710">
        <f t="shared" si="136"/>
        <v>-74792.233999999997</v>
      </c>
      <c r="H1710">
        <f t="shared" si="132"/>
        <v>149.91970723471957</v>
      </c>
      <c r="I1710">
        <f t="shared" si="133"/>
        <v>139.649316916</v>
      </c>
      <c r="J1710">
        <f t="shared" si="135"/>
        <v>139617.12391600001</v>
      </c>
      <c r="M1710">
        <f t="shared" si="134"/>
        <v>87063</v>
      </c>
    </row>
    <row r="1711" spans="1:13" x14ac:dyDescent="0.2">
      <c r="A1711">
        <v>86</v>
      </c>
      <c r="B1711">
        <v>64</v>
      </c>
      <c r="C1711">
        <v>150</v>
      </c>
      <c r="D1711" s="51" t="s">
        <v>62</v>
      </c>
      <c r="E1711">
        <f>VLOOKUP(M1711,'MASS - 2016'!$A$1:$G$3418,6,FALSE)</f>
        <v>-75763.933999999994</v>
      </c>
      <c r="F1711">
        <f>VLOOKUP(M1711,'MASS - 2016'!$A$1:$G$3418,7,FALSE)</f>
        <v>6.0759999999999996</v>
      </c>
      <c r="G1711">
        <f t="shared" si="136"/>
        <v>-75763.933999999994</v>
      </c>
      <c r="H1711">
        <f t="shared" si="132"/>
        <v>149.91866407186893</v>
      </c>
      <c r="I1711">
        <f t="shared" si="133"/>
        <v>139.648345216</v>
      </c>
      <c r="J1711">
        <f t="shared" si="135"/>
        <v>139615.64121599999</v>
      </c>
      <c r="M1711">
        <f t="shared" si="134"/>
        <v>86064</v>
      </c>
    </row>
    <row r="1712" spans="1:13" x14ac:dyDescent="0.2">
      <c r="A1712">
        <v>85</v>
      </c>
      <c r="B1712">
        <v>65</v>
      </c>
      <c r="C1712">
        <v>150</v>
      </c>
      <c r="D1712" s="51" t="s">
        <v>63</v>
      </c>
      <c r="E1712">
        <f>VLOOKUP(M1712,'MASS - 2016'!$A$1:$G$3418,6,FALSE)</f>
        <v>-71105.721000000005</v>
      </c>
      <c r="F1712">
        <f>VLOOKUP(M1712,'MASS - 2016'!$A$1:$G$3418,7,FALSE)</f>
        <v>7.3840000000000003</v>
      </c>
      <c r="G1712">
        <f t="shared" si="136"/>
        <v>-71105.721000000005</v>
      </c>
      <c r="H1712">
        <f t="shared" si="132"/>
        <v>149.92366486918482</v>
      </c>
      <c r="I1712">
        <f t="shared" si="133"/>
        <v>139.65300342899999</v>
      </c>
      <c r="J1712">
        <f t="shared" si="135"/>
        <v>139619.78842900001</v>
      </c>
      <c r="M1712">
        <f t="shared" si="134"/>
        <v>85065</v>
      </c>
    </row>
    <row r="1713" spans="1:13" x14ac:dyDescent="0.2">
      <c r="A1713">
        <v>84</v>
      </c>
      <c r="B1713">
        <v>66</v>
      </c>
      <c r="C1713">
        <v>150</v>
      </c>
      <c r="D1713" s="51" t="s">
        <v>64</v>
      </c>
      <c r="E1713">
        <f>VLOOKUP(M1713,'MASS - 2016'!$A$1:$G$3418,6,FALSE)</f>
        <v>-69309.600000000006</v>
      </c>
      <c r="F1713">
        <f>VLOOKUP(M1713,'MASS - 2016'!$A$1:$G$3418,7,FALSE)</f>
        <v>4.3479999999999999</v>
      </c>
      <c r="G1713">
        <f t="shared" si="136"/>
        <v>-69309.600000000006</v>
      </c>
      <c r="H1713">
        <f t="shared" si="132"/>
        <v>149.92559308437717</v>
      </c>
      <c r="I1713">
        <f t="shared" si="133"/>
        <v>139.65479955000001</v>
      </c>
      <c r="J1713">
        <f t="shared" si="135"/>
        <v>139621.07355</v>
      </c>
      <c r="M1713">
        <f t="shared" si="134"/>
        <v>84066</v>
      </c>
    </row>
    <row r="1714" spans="1:13" x14ac:dyDescent="0.2">
      <c r="A1714">
        <v>83</v>
      </c>
      <c r="B1714">
        <v>67</v>
      </c>
      <c r="C1714">
        <v>150</v>
      </c>
      <c r="D1714" s="51" t="s">
        <v>65</v>
      </c>
      <c r="E1714">
        <f>VLOOKUP(M1714,'MASS - 2016'!$A$1:$G$3418,6,FALSE)</f>
        <v>-61945.881000000001</v>
      </c>
      <c r="F1714">
        <f>VLOOKUP(M1714,'MASS - 2016'!$A$1:$G$3418,7,FALSE)</f>
        <v>14.167999999999999</v>
      </c>
      <c r="G1714">
        <f t="shared" si="136"/>
        <v>-61945.881000000001</v>
      </c>
      <c r="H1714">
        <f t="shared" si="132"/>
        <v>149.93349836183228</v>
      </c>
      <c r="I1714">
        <f t="shared" si="133"/>
        <v>139.66216326899999</v>
      </c>
      <c r="J1714">
        <f t="shared" si="135"/>
        <v>139627.92626899999</v>
      </c>
      <c r="M1714">
        <f t="shared" si="134"/>
        <v>83067</v>
      </c>
    </row>
    <row r="1715" spans="1:13" x14ac:dyDescent="0.2">
      <c r="A1715">
        <v>82</v>
      </c>
      <c r="B1715">
        <v>68</v>
      </c>
      <c r="C1715">
        <v>150</v>
      </c>
      <c r="D1715" s="51" t="s">
        <v>66</v>
      </c>
      <c r="E1715">
        <f>VLOOKUP(M1715,'MASS - 2016'!$A$1:$G$3418,6,FALSE)</f>
        <v>-57831.313000000002</v>
      </c>
      <c r="F1715">
        <f>VLOOKUP(M1715,'MASS - 2016'!$A$1:$G$3418,7,FALSE)</f>
        <v>17.195</v>
      </c>
      <c r="G1715">
        <f t="shared" si="136"/>
        <v>-57831.313000000002</v>
      </c>
      <c r="H1715">
        <f t="shared" si="132"/>
        <v>149.93791553223869</v>
      </c>
      <c r="I1715">
        <f t="shared" si="133"/>
        <v>139.666277837</v>
      </c>
      <c r="J1715">
        <f t="shared" si="135"/>
        <v>139631.52983700001</v>
      </c>
      <c r="M1715">
        <f t="shared" si="134"/>
        <v>82068</v>
      </c>
    </row>
    <row r="1716" spans="1:13" x14ac:dyDescent="0.2">
      <c r="A1716">
        <v>81</v>
      </c>
      <c r="B1716">
        <v>69</v>
      </c>
      <c r="C1716">
        <v>150</v>
      </c>
      <c r="D1716" s="51" t="s">
        <v>67</v>
      </c>
      <c r="E1716" t="str">
        <f>VLOOKUP(M1716,'MASS - 2016'!$A$1:$G$3418,6,FALSE)</f>
        <v>-46491#</v>
      </c>
      <c r="F1716" t="str">
        <f>VLOOKUP(M1716,'MASS - 2016'!$A$1:$G$3418,7,FALSE)</f>
        <v>196#</v>
      </c>
      <c r="G1716">
        <f t="shared" si="136"/>
        <v>-46491.01</v>
      </c>
      <c r="H1716">
        <f t="shared" si="132"/>
        <v>149.95008984818423</v>
      </c>
      <c r="I1716">
        <f t="shared" si="133"/>
        <v>139.67761813999999</v>
      </c>
      <c r="J1716">
        <f t="shared" si="135"/>
        <v>139642.35914000002</v>
      </c>
      <c r="M1716">
        <f t="shared" si="134"/>
        <v>81069</v>
      </c>
    </row>
    <row r="1717" spans="1:13" x14ac:dyDescent="0.2">
      <c r="A1717">
        <v>80</v>
      </c>
      <c r="B1717">
        <v>70</v>
      </c>
      <c r="C1717">
        <v>150</v>
      </c>
      <c r="D1717" s="51" t="s">
        <v>68</v>
      </c>
      <c r="E1717" t="str">
        <f>VLOOKUP(M1717,'MASS - 2016'!$A$1:$G$3418,6,FALSE)</f>
        <v>-38638#</v>
      </c>
      <c r="F1717" t="str">
        <f>VLOOKUP(M1717,'MASS - 2016'!$A$1:$G$3418,7,FALSE)</f>
        <v>300#</v>
      </c>
      <c r="G1717">
        <f t="shared" si="136"/>
        <v>-38638.01</v>
      </c>
      <c r="H1717">
        <f t="shared" si="132"/>
        <v>149.95852039039463</v>
      </c>
      <c r="I1717">
        <f t="shared" si="133"/>
        <v>139.68547114</v>
      </c>
      <c r="J1717">
        <f t="shared" si="135"/>
        <v>139649.70114000002</v>
      </c>
      <c r="M1717">
        <f t="shared" si="134"/>
        <v>80070</v>
      </c>
    </row>
    <row r="1718" spans="1:13" x14ac:dyDescent="0.2">
      <c r="A1718">
        <v>79</v>
      </c>
      <c r="B1718">
        <v>71</v>
      </c>
      <c r="C1718">
        <v>150</v>
      </c>
      <c r="D1718" s="51" t="s">
        <v>69</v>
      </c>
      <c r="E1718" t="str">
        <f>VLOOKUP(M1718,'MASS - 2016'!$A$1:$G$3418,6,FALSE)</f>
        <v>-24640#</v>
      </c>
      <c r="F1718" t="str">
        <f>VLOOKUP(M1718,'MASS - 2016'!$A$1:$G$3418,7,FALSE)</f>
        <v>300#</v>
      </c>
      <c r="G1718">
        <f t="shared" si="136"/>
        <v>-24640.01</v>
      </c>
      <c r="H1718">
        <f t="shared" si="132"/>
        <v>149.97354786140713</v>
      </c>
      <c r="I1718">
        <f t="shared" si="133"/>
        <v>139.69946913999999</v>
      </c>
      <c r="J1718">
        <f t="shared" si="135"/>
        <v>139663.18814000001</v>
      </c>
      <c r="M1718">
        <f t="shared" si="134"/>
        <v>79071</v>
      </c>
    </row>
    <row r="1719" spans="1:13" x14ac:dyDescent="0.2">
      <c r="A1719">
        <v>96</v>
      </c>
      <c r="B1719">
        <v>55</v>
      </c>
      <c r="C1719">
        <v>151</v>
      </c>
      <c r="D1719" s="51" t="s">
        <v>53</v>
      </c>
      <c r="E1719" t="str">
        <f>VLOOKUP(M1719,'MASS - 2016'!$A$1:$G$3418,6,FALSE)</f>
        <v>-34230#</v>
      </c>
      <c r="F1719" t="str">
        <f>VLOOKUP(M1719,'MASS - 2016'!$A$1:$G$3418,7,FALSE)</f>
        <v>500#</v>
      </c>
      <c r="G1719">
        <f t="shared" si="136"/>
        <v>-34230.01</v>
      </c>
      <c r="H1719">
        <f t="shared" si="132"/>
        <v>150.96325257300811</v>
      </c>
      <c r="I1719">
        <f t="shared" si="133"/>
        <v>140.62137320100001</v>
      </c>
      <c r="J1719">
        <f t="shared" si="135"/>
        <v>140593.268201</v>
      </c>
      <c r="M1719">
        <f t="shared" si="134"/>
        <v>96055</v>
      </c>
    </row>
    <row r="1720" spans="1:13" x14ac:dyDescent="0.2">
      <c r="A1720">
        <v>95</v>
      </c>
      <c r="B1720">
        <v>56</v>
      </c>
      <c r="C1720">
        <v>151</v>
      </c>
      <c r="D1720" s="51" t="s">
        <v>54</v>
      </c>
      <c r="E1720" t="str">
        <f>VLOOKUP(M1720,'MASS - 2016'!$A$1:$G$3418,6,FALSE)</f>
        <v>-44940#</v>
      </c>
      <c r="F1720" t="str">
        <f>VLOOKUP(M1720,'MASS - 2016'!$A$1:$G$3418,7,FALSE)</f>
        <v>400#</v>
      </c>
      <c r="G1720">
        <f t="shared" si="136"/>
        <v>-44940.01</v>
      </c>
      <c r="H1720">
        <f t="shared" si="132"/>
        <v>150.95175491516096</v>
      </c>
      <c r="I1720">
        <f t="shared" si="133"/>
        <v>140.61066320099999</v>
      </c>
      <c r="J1720">
        <f t="shared" si="135"/>
        <v>140582.04720099998</v>
      </c>
      <c r="M1720">
        <f t="shared" si="134"/>
        <v>95056</v>
      </c>
    </row>
    <row r="1721" spans="1:13" x14ac:dyDescent="0.2">
      <c r="A1721">
        <v>94</v>
      </c>
      <c r="B1721">
        <v>57</v>
      </c>
      <c r="C1721">
        <v>151</v>
      </c>
      <c r="D1721" s="51" t="s">
        <v>55</v>
      </c>
      <c r="E1721">
        <f>VLOOKUP(M1721,'MASS - 2016'!$A$1:$G$3418,6,FALSE)</f>
        <v>-53310.332999999999</v>
      </c>
      <c r="F1721">
        <f>VLOOKUP(M1721,'MASS - 2016'!$A$1:$G$3418,7,FALSE)</f>
        <v>435.47300000000001</v>
      </c>
      <c r="G1721">
        <f t="shared" si="136"/>
        <v>-53310.332999999999</v>
      </c>
      <c r="H1721">
        <f t="shared" si="132"/>
        <v>150.94276900387021</v>
      </c>
      <c r="I1721">
        <f t="shared" si="133"/>
        <v>140.60229287799999</v>
      </c>
      <c r="J1721">
        <f t="shared" si="135"/>
        <v>140573.16587799997</v>
      </c>
      <c r="M1721">
        <f t="shared" si="134"/>
        <v>94057</v>
      </c>
    </row>
    <row r="1722" spans="1:13" x14ac:dyDescent="0.2">
      <c r="A1722">
        <v>93</v>
      </c>
      <c r="B1722">
        <v>58</v>
      </c>
      <c r="C1722">
        <v>151</v>
      </c>
      <c r="D1722" s="51" t="s">
        <v>56</v>
      </c>
      <c r="E1722">
        <f>VLOOKUP(M1722,'MASS - 2016'!$A$1:$G$3418,6,FALSE)</f>
        <v>-61225.052000000003</v>
      </c>
      <c r="F1722">
        <f>VLOOKUP(M1722,'MASS - 2016'!$A$1:$G$3418,7,FALSE)</f>
        <v>17.698</v>
      </c>
      <c r="G1722">
        <f t="shared" si="136"/>
        <v>-61225.052000000003</v>
      </c>
      <c r="H1722">
        <f t="shared" si="132"/>
        <v>150.93427220358842</v>
      </c>
      <c r="I1722">
        <f t="shared" si="133"/>
        <v>140.594378159</v>
      </c>
      <c r="J1722">
        <f t="shared" si="135"/>
        <v>140564.74015900001</v>
      </c>
      <c r="M1722">
        <f t="shared" si="134"/>
        <v>93058</v>
      </c>
    </row>
    <row r="1723" spans="1:13" x14ac:dyDescent="0.2">
      <c r="A1723">
        <v>92</v>
      </c>
      <c r="B1723">
        <v>59</v>
      </c>
      <c r="C1723">
        <v>151</v>
      </c>
      <c r="D1723" s="51" t="s">
        <v>57</v>
      </c>
      <c r="E1723">
        <f>VLOOKUP(M1723,'MASS - 2016'!$A$1:$G$3418,6,FALSE)</f>
        <v>-66779.63</v>
      </c>
      <c r="F1723">
        <f>VLOOKUP(M1723,'MASS - 2016'!$A$1:$G$3418,7,FALSE)</f>
        <v>11.651</v>
      </c>
      <c r="G1723">
        <f t="shared" si="136"/>
        <v>-66779.63</v>
      </c>
      <c r="H1723">
        <f t="shared" si="132"/>
        <v>150.92830911887046</v>
      </c>
      <c r="I1723">
        <f t="shared" si="133"/>
        <v>140.58882358099999</v>
      </c>
      <c r="J1723">
        <f t="shared" si="135"/>
        <v>140558.67458099997</v>
      </c>
      <c r="M1723">
        <f t="shared" si="134"/>
        <v>92059</v>
      </c>
    </row>
    <row r="1724" spans="1:13" x14ac:dyDescent="0.2">
      <c r="A1724">
        <v>91</v>
      </c>
      <c r="B1724">
        <v>60</v>
      </c>
      <c r="C1724">
        <v>151</v>
      </c>
      <c r="D1724" s="51" t="s">
        <v>58</v>
      </c>
      <c r="E1724">
        <f>VLOOKUP(M1724,'MASS - 2016'!$A$1:$G$3418,6,FALSE)</f>
        <v>-70942.987999999998</v>
      </c>
      <c r="F1724">
        <f>VLOOKUP(M1724,'MASS - 2016'!$A$1:$G$3418,7,FALSE)</f>
        <v>1.2929999999999999</v>
      </c>
      <c r="G1724">
        <f t="shared" si="136"/>
        <v>-70942.987999999998</v>
      </c>
      <c r="H1724">
        <f t="shared" si="132"/>
        <v>150.92383957024498</v>
      </c>
      <c r="I1724">
        <f t="shared" si="133"/>
        <v>140.58466022299999</v>
      </c>
      <c r="J1724">
        <f t="shared" si="135"/>
        <v>140554.00022299998</v>
      </c>
      <c r="M1724">
        <f t="shared" si="134"/>
        <v>91060</v>
      </c>
    </row>
    <row r="1725" spans="1:13" x14ac:dyDescent="0.2">
      <c r="A1725">
        <v>90</v>
      </c>
      <c r="B1725">
        <v>61</v>
      </c>
      <c r="C1725">
        <v>151</v>
      </c>
      <c r="D1725" s="51" t="s">
        <v>59</v>
      </c>
      <c r="E1725">
        <f>VLOOKUP(M1725,'MASS - 2016'!$A$1:$G$3418,6,FALSE)</f>
        <v>-73386.062999999995</v>
      </c>
      <c r="F1725">
        <f>VLOOKUP(M1725,'MASS - 2016'!$A$1:$G$3418,7,FALSE)</f>
        <v>4.6529999999999996</v>
      </c>
      <c r="G1725">
        <f t="shared" si="136"/>
        <v>-73386.062999999995</v>
      </c>
      <c r="H1725">
        <f t="shared" si="132"/>
        <v>150.92121682137059</v>
      </c>
      <c r="I1725">
        <f t="shared" si="133"/>
        <v>140.58221714800001</v>
      </c>
      <c r="J1725">
        <f t="shared" si="135"/>
        <v>140551.04614800002</v>
      </c>
      <c r="M1725">
        <f t="shared" si="134"/>
        <v>90061</v>
      </c>
    </row>
    <row r="1726" spans="1:13" x14ac:dyDescent="0.2">
      <c r="A1726">
        <v>89</v>
      </c>
      <c r="B1726">
        <v>62</v>
      </c>
      <c r="C1726">
        <v>151</v>
      </c>
      <c r="D1726" s="51" t="s">
        <v>60</v>
      </c>
      <c r="E1726">
        <f>VLOOKUP(M1726,'MASS - 2016'!$A$1:$G$3418,6,FALSE)</f>
        <v>-74576.278999999995</v>
      </c>
      <c r="F1726">
        <f>VLOOKUP(M1726,'MASS - 2016'!$A$1:$G$3418,7,FALSE)</f>
        <v>1.2729999999999999</v>
      </c>
      <c r="G1726">
        <f t="shared" si="136"/>
        <v>-74576.278999999995</v>
      </c>
      <c r="H1726">
        <f t="shared" si="132"/>
        <v>150.91993907194646</v>
      </c>
      <c r="I1726">
        <f t="shared" si="133"/>
        <v>140.58102693199999</v>
      </c>
      <c r="J1726">
        <f t="shared" si="135"/>
        <v>140549.34493199998</v>
      </c>
      <c r="M1726">
        <f t="shared" si="134"/>
        <v>89062</v>
      </c>
    </row>
    <row r="1727" spans="1:13" x14ac:dyDescent="0.2">
      <c r="A1727">
        <v>88</v>
      </c>
      <c r="B1727">
        <v>63</v>
      </c>
      <c r="C1727">
        <v>151</v>
      </c>
      <c r="D1727" s="51" t="s">
        <v>61</v>
      </c>
      <c r="E1727">
        <f>VLOOKUP(M1727,'MASS - 2016'!$A$1:$G$3418,6,FALSE)</f>
        <v>-74652.854000000007</v>
      </c>
      <c r="F1727">
        <f>VLOOKUP(M1727,'MASS - 2016'!$A$1:$G$3418,7,FALSE)</f>
        <v>1.325</v>
      </c>
      <c r="G1727">
        <f t="shared" si="136"/>
        <v>-74652.854000000007</v>
      </c>
      <c r="H1727">
        <f t="shared" si="132"/>
        <v>150.91985686530319</v>
      </c>
      <c r="I1727">
        <f t="shared" si="133"/>
        <v>140.58095035700001</v>
      </c>
      <c r="J1727">
        <f t="shared" si="135"/>
        <v>140548.75735699999</v>
      </c>
      <c r="M1727">
        <f t="shared" si="134"/>
        <v>88063</v>
      </c>
    </row>
    <row r="1728" spans="1:13" x14ac:dyDescent="0.2">
      <c r="A1728">
        <v>87</v>
      </c>
      <c r="B1728">
        <v>64</v>
      </c>
      <c r="C1728">
        <v>151</v>
      </c>
      <c r="D1728" s="51" t="s">
        <v>62</v>
      </c>
      <c r="E1728">
        <f>VLOOKUP(M1728,'MASS - 2016'!$A$1:$G$3418,6,FALSE)</f>
        <v>-74188.736999999994</v>
      </c>
      <c r="F1728">
        <f>VLOOKUP(M1728,'MASS - 2016'!$A$1:$G$3418,7,FALSE)</f>
        <v>3.056</v>
      </c>
      <c r="G1728">
        <f t="shared" si="136"/>
        <v>-74188.736999999994</v>
      </c>
      <c r="H1728">
        <f t="shared" si="132"/>
        <v>150.92035511539351</v>
      </c>
      <c r="I1728">
        <f t="shared" si="133"/>
        <v>140.58141447400001</v>
      </c>
      <c r="J1728">
        <f t="shared" si="135"/>
        <v>140548.71047400002</v>
      </c>
      <c r="M1728">
        <f t="shared" si="134"/>
        <v>87064</v>
      </c>
    </row>
    <row r="1729" spans="1:13" x14ac:dyDescent="0.2">
      <c r="A1729">
        <v>86</v>
      </c>
      <c r="B1729">
        <v>65</v>
      </c>
      <c r="C1729">
        <v>151</v>
      </c>
      <c r="D1729" s="51" t="s">
        <v>63</v>
      </c>
      <c r="E1729">
        <f>VLOOKUP(M1729,'MASS - 2016'!$A$1:$G$3418,6,FALSE)</f>
        <v>-71623.504000000001</v>
      </c>
      <c r="F1729">
        <f>VLOOKUP(M1729,'MASS - 2016'!$A$1:$G$3418,7,FALSE)</f>
        <v>4.1369999999999996</v>
      </c>
      <c r="G1729">
        <f t="shared" si="136"/>
        <v>-71623.504000000001</v>
      </c>
      <c r="H1729">
        <f t="shared" si="132"/>
        <v>150.92310900627416</v>
      </c>
      <c r="I1729">
        <f t="shared" si="133"/>
        <v>140.583979707</v>
      </c>
      <c r="J1729">
        <f t="shared" si="135"/>
        <v>140550.76470699999</v>
      </c>
      <c r="M1729">
        <f t="shared" si="134"/>
        <v>86065</v>
      </c>
    </row>
    <row r="1730" spans="1:13" x14ac:dyDescent="0.2">
      <c r="A1730">
        <v>85</v>
      </c>
      <c r="B1730">
        <v>66</v>
      </c>
      <c r="C1730">
        <v>151</v>
      </c>
      <c r="D1730" s="51" t="s">
        <v>64</v>
      </c>
      <c r="E1730">
        <f>VLOOKUP(M1730,'MASS - 2016'!$A$1:$G$3418,6,FALSE)</f>
        <v>-68752.404999999999</v>
      </c>
      <c r="F1730">
        <f>VLOOKUP(M1730,'MASS - 2016'!$A$1:$G$3418,7,FALSE)</f>
        <v>3.2930000000000001</v>
      </c>
      <c r="G1730">
        <f t="shared" si="136"/>
        <v>-68752.404999999999</v>
      </c>
      <c r="H1730">
        <f t="shared" si="132"/>
        <v>150.92619125780985</v>
      </c>
      <c r="I1730">
        <f t="shared" si="133"/>
        <v>140.586850806</v>
      </c>
      <c r="J1730">
        <f t="shared" si="135"/>
        <v>140553.12480600001</v>
      </c>
      <c r="M1730">
        <f t="shared" si="134"/>
        <v>85066</v>
      </c>
    </row>
    <row r="1731" spans="1:13" x14ac:dyDescent="0.2">
      <c r="A1731">
        <v>84</v>
      </c>
      <c r="B1731">
        <v>67</v>
      </c>
      <c r="C1731">
        <v>151</v>
      </c>
      <c r="D1731" s="51" t="s">
        <v>65</v>
      </c>
      <c r="E1731">
        <f>VLOOKUP(M1731,'MASS - 2016'!$A$1:$G$3418,6,FALSE)</f>
        <v>-63622.737999999998</v>
      </c>
      <c r="F1731">
        <f>VLOOKUP(M1731,'MASS - 2016'!$A$1:$G$3418,7,FALSE)</f>
        <v>8.3019999999999996</v>
      </c>
      <c r="G1731">
        <f t="shared" si="136"/>
        <v>-63622.737999999998</v>
      </c>
      <c r="H1731">
        <f t="shared" si="132"/>
        <v>150.93169818180945</v>
      </c>
      <c r="I1731">
        <f t="shared" si="133"/>
        <v>140.59198047300001</v>
      </c>
      <c r="J1731">
        <f t="shared" si="135"/>
        <v>140557.74347300001</v>
      </c>
      <c r="M1731">
        <f t="shared" si="134"/>
        <v>84067</v>
      </c>
    </row>
    <row r="1732" spans="1:13" x14ac:dyDescent="0.2">
      <c r="A1732">
        <v>83</v>
      </c>
      <c r="B1732">
        <v>68</v>
      </c>
      <c r="C1732">
        <v>151</v>
      </c>
      <c r="D1732" s="51" t="s">
        <v>66</v>
      </c>
      <c r="E1732">
        <f>VLOOKUP(M1732,'MASS - 2016'!$A$1:$G$3418,6,FALSE)</f>
        <v>-58266.284</v>
      </c>
      <c r="F1732">
        <f>VLOOKUP(M1732,'MASS - 2016'!$A$1:$G$3418,7,FALSE)</f>
        <v>16.47</v>
      </c>
      <c r="G1732">
        <f t="shared" si="136"/>
        <v>-58266.284</v>
      </c>
      <c r="H1732">
        <f t="shared" si="132"/>
        <v>150.93744857166618</v>
      </c>
      <c r="I1732">
        <f t="shared" si="133"/>
        <v>140.59733692699999</v>
      </c>
      <c r="J1732">
        <f t="shared" si="135"/>
        <v>140562.588927</v>
      </c>
      <c r="M1732">
        <f t="shared" si="134"/>
        <v>83068</v>
      </c>
    </row>
    <row r="1733" spans="1:13" x14ac:dyDescent="0.2">
      <c r="A1733">
        <v>82</v>
      </c>
      <c r="B1733">
        <v>69</v>
      </c>
      <c r="C1733">
        <v>151</v>
      </c>
      <c r="D1733" s="51" t="s">
        <v>67</v>
      </c>
      <c r="E1733">
        <f>VLOOKUP(M1733,'MASS - 2016'!$A$1:$G$3418,6,FALSE)</f>
        <v>-50772.756000000001</v>
      </c>
      <c r="F1733">
        <f>VLOOKUP(M1733,'MASS - 2016'!$A$1:$G$3418,7,FALSE)</f>
        <v>19.416</v>
      </c>
      <c r="G1733">
        <f t="shared" si="136"/>
        <v>-50772.756000000001</v>
      </c>
      <c r="H1733">
        <f t="shared" si="132"/>
        <v>150.94549320481391</v>
      </c>
      <c r="I1733">
        <f t="shared" si="133"/>
        <v>140.60483045500001</v>
      </c>
      <c r="J1733">
        <f t="shared" si="135"/>
        <v>140569.57145500003</v>
      </c>
      <c r="M1733">
        <f t="shared" si="134"/>
        <v>82069</v>
      </c>
    </row>
    <row r="1734" spans="1:13" x14ac:dyDescent="0.2">
      <c r="A1734">
        <v>81</v>
      </c>
      <c r="B1734">
        <v>70</v>
      </c>
      <c r="C1734">
        <v>151</v>
      </c>
      <c r="D1734" s="51" t="s">
        <v>68</v>
      </c>
      <c r="E1734">
        <f>VLOOKUP(M1734,'MASS - 2016'!$A$1:$G$3418,6,FALSE)</f>
        <v>-41542.341999999997</v>
      </c>
      <c r="F1734">
        <f>VLOOKUP(M1734,'MASS - 2016'!$A$1:$G$3418,7,FALSE)</f>
        <v>300.49200000000002</v>
      </c>
      <c r="G1734">
        <f t="shared" si="136"/>
        <v>-41542.341999999997</v>
      </c>
      <c r="H1734">
        <f t="shared" si="132"/>
        <v>150.9554024617662</v>
      </c>
      <c r="I1734">
        <f t="shared" si="133"/>
        <v>140.61406086899999</v>
      </c>
      <c r="J1734">
        <f t="shared" si="135"/>
        <v>140578.29086899999</v>
      </c>
      <c r="M1734">
        <f t="shared" si="134"/>
        <v>81070</v>
      </c>
    </row>
    <row r="1735" spans="1:13" x14ac:dyDescent="0.2">
      <c r="A1735">
        <v>80</v>
      </c>
      <c r="B1735">
        <v>71</v>
      </c>
      <c r="C1735">
        <v>151</v>
      </c>
      <c r="D1735" s="51" t="s">
        <v>69</v>
      </c>
      <c r="E1735" t="str">
        <f>VLOOKUP(M1735,'MASS - 2016'!$A$1:$G$3418,6,FALSE)</f>
        <v>-30108#</v>
      </c>
      <c r="F1735" t="str">
        <f>VLOOKUP(M1735,'MASS - 2016'!$A$1:$G$3418,7,FALSE)</f>
        <v>300#</v>
      </c>
      <c r="G1735">
        <f t="shared" si="136"/>
        <v>-30108.01</v>
      </c>
      <c r="H1735">
        <f t="shared" si="132"/>
        <v>150.96767772199462</v>
      </c>
      <c r="I1735">
        <f t="shared" si="133"/>
        <v>140.62549520100001</v>
      </c>
      <c r="J1735">
        <f t="shared" si="135"/>
        <v>140589.21420100002</v>
      </c>
      <c r="M1735">
        <f t="shared" si="134"/>
        <v>80071</v>
      </c>
    </row>
    <row r="1736" spans="1:13" x14ac:dyDescent="0.2">
      <c r="A1736">
        <v>96</v>
      </c>
      <c r="B1736">
        <v>56</v>
      </c>
      <c r="C1736">
        <v>152</v>
      </c>
      <c r="D1736" s="51" t="s">
        <v>54</v>
      </c>
      <c r="E1736" t="str">
        <f>VLOOKUP(M1736,'MASS - 2016'!$A$1:$G$3418,6,FALSE)</f>
        <v>-41710#</v>
      </c>
      <c r="F1736" t="str">
        <f>VLOOKUP(M1736,'MASS - 2016'!$A$1:$G$3418,7,FALSE)</f>
        <v>400#</v>
      </c>
      <c r="G1736">
        <f t="shared" si="136"/>
        <v>-41710.01</v>
      </c>
      <c r="H1736">
        <f t="shared" si="132"/>
        <v>151.95522246276565</v>
      </c>
      <c r="I1736">
        <f t="shared" si="133"/>
        <v>141.54538726199999</v>
      </c>
      <c r="J1736">
        <f t="shared" si="135"/>
        <v>141516.77126199999</v>
      </c>
      <c r="M1736">
        <f t="shared" si="134"/>
        <v>96056</v>
      </c>
    </row>
    <row r="1737" spans="1:13" x14ac:dyDescent="0.2">
      <c r="A1737">
        <v>95</v>
      </c>
      <c r="B1737">
        <v>57</v>
      </c>
      <c r="C1737">
        <v>152</v>
      </c>
      <c r="D1737" s="51" t="s">
        <v>55</v>
      </c>
      <c r="E1737" t="str">
        <f>VLOOKUP(M1737,'MASS - 2016'!$A$1:$G$3418,6,FALSE)</f>
        <v>-49290#</v>
      </c>
      <c r="F1737" t="str">
        <f>VLOOKUP(M1737,'MASS - 2016'!$A$1:$G$3418,7,FALSE)</f>
        <v>300#</v>
      </c>
      <c r="G1737">
        <f t="shared" si="136"/>
        <v>-49290.01</v>
      </c>
      <c r="H1737">
        <f t="shared" ref="H1737:H1800" si="137">(C1737*$A$3+G1737/1000000)/$A$3</f>
        <v>151.94708499810821</v>
      </c>
      <c r="I1737">
        <f t="shared" ref="I1737:I1800" si="138">H1737*$A$3</f>
        <v>141.537807262</v>
      </c>
      <c r="J1737">
        <f t="shared" si="135"/>
        <v>141508.68026199998</v>
      </c>
      <c r="M1737">
        <f t="shared" ref="M1737:M1800" si="139">1000*A1737+B1737</f>
        <v>95057</v>
      </c>
    </row>
    <row r="1738" spans="1:13" x14ac:dyDescent="0.2">
      <c r="A1738">
        <v>94</v>
      </c>
      <c r="B1738">
        <v>58</v>
      </c>
      <c r="C1738">
        <v>152</v>
      </c>
      <c r="D1738" s="51" t="s">
        <v>56</v>
      </c>
      <c r="E1738" t="str">
        <f>VLOOKUP(M1738,'MASS - 2016'!$A$1:$G$3418,6,FALSE)</f>
        <v>-58980#</v>
      </c>
      <c r="F1738" t="str">
        <f>VLOOKUP(M1738,'MASS - 2016'!$A$1:$G$3418,7,FALSE)</f>
        <v>200#</v>
      </c>
      <c r="G1738">
        <f t="shared" si="136"/>
        <v>-58980.01</v>
      </c>
      <c r="H1738">
        <f t="shared" si="137"/>
        <v>151.93668235529415</v>
      </c>
      <c r="I1738">
        <f t="shared" si="138"/>
        <v>141.52811726199999</v>
      </c>
      <c r="J1738">
        <f t="shared" si="135"/>
        <v>141498.47926199998</v>
      </c>
      <c r="M1738">
        <f t="shared" si="139"/>
        <v>94058</v>
      </c>
    </row>
    <row r="1739" spans="1:13" x14ac:dyDescent="0.2">
      <c r="A1739">
        <v>93</v>
      </c>
      <c r="B1739">
        <v>59</v>
      </c>
      <c r="C1739">
        <v>152</v>
      </c>
      <c r="D1739" s="51" t="s">
        <v>57</v>
      </c>
      <c r="E1739">
        <f>VLOOKUP(M1739,'MASS - 2016'!$A$1:$G$3418,6,FALSE)</f>
        <v>-63758.063000000002</v>
      </c>
      <c r="F1739">
        <f>VLOOKUP(M1739,'MASS - 2016'!$A$1:$G$3418,7,FALSE)</f>
        <v>18.536999999999999</v>
      </c>
      <c r="G1739">
        <f t="shared" si="136"/>
        <v>-63758.063000000002</v>
      </c>
      <c r="H1739">
        <f t="shared" si="137"/>
        <v>151.93155290444736</v>
      </c>
      <c r="I1739">
        <f t="shared" si="138"/>
        <v>141.523339209</v>
      </c>
      <c r="J1739">
        <f t="shared" si="135"/>
        <v>141493.19020899999</v>
      </c>
      <c r="M1739">
        <f t="shared" si="139"/>
        <v>93059</v>
      </c>
    </row>
    <row r="1740" spans="1:13" x14ac:dyDescent="0.2">
      <c r="A1740">
        <v>92</v>
      </c>
      <c r="B1740">
        <v>60</v>
      </c>
      <c r="C1740">
        <v>152</v>
      </c>
      <c r="D1740" s="51" t="s">
        <v>58</v>
      </c>
      <c r="E1740">
        <f>VLOOKUP(M1740,'MASS - 2016'!$A$1:$G$3418,6,FALSE)</f>
        <v>-70149.407000000007</v>
      </c>
      <c r="F1740">
        <f>VLOOKUP(M1740,'MASS - 2016'!$A$1:$G$3418,7,FALSE)</f>
        <v>24.484999999999999</v>
      </c>
      <c r="G1740">
        <f t="shared" si="136"/>
        <v>-70149.407000000007</v>
      </c>
      <c r="H1740">
        <f t="shared" si="137"/>
        <v>151.92469151448512</v>
      </c>
      <c r="I1740">
        <f t="shared" si="138"/>
        <v>141.51694786499999</v>
      </c>
      <c r="J1740">
        <f t="shared" ref="J1740:J1803" si="140">1000*I1740-B1740*0.511</f>
        <v>141486.28786499999</v>
      </c>
      <c r="M1740">
        <f t="shared" si="139"/>
        <v>92060</v>
      </c>
    </row>
    <row r="1741" spans="1:13" x14ac:dyDescent="0.2">
      <c r="A1741">
        <v>91</v>
      </c>
      <c r="B1741">
        <v>61</v>
      </c>
      <c r="C1741">
        <v>152</v>
      </c>
      <c r="D1741" s="51" t="s">
        <v>59</v>
      </c>
      <c r="E1741">
        <f>VLOOKUP(M1741,'MASS - 2016'!$A$1:$G$3418,6,FALSE)</f>
        <v>-71254.186000000002</v>
      </c>
      <c r="F1741">
        <f>VLOOKUP(M1741,'MASS - 2016'!$A$1:$G$3418,7,FALSE)</f>
        <v>25.911999999999999</v>
      </c>
      <c r="G1741">
        <f t="shared" si="136"/>
        <v>-71254.186000000002</v>
      </c>
      <c r="H1741">
        <f t="shared" si="137"/>
        <v>151.92350548545258</v>
      </c>
      <c r="I1741">
        <f t="shared" si="138"/>
        <v>141.51584308599999</v>
      </c>
      <c r="J1741">
        <f t="shared" si="140"/>
        <v>141484.67208599998</v>
      </c>
      <c r="M1741">
        <f t="shared" si="139"/>
        <v>91061</v>
      </c>
    </row>
    <row r="1742" spans="1:13" x14ac:dyDescent="0.2">
      <c r="A1742">
        <v>90</v>
      </c>
      <c r="B1742">
        <v>62</v>
      </c>
      <c r="C1742">
        <v>152</v>
      </c>
      <c r="D1742" s="51" t="s">
        <v>60</v>
      </c>
      <c r="E1742">
        <f>VLOOKUP(M1742,'MASS - 2016'!$A$1:$G$3418,6,FALSE)</f>
        <v>-74762.603000000003</v>
      </c>
      <c r="F1742">
        <f>VLOOKUP(M1742,'MASS - 2016'!$A$1:$G$3418,7,FALSE)</f>
        <v>1.212</v>
      </c>
      <c r="G1742">
        <f t="shared" si="136"/>
        <v>-74762.603000000003</v>
      </c>
      <c r="H1742">
        <f t="shared" si="137"/>
        <v>151.91973904490627</v>
      </c>
      <c r="I1742">
        <f t="shared" si="138"/>
        <v>141.51233466899998</v>
      </c>
      <c r="J1742">
        <f t="shared" si="140"/>
        <v>141480.65266899997</v>
      </c>
      <c r="M1742">
        <f t="shared" si="139"/>
        <v>90062</v>
      </c>
    </row>
    <row r="1743" spans="1:13" x14ac:dyDescent="0.2">
      <c r="A1743">
        <v>89</v>
      </c>
      <c r="B1743">
        <v>63</v>
      </c>
      <c r="C1743">
        <v>152</v>
      </c>
      <c r="D1743" s="51" t="s">
        <v>61</v>
      </c>
      <c r="E1743">
        <f>VLOOKUP(M1743,'MASS - 2016'!$A$1:$G$3418,6,FALSE)</f>
        <v>-72888.255000000005</v>
      </c>
      <c r="F1743">
        <f>VLOOKUP(M1743,'MASS - 2016'!$A$1:$G$3418,7,FALSE)</f>
        <v>1.3260000000000001</v>
      </c>
      <c r="G1743">
        <f t="shared" ref="G1743:G1806" si="141">IF(ISNUMBER(E1743),E1743,VALUE(SUBSTITUTE(E1743,"#",".01")))</f>
        <v>-72888.255000000005</v>
      </c>
      <c r="H1743">
        <f t="shared" si="137"/>
        <v>151.92175124023683</v>
      </c>
      <c r="I1743">
        <f t="shared" si="138"/>
        <v>141.51420901699998</v>
      </c>
      <c r="J1743">
        <f t="shared" si="140"/>
        <v>141482.01601699999</v>
      </c>
      <c r="M1743">
        <f t="shared" si="139"/>
        <v>89063</v>
      </c>
    </row>
    <row r="1744" spans="1:13" x14ac:dyDescent="0.2">
      <c r="A1744">
        <v>88</v>
      </c>
      <c r="B1744">
        <v>64</v>
      </c>
      <c r="C1744">
        <v>152</v>
      </c>
      <c r="D1744" s="51" t="s">
        <v>62</v>
      </c>
      <c r="E1744">
        <f>VLOOKUP(M1744,'MASS - 2016'!$A$1:$G$3418,6,FALSE)</f>
        <v>-74706.915999999997</v>
      </c>
      <c r="F1744">
        <f>VLOOKUP(M1744,'MASS - 2016'!$A$1:$G$3418,7,FALSE)</f>
        <v>1.206</v>
      </c>
      <c r="G1744">
        <f t="shared" si="141"/>
        <v>-74706.915999999997</v>
      </c>
      <c r="H1744">
        <f t="shared" si="137"/>
        <v>151.91979882735936</v>
      </c>
      <c r="I1744">
        <f t="shared" si="138"/>
        <v>141.512390356</v>
      </c>
      <c r="J1744">
        <f t="shared" si="140"/>
        <v>141479.68635599999</v>
      </c>
      <c r="M1744">
        <f t="shared" si="139"/>
        <v>88064</v>
      </c>
    </row>
    <row r="1745" spans="1:13" x14ac:dyDescent="0.2">
      <c r="A1745">
        <v>87</v>
      </c>
      <c r="B1745">
        <v>65</v>
      </c>
      <c r="C1745">
        <v>152</v>
      </c>
      <c r="D1745" s="51" t="s">
        <v>63</v>
      </c>
      <c r="E1745">
        <f>VLOOKUP(M1745,'MASS - 2016'!$A$1:$G$3418,6,FALSE)</f>
        <v>-70716.915999999997</v>
      </c>
      <c r="F1745">
        <f>VLOOKUP(M1745,'MASS - 2016'!$A$1:$G$3418,7,FALSE)</f>
        <v>40.018000000000001</v>
      </c>
      <c r="G1745">
        <f t="shared" si="141"/>
        <v>-70716.915999999997</v>
      </c>
      <c r="H1745">
        <f t="shared" si="137"/>
        <v>151.92408226851808</v>
      </c>
      <c r="I1745">
        <f t="shared" si="138"/>
        <v>141.51638035599998</v>
      </c>
      <c r="J1745">
        <f t="shared" si="140"/>
        <v>141483.16535599998</v>
      </c>
      <c r="M1745">
        <f t="shared" si="139"/>
        <v>87065</v>
      </c>
    </row>
    <row r="1746" spans="1:13" x14ac:dyDescent="0.2">
      <c r="A1746">
        <v>86</v>
      </c>
      <c r="B1746">
        <v>66</v>
      </c>
      <c r="C1746">
        <v>152</v>
      </c>
      <c r="D1746" s="51" t="s">
        <v>64</v>
      </c>
      <c r="E1746">
        <f>VLOOKUP(M1746,'MASS - 2016'!$A$1:$G$3418,6,FALSE)</f>
        <v>-70117.873000000007</v>
      </c>
      <c r="F1746">
        <f>VLOOKUP(M1746,'MASS - 2016'!$A$1:$G$3418,7,FALSE)</f>
        <v>4.6239999999999997</v>
      </c>
      <c r="G1746">
        <f t="shared" si="141"/>
        <v>-70117.873000000007</v>
      </c>
      <c r="H1746">
        <f t="shared" si="137"/>
        <v>151.92472536762637</v>
      </c>
      <c r="I1746">
        <f t="shared" si="138"/>
        <v>141.51697939900001</v>
      </c>
      <c r="J1746">
        <f t="shared" si="140"/>
        <v>141483.25339900001</v>
      </c>
      <c r="M1746">
        <f t="shared" si="139"/>
        <v>86066</v>
      </c>
    </row>
    <row r="1747" spans="1:13" x14ac:dyDescent="0.2">
      <c r="A1747">
        <v>85</v>
      </c>
      <c r="B1747">
        <v>67</v>
      </c>
      <c r="C1747">
        <v>152</v>
      </c>
      <c r="D1747" s="51" t="s">
        <v>65</v>
      </c>
      <c r="E1747">
        <f>VLOOKUP(M1747,'MASS - 2016'!$A$1:$G$3418,6,FALSE)</f>
        <v>-63604.771000000001</v>
      </c>
      <c r="F1747">
        <f>VLOOKUP(M1747,'MASS - 2016'!$A$1:$G$3418,7,FALSE)</f>
        <v>12.529</v>
      </c>
      <c r="G1747">
        <f t="shared" si="141"/>
        <v>-63604.771000000001</v>
      </c>
      <c r="H1747">
        <f t="shared" si="137"/>
        <v>151.93171747017718</v>
      </c>
      <c r="I1747">
        <f t="shared" si="138"/>
        <v>141.52349250099999</v>
      </c>
      <c r="J1747">
        <f t="shared" si="140"/>
        <v>141489.25550100001</v>
      </c>
      <c r="M1747">
        <f t="shared" si="139"/>
        <v>85067</v>
      </c>
    </row>
    <row r="1748" spans="1:13" x14ac:dyDescent="0.2">
      <c r="A1748">
        <v>84</v>
      </c>
      <c r="B1748">
        <v>68</v>
      </c>
      <c r="C1748">
        <v>152</v>
      </c>
      <c r="D1748" s="51" t="s">
        <v>66</v>
      </c>
      <c r="E1748">
        <f>VLOOKUP(M1748,'MASS - 2016'!$A$1:$G$3418,6,FALSE)</f>
        <v>-60500.377</v>
      </c>
      <c r="F1748">
        <f>VLOOKUP(M1748,'MASS - 2016'!$A$1:$G$3418,7,FALSE)</f>
        <v>8.83</v>
      </c>
      <c r="G1748">
        <f t="shared" si="141"/>
        <v>-60500.377</v>
      </c>
      <c r="H1748">
        <f t="shared" si="137"/>
        <v>151.93505017419534</v>
      </c>
      <c r="I1748">
        <f t="shared" si="138"/>
        <v>141.52659689499998</v>
      </c>
      <c r="J1748">
        <f t="shared" si="140"/>
        <v>141491.848895</v>
      </c>
      <c r="M1748">
        <f t="shared" si="139"/>
        <v>84068</v>
      </c>
    </row>
    <row r="1749" spans="1:13" x14ac:dyDescent="0.2">
      <c r="A1749">
        <v>83</v>
      </c>
      <c r="B1749">
        <v>69</v>
      </c>
      <c r="C1749">
        <v>152</v>
      </c>
      <c r="D1749" s="51" t="s">
        <v>67</v>
      </c>
      <c r="E1749">
        <f>VLOOKUP(M1749,'MASS - 2016'!$A$1:$G$3418,6,FALSE)</f>
        <v>-51720.273000000001</v>
      </c>
      <c r="F1749">
        <f>VLOOKUP(M1749,'MASS - 2016'!$A$1:$G$3418,7,FALSE)</f>
        <v>54.027000000000001</v>
      </c>
      <c r="G1749">
        <f t="shared" si="141"/>
        <v>-51720.273000000001</v>
      </c>
      <c r="H1749">
        <f t="shared" si="137"/>
        <v>151.94447600348147</v>
      </c>
      <c r="I1749">
        <f t="shared" si="138"/>
        <v>141.53537699899999</v>
      </c>
      <c r="J1749">
        <f t="shared" si="140"/>
        <v>141500.11799900001</v>
      </c>
      <c r="M1749">
        <f t="shared" si="139"/>
        <v>83069</v>
      </c>
    </row>
    <row r="1750" spans="1:13" x14ac:dyDescent="0.2">
      <c r="A1750">
        <v>82</v>
      </c>
      <c r="B1750">
        <v>70</v>
      </c>
      <c r="C1750">
        <v>152</v>
      </c>
      <c r="D1750" s="51" t="s">
        <v>68</v>
      </c>
      <c r="E1750">
        <f>VLOOKUP(M1750,'MASS - 2016'!$A$1:$G$3418,6,FALSE)</f>
        <v>-46270.381000000001</v>
      </c>
      <c r="F1750">
        <f>VLOOKUP(M1750,'MASS - 2016'!$A$1:$G$3418,7,FALSE)</f>
        <v>149.708</v>
      </c>
      <c r="G1750">
        <f t="shared" si="141"/>
        <v>-46270.381000000001</v>
      </c>
      <c r="H1750">
        <f t="shared" si="137"/>
        <v>151.95032670315652</v>
      </c>
      <c r="I1750">
        <f t="shared" si="138"/>
        <v>141.54082689099999</v>
      </c>
      <c r="J1750">
        <f t="shared" si="140"/>
        <v>141505.05689100001</v>
      </c>
      <c r="M1750">
        <f t="shared" si="139"/>
        <v>82070</v>
      </c>
    </row>
    <row r="1751" spans="1:13" x14ac:dyDescent="0.2">
      <c r="A1751">
        <v>81</v>
      </c>
      <c r="B1751">
        <v>71</v>
      </c>
      <c r="C1751">
        <v>152</v>
      </c>
      <c r="D1751" s="51" t="s">
        <v>69</v>
      </c>
      <c r="E1751" t="str">
        <f>VLOOKUP(M1751,'MASS - 2016'!$A$1:$G$3418,6,FALSE)</f>
        <v>-33422#</v>
      </c>
      <c r="F1751" t="str">
        <f>VLOOKUP(M1751,'MASS - 2016'!$A$1:$G$3418,7,FALSE)</f>
        <v>196#</v>
      </c>
      <c r="G1751">
        <f t="shared" si="141"/>
        <v>-33422.01</v>
      </c>
      <c r="H1751">
        <f t="shared" si="137"/>
        <v>151.96411999668132</v>
      </c>
      <c r="I1751">
        <f t="shared" si="138"/>
        <v>141.55367526199998</v>
      </c>
      <c r="J1751">
        <f t="shared" si="140"/>
        <v>141517.39426199999</v>
      </c>
      <c r="M1751">
        <f t="shared" si="139"/>
        <v>81071</v>
      </c>
    </row>
    <row r="1752" spans="1:13" x14ac:dyDescent="0.2">
      <c r="A1752">
        <v>97</v>
      </c>
      <c r="B1752">
        <v>56</v>
      </c>
      <c r="C1752">
        <v>153</v>
      </c>
      <c r="D1752" s="51" t="s">
        <v>54</v>
      </c>
      <c r="E1752" t="str">
        <f>VLOOKUP(M1752,'MASS - 2016'!$A$1:$G$3418,6,FALSE)</f>
        <v>-36470#</v>
      </c>
      <c r="F1752" t="str">
        <f>VLOOKUP(M1752,'MASS - 2016'!$A$1:$G$3418,7,FALSE)</f>
        <v>400#</v>
      </c>
      <c r="G1752">
        <f t="shared" si="141"/>
        <v>-36470.01</v>
      </c>
      <c r="H1752">
        <f t="shared" si="137"/>
        <v>152.96084783411197</v>
      </c>
      <c r="I1752">
        <f t="shared" si="138"/>
        <v>142.482121323</v>
      </c>
      <c r="J1752">
        <f t="shared" si="140"/>
        <v>142453.50532299999</v>
      </c>
      <c r="M1752">
        <f t="shared" si="139"/>
        <v>97056</v>
      </c>
    </row>
    <row r="1753" spans="1:13" x14ac:dyDescent="0.2">
      <c r="A1753">
        <v>96</v>
      </c>
      <c r="B1753">
        <v>57</v>
      </c>
      <c r="C1753">
        <v>153</v>
      </c>
      <c r="D1753" s="51" t="s">
        <v>55</v>
      </c>
      <c r="E1753" t="str">
        <f>VLOOKUP(M1753,'MASS - 2016'!$A$1:$G$3418,6,FALSE)</f>
        <v>-46060#</v>
      </c>
      <c r="F1753" t="str">
        <f>VLOOKUP(M1753,'MASS - 2016'!$A$1:$G$3418,7,FALSE)</f>
        <v>300#</v>
      </c>
      <c r="G1753">
        <f t="shared" si="141"/>
        <v>-46060.01</v>
      </c>
      <c r="H1753">
        <f t="shared" si="137"/>
        <v>152.9505525457129</v>
      </c>
      <c r="I1753">
        <f t="shared" si="138"/>
        <v>142.472531323</v>
      </c>
      <c r="J1753">
        <f t="shared" si="140"/>
        <v>142443.404323</v>
      </c>
      <c r="M1753">
        <f t="shared" si="139"/>
        <v>96057</v>
      </c>
    </row>
    <row r="1754" spans="1:13" x14ac:dyDescent="0.2">
      <c r="A1754">
        <v>95</v>
      </c>
      <c r="B1754">
        <v>58</v>
      </c>
      <c r="C1754">
        <v>153</v>
      </c>
      <c r="D1754" s="51" t="s">
        <v>56</v>
      </c>
      <c r="E1754" t="str">
        <f>VLOOKUP(M1754,'MASS - 2016'!$A$1:$G$3418,6,FALSE)</f>
        <v>-54910#</v>
      </c>
      <c r="F1754" t="str">
        <f>VLOOKUP(M1754,'MASS - 2016'!$A$1:$G$3418,7,FALSE)</f>
        <v>200#</v>
      </c>
      <c r="G1754">
        <f t="shared" si="141"/>
        <v>-54910.01</v>
      </c>
      <c r="H1754">
        <f t="shared" si="137"/>
        <v>152.94105167998489</v>
      </c>
      <c r="I1754">
        <f t="shared" si="138"/>
        <v>142.463681323</v>
      </c>
      <c r="J1754">
        <f t="shared" si="140"/>
        <v>142434.04332299999</v>
      </c>
      <c r="M1754">
        <f t="shared" si="139"/>
        <v>95058</v>
      </c>
    </row>
    <row r="1755" spans="1:13" x14ac:dyDescent="0.2">
      <c r="A1755">
        <v>94</v>
      </c>
      <c r="B1755">
        <v>59</v>
      </c>
      <c r="C1755">
        <v>153</v>
      </c>
      <c r="D1755" s="51" t="s">
        <v>57</v>
      </c>
      <c r="E1755">
        <f>VLOOKUP(M1755,'MASS - 2016'!$A$1:$G$3418,6,FALSE)</f>
        <v>-61568.463000000003</v>
      </c>
      <c r="F1755">
        <f>VLOOKUP(M1755,'MASS - 2016'!$A$1:$G$3418,7,FALSE)</f>
        <v>11.882</v>
      </c>
      <c r="G1755">
        <f t="shared" si="141"/>
        <v>-61568.463000000003</v>
      </c>
      <c r="H1755">
        <f t="shared" si="137"/>
        <v>152.9339035367183</v>
      </c>
      <c r="I1755">
        <f t="shared" si="138"/>
        <v>142.45702287</v>
      </c>
      <c r="J1755">
        <f t="shared" si="140"/>
        <v>142426.87387000001</v>
      </c>
      <c r="M1755">
        <f t="shared" si="139"/>
        <v>94059</v>
      </c>
    </row>
    <row r="1756" spans="1:13" x14ac:dyDescent="0.2">
      <c r="A1756">
        <v>93</v>
      </c>
      <c r="B1756">
        <v>60</v>
      </c>
      <c r="C1756">
        <v>153</v>
      </c>
      <c r="D1756" s="51" t="s">
        <v>58</v>
      </c>
      <c r="E1756">
        <f>VLOOKUP(M1756,'MASS - 2016'!$A$1:$G$3418,6,FALSE)</f>
        <v>-67330.297000000006</v>
      </c>
      <c r="F1756">
        <f>VLOOKUP(M1756,'MASS - 2016'!$A$1:$G$3418,7,FALSE)</f>
        <v>2.7469999999999999</v>
      </c>
      <c r="G1756">
        <f t="shared" si="141"/>
        <v>-67330.297000000006</v>
      </c>
      <c r="H1756">
        <f t="shared" si="137"/>
        <v>152.92771795353397</v>
      </c>
      <c r="I1756">
        <f t="shared" si="138"/>
        <v>142.45126103599998</v>
      </c>
      <c r="J1756">
        <f t="shared" si="140"/>
        <v>142420.60103599998</v>
      </c>
      <c r="M1756">
        <f t="shared" si="139"/>
        <v>93060</v>
      </c>
    </row>
    <row r="1757" spans="1:13" x14ac:dyDescent="0.2">
      <c r="A1757">
        <v>92</v>
      </c>
      <c r="B1757">
        <v>61</v>
      </c>
      <c r="C1757">
        <v>153</v>
      </c>
      <c r="D1757" s="51" t="s">
        <v>59</v>
      </c>
      <c r="E1757">
        <f>VLOOKUP(M1757,'MASS - 2016'!$A$1:$G$3418,6,FALSE)</f>
        <v>-70647.823999999993</v>
      </c>
      <c r="F1757">
        <f>VLOOKUP(M1757,'MASS - 2016'!$A$1:$G$3418,7,FALSE)</f>
        <v>9.0660000000000007</v>
      </c>
      <c r="G1757">
        <f t="shared" si="141"/>
        <v>-70647.823999999993</v>
      </c>
      <c r="H1757">
        <f t="shared" si="137"/>
        <v>152.92415644183049</v>
      </c>
      <c r="I1757">
        <f t="shared" si="138"/>
        <v>142.447943509</v>
      </c>
      <c r="J1757">
        <f t="shared" si="140"/>
        <v>142416.772509</v>
      </c>
      <c r="M1757">
        <f t="shared" si="139"/>
        <v>92061</v>
      </c>
    </row>
    <row r="1758" spans="1:13" x14ac:dyDescent="0.2">
      <c r="A1758">
        <v>91</v>
      </c>
      <c r="B1758">
        <v>62</v>
      </c>
      <c r="C1758">
        <v>153</v>
      </c>
      <c r="D1758" s="51" t="s">
        <v>60</v>
      </c>
      <c r="E1758">
        <f>VLOOKUP(M1758,'MASS - 2016'!$A$1:$G$3418,6,FALSE)</f>
        <v>-72559.686000000002</v>
      </c>
      <c r="F1758">
        <f>VLOOKUP(M1758,'MASS - 2016'!$A$1:$G$3418,7,FALSE)</f>
        <v>1.2190000000000001</v>
      </c>
      <c r="G1758">
        <f t="shared" si="141"/>
        <v>-72559.686000000002</v>
      </c>
      <c r="H1758">
        <f t="shared" si="137"/>
        <v>152.92210397356467</v>
      </c>
      <c r="I1758">
        <f t="shared" si="138"/>
        <v>142.44603164699998</v>
      </c>
      <c r="J1758">
        <f t="shared" si="140"/>
        <v>142414.349647</v>
      </c>
      <c r="M1758">
        <f t="shared" si="139"/>
        <v>91062</v>
      </c>
    </row>
    <row r="1759" spans="1:13" x14ac:dyDescent="0.2">
      <c r="A1759">
        <v>90</v>
      </c>
      <c r="B1759">
        <v>63</v>
      </c>
      <c r="C1759">
        <v>153</v>
      </c>
      <c r="D1759" s="51" t="s">
        <v>61</v>
      </c>
      <c r="E1759">
        <f>VLOOKUP(M1759,'MASS - 2016'!$A$1:$G$3418,6,FALSE)</f>
        <v>-73367.221999999994</v>
      </c>
      <c r="F1759">
        <f>VLOOKUP(M1759,'MASS - 2016'!$A$1:$G$3418,7,FALSE)</f>
        <v>1.33</v>
      </c>
      <c r="G1759">
        <f t="shared" si="141"/>
        <v>-73367.221999999994</v>
      </c>
      <c r="H1759">
        <f t="shared" si="137"/>
        <v>152.92123704801591</v>
      </c>
      <c r="I1759">
        <f t="shared" si="138"/>
        <v>142.44522411099999</v>
      </c>
      <c r="J1759">
        <f t="shared" si="140"/>
        <v>142413.03111099999</v>
      </c>
      <c r="M1759">
        <f t="shared" si="139"/>
        <v>90063</v>
      </c>
    </row>
    <row r="1760" spans="1:13" x14ac:dyDescent="0.2">
      <c r="A1760">
        <v>89</v>
      </c>
      <c r="B1760">
        <v>64</v>
      </c>
      <c r="C1760">
        <v>153</v>
      </c>
      <c r="D1760" s="51" t="s">
        <v>62</v>
      </c>
      <c r="E1760">
        <f>VLOOKUP(M1760,'MASS - 2016'!$A$1:$G$3418,6,FALSE)</f>
        <v>-72882.551000000007</v>
      </c>
      <c r="F1760">
        <f>VLOOKUP(M1760,'MASS - 2016'!$A$1:$G$3418,7,FALSE)</f>
        <v>1.2030000000000001</v>
      </c>
      <c r="G1760">
        <f t="shared" si="141"/>
        <v>-72882.551000000007</v>
      </c>
      <c r="H1760">
        <f t="shared" si="137"/>
        <v>152.92175736373267</v>
      </c>
      <c r="I1760">
        <f t="shared" si="138"/>
        <v>142.445708782</v>
      </c>
      <c r="J1760">
        <f t="shared" si="140"/>
        <v>142413.004782</v>
      </c>
      <c r="M1760">
        <f t="shared" si="139"/>
        <v>89064</v>
      </c>
    </row>
    <row r="1761" spans="1:13" x14ac:dyDescent="0.2">
      <c r="A1761">
        <v>88</v>
      </c>
      <c r="B1761">
        <v>65</v>
      </c>
      <c r="C1761">
        <v>153</v>
      </c>
      <c r="D1761" s="51" t="s">
        <v>63</v>
      </c>
      <c r="E1761">
        <f>VLOOKUP(M1761,'MASS - 2016'!$A$1:$G$3418,6,FALSE)</f>
        <v>-71313.338000000003</v>
      </c>
      <c r="F1761">
        <f>VLOOKUP(M1761,'MASS - 2016'!$A$1:$G$3418,7,FALSE)</f>
        <v>3.9950000000000001</v>
      </c>
      <c r="G1761">
        <f t="shared" si="141"/>
        <v>-71313.338000000003</v>
      </c>
      <c r="H1761">
        <f t="shared" si="137"/>
        <v>152.923441983169</v>
      </c>
      <c r="I1761">
        <f t="shared" si="138"/>
        <v>142.44727799499998</v>
      </c>
      <c r="J1761">
        <f t="shared" si="140"/>
        <v>142414.06299499999</v>
      </c>
      <c r="M1761">
        <f t="shared" si="139"/>
        <v>88065</v>
      </c>
    </row>
    <row r="1762" spans="1:13" x14ac:dyDescent="0.2">
      <c r="A1762">
        <v>87</v>
      </c>
      <c r="B1762">
        <v>66</v>
      </c>
      <c r="C1762">
        <v>153</v>
      </c>
      <c r="D1762" s="51" t="s">
        <v>64</v>
      </c>
      <c r="E1762">
        <f>VLOOKUP(M1762,'MASS - 2016'!$A$1:$G$3418,6,FALSE)</f>
        <v>-69142.942999999999</v>
      </c>
      <c r="F1762">
        <f>VLOOKUP(M1762,'MASS - 2016'!$A$1:$G$3418,7,FALSE)</f>
        <v>4.048</v>
      </c>
      <c r="G1762">
        <f t="shared" si="141"/>
        <v>-69142.942999999999</v>
      </c>
      <c r="H1762">
        <f t="shared" si="137"/>
        <v>152.92577199802457</v>
      </c>
      <c r="I1762">
        <f t="shared" si="138"/>
        <v>142.44944838999999</v>
      </c>
      <c r="J1762">
        <f t="shared" si="140"/>
        <v>142415.72238999998</v>
      </c>
      <c r="M1762">
        <f t="shared" si="139"/>
        <v>87066</v>
      </c>
    </row>
    <row r="1763" spans="1:13" x14ac:dyDescent="0.2">
      <c r="A1763">
        <v>86</v>
      </c>
      <c r="B1763">
        <v>67</v>
      </c>
      <c r="C1763">
        <v>153</v>
      </c>
      <c r="D1763" s="51" t="s">
        <v>65</v>
      </c>
      <c r="E1763">
        <f>VLOOKUP(M1763,'MASS - 2016'!$A$1:$G$3418,6,FALSE)</f>
        <v>-65012.103000000003</v>
      </c>
      <c r="F1763">
        <f>VLOOKUP(M1763,'MASS - 2016'!$A$1:$G$3418,7,FALSE)</f>
        <v>5.0940000000000003</v>
      </c>
      <c r="G1763">
        <f t="shared" si="141"/>
        <v>-65012.103000000003</v>
      </c>
      <c r="H1763">
        <f t="shared" si="137"/>
        <v>152.9302066371414</v>
      </c>
      <c r="I1763">
        <f t="shared" si="138"/>
        <v>142.45357923</v>
      </c>
      <c r="J1763">
        <f t="shared" si="140"/>
        <v>142419.34223000001</v>
      </c>
      <c r="M1763">
        <f t="shared" si="139"/>
        <v>86067</v>
      </c>
    </row>
    <row r="1764" spans="1:13" x14ac:dyDescent="0.2">
      <c r="A1764">
        <v>85</v>
      </c>
      <c r="B1764">
        <v>68</v>
      </c>
      <c r="C1764">
        <v>153</v>
      </c>
      <c r="D1764" s="51" t="s">
        <v>66</v>
      </c>
      <c r="E1764">
        <f>VLOOKUP(M1764,'MASS - 2016'!$A$1:$G$3418,6,FALSE)</f>
        <v>-60468.603999999999</v>
      </c>
      <c r="F1764">
        <f>VLOOKUP(M1764,'MASS - 2016'!$A$1:$G$3418,7,FALSE)</f>
        <v>9.3209999999999997</v>
      </c>
      <c r="G1764">
        <f t="shared" si="141"/>
        <v>-60468.603999999999</v>
      </c>
      <c r="H1764">
        <f t="shared" si="137"/>
        <v>152.93508428391365</v>
      </c>
      <c r="I1764">
        <f t="shared" si="138"/>
        <v>142.458122729</v>
      </c>
      <c r="J1764">
        <f t="shared" si="140"/>
        <v>142423.374729</v>
      </c>
      <c r="M1764">
        <f t="shared" si="139"/>
        <v>85068</v>
      </c>
    </row>
    <row r="1765" spans="1:13" x14ac:dyDescent="0.2">
      <c r="A1765">
        <v>84</v>
      </c>
      <c r="B1765">
        <v>69</v>
      </c>
      <c r="C1765">
        <v>153</v>
      </c>
      <c r="D1765" s="51" t="s">
        <v>67</v>
      </c>
      <c r="E1765">
        <f>VLOOKUP(M1765,'MASS - 2016'!$A$1:$G$3418,6,FALSE)</f>
        <v>-53973.328999999998</v>
      </c>
      <c r="F1765">
        <f>VLOOKUP(M1765,'MASS - 2016'!$A$1:$G$3418,7,FALSE)</f>
        <v>11.983000000000001</v>
      </c>
      <c r="G1765">
        <f t="shared" si="141"/>
        <v>-53973.328999999998</v>
      </c>
      <c r="H1765">
        <f t="shared" si="137"/>
        <v>152.9420572483929</v>
      </c>
      <c r="I1765">
        <f t="shared" si="138"/>
        <v>142.46461800399999</v>
      </c>
      <c r="J1765">
        <f t="shared" si="140"/>
        <v>142429.359004</v>
      </c>
      <c r="M1765">
        <f t="shared" si="139"/>
        <v>84069</v>
      </c>
    </row>
    <row r="1766" spans="1:13" x14ac:dyDescent="0.2">
      <c r="A1766">
        <v>83</v>
      </c>
      <c r="B1766">
        <v>70</v>
      </c>
      <c r="C1766">
        <v>153</v>
      </c>
      <c r="D1766" s="51" t="s">
        <v>68</v>
      </c>
      <c r="E1766" t="str">
        <f>VLOOKUP(M1766,'MASS - 2016'!$A$1:$G$3418,6,FALSE)</f>
        <v>-47208#</v>
      </c>
      <c r="F1766" t="str">
        <f>VLOOKUP(M1766,'MASS - 2016'!$A$1:$G$3418,7,FALSE)</f>
        <v>196#</v>
      </c>
      <c r="G1766">
        <f t="shared" si="141"/>
        <v>-47208.01</v>
      </c>
      <c r="H1766">
        <f t="shared" si="137"/>
        <v>152.94932011702863</v>
      </c>
      <c r="I1766">
        <f t="shared" si="138"/>
        <v>142.471383323</v>
      </c>
      <c r="J1766">
        <f t="shared" si="140"/>
        <v>142435.613323</v>
      </c>
      <c r="M1766">
        <f t="shared" si="139"/>
        <v>83070</v>
      </c>
    </row>
    <row r="1767" spans="1:13" x14ac:dyDescent="0.2">
      <c r="A1767">
        <v>82</v>
      </c>
      <c r="B1767">
        <v>71</v>
      </c>
      <c r="C1767">
        <v>153</v>
      </c>
      <c r="D1767" s="51" t="s">
        <v>69</v>
      </c>
      <c r="E1767">
        <f>VLOOKUP(M1767,'MASS - 2016'!$A$1:$G$3418,6,FALSE)</f>
        <v>-38372.843999999997</v>
      </c>
      <c r="F1767">
        <f>VLOOKUP(M1767,'MASS - 2016'!$A$1:$G$3418,7,FALSE)</f>
        <v>150.03399999999999</v>
      </c>
      <c r="G1767">
        <f t="shared" si="141"/>
        <v>-38372.843999999997</v>
      </c>
      <c r="H1767">
        <f t="shared" si="137"/>
        <v>152.95880505780272</v>
      </c>
      <c r="I1767">
        <f t="shared" si="138"/>
        <v>142.48021848899998</v>
      </c>
      <c r="J1767">
        <f t="shared" si="140"/>
        <v>142443.937489</v>
      </c>
      <c r="M1767">
        <f t="shared" si="139"/>
        <v>82071</v>
      </c>
    </row>
    <row r="1768" spans="1:13" x14ac:dyDescent="0.2">
      <c r="A1768">
        <v>97</v>
      </c>
      <c r="B1768">
        <v>57</v>
      </c>
      <c r="C1768">
        <v>154</v>
      </c>
      <c r="D1768" s="51" t="s">
        <v>55</v>
      </c>
      <c r="E1768" t="str">
        <f>VLOOKUP(M1768,'MASS - 2016'!$A$1:$G$3418,6,FALSE)</f>
        <v>-41530#</v>
      </c>
      <c r="F1768" t="str">
        <f>VLOOKUP(M1768,'MASS - 2016'!$A$1:$G$3418,7,FALSE)</f>
        <v>300#</v>
      </c>
      <c r="G1768">
        <f t="shared" si="141"/>
        <v>-41530.01</v>
      </c>
      <c r="H1768">
        <f t="shared" si="137"/>
        <v>153.95541570071265</v>
      </c>
      <c r="I1768">
        <f t="shared" si="138"/>
        <v>143.40855538399998</v>
      </c>
      <c r="J1768">
        <f t="shared" si="140"/>
        <v>143379.42838399997</v>
      </c>
      <c r="M1768">
        <f t="shared" si="139"/>
        <v>97057</v>
      </c>
    </row>
    <row r="1769" spans="1:13" x14ac:dyDescent="0.2">
      <c r="A1769">
        <v>96</v>
      </c>
      <c r="B1769">
        <v>58</v>
      </c>
      <c r="C1769">
        <v>154</v>
      </c>
      <c r="D1769" s="51" t="s">
        <v>56</v>
      </c>
      <c r="E1769" t="str">
        <f>VLOOKUP(M1769,'MASS - 2016'!$A$1:$G$3418,6,FALSE)</f>
        <v>-52220#</v>
      </c>
      <c r="F1769" t="str">
        <f>VLOOKUP(M1769,'MASS - 2016'!$A$1:$G$3418,7,FALSE)</f>
        <v>200#</v>
      </c>
      <c r="G1769">
        <f t="shared" si="141"/>
        <v>-52220.01</v>
      </c>
      <c r="H1769">
        <f t="shared" si="137"/>
        <v>153.94393951374852</v>
      </c>
      <c r="I1769">
        <f t="shared" si="138"/>
        <v>143.39786538399997</v>
      </c>
      <c r="J1769">
        <f t="shared" si="140"/>
        <v>143368.22738399997</v>
      </c>
      <c r="M1769">
        <f t="shared" si="139"/>
        <v>96058</v>
      </c>
    </row>
    <row r="1770" spans="1:13" x14ac:dyDescent="0.2">
      <c r="A1770">
        <v>95</v>
      </c>
      <c r="B1770">
        <v>59</v>
      </c>
      <c r="C1770">
        <v>154</v>
      </c>
      <c r="D1770" s="51" t="s">
        <v>57</v>
      </c>
      <c r="E1770">
        <f>VLOOKUP(M1770,'MASS - 2016'!$A$1:$G$3418,6,FALSE)</f>
        <v>-58104.976000000002</v>
      </c>
      <c r="F1770">
        <f>VLOOKUP(M1770,'MASS - 2016'!$A$1:$G$3418,7,FALSE)</f>
        <v>113.009</v>
      </c>
      <c r="G1770">
        <f t="shared" si="141"/>
        <v>-58104.976000000002</v>
      </c>
      <c r="H1770">
        <f t="shared" si="137"/>
        <v>153.93762174292593</v>
      </c>
      <c r="I1770">
        <f t="shared" si="138"/>
        <v>143.39198041799997</v>
      </c>
      <c r="J1770">
        <f t="shared" si="140"/>
        <v>143361.83141799996</v>
      </c>
      <c r="M1770">
        <f t="shared" si="139"/>
        <v>95059</v>
      </c>
    </row>
    <row r="1771" spans="1:13" x14ac:dyDescent="0.2">
      <c r="A1771">
        <v>94</v>
      </c>
      <c r="B1771">
        <v>60</v>
      </c>
      <c r="C1771">
        <v>154</v>
      </c>
      <c r="D1771" s="51" t="s">
        <v>58</v>
      </c>
      <c r="E1771">
        <f>VLOOKUP(M1771,'MASS - 2016'!$A$1:$G$3418,6,FALSE)</f>
        <v>-65824.975999999995</v>
      </c>
      <c r="F1771">
        <f>VLOOKUP(M1771,'MASS - 2016'!$A$1:$G$3418,7,FALSE)</f>
        <v>52.642000000000003</v>
      </c>
      <c r="G1771">
        <f t="shared" si="141"/>
        <v>-65824.975999999995</v>
      </c>
      <c r="H1771">
        <f t="shared" si="137"/>
        <v>153.92933398208751</v>
      </c>
      <c r="I1771">
        <f t="shared" si="138"/>
        <v>143.384260418</v>
      </c>
      <c r="J1771">
        <f t="shared" si="140"/>
        <v>143353.60041799999</v>
      </c>
      <c r="M1771">
        <f t="shared" si="139"/>
        <v>94060</v>
      </c>
    </row>
    <row r="1772" spans="1:13" x14ac:dyDescent="0.2">
      <c r="A1772">
        <v>93</v>
      </c>
      <c r="B1772">
        <v>61</v>
      </c>
      <c r="C1772">
        <v>154</v>
      </c>
      <c r="D1772" s="51" t="s">
        <v>59</v>
      </c>
      <c r="E1772">
        <f>VLOOKUP(M1772,'MASS - 2016'!$A$1:$G$3418,6,FALSE)</f>
        <v>-68511.975999999995</v>
      </c>
      <c r="F1772">
        <f>VLOOKUP(M1772,'MASS - 2016'!$A$1:$G$3418,7,FALSE)</f>
        <v>46.326000000000001</v>
      </c>
      <c r="G1772">
        <f t="shared" si="141"/>
        <v>-68511.975999999995</v>
      </c>
      <c r="H1772">
        <f t="shared" si="137"/>
        <v>153.9264493689563</v>
      </c>
      <c r="I1772">
        <f t="shared" si="138"/>
        <v>143.38157341799999</v>
      </c>
      <c r="J1772">
        <f t="shared" si="140"/>
        <v>143350.40241799998</v>
      </c>
      <c r="M1772">
        <f t="shared" si="139"/>
        <v>93061</v>
      </c>
    </row>
    <row r="1773" spans="1:13" x14ac:dyDescent="0.2">
      <c r="A1773">
        <v>92</v>
      </c>
      <c r="B1773">
        <v>62</v>
      </c>
      <c r="C1773">
        <v>154</v>
      </c>
      <c r="D1773" s="51" t="s">
        <v>60</v>
      </c>
      <c r="E1773">
        <f>VLOOKUP(M1773,'MASS - 2016'!$A$1:$G$3418,6,FALSE)</f>
        <v>-72455.176000000007</v>
      </c>
      <c r="F1773">
        <f>VLOOKUP(M1773,'MASS - 2016'!$A$1:$G$3418,7,FALSE)</f>
        <v>1.462</v>
      </c>
      <c r="G1773">
        <f t="shared" si="141"/>
        <v>-72455.176000000007</v>
      </c>
      <c r="H1773">
        <f t="shared" si="137"/>
        <v>153.92221616966378</v>
      </c>
      <c r="I1773">
        <f t="shared" si="138"/>
        <v>143.37763021799998</v>
      </c>
      <c r="J1773">
        <f t="shared" si="140"/>
        <v>143345.94821799998</v>
      </c>
      <c r="M1773">
        <f t="shared" si="139"/>
        <v>92062</v>
      </c>
    </row>
    <row r="1774" spans="1:13" x14ac:dyDescent="0.2">
      <c r="A1774">
        <v>91</v>
      </c>
      <c r="B1774">
        <v>63</v>
      </c>
      <c r="C1774">
        <v>154</v>
      </c>
      <c r="D1774" s="51" t="s">
        <v>61</v>
      </c>
      <c r="E1774">
        <f>VLOOKUP(M1774,'MASS - 2016'!$A$1:$G$3418,6,FALSE)</f>
        <v>-71738.120999999999</v>
      </c>
      <c r="F1774">
        <f>VLOOKUP(M1774,'MASS - 2016'!$A$1:$G$3418,7,FALSE)</f>
        <v>1.3460000000000001</v>
      </c>
      <c r="G1774">
        <f t="shared" si="141"/>
        <v>-71738.120999999999</v>
      </c>
      <c r="H1774">
        <f t="shared" si="137"/>
        <v>153.92298595986429</v>
      </c>
      <c r="I1774">
        <f t="shared" si="138"/>
        <v>143.37834727299997</v>
      </c>
      <c r="J1774">
        <f t="shared" si="140"/>
        <v>143346.15427299996</v>
      </c>
      <c r="M1774">
        <f t="shared" si="139"/>
        <v>91063</v>
      </c>
    </row>
    <row r="1775" spans="1:13" x14ac:dyDescent="0.2">
      <c r="A1775">
        <v>90</v>
      </c>
      <c r="B1775">
        <v>64</v>
      </c>
      <c r="C1775">
        <v>154</v>
      </c>
      <c r="D1775" s="51" t="s">
        <v>62</v>
      </c>
      <c r="E1775">
        <f>VLOOKUP(M1775,'MASS - 2016'!$A$1:$G$3418,6,FALSE)</f>
        <v>-73705.953999999998</v>
      </c>
      <c r="F1775">
        <f>VLOOKUP(M1775,'MASS - 2016'!$A$1:$G$3418,7,FALSE)</f>
        <v>1.1970000000000001</v>
      </c>
      <c r="G1775">
        <f t="shared" si="141"/>
        <v>-73705.953999999998</v>
      </c>
      <c r="H1775">
        <f t="shared" si="137"/>
        <v>153.92087340425888</v>
      </c>
      <c r="I1775">
        <f t="shared" si="138"/>
        <v>143.37637943999999</v>
      </c>
      <c r="J1775">
        <f t="shared" si="140"/>
        <v>143343.67543999999</v>
      </c>
      <c r="M1775">
        <f t="shared" si="139"/>
        <v>90064</v>
      </c>
    </row>
    <row r="1776" spans="1:13" x14ac:dyDescent="0.2">
      <c r="A1776">
        <v>89</v>
      </c>
      <c r="B1776">
        <v>65</v>
      </c>
      <c r="C1776">
        <v>154</v>
      </c>
      <c r="D1776" s="51" t="s">
        <v>63</v>
      </c>
      <c r="E1776">
        <f>VLOOKUP(M1776,'MASS - 2016'!$A$1:$G$3418,6,FALSE)</f>
        <v>-70156.303</v>
      </c>
      <c r="F1776">
        <f>VLOOKUP(M1776,'MASS - 2016'!$A$1:$G$3418,7,FALSE)</f>
        <v>45.314</v>
      </c>
      <c r="G1776">
        <f t="shared" si="141"/>
        <v>-70156.303</v>
      </c>
      <c r="H1776">
        <f t="shared" si="137"/>
        <v>153.92468411132467</v>
      </c>
      <c r="I1776">
        <f t="shared" si="138"/>
        <v>143.37992909099998</v>
      </c>
      <c r="J1776">
        <f t="shared" si="140"/>
        <v>143346.71409099997</v>
      </c>
      <c r="M1776">
        <f t="shared" si="139"/>
        <v>89065</v>
      </c>
    </row>
    <row r="1777" spans="1:13" x14ac:dyDescent="0.2">
      <c r="A1777">
        <v>88</v>
      </c>
      <c r="B1777">
        <v>66</v>
      </c>
      <c r="C1777">
        <v>154</v>
      </c>
      <c r="D1777" s="51" t="s">
        <v>64</v>
      </c>
      <c r="E1777">
        <f>VLOOKUP(M1777,'MASS - 2016'!$A$1:$G$3418,6,FALSE)</f>
        <v>-70393.907000000007</v>
      </c>
      <c r="F1777">
        <f>VLOOKUP(M1777,'MASS - 2016'!$A$1:$G$3418,7,FALSE)</f>
        <v>7.4450000000000003</v>
      </c>
      <c r="G1777">
        <f t="shared" si="141"/>
        <v>-70393.907000000007</v>
      </c>
      <c r="H1777">
        <f t="shared" si="137"/>
        <v>153.92442903294042</v>
      </c>
      <c r="I1777">
        <f t="shared" si="138"/>
        <v>143.37969148699997</v>
      </c>
      <c r="J1777">
        <f t="shared" si="140"/>
        <v>143345.96548699998</v>
      </c>
      <c r="M1777">
        <f t="shared" si="139"/>
        <v>88066</v>
      </c>
    </row>
    <row r="1778" spans="1:13" x14ac:dyDescent="0.2">
      <c r="A1778">
        <v>87</v>
      </c>
      <c r="B1778">
        <v>67</v>
      </c>
      <c r="C1778">
        <v>154</v>
      </c>
      <c r="D1778" s="51" t="s">
        <v>65</v>
      </c>
      <c r="E1778">
        <f>VLOOKUP(M1778,'MASS - 2016'!$A$1:$G$3418,6,FALSE)</f>
        <v>-64639.311000000002</v>
      </c>
      <c r="F1778">
        <f>VLOOKUP(M1778,'MASS - 2016'!$A$1:$G$3418,7,FALSE)</f>
        <v>8.2279999999999998</v>
      </c>
      <c r="G1778">
        <f t="shared" si="141"/>
        <v>-64639.311000000002</v>
      </c>
      <c r="H1778">
        <f t="shared" si="137"/>
        <v>153.93060684581218</v>
      </c>
      <c r="I1778">
        <f t="shared" si="138"/>
        <v>143.38544608299998</v>
      </c>
      <c r="J1778">
        <f t="shared" si="140"/>
        <v>143351.20908299999</v>
      </c>
      <c r="M1778">
        <f t="shared" si="139"/>
        <v>87067</v>
      </c>
    </row>
    <row r="1779" spans="1:13" x14ac:dyDescent="0.2">
      <c r="A1779">
        <v>86</v>
      </c>
      <c r="B1779">
        <v>68</v>
      </c>
      <c r="C1779">
        <v>154</v>
      </c>
      <c r="D1779" s="51" t="s">
        <v>66</v>
      </c>
      <c r="E1779">
        <f>VLOOKUP(M1779,'MASS - 2016'!$A$1:$G$3418,6,FALSE)</f>
        <v>-62605.02</v>
      </c>
      <c r="F1779">
        <f>VLOOKUP(M1779,'MASS - 2016'!$A$1:$G$3418,7,FALSE)</f>
        <v>4.9859999999999998</v>
      </c>
      <c r="G1779">
        <f t="shared" si="141"/>
        <v>-62605.02</v>
      </c>
      <c r="H1779">
        <f t="shared" si="137"/>
        <v>153.93279074701474</v>
      </c>
      <c r="I1779">
        <f t="shared" si="138"/>
        <v>143.38748037399998</v>
      </c>
      <c r="J1779">
        <f t="shared" si="140"/>
        <v>143352.73237399998</v>
      </c>
      <c r="M1779">
        <f t="shared" si="139"/>
        <v>86068</v>
      </c>
    </row>
    <row r="1780" spans="1:13" x14ac:dyDescent="0.2">
      <c r="A1780">
        <v>85</v>
      </c>
      <c r="B1780">
        <v>69</v>
      </c>
      <c r="C1780">
        <v>154</v>
      </c>
      <c r="D1780" s="51" t="s">
        <v>67</v>
      </c>
      <c r="E1780">
        <f>VLOOKUP(M1780,'MASS - 2016'!$A$1:$G$3418,6,FALSE)</f>
        <v>-54427.131000000001</v>
      </c>
      <c r="F1780">
        <f>VLOOKUP(M1780,'MASS - 2016'!$A$1:$G$3418,7,FALSE)</f>
        <v>14.412000000000001</v>
      </c>
      <c r="G1780">
        <f t="shared" si="141"/>
        <v>-54427.131000000001</v>
      </c>
      <c r="H1780">
        <f t="shared" si="137"/>
        <v>153.94157007191049</v>
      </c>
      <c r="I1780">
        <f t="shared" si="138"/>
        <v>143.39565826299997</v>
      </c>
      <c r="J1780">
        <f t="shared" si="140"/>
        <v>143360.39926299997</v>
      </c>
      <c r="M1780">
        <f t="shared" si="139"/>
        <v>85069</v>
      </c>
    </row>
    <row r="1781" spans="1:13" x14ac:dyDescent="0.2">
      <c r="A1781">
        <v>84</v>
      </c>
      <c r="B1781">
        <v>70</v>
      </c>
      <c r="C1781">
        <v>154</v>
      </c>
      <c r="D1781" s="51" t="s">
        <v>68</v>
      </c>
      <c r="E1781">
        <f>VLOOKUP(M1781,'MASS - 2016'!$A$1:$G$3418,6,FALSE)</f>
        <v>-49932.082999999999</v>
      </c>
      <c r="F1781">
        <f>VLOOKUP(M1781,'MASS - 2016'!$A$1:$G$3418,7,FALSE)</f>
        <v>17.280999999999999</v>
      </c>
      <c r="G1781">
        <f t="shared" si="141"/>
        <v>-49932.082999999999</v>
      </c>
      <c r="H1781">
        <f t="shared" si="137"/>
        <v>153.94639570439514</v>
      </c>
      <c r="I1781">
        <f t="shared" si="138"/>
        <v>143.400153311</v>
      </c>
      <c r="J1781">
        <f t="shared" si="140"/>
        <v>143364.38331100001</v>
      </c>
      <c r="M1781">
        <f t="shared" si="139"/>
        <v>84070</v>
      </c>
    </row>
    <row r="1782" spans="1:13" x14ac:dyDescent="0.2">
      <c r="A1782">
        <v>83</v>
      </c>
      <c r="B1782">
        <v>71</v>
      </c>
      <c r="C1782">
        <v>154</v>
      </c>
      <c r="D1782" s="51" t="s">
        <v>69</v>
      </c>
      <c r="E1782" t="str">
        <f>VLOOKUP(M1782,'MASS - 2016'!$A$1:$G$3418,6,FALSE)</f>
        <v>-39715#</v>
      </c>
      <c r="F1782" t="str">
        <f>VLOOKUP(M1782,'MASS - 2016'!$A$1:$G$3418,7,FALSE)</f>
        <v>196#</v>
      </c>
      <c r="G1782">
        <f t="shared" si="141"/>
        <v>-39715.01</v>
      </c>
      <c r="H1782">
        <f t="shared" si="137"/>
        <v>153.95736418334499</v>
      </c>
      <c r="I1782">
        <f t="shared" si="138"/>
        <v>143.41037038399998</v>
      </c>
      <c r="J1782">
        <f t="shared" si="140"/>
        <v>143374.08938399999</v>
      </c>
      <c r="M1782">
        <f t="shared" si="139"/>
        <v>83071</v>
      </c>
    </row>
    <row r="1783" spans="1:13" x14ac:dyDescent="0.2">
      <c r="A1783">
        <v>82</v>
      </c>
      <c r="B1783">
        <v>72</v>
      </c>
      <c r="C1783">
        <v>154</v>
      </c>
      <c r="D1783" s="51" t="s">
        <v>70</v>
      </c>
      <c r="E1783" t="str">
        <f>VLOOKUP(M1783,'MASS - 2016'!$A$1:$G$3418,6,FALSE)</f>
        <v>-32670#</v>
      </c>
      <c r="F1783" t="str">
        <f>VLOOKUP(M1783,'MASS - 2016'!$A$1:$G$3418,7,FALSE)</f>
        <v>300#</v>
      </c>
      <c r="G1783">
        <f t="shared" si="141"/>
        <v>-32670.01</v>
      </c>
      <c r="H1783">
        <f t="shared" si="137"/>
        <v>153.96492730188217</v>
      </c>
      <c r="I1783">
        <f t="shared" si="138"/>
        <v>143.41741538399998</v>
      </c>
      <c r="J1783">
        <f t="shared" si="140"/>
        <v>143380.62338400001</v>
      </c>
      <c r="M1783">
        <f t="shared" si="139"/>
        <v>82072</v>
      </c>
    </row>
    <row r="1784" spans="1:13" x14ac:dyDescent="0.2">
      <c r="A1784">
        <v>98</v>
      </c>
      <c r="B1784">
        <v>57</v>
      </c>
      <c r="C1784">
        <v>155</v>
      </c>
      <c r="D1784" s="51" t="s">
        <v>55</v>
      </c>
      <c r="E1784" t="str">
        <f>VLOOKUP(M1784,'MASS - 2016'!$A$1:$G$3418,6,FALSE)</f>
        <v>-37930#</v>
      </c>
      <c r="F1784" t="str">
        <f>VLOOKUP(M1784,'MASS - 2016'!$A$1:$G$3418,7,FALSE)</f>
        <v>400#</v>
      </c>
      <c r="G1784">
        <f t="shared" si="141"/>
        <v>-37930.01</v>
      </c>
      <c r="H1784">
        <f t="shared" si="137"/>
        <v>154.95928045965289</v>
      </c>
      <c r="I1784">
        <f t="shared" si="138"/>
        <v>144.34364944500001</v>
      </c>
      <c r="J1784">
        <f t="shared" si="140"/>
        <v>144314.52244500001</v>
      </c>
      <c r="M1784">
        <f t="shared" si="139"/>
        <v>98057</v>
      </c>
    </row>
    <row r="1785" spans="1:13" x14ac:dyDescent="0.2">
      <c r="A1785">
        <v>97</v>
      </c>
      <c r="B1785">
        <v>58</v>
      </c>
      <c r="C1785">
        <v>155</v>
      </c>
      <c r="D1785" s="51" t="s">
        <v>56</v>
      </c>
      <c r="E1785" t="str">
        <f>VLOOKUP(M1785,'MASS - 2016'!$A$1:$G$3418,6,FALSE)</f>
        <v>-47780#</v>
      </c>
      <c r="F1785" t="str">
        <f>VLOOKUP(M1785,'MASS - 2016'!$A$1:$G$3418,7,FALSE)</f>
        <v>300#</v>
      </c>
      <c r="G1785">
        <f t="shared" si="141"/>
        <v>-47780.01</v>
      </c>
      <c r="H1785">
        <f t="shared" si="137"/>
        <v>154.94870604977481</v>
      </c>
      <c r="I1785">
        <f t="shared" si="138"/>
        <v>144.33379944500001</v>
      </c>
      <c r="J1785">
        <f t="shared" si="140"/>
        <v>144304.16144500001</v>
      </c>
      <c r="M1785">
        <f t="shared" si="139"/>
        <v>97058</v>
      </c>
    </row>
    <row r="1786" spans="1:13" x14ac:dyDescent="0.2">
      <c r="A1786">
        <v>96</v>
      </c>
      <c r="B1786">
        <v>59</v>
      </c>
      <c r="C1786">
        <v>155</v>
      </c>
      <c r="D1786" s="51" t="s">
        <v>57</v>
      </c>
      <c r="E1786">
        <f>VLOOKUP(M1786,'MASS - 2016'!$A$1:$G$3418,6,FALSE)</f>
        <v>-55415.267999999996</v>
      </c>
      <c r="F1786">
        <f>VLOOKUP(M1786,'MASS - 2016'!$A$1:$G$3418,7,FALSE)</f>
        <v>17.198</v>
      </c>
      <c r="G1786">
        <f t="shared" si="141"/>
        <v>-55415.267999999996</v>
      </c>
      <c r="H1786">
        <f t="shared" si="137"/>
        <v>154.94050926321475</v>
      </c>
      <c r="I1786">
        <f t="shared" si="138"/>
        <v>144.32616418700002</v>
      </c>
      <c r="J1786">
        <f t="shared" si="140"/>
        <v>144296.01518700001</v>
      </c>
      <c r="M1786">
        <f t="shared" si="139"/>
        <v>96059</v>
      </c>
    </row>
    <row r="1787" spans="1:13" x14ac:dyDescent="0.2">
      <c r="A1787">
        <v>95</v>
      </c>
      <c r="B1787">
        <v>60</v>
      </c>
      <c r="C1787">
        <v>155</v>
      </c>
      <c r="D1787" s="51" t="s">
        <v>58</v>
      </c>
      <c r="E1787">
        <f>VLOOKUP(M1787,'MASS - 2016'!$A$1:$G$3418,6,FALSE)</f>
        <v>-62283.724000000002</v>
      </c>
      <c r="F1787">
        <f>VLOOKUP(M1787,'MASS - 2016'!$A$1:$G$3418,7,FALSE)</f>
        <v>9.1530000000000005</v>
      </c>
      <c r="G1787">
        <f t="shared" si="141"/>
        <v>-62283.724000000002</v>
      </c>
      <c r="H1787">
        <f t="shared" si="137"/>
        <v>154.93313567245602</v>
      </c>
      <c r="I1787">
        <f t="shared" si="138"/>
        <v>144.31929573100001</v>
      </c>
      <c r="J1787">
        <f t="shared" si="140"/>
        <v>144288.63573100002</v>
      </c>
      <c r="M1787">
        <f t="shared" si="139"/>
        <v>95060</v>
      </c>
    </row>
    <row r="1788" spans="1:13" x14ac:dyDescent="0.2">
      <c r="A1788">
        <v>94</v>
      </c>
      <c r="B1788">
        <v>61</v>
      </c>
      <c r="C1788">
        <v>155</v>
      </c>
      <c r="D1788" s="51" t="s">
        <v>59</v>
      </c>
      <c r="E1788">
        <f>VLOOKUP(M1788,'MASS - 2016'!$A$1:$G$3418,6,FALSE)</f>
        <v>-66939.930999999997</v>
      </c>
      <c r="F1788">
        <f>VLOOKUP(M1788,'MASS - 2016'!$A$1:$G$3418,7,FALSE)</f>
        <v>4.718</v>
      </c>
      <c r="G1788">
        <f t="shared" si="141"/>
        <v>-66939.930999999997</v>
      </c>
      <c r="H1788">
        <f t="shared" si="137"/>
        <v>154.92813702866968</v>
      </c>
      <c r="I1788">
        <f t="shared" si="138"/>
        <v>144.314639524</v>
      </c>
      <c r="J1788">
        <f t="shared" si="140"/>
        <v>144283.468524</v>
      </c>
      <c r="M1788">
        <f t="shared" si="139"/>
        <v>94061</v>
      </c>
    </row>
    <row r="1789" spans="1:13" x14ac:dyDescent="0.2">
      <c r="A1789">
        <v>93</v>
      </c>
      <c r="B1789">
        <v>62</v>
      </c>
      <c r="C1789">
        <v>155</v>
      </c>
      <c r="D1789" s="51" t="s">
        <v>60</v>
      </c>
      <c r="E1789">
        <f>VLOOKUP(M1789,'MASS - 2016'!$A$1:$G$3418,6,FALSE)</f>
        <v>-70190.819000000003</v>
      </c>
      <c r="F1789">
        <f>VLOOKUP(M1789,'MASS - 2016'!$A$1:$G$3418,7,FALSE)</f>
        <v>1.4870000000000001</v>
      </c>
      <c r="G1789">
        <f t="shared" si="141"/>
        <v>-70190.819000000003</v>
      </c>
      <c r="H1789">
        <f t="shared" si="137"/>
        <v>154.92464705687479</v>
      </c>
      <c r="I1789">
        <f t="shared" si="138"/>
        <v>144.311388636</v>
      </c>
      <c r="J1789">
        <f t="shared" si="140"/>
        <v>144279.70663600002</v>
      </c>
      <c r="M1789">
        <f t="shared" si="139"/>
        <v>93062</v>
      </c>
    </row>
    <row r="1790" spans="1:13" x14ac:dyDescent="0.2">
      <c r="A1790">
        <v>92</v>
      </c>
      <c r="B1790">
        <v>63</v>
      </c>
      <c r="C1790">
        <v>155</v>
      </c>
      <c r="D1790" s="51" t="s">
        <v>61</v>
      </c>
      <c r="E1790">
        <f>VLOOKUP(M1790,'MASS - 2016'!$A$1:$G$3418,6,FALSE)</f>
        <v>-71818.092000000004</v>
      </c>
      <c r="F1790">
        <f>VLOOKUP(M1790,'MASS - 2016'!$A$1:$G$3418,7,FALSE)</f>
        <v>1.401</v>
      </c>
      <c r="G1790">
        <f t="shared" si="141"/>
        <v>-71818.092000000004</v>
      </c>
      <c r="H1790">
        <f t="shared" si="137"/>
        <v>154.9229001074651</v>
      </c>
      <c r="I1790">
        <f t="shared" si="138"/>
        <v>144.30976136300001</v>
      </c>
      <c r="J1790">
        <f t="shared" si="140"/>
        <v>144277.568363</v>
      </c>
      <c r="M1790">
        <f t="shared" si="139"/>
        <v>92063</v>
      </c>
    </row>
    <row r="1791" spans="1:13" x14ac:dyDescent="0.2">
      <c r="A1791">
        <v>91</v>
      </c>
      <c r="B1791">
        <v>64</v>
      </c>
      <c r="C1791">
        <v>155</v>
      </c>
      <c r="D1791" s="51" t="s">
        <v>62</v>
      </c>
      <c r="E1791">
        <f>VLOOKUP(M1791,'MASS - 2016'!$A$1:$G$3418,6,FALSE)</f>
        <v>-72069.88</v>
      </c>
      <c r="F1791">
        <f>VLOOKUP(M1791,'MASS - 2016'!$A$1:$G$3418,7,FALSE)</f>
        <v>1.1910000000000001</v>
      </c>
      <c r="G1791">
        <f t="shared" si="141"/>
        <v>-72069.88</v>
      </c>
      <c r="H1791">
        <f t="shared" si="137"/>
        <v>154.92262980193067</v>
      </c>
      <c r="I1791">
        <f t="shared" si="138"/>
        <v>144.30950957500002</v>
      </c>
      <c r="J1791">
        <f t="shared" si="140"/>
        <v>144276.80557500003</v>
      </c>
      <c r="M1791">
        <f t="shared" si="139"/>
        <v>91064</v>
      </c>
    </row>
    <row r="1792" spans="1:13" x14ac:dyDescent="0.2">
      <c r="A1792">
        <v>90</v>
      </c>
      <c r="B1792">
        <v>65</v>
      </c>
      <c r="C1792">
        <v>155</v>
      </c>
      <c r="D1792" s="51" t="s">
        <v>63</v>
      </c>
      <c r="E1792">
        <f>VLOOKUP(M1792,'MASS - 2016'!$A$1:$G$3418,6,FALSE)</f>
        <v>-71250.05</v>
      </c>
      <c r="F1792">
        <f>VLOOKUP(M1792,'MASS - 2016'!$A$1:$G$3418,7,FALSE)</f>
        <v>9.8490000000000002</v>
      </c>
      <c r="G1792">
        <f t="shared" si="141"/>
        <v>-71250.05</v>
      </c>
      <c r="H1792">
        <f t="shared" si="137"/>
        <v>154.92350992563118</v>
      </c>
      <c r="I1792">
        <f t="shared" si="138"/>
        <v>144.310329405</v>
      </c>
      <c r="J1792">
        <f t="shared" si="140"/>
        <v>144277.114405</v>
      </c>
      <c r="M1792">
        <f t="shared" si="139"/>
        <v>90065</v>
      </c>
    </row>
    <row r="1793" spans="1:13" x14ac:dyDescent="0.2">
      <c r="A1793">
        <v>89</v>
      </c>
      <c r="B1793">
        <v>66</v>
      </c>
      <c r="C1793">
        <v>155</v>
      </c>
      <c r="D1793" s="51" t="s">
        <v>64</v>
      </c>
      <c r="E1793">
        <f>VLOOKUP(M1793,'MASS - 2016'!$A$1:$G$3418,6,FALSE)</f>
        <v>-69155.55</v>
      </c>
      <c r="F1793">
        <f>VLOOKUP(M1793,'MASS - 2016'!$A$1:$G$3418,7,FALSE)</f>
        <v>9.6649999999999991</v>
      </c>
      <c r="G1793">
        <f t="shared" si="141"/>
        <v>-69155.55</v>
      </c>
      <c r="H1793">
        <f t="shared" si="137"/>
        <v>154.9257584638535</v>
      </c>
      <c r="I1793">
        <f t="shared" si="138"/>
        <v>144.312423905</v>
      </c>
      <c r="J1793">
        <f t="shared" si="140"/>
        <v>144278.69790500001</v>
      </c>
      <c r="M1793">
        <f t="shared" si="139"/>
        <v>89066</v>
      </c>
    </row>
    <row r="1794" spans="1:13" x14ac:dyDescent="0.2">
      <c r="A1794">
        <v>88</v>
      </c>
      <c r="B1794">
        <v>67</v>
      </c>
      <c r="C1794">
        <v>155</v>
      </c>
      <c r="D1794" s="51" t="s">
        <v>65</v>
      </c>
      <c r="E1794">
        <f>VLOOKUP(M1794,'MASS - 2016'!$A$1:$G$3418,6,FALSE)</f>
        <v>-66039.539000000004</v>
      </c>
      <c r="F1794">
        <f>VLOOKUP(M1794,'MASS - 2016'!$A$1:$G$3418,7,FALSE)</f>
        <v>17.474</v>
      </c>
      <c r="G1794">
        <f t="shared" si="141"/>
        <v>-66039.539000000004</v>
      </c>
      <c r="H1794">
        <f t="shared" si="137"/>
        <v>154.92910363923406</v>
      </c>
      <c r="I1794">
        <f t="shared" si="138"/>
        <v>144.31553991600001</v>
      </c>
      <c r="J1794">
        <f t="shared" si="140"/>
        <v>144281.30291600002</v>
      </c>
      <c r="M1794">
        <f t="shared" si="139"/>
        <v>88067</v>
      </c>
    </row>
    <row r="1795" spans="1:13" x14ac:dyDescent="0.2">
      <c r="A1795">
        <v>87</v>
      </c>
      <c r="B1795">
        <v>68</v>
      </c>
      <c r="C1795">
        <v>155</v>
      </c>
      <c r="D1795" s="51" t="s">
        <v>66</v>
      </c>
      <c r="E1795">
        <f>VLOOKUP(M1795,'MASS - 2016'!$A$1:$G$3418,6,FALSE)</f>
        <v>-62209.188999999998</v>
      </c>
      <c r="F1795">
        <f>VLOOKUP(M1795,'MASS - 2016'!$A$1:$G$3418,7,FALSE)</f>
        <v>6.0979999999999999</v>
      </c>
      <c r="G1795">
        <f t="shared" si="141"/>
        <v>-62209.188999999998</v>
      </c>
      <c r="H1795">
        <f t="shared" si="137"/>
        <v>154.93321568906924</v>
      </c>
      <c r="I1795">
        <f t="shared" si="138"/>
        <v>144.31937026600002</v>
      </c>
      <c r="J1795">
        <f t="shared" si="140"/>
        <v>144284.62226600002</v>
      </c>
      <c r="M1795">
        <f t="shared" si="139"/>
        <v>87068</v>
      </c>
    </row>
    <row r="1796" spans="1:13" x14ac:dyDescent="0.2">
      <c r="A1796">
        <v>86</v>
      </c>
      <c r="B1796">
        <v>69</v>
      </c>
      <c r="C1796">
        <v>155</v>
      </c>
      <c r="D1796" s="51" t="s">
        <v>67</v>
      </c>
      <c r="E1796">
        <f>VLOOKUP(M1796,'MASS - 2016'!$A$1:$G$3418,6,FALSE)</f>
        <v>-56625.913</v>
      </c>
      <c r="F1796">
        <f>VLOOKUP(M1796,'MASS - 2016'!$A$1:$G$3418,7,FALSE)</f>
        <v>9.9250000000000007</v>
      </c>
      <c r="G1796">
        <f t="shared" si="141"/>
        <v>-56625.913</v>
      </c>
      <c r="H1796">
        <f t="shared" si="137"/>
        <v>154.93920958235719</v>
      </c>
      <c r="I1796">
        <f t="shared" si="138"/>
        <v>144.324953542</v>
      </c>
      <c r="J1796">
        <f t="shared" si="140"/>
        <v>144289.69454200001</v>
      </c>
      <c r="M1796">
        <f t="shared" si="139"/>
        <v>86069</v>
      </c>
    </row>
    <row r="1797" spans="1:13" x14ac:dyDescent="0.2">
      <c r="A1797">
        <v>85</v>
      </c>
      <c r="B1797">
        <v>70</v>
      </c>
      <c r="C1797">
        <v>155</v>
      </c>
      <c r="D1797" s="51" t="s">
        <v>68</v>
      </c>
      <c r="E1797">
        <f>VLOOKUP(M1797,'MASS - 2016'!$A$1:$G$3418,6,FALSE)</f>
        <v>-50502.608</v>
      </c>
      <c r="F1797">
        <f>VLOOKUP(M1797,'MASS - 2016'!$A$1:$G$3418,7,FALSE)</f>
        <v>16.600000000000001</v>
      </c>
      <c r="G1797">
        <f t="shared" si="141"/>
        <v>-50502.608</v>
      </c>
      <c r="H1797">
        <f t="shared" si="137"/>
        <v>154.94578322061898</v>
      </c>
      <c r="I1797">
        <f t="shared" si="138"/>
        <v>144.33107684700002</v>
      </c>
      <c r="J1797">
        <f t="shared" si="140"/>
        <v>144295.30684700003</v>
      </c>
      <c r="M1797">
        <f t="shared" si="139"/>
        <v>85070</v>
      </c>
    </row>
    <row r="1798" spans="1:13" x14ac:dyDescent="0.2">
      <c r="A1798">
        <v>84</v>
      </c>
      <c r="B1798">
        <v>71</v>
      </c>
      <c r="C1798">
        <v>155</v>
      </c>
      <c r="D1798" s="51" t="s">
        <v>69</v>
      </c>
      <c r="E1798">
        <f>VLOOKUP(M1798,'MASS - 2016'!$A$1:$G$3418,6,FALSE)</f>
        <v>-42545.046999999999</v>
      </c>
      <c r="F1798">
        <f>VLOOKUP(M1798,'MASS - 2016'!$A$1:$G$3418,7,FALSE)</f>
        <v>19.245999999999999</v>
      </c>
      <c r="G1798">
        <f t="shared" si="141"/>
        <v>-42545.046999999999</v>
      </c>
      <c r="H1798">
        <f t="shared" si="137"/>
        <v>154.95432601367924</v>
      </c>
      <c r="I1798">
        <f t="shared" si="138"/>
        <v>144.339034408</v>
      </c>
      <c r="J1798">
        <f t="shared" si="140"/>
        <v>144302.75340800002</v>
      </c>
      <c r="M1798">
        <f t="shared" si="139"/>
        <v>84071</v>
      </c>
    </row>
    <row r="1799" spans="1:13" x14ac:dyDescent="0.2">
      <c r="A1799">
        <v>83</v>
      </c>
      <c r="B1799">
        <v>72</v>
      </c>
      <c r="C1799">
        <v>155</v>
      </c>
      <c r="D1799" s="51" t="s">
        <v>70</v>
      </c>
      <c r="E1799" t="str">
        <f>VLOOKUP(M1799,'MASS - 2016'!$A$1:$G$3418,6,FALSE)</f>
        <v>-34170#</v>
      </c>
      <c r="F1799" t="str">
        <f>VLOOKUP(M1799,'MASS - 2016'!$A$1:$G$3418,7,FALSE)</f>
        <v>298#</v>
      </c>
      <c r="G1799">
        <f t="shared" si="141"/>
        <v>-34170.01</v>
      </c>
      <c r="H1799">
        <f t="shared" si="137"/>
        <v>154.96331698565712</v>
      </c>
      <c r="I1799">
        <f t="shared" si="138"/>
        <v>144.34740944500001</v>
      </c>
      <c r="J1799">
        <f t="shared" si="140"/>
        <v>144310.61744500001</v>
      </c>
      <c r="M1799">
        <f t="shared" si="139"/>
        <v>83072</v>
      </c>
    </row>
    <row r="1800" spans="1:13" x14ac:dyDescent="0.2">
      <c r="A1800">
        <v>98</v>
      </c>
      <c r="B1800">
        <v>58</v>
      </c>
      <c r="C1800">
        <v>156</v>
      </c>
      <c r="D1800" s="51" t="s">
        <v>56</v>
      </c>
      <c r="E1800" t="str">
        <f>VLOOKUP(M1800,'MASS - 2016'!$A$1:$G$3418,6,FALSE)</f>
        <v>-44820#</v>
      </c>
      <c r="F1800" t="str">
        <f>VLOOKUP(M1800,'MASS - 2016'!$A$1:$G$3418,7,FALSE)</f>
        <v>300#</v>
      </c>
      <c r="G1800">
        <f t="shared" si="141"/>
        <v>-44820.01</v>
      </c>
      <c r="H1800">
        <f t="shared" si="137"/>
        <v>155.95188374045898</v>
      </c>
      <c r="I1800">
        <f t="shared" si="138"/>
        <v>145.26825350600001</v>
      </c>
      <c r="J1800">
        <f t="shared" si="140"/>
        <v>145238.615506</v>
      </c>
      <c r="M1800">
        <f t="shared" si="139"/>
        <v>98058</v>
      </c>
    </row>
    <row r="1801" spans="1:13" x14ac:dyDescent="0.2">
      <c r="A1801">
        <v>97</v>
      </c>
      <c r="B1801">
        <v>59</v>
      </c>
      <c r="C1801">
        <v>156</v>
      </c>
      <c r="D1801" s="51" t="s">
        <v>57</v>
      </c>
      <c r="E1801" t="str">
        <f>VLOOKUP(M1801,'MASS - 2016'!$A$1:$G$3418,6,FALSE)</f>
        <v>-51568#</v>
      </c>
      <c r="F1801" t="str">
        <f>VLOOKUP(M1801,'MASS - 2016'!$A$1:$G$3418,7,FALSE)</f>
        <v>200#</v>
      </c>
      <c r="G1801">
        <f t="shared" si="141"/>
        <v>-51568.01</v>
      </c>
      <c r="H1801">
        <f t="shared" ref="H1801:H1864" si="142">(C1801*$A$3+G1801/1000000)/$A$3</f>
        <v>155.94463946453439</v>
      </c>
      <c r="I1801">
        <f t="shared" ref="I1801:I1864" si="143">H1801*$A$3</f>
        <v>145.26150550599999</v>
      </c>
      <c r="J1801">
        <f t="shared" si="140"/>
        <v>145231.35650599998</v>
      </c>
      <c r="M1801">
        <f t="shared" ref="M1801:M1864" si="144">1000*A1801+B1801</f>
        <v>97059</v>
      </c>
    </row>
    <row r="1802" spans="1:13" x14ac:dyDescent="0.2">
      <c r="A1802">
        <v>96</v>
      </c>
      <c r="B1802">
        <v>60</v>
      </c>
      <c r="C1802">
        <v>156</v>
      </c>
      <c r="D1802" s="51" t="s">
        <v>58</v>
      </c>
      <c r="E1802">
        <f>VLOOKUP(M1802,'MASS - 2016'!$A$1:$G$3418,6,FALSE)</f>
        <v>-60473.644</v>
      </c>
      <c r="F1802">
        <f>VLOOKUP(M1802,'MASS - 2016'!$A$1:$G$3418,7,FALSE)</f>
        <v>200.03299999999999</v>
      </c>
      <c r="G1802">
        <f t="shared" si="141"/>
        <v>-60473.644</v>
      </c>
      <c r="H1802">
        <f t="shared" si="142"/>
        <v>155.93507887325111</v>
      </c>
      <c r="I1802">
        <f t="shared" si="143"/>
        <v>145.25259987199999</v>
      </c>
      <c r="J1802">
        <f t="shared" si="140"/>
        <v>145221.93987199999</v>
      </c>
      <c r="M1802">
        <f t="shared" si="144"/>
        <v>96060</v>
      </c>
    </row>
    <row r="1803" spans="1:13" x14ac:dyDescent="0.2">
      <c r="A1803">
        <v>95</v>
      </c>
      <c r="B1803">
        <v>61</v>
      </c>
      <c r="C1803">
        <v>156</v>
      </c>
      <c r="D1803" s="51" t="s">
        <v>59</v>
      </c>
      <c r="E1803">
        <f>VLOOKUP(M1803,'MASS - 2016'!$A$1:$G$3418,6,FALSE)</f>
        <v>-64163.644</v>
      </c>
      <c r="F1803">
        <f>VLOOKUP(M1803,'MASS - 2016'!$A$1:$G$3418,7,FALSE)</f>
        <v>3.6309999999999998</v>
      </c>
      <c r="G1803">
        <f t="shared" si="141"/>
        <v>-64163.644</v>
      </c>
      <c r="H1803">
        <f t="shared" si="142"/>
        <v>155.93111749533745</v>
      </c>
      <c r="I1803">
        <f t="shared" si="143"/>
        <v>145.24890987200001</v>
      </c>
      <c r="J1803">
        <f t="shared" si="140"/>
        <v>145217.73887200002</v>
      </c>
      <c r="M1803">
        <f t="shared" si="144"/>
        <v>95061</v>
      </c>
    </row>
    <row r="1804" spans="1:13" x14ac:dyDescent="0.2">
      <c r="A1804">
        <v>94</v>
      </c>
      <c r="B1804">
        <v>62</v>
      </c>
      <c r="C1804">
        <v>156</v>
      </c>
      <c r="D1804" s="51" t="s">
        <v>60</v>
      </c>
      <c r="E1804">
        <f>VLOOKUP(M1804,'MASS - 2016'!$A$1:$G$3418,6,FALSE)</f>
        <v>-69360.429999999993</v>
      </c>
      <c r="F1804">
        <f>VLOOKUP(M1804,'MASS - 2016'!$A$1:$G$3418,7,FALSE)</f>
        <v>8.5459999999999994</v>
      </c>
      <c r="G1804">
        <f t="shared" si="141"/>
        <v>-69360.429999999993</v>
      </c>
      <c r="H1804">
        <f t="shared" si="142"/>
        <v>155.92553851612803</v>
      </c>
      <c r="I1804">
        <f t="shared" si="143"/>
        <v>145.24371308600001</v>
      </c>
      <c r="J1804">
        <f t="shared" ref="J1804:J1867" si="145">1000*I1804-B1804*0.511</f>
        <v>145212.031086</v>
      </c>
      <c r="M1804">
        <f t="shared" si="144"/>
        <v>94062</v>
      </c>
    </row>
    <row r="1805" spans="1:13" x14ac:dyDescent="0.2">
      <c r="A1805">
        <v>93</v>
      </c>
      <c r="B1805">
        <v>63</v>
      </c>
      <c r="C1805">
        <v>156</v>
      </c>
      <c r="D1805" s="51" t="s">
        <v>61</v>
      </c>
      <c r="E1805">
        <f>VLOOKUP(M1805,'MASS - 2016'!$A$1:$G$3418,6,FALSE)</f>
        <v>-70082.547999999995</v>
      </c>
      <c r="F1805">
        <f>VLOOKUP(M1805,'MASS - 2016'!$A$1:$G$3418,7,FALSE)</f>
        <v>3.59</v>
      </c>
      <c r="G1805">
        <f t="shared" si="141"/>
        <v>-70082.547999999995</v>
      </c>
      <c r="H1805">
        <f t="shared" si="142"/>
        <v>155.92476329057348</v>
      </c>
      <c r="I1805">
        <f t="shared" si="143"/>
        <v>145.24299096800002</v>
      </c>
      <c r="J1805">
        <f t="shared" si="145"/>
        <v>145210.79796800003</v>
      </c>
      <c r="M1805">
        <f t="shared" si="144"/>
        <v>93063</v>
      </c>
    </row>
    <row r="1806" spans="1:13" x14ac:dyDescent="0.2">
      <c r="A1806">
        <v>92</v>
      </c>
      <c r="B1806">
        <v>64</v>
      </c>
      <c r="C1806">
        <v>156</v>
      </c>
      <c r="D1806" s="51" t="s">
        <v>62</v>
      </c>
      <c r="E1806">
        <f>VLOOKUP(M1806,'MASS - 2016'!$A$1:$G$3418,6,FALSE)</f>
        <v>-72534.914000000004</v>
      </c>
      <c r="F1806">
        <f>VLOOKUP(M1806,'MASS - 2016'!$A$1:$G$3418,7,FALSE)</f>
        <v>1.19</v>
      </c>
      <c r="G1806">
        <f t="shared" si="141"/>
        <v>-72534.914000000004</v>
      </c>
      <c r="H1806">
        <f t="shared" si="142"/>
        <v>155.92213056740039</v>
      </c>
      <c r="I1806">
        <f t="shared" si="143"/>
        <v>145.24053860200002</v>
      </c>
      <c r="J1806">
        <f t="shared" si="145"/>
        <v>145207.83460200002</v>
      </c>
      <c r="M1806">
        <f t="shared" si="144"/>
        <v>92064</v>
      </c>
    </row>
    <row r="1807" spans="1:13" x14ac:dyDescent="0.2">
      <c r="A1807">
        <v>91</v>
      </c>
      <c r="B1807">
        <v>65</v>
      </c>
      <c r="C1807">
        <v>156</v>
      </c>
      <c r="D1807" s="51" t="s">
        <v>63</v>
      </c>
      <c r="E1807">
        <f>VLOOKUP(M1807,'MASS - 2016'!$A$1:$G$3418,6,FALSE)</f>
        <v>-70090.797000000006</v>
      </c>
      <c r="F1807">
        <f>VLOOKUP(M1807,'MASS - 2016'!$A$1:$G$3418,7,FALSE)</f>
        <v>3.8140000000000001</v>
      </c>
      <c r="G1807">
        <f t="shared" ref="G1807:G1870" si="146">IF(ISNUMBER(E1807),E1807,VALUE(SUBSTITUTE(E1807,"#",".01")))</f>
        <v>-70090.797000000006</v>
      </c>
      <c r="H1807">
        <f t="shared" si="142"/>
        <v>155.92475443490778</v>
      </c>
      <c r="I1807">
        <f t="shared" si="143"/>
        <v>145.242982719</v>
      </c>
      <c r="J1807">
        <f t="shared" si="145"/>
        <v>145209.767719</v>
      </c>
      <c r="M1807">
        <f t="shared" si="144"/>
        <v>91065</v>
      </c>
    </row>
    <row r="1808" spans="1:13" x14ac:dyDescent="0.2">
      <c r="A1808">
        <v>90</v>
      </c>
      <c r="B1808">
        <v>66</v>
      </c>
      <c r="C1808">
        <v>156</v>
      </c>
      <c r="D1808" s="51" t="s">
        <v>64</v>
      </c>
      <c r="E1808">
        <f>VLOOKUP(M1808,'MASS - 2016'!$A$1:$G$3418,6,FALSE)</f>
        <v>-70528.964000000007</v>
      </c>
      <c r="F1808">
        <f>VLOOKUP(M1808,'MASS - 2016'!$A$1:$G$3418,7,FALSE)</f>
        <v>1.194</v>
      </c>
      <c r="G1808">
        <f t="shared" si="146"/>
        <v>-70528.964000000007</v>
      </c>
      <c r="H1808">
        <f t="shared" si="142"/>
        <v>155.92428404328817</v>
      </c>
      <c r="I1808">
        <f t="shared" si="143"/>
        <v>145.242544552</v>
      </c>
      <c r="J1808">
        <f t="shared" si="145"/>
        <v>145208.81855200001</v>
      </c>
      <c r="M1808">
        <f t="shared" si="144"/>
        <v>90066</v>
      </c>
    </row>
    <row r="1809" spans="1:13" x14ac:dyDescent="0.2">
      <c r="A1809">
        <v>89</v>
      </c>
      <c r="B1809">
        <v>67</v>
      </c>
      <c r="C1809">
        <v>156</v>
      </c>
      <c r="D1809" s="51" t="s">
        <v>65</v>
      </c>
      <c r="E1809">
        <f>VLOOKUP(M1809,'MASS - 2016'!$A$1:$G$3418,6,FALSE)</f>
        <v>-65478.964</v>
      </c>
      <c r="F1809">
        <f>VLOOKUP(M1809,'MASS - 2016'!$A$1:$G$3418,7,FALSE)</f>
        <v>60.012</v>
      </c>
      <c r="G1809">
        <f t="shared" si="146"/>
        <v>-65478.964</v>
      </c>
      <c r="H1809">
        <f t="shared" si="142"/>
        <v>155.92970544124597</v>
      </c>
      <c r="I1809">
        <f t="shared" si="143"/>
        <v>145.24759455200001</v>
      </c>
      <c r="J1809">
        <f t="shared" si="145"/>
        <v>145213.357552</v>
      </c>
      <c r="M1809">
        <f t="shared" si="144"/>
        <v>89067</v>
      </c>
    </row>
    <row r="1810" spans="1:13" x14ac:dyDescent="0.2">
      <c r="A1810">
        <v>88</v>
      </c>
      <c r="B1810">
        <v>68</v>
      </c>
      <c r="C1810">
        <v>156</v>
      </c>
      <c r="D1810" s="51" t="s">
        <v>66</v>
      </c>
      <c r="E1810">
        <f>VLOOKUP(M1810,'MASS - 2016'!$A$1:$G$3418,6,FALSE)</f>
        <v>-64211.709000000003</v>
      </c>
      <c r="F1810">
        <f>VLOOKUP(M1810,'MASS - 2016'!$A$1:$G$3418,7,FALSE)</f>
        <v>24.629000000000001</v>
      </c>
      <c r="G1810">
        <f t="shared" si="146"/>
        <v>-64211.709000000003</v>
      </c>
      <c r="H1810">
        <f t="shared" si="142"/>
        <v>155.93106589543785</v>
      </c>
      <c r="I1810">
        <f t="shared" si="143"/>
        <v>145.248861807</v>
      </c>
      <c r="J1810">
        <f t="shared" si="145"/>
        <v>145214.11380700002</v>
      </c>
      <c r="M1810">
        <f t="shared" si="144"/>
        <v>88068</v>
      </c>
    </row>
    <row r="1811" spans="1:13" x14ac:dyDescent="0.2">
      <c r="A1811">
        <v>87</v>
      </c>
      <c r="B1811">
        <v>69</v>
      </c>
      <c r="C1811">
        <v>156</v>
      </c>
      <c r="D1811" s="51" t="s">
        <v>67</v>
      </c>
      <c r="E1811">
        <f>VLOOKUP(M1811,'MASS - 2016'!$A$1:$G$3418,6,FALSE)</f>
        <v>-56834.55</v>
      </c>
      <c r="F1811">
        <f>VLOOKUP(M1811,'MASS - 2016'!$A$1:$G$3418,7,FALSE)</f>
        <v>14.279</v>
      </c>
      <c r="G1811">
        <f t="shared" si="146"/>
        <v>-56834.55</v>
      </c>
      <c r="H1811">
        <f t="shared" si="142"/>
        <v>155.93898560132635</v>
      </c>
      <c r="I1811">
        <f t="shared" si="143"/>
        <v>145.25623896600001</v>
      </c>
      <c r="J1811">
        <f t="shared" si="145"/>
        <v>145220.97996600001</v>
      </c>
      <c r="M1811">
        <f t="shared" si="144"/>
        <v>87069</v>
      </c>
    </row>
    <row r="1812" spans="1:13" x14ac:dyDescent="0.2">
      <c r="A1812">
        <v>86</v>
      </c>
      <c r="B1812">
        <v>70</v>
      </c>
      <c r="C1812">
        <v>156</v>
      </c>
      <c r="D1812" s="51" t="s">
        <v>68</v>
      </c>
      <c r="E1812">
        <f>VLOOKUP(M1812,'MASS - 2016'!$A$1:$G$3418,6,FALSE)</f>
        <v>-53265.720999999998</v>
      </c>
      <c r="F1812">
        <f>VLOOKUP(M1812,'MASS - 2016'!$A$1:$G$3418,7,FALSE)</f>
        <v>9.3079999999999998</v>
      </c>
      <c r="G1812">
        <f t="shared" si="146"/>
        <v>-53265.720999999998</v>
      </c>
      <c r="H1812">
        <f t="shared" si="142"/>
        <v>155.94281689682185</v>
      </c>
      <c r="I1812">
        <f t="shared" si="143"/>
        <v>145.259807795</v>
      </c>
      <c r="J1812">
        <f t="shared" si="145"/>
        <v>145224.03779500001</v>
      </c>
      <c r="M1812">
        <f t="shared" si="144"/>
        <v>86070</v>
      </c>
    </row>
    <row r="1813" spans="1:13" x14ac:dyDescent="0.2">
      <c r="A1813">
        <v>85</v>
      </c>
      <c r="B1813">
        <v>71</v>
      </c>
      <c r="C1813">
        <v>156</v>
      </c>
      <c r="D1813" s="51" t="s">
        <v>69</v>
      </c>
      <c r="E1813">
        <f>VLOOKUP(M1813,'MASS - 2016'!$A$1:$G$3418,6,FALSE)</f>
        <v>-43699.544000000002</v>
      </c>
      <c r="F1813">
        <f>VLOOKUP(M1813,'MASS - 2016'!$A$1:$G$3418,7,FALSE)</f>
        <v>54.122</v>
      </c>
      <c r="G1813">
        <f t="shared" si="146"/>
        <v>-43699.544000000002</v>
      </c>
      <c r="H1813">
        <f t="shared" si="142"/>
        <v>155.95308661017862</v>
      </c>
      <c r="I1813">
        <f t="shared" si="143"/>
        <v>145.26937397200001</v>
      </c>
      <c r="J1813">
        <f t="shared" si="145"/>
        <v>145233.09297200001</v>
      </c>
      <c r="M1813">
        <f t="shared" si="144"/>
        <v>85071</v>
      </c>
    </row>
    <row r="1814" spans="1:13" x14ac:dyDescent="0.2">
      <c r="A1814">
        <v>84</v>
      </c>
      <c r="B1814">
        <v>72</v>
      </c>
      <c r="C1814">
        <v>156</v>
      </c>
      <c r="D1814" s="51" t="s">
        <v>70</v>
      </c>
      <c r="E1814">
        <f>VLOOKUP(M1814,'MASS - 2016'!$A$1:$G$3418,6,FALSE)</f>
        <v>-37816.896000000001</v>
      </c>
      <c r="F1814">
        <f>VLOOKUP(M1814,'MASS - 2016'!$A$1:$G$3418,7,FALSE)</f>
        <v>149.75700000000001</v>
      </c>
      <c r="G1814">
        <f t="shared" si="146"/>
        <v>-37816.896000000001</v>
      </c>
      <c r="H1814">
        <f t="shared" si="142"/>
        <v>155.95940189252585</v>
      </c>
      <c r="I1814">
        <f t="shared" si="143"/>
        <v>145.27525661999999</v>
      </c>
      <c r="J1814">
        <f t="shared" si="145"/>
        <v>145238.46462000001</v>
      </c>
      <c r="M1814">
        <f t="shared" si="144"/>
        <v>84072</v>
      </c>
    </row>
    <row r="1815" spans="1:13" x14ac:dyDescent="0.2">
      <c r="A1815">
        <v>83</v>
      </c>
      <c r="B1815">
        <v>73</v>
      </c>
      <c r="C1815">
        <v>156</v>
      </c>
      <c r="D1815" s="51" t="s">
        <v>71</v>
      </c>
      <c r="E1815" t="str">
        <f>VLOOKUP(M1815,'MASS - 2016'!$A$1:$G$3418,6,FALSE)</f>
        <v>-25861#</v>
      </c>
      <c r="F1815" t="str">
        <f>VLOOKUP(M1815,'MASS - 2016'!$A$1:$G$3418,7,FALSE)</f>
        <v>298#</v>
      </c>
      <c r="G1815">
        <f t="shared" si="146"/>
        <v>-25861.01</v>
      </c>
      <c r="H1815">
        <f t="shared" si="142"/>
        <v>155.97223706399993</v>
      </c>
      <c r="I1815">
        <f t="shared" si="143"/>
        <v>145.287212506</v>
      </c>
      <c r="J1815">
        <f t="shared" si="145"/>
        <v>145249.909506</v>
      </c>
      <c r="M1815">
        <f t="shared" si="144"/>
        <v>83073</v>
      </c>
    </row>
    <row r="1816" spans="1:13" x14ac:dyDescent="0.2">
      <c r="A1816">
        <v>99</v>
      </c>
      <c r="B1816">
        <v>58</v>
      </c>
      <c r="C1816">
        <v>157</v>
      </c>
      <c r="D1816" s="51" t="s">
        <v>56</v>
      </c>
      <c r="E1816" t="str">
        <f>VLOOKUP(M1816,'MASS - 2016'!$A$1:$G$3418,6,FALSE)</f>
        <v>-39930#</v>
      </c>
      <c r="F1816" t="str">
        <f>VLOOKUP(M1816,'MASS - 2016'!$A$1:$G$3418,7,FALSE)</f>
        <v>400#</v>
      </c>
      <c r="G1816">
        <f t="shared" si="146"/>
        <v>-39930.01</v>
      </c>
      <c r="H1816">
        <f t="shared" si="142"/>
        <v>156.95713337135274</v>
      </c>
      <c r="I1816">
        <f t="shared" si="143"/>
        <v>146.20463756699999</v>
      </c>
      <c r="J1816">
        <f t="shared" si="145"/>
        <v>146174.99956699999</v>
      </c>
      <c r="M1816">
        <f t="shared" si="144"/>
        <v>99058</v>
      </c>
    </row>
    <row r="1817" spans="1:13" x14ac:dyDescent="0.2">
      <c r="A1817">
        <v>98</v>
      </c>
      <c r="B1817">
        <v>59</v>
      </c>
      <c r="C1817">
        <v>157</v>
      </c>
      <c r="D1817" s="51" t="s">
        <v>57</v>
      </c>
      <c r="E1817" t="str">
        <f>VLOOKUP(M1817,'MASS - 2016'!$A$1:$G$3418,6,FALSE)</f>
        <v>-48540#</v>
      </c>
      <c r="F1817" t="str">
        <f>VLOOKUP(M1817,'MASS - 2016'!$A$1:$G$3418,7,FALSE)</f>
        <v>300#</v>
      </c>
      <c r="G1817">
        <f t="shared" si="146"/>
        <v>-48540.01</v>
      </c>
      <c r="H1817">
        <f t="shared" si="142"/>
        <v>156.94789015622075</v>
      </c>
      <c r="I1817">
        <f t="shared" si="143"/>
        <v>146.19602756699999</v>
      </c>
      <c r="J1817">
        <f t="shared" si="145"/>
        <v>146165.87856699998</v>
      </c>
      <c r="M1817">
        <f t="shared" si="144"/>
        <v>98059</v>
      </c>
    </row>
    <row r="1818" spans="1:13" x14ac:dyDescent="0.2">
      <c r="A1818">
        <v>97</v>
      </c>
      <c r="B1818">
        <v>60</v>
      </c>
      <c r="C1818">
        <v>157</v>
      </c>
      <c r="D1818" s="51" t="s">
        <v>58</v>
      </c>
      <c r="E1818">
        <f>VLOOKUP(M1818,'MASS - 2016'!$A$1:$G$3418,6,FALSE)</f>
        <v>-56461.542999999998</v>
      </c>
      <c r="F1818">
        <f>VLOOKUP(M1818,'MASS - 2016'!$A$1:$G$3418,7,FALSE)</f>
        <v>24.917999999999999</v>
      </c>
      <c r="G1818">
        <f t="shared" si="146"/>
        <v>-56461.542999999998</v>
      </c>
      <c r="H1818">
        <f t="shared" si="142"/>
        <v>156.9393860408091</v>
      </c>
      <c r="I1818">
        <f t="shared" si="143"/>
        <v>146.18810603399999</v>
      </c>
      <c r="J1818">
        <f t="shared" si="145"/>
        <v>146157.44603399999</v>
      </c>
      <c r="M1818">
        <f t="shared" si="144"/>
        <v>97060</v>
      </c>
    </row>
    <row r="1819" spans="1:13" x14ac:dyDescent="0.2">
      <c r="A1819">
        <v>96</v>
      </c>
      <c r="B1819">
        <v>61</v>
      </c>
      <c r="C1819">
        <v>157</v>
      </c>
      <c r="D1819" s="51" t="s">
        <v>59</v>
      </c>
      <c r="E1819">
        <f>VLOOKUP(M1819,'MASS - 2016'!$A$1:$G$3418,6,FALSE)</f>
        <v>-62297.042999999998</v>
      </c>
      <c r="F1819">
        <f>VLOOKUP(M1819,'MASS - 2016'!$A$1:$G$3418,7,FALSE)</f>
        <v>7.0060000000000002</v>
      </c>
      <c r="G1819">
        <f t="shared" si="146"/>
        <v>-62297.042999999998</v>
      </c>
      <c r="H1819">
        <f t="shared" si="142"/>
        <v>156.93312137392147</v>
      </c>
      <c r="I1819">
        <f t="shared" si="143"/>
        <v>146.182270534</v>
      </c>
      <c r="J1819">
        <f t="shared" si="145"/>
        <v>146151.09953400001</v>
      </c>
      <c r="M1819">
        <f t="shared" si="144"/>
        <v>96061</v>
      </c>
    </row>
    <row r="1820" spans="1:13" x14ac:dyDescent="0.2">
      <c r="A1820">
        <v>95</v>
      </c>
      <c r="B1820">
        <v>62</v>
      </c>
      <c r="C1820">
        <v>157</v>
      </c>
      <c r="D1820" s="51" t="s">
        <v>60</v>
      </c>
      <c r="E1820">
        <f>VLOOKUP(M1820,'MASS - 2016'!$A$1:$G$3418,6,FALSE)</f>
        <v>-66677.577000000005</v>
      </c>
      <c r="F1820">
        <f>VLOOKUP(M1820,'MASS - 2016'!$A$1:$G$3418,7,FALSE)</f>
        <v>4.4329999999999998</v>
      </c>
      <c r="G1820">
        <f t="shared" si="146"/>
        <v>-66677.577000000005</v>
      </c>
      <c r="H1820">
        <f t="shared" si="142"/>
        <v>156.92841867727162</v>
      </c>
      <c r="I1820">
        <f t="shared" si="143"/>
        <v>146.17788999999999</v>
      </c>
      <c r="J1820">
        <f t="shared" si="145"/>
        <v>146146.20799999998</v>
      </c>
      <c r="M1820">
        <f t="shared" si="144"/>
        <v>95062</v>
      </c>
    </row>
    <row r="1821" spans="1:13" x14ac:dyDescent="0.2">
      <c r="A1821">
        <v>94</v>
      </c>
      <c r="B1821">
        <v>63</v>
      </c>
      <c r="C1821">
        <v>157</v>
      </c>
      <c r="D1821" s="51" t="s">
        <v>61</v>
      </c>
      <c r="E1821">
        <f>VLOOKUP(M1821,'MASS - 2016'!$A$1:$G$3418,6,FALSE)</f>
        <v>-69458.907999999996</v>
      </c>
      <c r="F1821">
        <f>VLOOKUP(M1821,'MASS - 2016'!$A$1:$G$3418,7,FALSE)</f>
        <v>4.2590000000000003</v>
      </c>
      <c r="G1821">
        <f t="shared" si="146"/>
        <v>-69458.907999999996</v>
      </c>
      <c r="H1821">
        <f t="shared" si="142"/>
        <v>156.9254327956472</v>
      </c>
      <c r="I1821">
        <f t="shared" si="143"/>
        <v>146.175108669</v>
      </c>
      <c r="J1821">
        <f t="shared" si="145"/>
        <v>146142.91566900001</v>
      </c>
      <c r="M1821">
        <f t="shared" si="144"/>
        <v>94063</v>
      </c>
    </row>
    <row r="1822" spans="1:13" x14ac:dyDescent="0.2">
      <c r="A1822">
        <v>93</v>
      </c>
      <c r="B1822">
        <v>64</v>
      </c>
      <c r="C1822">
        <v>157</v>
      </c>
      <c r="D1822" s="51" t="s">
        <v>62</v>
      </c>
      <c r="E1822">
        <f>VLOOKUP(M1822,'MASS - 2016'!$A$1:$G$3418,6,FALSE)</f>
        <v>-70823.472999999998</v>
      </c>
      <c r="F1822">
        <f>VLOOKUP(M1822,'MASS - 2016'!$A$1:$G$3418,7,FALSE)</f>
        <v>1.1890000000000001</v>
      </c>
      <c r="G1822">
        <f t="shared" si="146"/>
        <v>-70823.472999999998</v>
      </c>
      <c r="H1822">
        <f t="shared" si="142"/>
        <v>156.92396787487411</v>
      </c>
      <c r="I1822">
        <f t="shared" si="143"/>
        <v>146.17374410400001</v>
      </c>
      <c r="J1822">
        <f t="shared" si="145"/>
        <v>146141.04010400001</v>
      </c>
      <c r="M1822">
        <f t="shared" si="144"/>
        <v>93064</v>
      </c>
    </row>
    <row r="1823" spans="1:13" x14ac:dyDescent="0.2">
      <c r="A1823">
        <v>92</v>
      </c>
      <c r="B1823">
        <v>65</v>
      </c>
      <c r="C1823">
        <v>157</v>
      </c>
      <c r="D1823" s="51" t="s">
        <v>63</v>
      </c>
      <c r="E1823">
        <f>VLOOKUP(M1823,'MASS - 2016'!$A$1:$G$3418,6,FALSE)</f>
        <v>-70763.429999999993</v>
      </c>
      <c r="F1823">
        <f>VLOOKUP(M1823,'MASS - 2016'!$A$1:$G$3418,7,FALSE)</f>
        <v>1.222</v>
      </c>
      <c r="G1823">
        <f t="shared" si="146"/>
        <v>-70763.429999999993</v>
      </c>
      <c r="H1823">
        <f t="shared" si="142"/>
        <v>156.92403233368549</v>
      </c>
      <c r="I1823">
        <f t="shared" si="143"/>
        <v>146.173804147</v>
      </c>
      <c r="J1823">
        <f t="shared" si="145"/>
        <v>146140.58914699999</v>
      </c>
      <c r="M1823">
        <f t="shared" si="144"/>
        <v>92065</v>
      </c>
    </row>
    <row r="1824" spans="1:13" x14ac:dyDescent="0.2">
      <c r="A1824">
        <v>91</v>
      </c>
      <c r="B1824">
        <v>66</v>
      </c>
      <c r="C1824">
        <v>157</v>
      </c>
      <c r="D1824" s="51" t="s">
        <v>64</v>
      </c>
      <c r="E1824">
        <f>VLOOKUP(M1824,'MASS - 2016'!$A$1:$G$3418,6,FALSE)</f>
        <v>-69424.558000000005</v>
      </c>
      <c r="F1824">
        <f>VLOOKUP(M1824,'MASS - 2016'!$A$1:$G$3418,7,FALSE)</f>
        <v>5.1769999999999996</v>
      </c>
      <c r="G1824">
        <f t="shared" si="146"/>
        <v>-69424.558000000005</v>
      </c>
      <c r="H1824">
        <f t="shared" si="142"/>
        <v>156.92546967188875</v>
      </c>
      <c r="I1824">
        <f t="shared" si="143"/>
        <v>146.17514301899999</v>
      </c>
      <c r="J1824">
        <f t="shared" si="145"/>
        <v>146141.41701899999</v>
      </c>
      <c r="M1824">
        <f t="shared" si="144"/>
        <v>91066</v>
      </c>
    </row>
    <row r="1825" spans="1:13" x14ac:dyDescent="0.2">
      <c r="A1825">
        <v>90</v>
      </c>
      <c r="B1825">
        <v>67</v>
      </c>
      <c r="C1825">
        <v>157</v>
      </c>
      <c r="D1825" s="51" t="s">
        <v>65</v>
      </c>
      <c r="E1825">
        <f>VLOOKUP(M1825,'MASS - 2016'!$A$1:$G$3418,6,FALSE)</f>
        <v>-66832.831999999995</v>
      </c>
      <c r="F1825">
        <f>VLOOKUP(M1825,'MASS - 2016'!$A$1:$G$3418,7,FALSE)</f>
        <v>23.469000000000001</v>
      </c>
      <c r="G1825">
        <f t="shared" si="146"/>
        <v>-66832.831999999995</v>
      </c>
      <c r="H1825">
        <f t="shared" si="142"/>
        <v>156.92825200417462</v>
      </c>
      <c r="I1825">
        <f t="shared" si="143"/>
        <v>146.17773474500001</v>
      </c>
      <c r="J1825">
        <f t="shared" si="145"/>
        <v>146143.49774500003</v>
      </c>
      <c r="M1825">
        <f t="shared" si="144"/>
        <v>90067</v>
      </c>
    </row>
    <row r="1826" spans="1:13" x14ac:dyDescent="0.2">
      <c r="A1826">
        <v>89</v>
      </c>
      <c r="B1826">
        <v>68</v>
      </c>
      <c r="C1826">
        <v>157</v>
      </c>
      <c r="D1826" s="51" t="s">
        <v>66</v>
      </c>
      <c r="E1826">
        <f>VLOOKUP(M1826,'MASS - 2016'!$A$1:$G$3418,6,FALSE)</f>
        <v>-63413.639000000003</v>
      </c>
      <c r="F1826">
        <f>VLOOKUP(M1826,'MASS - 2016'!$A$1:$G$3418,7,FALSE)</f>
        <v>26.504999999999999</v>
      </c>
      <c r="G1826">
        <f t="shared" si="146"/>
        <v>-63413.639000000003</v>
      </c>
      <c r="H1826">
        <f t="shared" si="142"/>
        <v>156.93192265881768</v>
      </c>
      <c r="I1826">
        <f t="shared" si="143"/>
        <v>146.18115393799999</v>
      </c>
      <c r="J1826">
        <f t="shared" si="145"/>
        <v>146146.40593800001</v>
      </c>
      <c r="M1826">
        <f t="shared" si="144"/>
        <v>89068</v>
      </c>
    </row>
    <row r="1827" spans="1:13" x14ac:dyDescent="0.2">
      <c r="A1827">
        <v>88</v>
      </c>
      <c r="B1827">
        <v>69</v>
      </c>
      <c r="C1827">
        <v>157</v>
      </c>
      <c r="D1827" s="51" t="s">
        <v>67</v>
      </c>
      <c r="E1827">
        <f>VLOOKUP(M1827,'MASS - 2016'!$A$1:$G$3418,6,FALSE)</f>
        <v>-58709.273000000001</v>
      </c>
      <c r="F1827">
        <f>VLOOKUP(M1827,'MASS - 2016'!$A$1:$G$3418,7,FALSE)</f>
        <v>27.945</v>
      </c>
      <c r="G1827">
        <f t="shared" si="146"/>
        <v>-58709.273000000001</v>
      </c>
      <c r="H1827">
        <f t="shared" si="142"/>
        <v>156.93697300341671</v>
      </c>
      <c r="I1827">
        <f t="shared" si="143"/>
        <v>146.18585830399999</v>
      </c>
      <c r="J1827">
        <f t="shared" si="145"/>
        <v>146150.599304</v>
      </c>
      <c r="M1827">
        <f t="shared" si="144"/>
        <v>88069</v>
      </c>
    </row>
    <row r="1828" spans="1:13" x14ac:dyDescent="0.2">
      <c r="A1828">
        <v>87</v>
      </c>
      <c r="B1828">
        <v>70</v>
      </c>
      <c r="C1828">
        <v>157</v>
      </c>
      <c r="D1828" s="51" t="s">
        <v>68</v>
      </c>
      <c r="E1828">
        <f>VLOOKUP(M1828,'MASS - 2016'!$A$1:$G$3418,6,FALSE)</f>
        <v>-53421.898000000001</v>
      </c>
      <c r="F1828">
        <f>VLOOKUP(M1828,'MASS - 2016'!$A$1:$G$3418,7,FALSE)</f>
        <v>10.92</v>
      </c>
      <c r="G1828">
        <f t="shared" si="146"/>
        <v>-53421.898000000001</v>
      </c>
      <c r="H1828">
        <f t="shared" si="142"/>
        <v>156.94264923391711</v>
      </c>
      <c r="I1828">
        <f t="shared" si="143"/>
        <v>146.19114567899999</v>
      </c>
      <c r="J1828">
        <f t="shared" si="145"/>
        <v>146155.37567899999</v>
      </c>
      <c r="M1828">
        <f t="shared" si="144"/>
        <v>87070</v>
      </c>
    </row>
    <row r="1829" spans="1:13" x14ac:dyDescent="0.2">
      <c r="A1829">
        <v>86</v>
      </c>
      <c r="B1829">
        <v>71</v>
      </c>
      <c r="C1829">
        <v>157</v>
      </c>
      <c r="D1829" s="51" t="s">
        <v>69</v>
      </c>
      <c r="E1829">
        <f>VLOOKUP(M1829,'MASS - 2016'!$A$1:$G$3418,6,FALSE)</f>
        <v>-46440.523000000001</v>
      </c>
      <c r="F1829">
        <f>VLOOKUP(M1829,'MASS - 2016'!$A$1:$G$3418,7,FALSE)</f>
        <v>12.077999999999999</v>
      </c>
      <c r="G1829">
        <f t="shared" si="146"/>
        <v>-46440.523000000001</v>
      </c>
      <c r="H1829">
        <f t="shared" si="142"/>
        <v>156.95014404820773</v>
      </c>
      <c r="I1829">
        <f t="shared" si="143"/>
        <v>146.198127054</v>
      </c>
      <c r="J1829">
        <f t="shared" si="145"/>
        <v>146161.84605399999</v>
      </c>
      <c r="M1829">
        <f t="shared" si="144"/>
        <v>86071</v>
      </c>
    </row>
    <row r="1830" spans="1:13" x14ac:dyDescent="0.2">
      <c r="A1830">
        <v>85</v>
      </c>
      <c r="B1830">
        <v>72</v>
      </c>
      <c r="C1830">
        <v>157</v>
      </c>
      <c r="D1830" s="51" t="s">
        <v>70</v>
      </c>
      <c r="E1830" t="str">
        <f>VLOOKUP(M1830,'MASS - 2016'!$A$1:$G$3418,6,FALSE)</f>
        <v>-38903#</v>
      </c>
      <c r="F1830" t="str">
        <f>VLOOKUP(M1830,'MASS - 2016'!$A$1:$G$3418,7,FALSE)</f>
        <v>196#</v>
      </c>
      <c r="G1830">
        <f t="shared" si="146"/>
        <v>-38903.01</v>
      </c>
      <c r="H1830">
        <f t="shared" si="142"/>
        <v>156.95823590119485</v>
      </c>
      <c r="I1830">
        <f t="shared" si="143"/>
        <v>146.20566456699999</v>
      </c>
      <c r="J1830">
        <f t="shared" si="145"/>
        <v>146168.87256700001</v>
      </c>
      <c r="M1830">
        <f t="shared" si="144"/>
        <v>85072</v>
      </c>
    </row>
    <row r="1831" spans="1:13" x14ac:dyDescent="0.2">
      <c r="A1831">
        <v>84</v>
      </c>
      <c r="B1831">
        <v>73</v>
      </c>
      <c r="C1831">
        <v>157</v>
      </c>
      <c r="D1831" s="51" t="s">
        <v>71</v>
      </c>
      <c r="E1831">
        <f>VLOOKUP(M1831,'MASS - 2016'!$A$1:$G$3418,6,FALSE)</f>
        <v>-29593.33</v>
      </c>
      <c r="F1831">
        <f>VLOOKUP(M1831,'MASS - 2016'!$A$1:$G$3418,7,FALSE)</f>
        <v>150.06899999999999</v>
      </c>
      <c r="G1831">
        <f t="shared" si="146"/>
        <v>-29593.33</v>
      </c>
      <c r="H1831">
        <f t="shared" si="142"/>
        <v>156.96823025369775</v>
      </c>
      <c r="I1831">
        <f t="shared" si="143"/>
        <v>146.21497424699999</v>
      </c>
      <c r="J1831">
        <f t="shared" si="145"/>
        <v>146177.67124699996</v>
      </c>
      <c r="M1831">
        <f t="shared" si="144"/>
        <v>84073</v>
      </c>
    </row>
    <row r="1832" spans="1:13" x14ac:dyDescent="0.2">
      <c r="A1832">
        <v>99</v>
      </c>
      <c r="B1832">
        <v>59</v>
      </c>
      <c r="C1832">
        <v>158</v>
      </c>
      <c r="D1832" s="51" t="s">
        <v>57</v>
      </c>
      <c r="E1832" t="str">
        <f>VLOOKUP(M1832,'MASS - 2016'!$A$1:$G$3418,6,FALSE)</f>
        <v>-44330#</v>
      </c>
      <c r="F1832" t="str">
        <f>VLOOKUP(M1832,'MASS - 2016'!$A$1:$G$3418,7,FALSE)</f>
        <v>300#</v>
      </c>
      <c r="G1832">
        <f t="shared" si="146"/>
        <v>-44330.01</v>
      </c>
      <c r="H1832">
        <f t="shared" si="142"/>
        <v>157.9524097770925</v>
      </c>
      <c r="I1832">
        <f t="shared" si="143"/>
        <v>147.13173162799998</v>
      </c>
      <c r="J1832">
        <f t="shared" si="145"/>
        <v>147101.58262799997</v>
      </c>
      <c r="M1832">
        <f t="shared" si="144"/>
        <v>99059</v>
      </c>
    </row>
    <row r="1833" spans="1:13" x14ac:dyDescent="0.2">
      <c r="A1833">
        <v>98</v>
      </c>
      <c r="B1833">
        <v>60</v>
      </c>
      <c r="C1833">
        <v>158</v>
      </c>
      <c r="D1833" s="51" t="s">
        <v>58</v>
      </c>
      <c r="E1833" t="str">
        <f>VLOOKUP(M1833,'MASS - 2016'!$A$1:$G$3418,6,FALSE)</f>
        <v>-54055#</v>
      </c>
      <c r="F1833" t="str">
        <f>VLOOKUP(M1833,'MASS - 2016'!$A$1:$G$3418,7,FALSE)</f>
        <v>200#</v>
      </c>
      <c r="G1833">
        <f t="shared" si="146"/>
        <v>-54055.01</v>
      </c>
      <c r="H1833">
        <f t="shared" si="142"/>
        <v>157.94196956023316</v>
      </c>
      <c r="I1833">
        <f t="shared" si="143"/>
        <v>147.12200662799998</v>
      </c>
      <c r="J1833">
        <f t="shared" si="145"/>
        <v>147091.34662799997</v>
      </c>
      <c r="M1833">
        <f t="shared" si="144"/>
        <v>98060</v>
      </c>
    </row>
    <row r="1834" spans="1:13" x14ac:dyDescent="0.2">
      <c r="A1834">
        <v>97</v>
      </c>
      <c r="B1834">
        <v>61</v>
      </c>
      <c r="C1834">
        <v>158</v>
      </c>
      <c r="D1834" s="51" t="s">
        <v>59</v>
      </c>
      <c r="E1834">
        <f>VLOOKUP(M1834,'MASS - 2016'!$A$1:$G$3418,6,FALSE)</f>
        <v>-59089.209000000003</v>
      </c>
      <c r="F1834">
        <f>VLOOKUP(M1834,'MASS - 2016'!$A$1:$G$3418,7,FALSE)</f>
        <v>13.452999999999999</v>
      </c>
      <c r="G1834">
        <f t="shared" si="146"/>
        <v>-59089.209000000003</v>
      </c>
      <c r="H1834">
        <f t="shared" si="142"/>
        <v>157.9365651253465</v>
      </c>
      <c r="I1834">
        <f t="shared" si="143"/>
        <v>147.11697242899999</v>
      </c>
      <c r="J1834">
        <f t="shared" si="145"/>
        <v>147085.80142899998</v>
      </c>
      <c r="M1834">
        <f t="shared" si="144"/>
        <v>97061</v>
      </c>
    </row>
    <row r="1835" spans="1:13" x14ac:dyDescent="0.2">
      <c r="A1835">
        <v>96</v>
      </c>
      <c r="B1835">
        <v>62</v>
      </c>
      <c r="C1835">
        <v>158</v>
      </c>
      <c r="D1835" s="51" t="s">
        <v>60</v>
      </c>
      <c r="E1835">
        <f>VLOOKUP(M1835,'MASS - 2016'!$A$1:$G$3418,6,FALSE)</f>
        <v>-65250.243000000002</v>
      </c>
      <c r="F1835">
        <f>VLOOKUP(M1835,'MASS - 2016'!$A$1:$G$3418,7,FALSE)</f>
        <v>4.8920000000000003</v>
      </c>
      <c r="G1835">
        <f t="shared" si="146"/>
        <v>-65250.243000000002</v>
      </c>
      <c r="H1835">
        <f t="shared" si="142"/>
        <v>157.92995098333751</v>
      </c>
      <c r="I1835">
        <f t="shared" si="143"/>
        <v>147.11081139499998</v>
      </c>
      <c r="J1835">
        <f t="shared" si="145"/>
        <v>147079.129395</v>
      </c>
      <c r="M1835">
        <f t="shared" si="144"/>
        <v>96062</v>
      </c>
    </row>
    <row r="1836" spans="1:13" x14ac:dyDescent="0.2">
      <c r="A1836">
        <v>95</v>
      </c>
      <c r="B1836">
        <v>63</v>
      </c>
      <c r="C1836">
        <v>158</v>
      </c>
      <c r="D1836" s="51" t="s">
        <v>61</v>
      </c>
      <c r="E1836">
        <f>VLOOKUP(M1836,'MASS - 2016'!$A$1:$G$3418,6,FALSE)</f>
        <v>-67255.187999999995</v>
      </c>
      <c r="F1836">
        <f>VLOOKUP(M1836,'MASS - 2016'!$A$1:$G$3418,7,FALSE)</f>
        <v>10.255000000000001</v>
      </c>
      <c r="G1836">
        <f t="shared" si="146"/>
        <v>-67255.187999999995</v>
      </c>
      <c r="H1836">
        <f t="shared" si="142"/>
        <v>157.92779858636158</v>
      </c>
      <c r="I1836">
        <f t="shared" si="143"/>
        <v>147.10880645</v>
      </c>
      <c r="J1836">
        <f t="shared" si="145"/>
        <v>147076.61345</v>
      </c>
      <c r="M1836">
        <f t="shared" si="144"/>
        <v>95063</v>
      </c>
    </row>
    <row r="1837" spans="1:13" x14ac:dyDescent="0.2">
      <c r="A1837">
        <v>94</v>
      </c>
      <c r="B1837">
        <v>64</v>
      </c>
      <c r="C1837">
        <v>158</v>
      </c>
      <c r="D1837" s="51" t="s">
        <v>62</v>
      </c>
      <c r="E1837">
        <f>VLOOKUP(M1837,'MASS - 2016'!$A$1:$G$3418,6,FALSE)</f>
        <v>-70689.546000000002</v>
      </c>
      <c r="F1837">
        <f>VLOOKUP(M1837,'MASS - 2016'!$A$1:$G$3418,7,FALSE)</f>
        <v>1.1890000000000001</v>
      </c>
      <c r="G1837">
        <f t="shared" si="146"/>
        <v>-70689.546000000002</v>
      </c>
      <c r="H1837">
        <f t="shared" si="142"/>
        <v>157.92411165142144</v>
      </c>
      <c r="I1837">
        <f t="shared" si="143"/>
        <v>147.10537209199998</v>
      </c>
      <c r="J1837">
        <f t="shared" si="145"/>
        <v>147072.66809199998</v>
      </c>
      <c r="M1837">
        <f t="shared" si="144"/>
        <v>94064</v>
      </c>
    </row>
    <row r="1838" spans="1:13" x14ac:dyDescent="0.2">
      <c r="A1838">
        <v>93</v>
      </c>
      <c r="B1838">
        <v>65</v>
      </c>
      <c r="C1838">
        <v>158</v>
      </c>
      <c r="D1838" s="51" t="s">
        <v>63</v>
      </c>
      <c r="E1838">
        <f>VLOOKUP(M1838,'MASS - 2016'!$A$1:$G$3418,6,FALSE)</f>
        <v>-69470.668000000005</v>
      </c>
      <c r="F1838">
        <f>VLOOKUP(M1838,'MASS - 2016'!$A$1:$G$3418,7,FALSE)</f>
        <v>1.401</v>
      </c>
      <c r="G1838">
        <f t="shared" si="146"/>
        <v>-69470.668000000005</v>
      </c>
      <c r="H1838">
        <f t="shared" si="142"/>
        <v>157.92542017076798</v>
      </c>
      <c r="I1838">
        <f t="shared" si="143"/>
        <v>147.10659096999998</v>
      </c>
      <c r="J1838">
        <f t="shared" si="145"/>
        <v>147073.37596999999</v>
      </c>
      <c r="M1838">
        <f t="shared" si="144"/>
        <v>93065</v>
      </c>
    </row>
    <row r="1839" spans="1:13" x14ac:dyDescent="0.2">
      <c r="A1839">
        <v>92</v>
      </c>
      <c r="B1839">
        <v>66</v>
      </c>
      <c r="C1839">
        <v>158</v>
      </c>
      <c r="D1839" s="51" t="s">
        <v>64</v>
      </c>
      <c r="E1839">
        <f>VLOOKUP(M1839,'MASS - 2016'!$A$1:$G$3418,6,FALSE)</f>
        <v>-70407.349000000002</v>
      </c>
      <c r="F1839">
        <f>VLOOKUP(M1839,'MASS - 2016'!$A$1:$G$3418,7,FALSE)</f>
        <v>2.3650000000000002</v>
      </c>
      <c r="G1839">
        <f t="shared" si="146"/>
        <v>-70407.349000000002</v>
      </c>
      <c r="H1839">
        <f t="shared" si="142"/>
        <v>157.92441460235997</v>
      </c>
      <c r="I1839">
        <f t="shared" si="143"/>
        <v>147.105654289</v>
      </c>
      <c r="J1839">
        <f t="shared" si="145"/>
        <v>147071.928289</v>
      </c>
      <c r="M1839">
        <f t="shared" si="144"/>
        <v>92066</v>
      </c>
    </row>
    <row r="1840" spans="1:13" x14ac:dyDescent="0.2">
      <c r="A1840">
        <v>91</v>
      </c>
      <c r="B1840">
        <v>67</v>
      </c>
      <c r="C1840">
        <v>158</v>
      </c>
      <c r="D1840" s="51" t="s">
        <v>65</v>
      </c>
      <c r="E1840">
        <f>VLOOKUP(M1840,'MASS - 2016'!$A$1:$G$3418,6,FALSE)</f>
        <v>-66187.592999999993</v>
      </c>
      <c r="F1840">
        <f>VLOOKUP(M1840,'MASS - 2016'!$A$1:$G$3418,7,FALSE)</f>
        <v>27.108000000000001</v>
      </c>
      <c r="G1840">
        <f t="shared" si="146"/>
        <v>-66187.592999999993</v>
      </c>
      <c r="H1840">
        <f t="shared" si="142"/>
        <v>157.92894469672845</v>
      </c>
      <c r="I1840">
        <f t="shared" si="143"/>
        <v>147.109874045</v>
      </c>
      <c r="J1840">
        <f t="shared" si="145"/>
        <v>147075.63704500001</v>
      </c>
      <c r="M1840">
        <f t="shared" si="144"/>
        <v>91067</v>
      </c>
    </row>
    <row r="1841" spans="1:13" x14ac:dyDescent="0.2">
      <c r="A1841">
        <v>90</v>
      </c>
      <c r="B1841">
        <v>68</v>
      </c>
      <c r="C1841">
        <v>158</v>
      </c>
      <c r="D1841" s="51" t="s">
        <v>66</v>
      </c>
      <c r="E1841">
        <f>VLOOKUP(M1841,'MASS - 2016'!$A$1:$G$3418,6,FALSE)</f>
        <v>-65303.807999999997</v>
      </c>
      <c r="F1841">
        <f>VLOOKUP(M1841,'MASS - 2016'!$A$1:$G$3418,7,FALSE)</f>
        <v>25.219000000000001</v>
      </c>
      <c r="G1841">
        <f t="shared" si="146"/>
        <v>-65303.807999999997</v>
      </c>
      <c r="H1841">
        <f t="shared" si="142"/>
        <v>157.9298934789451</v>
      </c>
      <c r="I1841">
        <f t="shared" si="143"/>
        <v>147.11075782999998</v>
      </c>
      <c r="J1841">
        <f t="shared" si="145"/>
        <v>147076.00983</v>
      </c>
      <c r="M1841">
        <f t="shared" si="144"/>
        <v>90068</v>
      </c>
    </row>
    <row r="1842" spans="1:13" x14ac:dyDescent="0.2">
      <c r="A1842">
        <v>89</v>
      </c>
      <c r="B1842">
        <v>69</v>
      </c>
      <c r="C1842">
        <v>158</v>
      </c>
      <c r="D1842" s="51" t="s">
        <v>67</v>
      </c>
      <c r="E1842">
        <f>VLOOKUP(M1842,'MASS - 2016'!$A$1:$G$3418,6,FALSE)</f>
        <v>-58703.194000000003</v>
      </c>
      <c r="F1842">
        <f>VLOOKUP(M1842,'MASS - 2016'!$A$1:$G$3418,7,FALSE)</f>
        <v>25.219000000000001</v>
      </c>
      <c r="G1842">
        <f t="shared" si="146"/>
        <v>-58703.194000000003</v>
      </c>
      <c r="H1842">
        <f t="shared" si="142"/>
        <v>157.93697952949159</v>
      </c>
      <c r="I1842">
        <f t="shared" si="143"/>
        <v>147.11735844399999</v>
      </c>
      <c r="J1842">
        <f t="shared" si="145"/>
        <v>147082.09944399999</v>
      </c>
      <c r="M1842">
        <f t="shared" si="144"/>
        <v>89069</v>
      </c>
    </row>
    <row r="1843" spans="1:13" x14ac:dyDescent="0.2">
      <c r="A1843">
        <v>88</v>
      </c>
      <c r="B1843">
        <v>70</v>
      </c>
      <c r="C1843">
        <v>158</v>
      </c>
      <c r="D1843" s="51" t="s">
        <v>68</v>
      </c>
      <c r="E1843">
        <f>VLOOKUP(M1843,'MASS - 2016'!$A$1:$G$3418,6,FALSE)</f>
        <v>-56010.237000000001</v>
      </c>
      <c r="F1843">
        <f>VLOOKUP(M1843,'MASS - 2016'!$A$1:$G$3418,7,FALSE)</f>
        <v>7.9939999999999998</v>
      </c>
      <c r="G1843">
        <f t="shared" si="146"/>
        <v>-56010.237000000001</v>
      </c>
      <c r="H1843">
        <f t="shared" si="142"/>
        <v>157.93987053772528</v>
      </c>
      <c r="I1843">
        <f t="shared" si="143"/>
        <v>147.12005140099998</v>
      </c>
      <c r="J1843">
        <f t="shared" si="145"/>
        <v>147084.28140099999</v>
      </c>
      <c r="M1843">
        <f t="shared" si="144"/>
        <v>88070</v>
      </c>
    </row>
    <row r="1844" spans="1:13" x14ac:dyDescent="0.2">
      <c r="A1844">
        <v>87</v>
      </c>
      <c r="B1844">
        <v>71</v>
      </c>
      <c r="C1844">
        <v>158</v>
      </c>
      <c r="D1844" s="51" t="s">
        <v>69</v>
      </c>
      <c r="E1844">
        <f>VLOOKUP(M1844,'MASS - 2016'!$A$1:$G$3418,6,FALSE)</f>
        <v>-47212.19</v>
      </c>
      <c r="F1844">
        <f>VLOOKUP(M1844,'MASS - 2016'!$A$1:$G$3418,7,FALSE)</f>
        <v>15.125</v>
      </c>
      <c r="G1844">
        <f t="shared" si="146"/>
        <v>-47212.19</v>
      </c>
      <c r="H1844">
        <f t="shared" si="142"/>
        <v>157.94931562961406</v>
      </c>
      <c r="I1844">
        <f t="shared" si="143"/>
        <v>147.12884944799998</v>
      </c>
      <c r="J1844">
        <f t="shared" si="145"/>
        <v>147092.56844800001</v>
      </c>
      <c r="M1844">
        <f t="shared" si="144"/>
        <v>87071</v>
      </c>
    </row>
    <row r="1845" spans="1:13" x14ac:dyDescent="0.2">
      <c r="A1845">
        <v>86</v>
      </c>
      <c r="B1845">
        <v>72</v>
      </c>
      <c r="C1845">
        <v>158</v>
      </c>
      <c r="D1845" s="51" t="s">
        <v>70</v>
      </c>
      <c r="E1845">
        <f>VLOOKUP(M1845,'MASS - 2016'!$A$1:$G$3418,6,FALSE)</f>
        <v>-42102.39</v>
      </c>
      <c r="F1845">
        <f>VLOOKUP(M1845,'MASS - 2016'!$A$1:$G$3418,7,FALSE)</f>
        <v>17.494</v>
      </c>
      <c r="G1845">
        <f t="shared" si="146"/>
        <v>-42102.39</v>
      </c>
      <c r="H1845">
        <f t="shared" si="142"/>
        <v>157.95480122551206</v>
      </c>
      <c r="I1845">
        <f t="shared" si="143"/>
        <v>147.133959248</v>
      </c>
      <c r="J1845">
        <f t="shared" si="145"/>
        <v>147097.16724800001</v>
      </c>
      <c r="M1845">
        <f t="shared" si="144"/>
        <v>86072</v>
      </c>
    </row>
    <row r="1846" spans="1:13" x14ac:dyDescent="0.2">
      <c r="A1846">
        <v>85</v>
      </c>
      <c r="B1846">
        <v>73</v>
      </c>
      <c r="C1846">
        <v>158</v>
      </c>
      <c r="D1846" s="51" t="s">
        <v>71</v>
      </c>
      <c r="E1846" t="str">
        <f>VLOOKUP(M1846,'MASS - 2016'!$A$1:$G$3418,6,FALSE)</f>
        <v>-31167#</v>
      </c>
      <c r="F1846" t="str">
        <f>VLOOKUP(M1846,'MASS - 2016'!$A$1:$G$3418,7,FALSE)</f>
        <v>196#</v>
      </c>
      <c r="G1846">
        <f t="shared" si="146"/>
        <v>-31167.01</v>
      </c>
      <c r="H1846">
        <f t="shared" si="142"/>
        <v>157.96654083873972</v>
      </c>
      <c r="I1846">
        <f t="shared" si="143"/>
        <v>147.144894628</v>
      </c>
      <c r="J1846">
        <f t="shared" si="145"/>
        <v>147107.59162799999</v>
      </c>
      <c r="M1846">
        <f t="shared" si="144"/>
        <v>85073</v>
      </c>
    </row>
    <row r="1847" spans="1:13" x14ac:dyDescent="0.2">
      <c r="A1847">
        <v>84</v>
      </c>
      <c r="B1847">
        <v>74</v>
      </c>
      <c r="C1847">
        <v>158</v>
      </c>
      <c r="D1847" s="51" t="s">
        <v>72</v>
      </c>
      <c r="E1847" t="str">
        <f>VLOOKUP(M1847,'MASS - 2016'!$A$1:$G$3418,6,FALSE)</f>
        <v>-23633#</v>
      </c>
      <c r="F1847" t="str">
        <f>VLOOKUP(M1847,'MASS - 2016'!$A$1:$G$3418,7,FALSE)</f>
        <v>300#</v>
      </c>
      <c r="G1847">
        <f t="shared" si="146"/>
        <v>-23633.01</v>
      </c>
      <c r="H1847">
        <f t="shared" si="142"/>
        <v>157.97462892036626</v>
      </c>
      <c r="I1847">
        <f t="shared" si="143"/>
        <v>147.152428628</v>
      </c>
      <c r="J1847">
        <f t="shared" si="145"/>
        <v>147114.61462799998</v>
      </c>
      <c r="M1847">
        <f t="shared" si="144"/>
        <v>84074</v>
      </c>
    </row>
    <row r="1848" spans="1:13" x14ac:dyDescent="0.2">
      <c r="A1848">
        <v>100</v>
      </c>
      <c r="B1848">
        <v>59</v>
      </c>
      <c r="C1848">
        <v>159</v>
      </c>
      <c r="D1848" s="51" t="s">
        <v>57</v>
      </c>
      <c r="E1848" t="str">
        <f>VLOOKUP(M1848,'MASS - 2016'!$A$1:$G$3418,6,FALSE)</f>
        <v>-41088#</v>
      </c>
      <c r="F1848" t="str">
        <f>VLOOKUP(M1848,'MASS - 2016'!$A$1:$G$3418,7,FALSE)</f>
        <v>400#</v>
      </c>
      <c r="G1848">
        <f t="shared" si="146"/>
        <v>-41088.01</v>
      </c>
      <c r="H1848">
        <f t="shared" si="142"/>
        <v>158.95589020722696</v>
      </c>
      <c r="I1848">
        <f t="shared" si="143"/>
        <v>148.06646768899998</v>
      </c>
      <c r="J1848">
        <f t="shared" si="145"/>
        <v>148036.31868899998</v>
      </c>
      <c r="M1848">
        <f t="shared" si="144"/>
        <v>100059</v>
      </c>
    </row>
    <row r="1849" spans="1:13" x14ac:dyDescent="0.2">
      <c r="A1849">
        <v>99</v>
      </c>
      <c r="B1849">
        <v>60</v>
      </c>
      <c r="C1849">
        <v>159</v>
      </c>
      <c r="D1849" s="51" t="s">
        <v>58</v>
      </c>
      <c r="E1849" t="str">
        <f>VLOOKUP(M1849,'MASS - 2016'!$A$1:$G$3418,6,FALSE)</f>
        <v>-49807#</v>
      </c>
      <c r="F1849" t="str">
        <f>VLOOKUP(M1849,'MASS - 2016'!$A$1:$G$3418,7,FALSE)</f>
        <v>300#</v>
      </c>
      <c r="G1849">
        <f t="shared" si="146"/>
        <v>-49807.01</v>
      </c>
      <c r="H1849">
        <f t="shared" si="142"/>
        <v>158.94652997578262</v>
      </c>
      <c r="I1849">
        <f t="shared" si="143"/>
        <v>148.05774868899999</v>
      </c>
      <c r="J1849">
        <f t="shared" si="145"/>
        <v>148027.088689</v>
      </c>
      <c r="M1849">
        <f t="shared" si="144"/>
        <v>99060</v>
      </c>
    </row>
    <row r="1850" spans="1:13" x14ac:dyDescent="0.2">
      <c r="A1850">
        <v>98</v>
      </c>
      <c r="B1850">
        <v>61</v>
      </c>
      <c r="C1850">
        <v>159</v>
      </c>
      <c r="D1850" s="51" t="s">
        <v>59</v>
      </c>
      <c r="E1850">
        <f>VLOOKUP(M1850,'MASS - 2016'!$A$1:$G$3418,6,FALSE)</f>
        <v>-56554.28</v>
      </c>
      <c r="F1850">
        <f>VLOOKUP(M1850,'MASS - 2016'!$A$1:$G$3418,7,FALSE)</f>
        <v>10.039</v>
      </c>
      <c r="G1850">
        <f t="shared" si="146"/>
        <v>-56554.28</v>
      </c>
      <c r="H1850">
        <f t="shared" si="142"/>
        <v>158.93928648354526</v>
      </c>
      <c r="I1850">
        <f t="shared" si="143"/>
        <v>148.05100141899999</v>
      </c>
      <c r="J1850">
        <f t="shared" si="145"/>
        <v>148019.83041899998</v>
      </c>
      <c r="M1850">
        <f t="shared" si="144"/>
        <v>98061</v>
      </c>
    </row>
    <row r="1851" spans="1:13" x14ac:dyDescent="0.2">
      <c r="A1851">
        <v>97</v>
      </c>
      <c r="B1851">
        <v>62</v>
      </c>
      <c r="C1851">
        <v>159</v>
      </c>
      <c r="D1851" s="51" t="s">
        <v>60</v>
      </c>
      <c r="E1851">
        <f>VLOOKUP(M1851,'MASS - 2016'!$A$1:$G$3418,6,FALSE)</f>
        <v>-62207.775000000001</v>
      </c>
      <c r="F1851">
        <f>VLOOKUP(M1851,'MASS - 2016'!$A$1:$G$3418,7,FALSE)</f>
        <v>5.9340000000000002</v>
      </c>
      <c r="G1851">
        <f t="shared" si="146"/>
        <v>-62207.775000000001</v>
      </c>
      <c r="H1851">
        <f t="shared" si="142"/>
        <v>158.93321720706064</v>
      </c>
      <c r="I1851">
        <f t="shared" si="143"/>
        <v>148.045347924</v>
      </c>
      <c r="J1851">
        <f t="shared" si="145"/>
        <v>148013.665924</v>
      </c>
      <c r="M1851">
        <f t="shared" si="144"/>
        <v>97062</v>
      </c>
    </row>
    <row r="1852" spans="1:13" x14ac:dyDescent="0.2">
      <c r="A1852">
        <v>96</v>
      </c>
      <c r="B1852">
        <v>63</v>
      </c>
      <c r="C1852">
        <v>159</v>
      </c>
      <c r="D1852" s="51" t="s">
        <v>61</v>
      </c>
      <c r="E1852">
        <f>VLOOKUP(M1852,'MASS - 2016'!$A$1:$G$3418,6,FALSE)</f>
        <v>-66043.285000000003</v>
      </c>
      <c r="F1852">
        <f>VLOOKUP(M1852,'MASS - 2016'!$A$1:$G$3418,7,FALSE)</f>
        <v>4.3250000000000002</v>
      </c>
      <c r="G1852">
        <f t="shared" si="146"/>
        <v>-66043.285000000003</v>
      </c>
      <c r="H1852">
        <f t="shared" si="142"/>
        <v>158.92909961773765</v>
      </c>
      <c r="I1852">
        <f t="shared" si="143"/>
        <v>148.04151241399998</v>
      </c>
      <c r="J1852">
        <f t="shared" si="145"/>
        <v>148009.31941399997</v>
      </c>
      <c r="M1852">
        <f t="shared" si="144"/>
        <v>96063</v>
      </c>
    </row>
    <row r="1853" spans="1:13" x14ac:dyDescent="0.2">
      <c r="A1853">
        <v>95</v>
      </c>
      <c r="B1853">
        <v>64</v>
      </c>
      <c r="C1853">
        <v>159</v>
      </c>
      <c r="D1853" s="51" t="s">
        <v>62</v>
      </c>
      <c r="E1853">
        <f>VLOOKUP(M1853,'MASS - 2016'!$A$1:$G$3418,6,FALSE)</f>
        <v>-68561.436000000002</v>
      </c>
      <c r="F1853">
        <f>VLOOKUP(M1853,'MASS - 2016'!$A$1:$G$3418,7,FALSE)</f>
        <v>1.1919999999999999</v>
      </c>
      <c r="G1853">
        <f t="shared" si="146"/>
        <v>-68561.436000000002</v>
      </c>
      <c r="H1853">
        <f t="shared" si="142"/>
        <v>158.92639627146264</v>
      </c>
      <c r="I1853">
        <f t="shared" si="143"/>
        <v>148.03899426299998</v>
      </c>
      <c r="J1853">
        <f t="shared" si="145"/>
        <v>148006.29026299997</v>
      </c>
      <c r="M1853">
        <f t="shared" si="144"/>
        <v>95064</v>
      </c>
    </row>
    <row r="1854" spans="1:13" x14ac:dyDescent="0.2">
      <c r="A1854">
        <v>94</v>
      </c>
      <c r="B1854">
        <v>65</v>
      </c>
      <c r="C1854">
        <v>159</v>
      </c>
      <c r="D1854" s="51" t="s">
        <v>63</v>
      </c>
      <c r="E1854">
        <f>VLOOKUP(M1854,'MASS - 2016'!$A$1:$G$3418,6,FALSE)</f>
        <v>-69532.362999999998</v>
      </c>
      <c r="F1854">
        <f>VLOOKUP(M1854,'MASS - 2016'!$A$1:$G$3418,7,FALSE)</f>
        <v>1.256</v>
      </c>
      <c r="G1854">
        <f t="shared" si="146"/>
        <v>-69532.362999999998</v>
      </c>
      <c r="H1854">
        <f t="shared" si="142"/>
        <v>158.92535393846165</v>
      </c>
      <c r="I1854">
        <f t="shared" si="143"/>
        <v>148.03802333599998</v>
      </c>
      <c r="J1854">
        <f t="shared" si="145"/>
        <v>148004.80833599999</v>
      </c>
      <c r="M1854">
        <f t="shared" si="144"/>
        <v>94065</v>
      </c>
    </row>
    <row r="1855" spans="1:13" x14ac:dyDescent="0.2">
      <c r="A1855">
        <v>93</v>
      </c>
      <c r="B1855">
        <v>66</v>
      </c>
      <c r="C1855">
        <v>159</v>
      </c>
      <c r="D1855" s="51" t="s">
        <v>64</v>
      </c>
      <c r="E1855">
        <f>VLOOKUP(M1855,'MASS - 2016'!$A$1:$G$3418,6,FALSE)</f>
        <v>-69167.134000000005</v>
      </c>
      <c r="F1855">
        <f>VLOOKUP(M1855,'MASS - 2016'!$A$1:$G$3418,7,FALSE)</f>
        <v>1.528</v>
      </c>
      <c r="G1855">
        <f t="shared" si="146"/>
        <v>-69167.134000000005</v>
      </c>
      <c r="H1855">
        <f t="shared" si="142"/>
        <v>158.92574602791805</v>
      </c>
      <c r="I1855">
        <f t="shared" si="143"/>
        <v>148.03838856499999</v>
      </c>
      <c r="J1855">
        <f t="shared" si="145"/>
        <v>148004.66256500001</v>
      </c>
      <c r="M1855">
        <f t="shared" si="144"/>
        <v>93066</v>
      </c>
    </row>
    <row r="1856" spans="1:13" x14ac:dyDescent="0.2">
      <c r="A1856">
        <v>92</v>
      </c>
      <c r="B1856">
        <v>67</v>
      </c>
      <c r="C1856">
        <v>159</v>
      </c>
      <c r="D1856" s="51" t="s">
        <v>65</v>
      </c>
      <c r="E1856">
        <f>VLOOKUP(M1856,'MASS - 2016'!$A$1:$G$3418,6,FALSE)</f>
        <v>-67329.534</v>
      </c>
      <c r="F1856">
        <f>VLOOKUP(M1856,'MASS - 2016'!$A$1:$G$3418,7,FALSE)</f>
        <v>3.0880000000000001</v>
      </c>
      <c r="G1856">
        <f t="shared" si="146"/>
        <v>-67329.534</v>
      </c>
      <c r="H1856">
        <f t="shared" si="142"/>
        <v>158.92771877264818</v>
      </c>
      <c r="I1856">
        <f t="shared" si="143"/>
        <v>148.04022616499998</v>
      </c>
      <c r="J1856">
        <f t="shared" si="145"/>
        <v>148005.98916499998</v>
      </c>
      <c r="M1856">
        <f t="shared" si="144"/>
        <v>92067</v>
      </c>
    </row>
    <row r="1857" spans="1:13" x14ac:dyDescent="0.2">
      <c r="A1857">
        <v>91</v>
      </c>
      <c r="B1857">
        <v>68</v>
      </c>
      <c r="C1857">
        <v>159</v>
      </c>
      <c r="D1857" s="51" t="s">
        <v>66</v>
      </c>
      <c r="E1857">
        <f>VLOOKUP(M1857,'MASS - 2016'!$A$1:$G$3418,6,FALSE)</f>
        <v>-64561.034</v>
      </c>
      <c r="F1857">
        <f>VLOOKUP(M1857,'MASS - 2016'!$A$1:$G$3418,7,FALSE)</f>
        <v>3.6789999999999998</v>
      </c>
      <c r="G1857">
        <f t="shared" si="146"/>
        <v>-64561.034</v>
      </c>
      <c r="H1857">
        <f t="shared" si="142"/>
        <v>158.9306908796276</v>
      </c>
      <c r="I1857">
        <f t="shared" si="143"/>
        <v>148.04299466499998</v>
      </c>
      <c r="J1857">
        <f t="shared" si="145"/>
        <v>148008.24666499998</v>
      </c>
      <c r="M1857">
        <f t="shared" si="144"/>
        <v>91068</v>
      </c>
    </row>
    <row r="1858" spans="1:13" x14ac:dyDescent="0.2">
      <c r="A1858">
        <v>90</v>
      </c>
      <c r="B1858">
        <v>69</v>
      </c>
      <c r="C1858">
        <v>159</v>
      </c>
      <c r="D1858" s="51" t="s">
        <v>67</v>
      </c>
      <c r="E1858">
        <f>VLOOKUP(M1858,'MASS - 2016'!$A$1:$G$3418,6,FALSE)</f>
        <v>-60570.398000000001</v>
      </c>
      <c r="F1858">
        <f>VLOOKUP(M1858,'MASS - 2016'!$A$1:$G$3418,7,FALSE)</f>
        <v>27.945</v>
      </c>
      <c r="G1858">
        <f t="shared" si="146"/>
        <v>-60570.398000000001</v>
      </c>
      <c r="H1858">
        <f t="shared" si="142"/>
        <v>158.93497500356042</v>
      </c>
      <c r="I1858">
        <f t="shared" si="143"/>
        <v>148.04698530099998</v>
      </c>
      <c r="J1858">
        <f t="shared" si="145"/>
        <v>148011.72630099999</v>
      </c>
      <c r="M1858">
        <f t="shared" si="144"/>
        <v>90069</v>
      </c>
    </row>
    <row r="1859" spans="1:13" x14ac:dyDescent="0.2">
      <c r="A1859">
        <v>89</v>
      </c>
      <c r="B1859">
        <v>70</v>
      </c>
      <c r="C1859">
        <v>159</v>
      </c>
      <c r="D1859" s="51" t="s">
        <v>68</v>
      </c>
      <c r="E1859">
        <f>VLOOKUP(M1859,'MASS - 2016'!$A$1:$G$3418,6,FALSE)</f>
        <v>-55838.606</v>
      </c>
      <c r="F1859">
        <f>VLOOKUP(M1859,'MASS - 2016'!$A$1:$G$3418,7,FALSE)</f>
        <v>17.794</v>
      </c>
      <c r="G1859">
        <f t="shared" si="146"/>
        <v>-55838.606</v>
      </c>
      <c r="H1859">
        <f t="shared" si="142"/>
        <v>158.9400547911813</v>
      </c>
      <c r="I1859">
        <f t="shared" si="143"/>
        <v>148.05171709299998</v>
      </c>
      <c r="J1859">
        <f t="shared" si="145"/>
        <v>148015.947093</v>
      </c>
      <c r="M1859">
        <f t="shared" si="144"/>
        <v>89070</v>
      </c>
    </row>
    <row r="1860" spans="1:13" x14ac:dyDescent="0.2">
      <c r="A1860">
        <v>88</v>
      </c>
      <c r="B1860">
        <v>71</v>
      </c>
      <c r="C1860">
        <v>159</v>
      </c>
      <c r="D1860" s="51" t="s">
        <v>69</v>
      </c>
      <c r="E1860">
        <f>VLOOKUP(M1860,'MASS - 2016'!$A$1:$G$3418,6,FALSE)</f>
        <v>-49708.603999999999</v>
      </c>
      <c r="F1860">
        <f>VLOOKUP(M1860,'MASS - 2016'!$A$1:$G$3418,7,FALSE)</f>
        <v>37.662999999999997</v>
      </c>
      <c r="G1860">
        <f t="shared" si="146"/>
        <v>-49708.603999999999</v>
      </c>
      <c r="H1860">
        <f t="shared" si="142"/>
        <v>158.94663561896826</v>
      </c>
      <c r="I1860">
        <f t="shared" si="143"/>
        <v>148.057847095</v>
      </c>
      <c r="J1860">
        <f t="shared" si="145"/>
        <v>148021.56609500002</v>
      </c>
      <c r="M1860">
        <f t="shared" si="144"/>
        <v>88071</v>
      </c>
    </row>
    <row r="1861" spans="1:13" x14ac:dyDescent="0.2">
      <c r="A1861">
        <v>87</v>
      </c>
      <c r="B1861">
        <v>72</v>
      </c>
      <c r="C1861">
        <v>159</v>
      </c>
      <c r="D1861" s="51" t="s">
        <v>70</v>
      </c>
      <c r="E1861">
        <f>VLOOKUP(M1861,'MASS - 2016'!$A$1:$G$3418,6,FALSE)</f>
        <v>-42852.6</v>
      </c>
      <c r="F1861">
        <f>VLOOKUP(M1861,'MASS - 2016'!$A$1:$G$3418,7,FALSE)</f>
        <v>16.812999999999999</v>
      </c>
      <c r="G1861">
        <f t="shared" si="146"/>
        <v>-42852.6</v>
      </c>
      <c r="H1861">
        <f t="shared" si="142"/>
        <v>158.95399584195522</v>
      </c>
      <c r="I1861">
        <f t="shared" si="143"/>
        <v>148.06470309899998</v>
      </c>
      <c r="J1861">
        <f t="shared" si="145"/>
        <v>148027.91109899999</v>
      </c>
      <c r="M1861">
        <f t="shared" si="144"/>
        <v>87072</v>
      </c>
    </row>
    <row r="1862" spans="1:13" x14ac:dyDescent="0.2">
      <c r="A1862">
        <v>86</v>
      </c>
      <c r="B1862">
        <v>73</v>
      </c>
      <c r="C1862">
        <v>159</v>
      </c>
      <c r="D1862" s="51" t="s">
        <v>71</v>
      </c>
      <c r="E1862">
        <f>VLOOKUP(M1862,'MASS - 2016'!$A$1:$G$3418,6,FALSE)</f>
        <v>-34439.148000000001</v>
      </c>
      <c r="F1862">
        <f>VLOOKUP(M1862,'MASS - 2016'!$A$1:$G$3418,7,FALSE)</f>
        <v>19.689</v>
      </c>
      <c r="G1862">
        <f t="shared" si="146"/>
        <v>-34439.148000000001</v>
      </c>
      <c r="H1862">
        <f t="shared" si="142"/>
        <v>158.96302805413163</v>
      </c>
      <c r="I1862">
        <f t="shared" si="143"/>
        <v>148.073116551</v>
      </c>
      <c r="J1862">
        <f t="shared" si="145"/>
        <v>148035.81355099997</v>
      </c>
      <c r="M1862">
        <f t="shared" si="144"/>
        <v>86073</v>
      </c>
    </row>
    <row r="1863" spans="1:13" x14ac:dyDescent="0.2">
      <c r="A1863">
        <v>85</v>
      </c>
      <c r="B1863">
        <v>74</v>
      </c>
      <c r="C1863">
        <v>159</v>
      </c>
      <c r="D1863" s="51" t="s">
        <v>72</v>
      </c>
      <c r="E1863" t="str">
        <f>VLOOKUP(M1863,'MASS - 2016'!$A$1:$G$3418,6,FALSE)</f>
        <v>-25295#</v>
      </c>
      <c r="F1863" t="str">
        <f>VLOOKUP(M1863,'MASS - 2016'!$A$1:$G$3418,7,FALSE)</f>
        <v>298#</v>
      </c>
      <c r="G1863">
        <f t="shared" si="146"/>
        <v>-25295.01</v>
      </c>
      <c r="H1863">
        <f t="shared" si="142"/>
        <v>158.97284468998882</v>
      </c>
      <c r="I1863">
        <f t="shared" si="143"/>
        <v>148.08226068899998</v>
      </c>
      <c r="J1863">
        <f t="shared" si="145"/>
        <v>148044.44668899997</v>
      </c>
      <c r="M1863">
        <f t="shared" si="144"/>
        <v>85074</v>
      </c>
    </row>
    <row r="1864" spans="1:13" x14ac:dyDescent="0.2">
      <c r="A1864">
        <v>100</v>
      </c>
      <c r="B1864">
        <v>60</v>
      </c>
      <c r="C1864">
        <v>160</v>
      </c>
      <c r="D1864" s="51" t="s">
        <v>58</v>
      </c>
      <c r="E1864" t="str">
        <f>VLOOKUP(M1864,'MASS - 2016'!$A$1:$G$3418,6,FALSE)</f>
        <v>-47134#</v>
      </c>
      <c r="F1864" t="str">
        <f>VLOOKUP(M1864,'MASS - 2016'!$A$1:$G$3418,7,FALSE)</f>
        <v>300#</v>
      </c>
      <c r="G1864">
        <f t="shared" si="146"/>
        <v>-47134.01</v>
      </c>
      <c r="H1864">
        <f t="shared" si="142"/>
        <v>159.94939955929576</v>
      </c>
      <c r="I1864">
        <f t="shared" si="143"/>
        <v>148.99191575</v>
      </c>
      <c r="J1864">
        <f t="shared" si="145"/>
        <v>148961.25575000001</v>
      </c>
      <c r="M1864">
        <f t="shared" si="144"/>
        <v>100060</v>
      </c>
    </row>
    <row r="1865" spans="1:13" x14ac:dyDescent="0.2">
      <c r="A1865">
        <v>99</v>
      </c>
      <c r="B1865">
        <v>61</v>
      </c>
      <c r="C1865">
        <v>160</v>
      </c>
      <c r="D1865" s="51" t="s">
        <v>59</v>
      </c>
      <c r="E1865" t="str">
        <f>VLOOKUP(M1865,'MASS - 2016'!$A$1:$G$3418,6,FALSE)</f>
        <v>-53002#</v>
      </c>
      <c r="F1865" t="str">
        <f>VLOOKUP(M1865,'MASS - 2016'!$A$1:$G$3418,7,FALSE)</f>
        <v>200#</v>
      </c>
      <c r="G1865">
        <f t="shared" si="146"/>
        <v>-53002.01</v>
      </c>
      <c r="H1865">
        <f t="shared" ref="H1865:H1928" si="147">(C1865*$A$3+G1865/1000000)/$A$3</f>
        <v>159.94310000222322</v>
      </c>
      <c r="I1865">
        <f t="shared" ref="I1865:I1928" si="148">H1865*$A$3</f>
        <v>148.98604775000001</v>
      </c>
      <c r="J1865">
        <f t="shared" si="145"/>
        <v>148954.87675</v>
      </c>
      <c r="M1865">
        <f t="shared" ref="M1865:M1928" si="149">1000*A1865+B1865</f>
        <v>99061</v>
      </c>
    </row>
    <row r="1866" spans="1:13" x14ac:dyDescent="0.2">
      <c r="A1866">
        <v>98</v>
      </c>
      <c r="B1866">
        <v>62</v>
      </c>
      <c r="C1866">
        <v>160</v>
      </c>
      <c r="D1866" s="51" t="s">
        <v>60</v>
      </c>
      <c r="E1866">
        <f>VLOOKUP(M1866,'MASS - 2016'!$A$1:$G$3418,6,FALSE)</f>
        <v>-60234.792999999998</v>
      </c>
      <c r="F1866">
        <f>VLOOKUP(M1866,'MASS - 2016'!$A$1:$G$3418,7,FALSE)</f>
        <v>5.9340000000000002</v>
      </c>
      <c r="G1866">
        <f t="shared" si="146"/>
        <v>-60234.792999999998</v>
      </c>
      <c r="H1866">
        <f t="shared" si="147"/>
        <v>159.93533529034494</v>
      </c>
      <c r="I1866">
        <f t="shared" si="148"/>
        <v>148.97881496700001</v>
      </c>
      <c r="J1866">
        <f t="shared" si="145"/>
        <v>148947.13296700001</v>
      </c>
      <c r="M1866">
        <f t="shared" si="149"/>
        <v>98062</v>
      </c>
    </row>
    <row r="1867" spans="1:13" x14ac:dyDescent="0.2">
      <c r="A1867">
        <v>97</v>
      </c>
      <c r="B1867">
        <v>63</v>
      </c>
      <c r="C1867">
        <v>160</v>
      </c>
      <c r="D1867" s="51" t="s">
        <v>61</v>
      </c>
      <c r="E1867">
        <f>VLOOKUP(M1867,'MASS - 2016'!$A$1:$G$3418,6,FALSE)</f>
        <v>-63480.463000000003</v>
      </c>
      <c r="F1867">
        <f>VLOOKUP(M1867,'MASS - 2016'!$A$1:$G$3418,7,FALSE)</f>
        <v>9.5009999999999994</v>
      </c>
      <c r="G1867">
        <f t="shared" si="146"/>
        <v>-63480.463000000003</v>
      </c>
      <c r="H1867">
        <f t="shared" si="147"/>
        <v>159.93185092030342</v>
      </c>
      <c r="I1867">
        <f t="shared" si="148"/>
        <v>148.97556929700002</v>
      </c>
      <c r="J1867">
        <f t="shared" si="145"/>
        <v>148943.37629700001</v>
      </c>
      <c r="M1867">
        <f t="shared" si="149"/>
        <v>97063</v>
      </c>
    </row>
    <row r="1868" spans="1:13" x14ac:dyDescent="0.2">
      <c r="A1868">
        <v>96</v>
      </c>
      <c r="B1868">
        <v>64</v>
      </c>
      <c r="C1868">
        <v>160</v>
      </c>
      <c r="D1868" s="51" t="s">
        <v>62</v>
      </c>
      <c r="E1868">
        <f>VLOOKUP(M1868,'MASS - 2016'!$A$1:$G$3418,6,FALSE)</f>
        <v>-67941.740999999995</v>
      </c>
      <c r="F1868">
        <f>VLOOKUP(M1868,'MASS - 2016'!$A$1:$G$3418,7,FALSE)</f>
        <v>1.278</v>
      </c>
      <c r="G1868">
        <f t="shared" si="146"/>
        <v>-67941.740999999995</v>
      </c>
      <c r="H1868">
        <f t="shared" si="147"/>
        <v>159.92706154140473</v>
      </c>
      <c r="I1868">
        <f t="shared" si="148"/>
        <v>148.97110801900001</v>
      </c>
      <c r="J1868">
        <f t="shared" ref="J1868:J1931" si="150">1000*I1868-B1868*0.511</f>
        <v>148938.40401900001</v>
      </c>
      <c r="M1868">
        <f t="shared" si="149"/>
        <v>96064</v>
      </c>
    </row>
    <row r="1869" spans="1:13" x14ac:dyDescent="0.2">
      <c r="A1869">
        <v>95</v>
      </c>
      <c r="B1869">
        <v>65</v>
      </c>
      <c r="C1869">
        <v>160</v>
      </c>
      <c r="D1869" s="51" t="s">
        <v>63</v>
      </c>
      <c r="E1869">
        <f>VLOOKUP(M1869,'MASS - 2016'!$A$1:$G$3418,6,FALSE)</f>
        <v>-67836.256999999998</v>
      </c>
      <c r="F1869">
        <f>VLOOKUP(M1869,'MASS - 2016'!$A$1:$G$3418,7,FALSE)</f>
        <v>1.262</v>
      </c>
      <c r="G1869">
        <f t="shared" si="146"/>
        <v>-67836.256999999998</v>
      </c>
      <c r="H1869">
        <f t="shared" si="147"/>
        <v>159.92717478313585</v>
      </c>
      <c r="I1869">
        <f t="shared" si="148"/>
        <v>148.971213503</v>
      </c>
      <c r="J1869">
        <f t="shared" si="150"/>
        <v>148937.99850300001</v>
      </c>
      <c r="M1869">
        <f t="shared" si="149"/>
        <v>95065</v>
      </c>
    </row>
    <row r="1870" spans="1:13" x14ac:dyDescent="0.2">
      <c r="A1870">
        <v>94</v>
      </c>
      <c r="B1870">
        <v>66</v>
      </c>
      <c r="C1870">
        <v>160</v>
      </c>
      <c r="D1870" s="51" t="s">
        <v>64</v>
      </c>
      <c r="E1870">
        <f>VLOOKUP(M1870,'MASS - 2016'!$A$1:$G$3418,6,FALSE)</f>
        <v>-69672.73</v>
      </c>
      <c r="F1870">
        <f>VLOOKUP(M1870,'MASS - 2016'!$A$1:$G$3418,7,FALSE)</f>
        <v>0.77200000000000002</v>
      </c>
      <c r="G1870">
        <f t="shared" si="146"/>
        <v>-69672.73</v>
      </c>
      <c r="H1870">
        <f t="shared" si="147"/>
        <v>159.92520324828996</v>
      </c>
      <c r="I1870">
        <f t="shared" si="148"/>
        <v>148.96937703</v>
      </c>
      <c r="J1870">
        <f t="shared" si="150"/>
        <v>148935.65103000001</v>
      </c>
      <c r="M1870">
        <f t="shared" si="149"/>
        <v>94066</v>
      </c>
    </row>
    <row r="1871" spans="1:13" x14ac:dyDescent="0.2">
      <c r="A1871">
        <v>93</v>
      </c>
      <c r="B1871">
        <v>67</v>
      </c>
      <c r="C1871">
        <v>160</v>
      </c>
      <c r="D1871" s="51" t="s">
        <v>65</v>
      </c>
      <c r="E1871">
        <f>VLOOKUP(M1871,'MASS - 2016'!$A$1:$G$3418,6,FALSE)</f>
        <v>-66382.73</v>
      </c>
      <c r="F1871">
        <f>VLOOKUP(M1871,'MASS - 2016'!$A$1:$G$3418,7,FALSE)</f>
        <v>15.02</v>
      </c>
      <c r="G1871">
        <f t="shared" ref="G1871:G1934" si="151">IF(ISNUMBER(E1871),E1871,VALUE(SUBSTITUTE(E1871,"#",".01")))</f>
        <v>-66382.73</v>
      </c>
      <c r="H1871">
        <f t="shared" si="147"/>
        <v>159.92873520854369</v>
      </c>
      <c r="I1871">
        <f t="shared" si="148"/>
        <v>148.97266703000003</v>
      </c>
      <c r="J1871">
        <f t="shared" si="150"/>
        <v>148938.43003000002</v>
      </c>
      <c r="M1871">
        <f t="shared" si="149"/>
        <v>93067</v>
      </c>
    </row>
    <row r="1872" spans="1:13" x14ac:dyDescent="0.2">
      <c r="A1872">
        <v>92</v>
      </c>
      <c r="B1872">
        <v>68</v>
      </c>
      <c r="C1872">
        <v>160</v>
      </c>
      <c r="D1872" s="51" t="s">
        <v>66</v>
      </c>
      <c r="E1872">
        <f>VLOOKUP(M1872,'MASS - 2016'!$A$1:$G$3418,6,FALSE)</f>
        <v>-66064.228000000003</v>
      </c>
      <c r="F1872">
        <f>VLOOKUP(M1872,'MASS - 2016'!$A$1:$G$3418,7,FALSE)</f>
        <v>24.254000000000001</v>
      </c>
      <c r="G1872">
        <f t="shared" si="151"/>
        <v>-66064.228000000003</v>
      </c>
      <c r="H1872">
        <f t="shared" si="147"/>
        <v>159.92907713450256</v>
      </c>
      <c r="I1872">
        <f t="shared" si="148"/>
        <v>148.97298553200002</v>
      </c>
      <c r="J1872">
        <f t="shared" si="150"/>
        <v>148938.23753200003</v>
      </c>
      <c r="M1872">
        <f t="shared" si="149"/>
        <v>92068</v>
      </c>
    </row>
    <row r="1873" spans="1:13" x14ac:dyDescent="0.2">
      <c r="A1873">
        <v>91</v>
      </c>
      <c r="B1873">
        <v>69</v>
      </c>
      <c r="C1873">
        <v>160</v>
      </c>
      <c r="D1873" s="51" t="s">
        <v>67</v>
      </c>
      <c r="E1873">
        <f>VLOOKUP(M1873,'MASS - 2016'!$A$1:$G$3418,6,FALSE)</f>
        <v>-60302.027999999998</v>
      </c>
      <c r="F1873">
        <f>VLOOKUP(M1873,'MASS - 2016'!$A$1:$G$3418,7,FALSE)</f>
        <v>34.262</v>
      </c>
      <c r="G1873">
        <f t="shared" si="151"/>
        <v>-60302.027999999998</v>
      </c>
      <c r="H1873">
        <f t="shared" si="147"/>
        <v>159.93526311060401</v>
      </c>
      <c r="I1873">
        <f t="shared" si="148"/>
        <v>148.97874773200002</v>
      </c>
      <c r="J1873">
        <f t="shared" si="150"/>
        <v>148943.48873200003</v>
      </c>
      <c r="M1873">
        <f t="shared" si="149"/>
        <v>91069</v>
      </c>
    </row>
    <row r="1874" spans="1:13" x14ac:dyDescent="0.2">
      <c r="A1874">
        <v>90</v>
      </c>
      <c r="B1874">
        <v>70</v>
      </c>
      <c r="C1874">
        <v>160</v>
      </c>
      <c r="D1874" s="51" t="s">
        <v>68</v>
      </c>
      <c r="E1874">
        <f>VLOOKUP(M1874,'MASS - 2016'!$A$1:$G$3418,6,FALSE)</f>
        <v>-58162.705999999998</v>
      </c>
      <c r="F1874">
        <f>VLOOKUP(M1874,'MASS - 2016'!$A$1:$G$3418,7,FALSE)</f>
        <v>7.2329999999999997</v>
      </c>
      <c r="G1874">
        <f t="shared" si="151"/>
        <v>-58162.705999999998</v>
      </c>
      <c r="H1874">
        <f t="shared" si="147"/>
        <v>159.93755976722221</v>
      </c>
      <c r="I1874">
        <f t="shared" si="148"/>
        <v>148.98088705400002</v>
      </c>
      <c r="J1874">
        <f t="shared" si="150"/>
        <v>148945.11705400003</v>
      </c>
      <c r="M1874">
        <f t="shared" si="149"/>
        <v>90070</v>
      </c>
    </row>
    <row r="1875" spans="1:13" x14ac:dyDescent="0.2">
      <c r="A1875">
        <v>89</v>
      </c>
      <c r="B1875">
        <v>71</v>
      </c>
      <c r="C1875">
        <v>160</v>
      </c>
      <c r="D1875" s="51" t="s">
        <v>69</v>
      </c>
      <c r="E1875">
        <f>VLOOKUP(M1875,'MASS - 2016'!$A$1:$G$3418,6,FALSE)</f>
        <v>-50269.936999999998</v>
      </c>
      <c r="F1875">
        <f>VLOOKUP(M1875,'MASS - 2016'!$A$1:$G$3418,7,FALSE)</f>
        <v>56.820999999999998</v>
      </c>
      <c r="G1875">
        <f t="shared" si="151"/>
        <v>-50269.936999999998</v>
      </c>
      <c r="H1875">
        <f t="shared" si="147"/>
        <v>159.94603300320989</v>
      </c>
      <c r="I1875">
        <f t="shared" si="148"/>
        <v>148.98877982300002</v>
      </c>
      <c r="J1875">
        <f t="shared" si="150"/>
        <v>148952.49882300003</v>
      </c>
      <c r="M1875">
        <f t="shared" si="149"/>
        <v>89071</v>
      </c>
    </row>
    <row r="1876" spans="1:13" x14ac:dyDescent="0.2">
      <c r="A1876">
        <v>88</v>
      </c>
      <c r="B1876">
        <v>72</v>
      </c>
      <c r="C1876">
        <v>160</v>
      </c>
      <c r="D1876" s="51" t="s">
        <v>70</v>
      </c>
      <c r="E1876">
        <f>VLOOKUP(M1876,'MASS - 2016'!$A$1:$G$3418,6,FALSE)</f>
        <v>-45938.942999999999</v>
      </c>
      <c r="F1876">
        <f>VLOOKUP(M1876,'MASS - 2016'!$A$1:$G$3418,7,FALSE)</f>
        <v>9.5410000000000004</v>
      </c>
      <c r="G1876">
        <f t="shared" si="151"/>
        <v>-45938.942999999999</v>
      </c>
      <c r="H1876">
        <f t="shared" si="147"/>
        <v>159.95068251648252</v>
      </c>
      <c r="I1876">
        <f t="shared" si="148"/>
        <v>148.993110817</v>
      </c>
      <c r="J1876">
        <f t="shared" si="150"/>
        <v>148956.31881700002</v>
      </c>
      <c r="M1876">
        <f t="shared" si="149"/>
        <v>88072</v>
      </c>
    </row>
    <row r="1877" spans="1:13" x14ac:dyDescent="0.2">
      <c r="A1877">
        <v>87</v>
      </c>
      <c r="B1877">
        <v>73</v>
      </c>
      <c r="C1877">
        <v>160</v>
      </c>
      <c r="D1877" s="51" t="s">
        <v>71</v>
      </c>
      <c r="E1877">
        <f>VLOOKUP(M1877,'MASS - 2016'!$A$1:$G$3418,6,FALSE)</f>
        <v>-35823.695</v>
      </c>
      <c r="F1877">
        <f>VLOOKUP(M1877,'MASS - 2016'!$A$1:$G$3418,7,FALSE)</f>
        <v>54.316000000000003</v>
      </c>
      <c r="G1877">
        <f t="shared" si="151"/>
        <v>-35823.695</v>
      </c>
      <c r="H1877">
        <f t="shared" si="147"/>
        <v>159.9615416817993</v>
      </c>
      <c r="I1877">
        <f t="shared" si="148"/>
        <v>149.00322606500001</v>
      </c>
      <c r="J1877">
        <f t="shared" si="150"/>
        <v>148965.92306499998</v>
      </c>
      <c r="M1877">
        <f t="shared" si="149"/>
        <v>87073</v>
      </c>
    </row>
    <row r="1878" spans="1:13" x14ac:dyDescent="0.2">
      <c r="A1878">
        <v>86</v>
      </c>
      <c r="B1878">
        <v>74</v>
      </c>
      <c r="C1878">
        <v>160</v>
      </c>
      <c r="D1878" s="51" t="s">
        <v>72</v>
      </c>
      <c r="E1878">
        <f>VLOOKUP(M1878,'MASS - 2016'!$A$1:$G$3418,6,FALSE)</f>
        <v>-29326.455000000002</v>
      </c>
      <c r="F1878">
        <f>VLOOKUP(M1878,'MASS - 2016'!$A$1:$G$3418,7,FALSE)</f>
        <v>149.827</v>
      </c>
      <c r="G1878">
        <f t="shared" si="151"/>
        <v>-29326.455000000002</v>
      </c>
      <c r="H1878">
        <f t="shared" si="147"/>
        <v>159.96851675579285</v>
      </c>
      <c r="I1878">
        <f t="shared" si="148"/>
        <v>149.00972330500002</v>
      </c>
      <c r="J1878">
        <f t="shared" si="150"/>
        <v>148971.90930500001</v>
      </c>
      <c r="M1878">
        <f t="shared" si="149"/>
        <v>86074</v>
      </c>
    </row>
    <row r="1879" spans="1:13" x14ac:dyDescent="0.2">
      <c r="A1879">
        <v>85</v>
      </c>
      <c r="B1879">
        <v>75</v>
      </c>
      <c r="C1879">
        <v>160</v>
      </c>
      <c r="D1879" s="51" t="s">
        <v>73</v>
      </c>
      <c r="E1879" t="str">
        <f>VLOOKUP(M1879,'MASS - 2016'!$A$1:$G$3418,6,FALSE)</f>
        <v>-16739#</v>
      </c>
      <c r="F1879" t="str">
        <f>VLOOKUP(M1879,'MASS - 2016'!$A$1:$G$3418,7,FALSE)</f>
        <v>298#</v>
      </c>
      <c r="G1879">
        <f t="shared" si="151"/>
        <v>-16739.009999999998</v>
      </c>
      <c r="H1879">
        <f t="shared" si="147"/>
        <v>159.98202993373675</v>
      </c>
      <c r="I1879">
        <f t="shared" si="148"/>
        <v>149.02231075</v>
      </c>
      <c r="J1879">
        <f t="shared" si="150"/>
        <v>148983.98574999999</v>
      </c>
      <c r="M1879">
        <f t="shared" si="149"/>
        <v>85075</v>
      </c>
    </row>
    <row r="1880" spans="1:13" x14ac:dyDescent="0.2">
      <c r="A1880">
        <v>101</v>
      </c>
      <c r="B1880">
        <v>60</v>
      </c>
      <c r="C1880">
        <v>161</v>
      </c>
      <c r="D1880" s="51" t="s">
        <v>58</v>
      </c>
      <c r="E1880" t="str">
        <f>VLOOKUP(M1880,'MASS - 2016'!$A$1:$G$3418,6,FALSE)</f>
        <v>-42588#</v>
      </c>
      <c r="F1880" t="str">
        <f>VLOOKUP(M1880,'MASS - 2016'!$A$1:$G$3418,7,FALSE)</f>
        <v>400#</v>
      </c>
      <c r="G1880">
        <f t="shared" si="151"/>
        <v>-42588.01</v>
      </c>
      <c r="H1880">
        <f t="shared" si="147"/>
        <v>160.9542798910019</v>
      </c>
      <c r="I1880">
        <f t="shared" si="148"/>
        <v>149.927955811</v>
      </c>
      <c r="J1880">
        <f t="shared" si="150"/>
        <v>149897.29581099999</v>
      </c>
      <c r="M1880">
        <f t="shared" si="149"/>
        <v>101060</v>
      </c>
    </row>
    <row r="1881" spans="1:13" x14ac:dyDescent="0.2">
      <c r="A1881">
        <v>100</v>
      </c>
      <c r="B1881">
        <v>61</v>
      </c>
      <c r="C1881">
        <v>161</v>
      </c>
      <c r="D1881" s="51" t="s">
        <v>59</v>
      </c>
      <c r="E1881" t="str">
        <f>VLOOKUP(M1881,'MASS - 2016'!$A$1:$G$3418,6,FALSE)</f>
        <v>-50235#</v>
      </c>
      <c r="F1881" t="str">
        <f>VLOOKUP(M1881,'MASS - 2016'!$A$1:$G$3418,7,FALSE)</f>
        <v>298#</v>
      </c>
      <c r="G1881">
        <f t="shared" si="151"/>
        <v>-50235.01</v>
      </c>
      <c r="H1881">
        <f t="shared" si="147"/>
        <v>160.94607049888643</v>
      </c>
      <c r="I1881">
        <f t="shared" si="148"/>
        <v>149.92030881100001</v>
      </c>
      <c r="J1881">
        <f t="shared" si="150"/>
        <v>149889.13781100002</v>
      </c>
      <c r="M1881">
        <f t="shared" si="149"/>
        <v>100061</v>
      </c>
    </row>
    <row r="1882" spans="1:13" x14ac:dyDescent="0.2">
      <c r="A1882">
        <v>99</v>
      </c>
      <c r="B1882">
        <v>62</v>
      </c>
      <c r="C1882">
        <v>161</v>
      </c>
      <c r="D1882" s="51" t="s">
        <v>60</v>
      </c>
      <c r="E1882">
        <f>VLOOKUP(M1882,'MASS - 2016'!$A$1:$G$3418,6,FALSE)</f>
        <v>-56671.962</v>
      </c>
      <c r="F1882">
        <f>VLOOKUP(M1882,'MASS - 2016'!$A$1:$G$3418,7,FALSE)</f>
        <v>6.8170000000000002</v>
      </c>
      <c r="G1882">
        <f t="shared" si="151"/>
        <v>-56671.962</v>
      </c>
      <c r="H1882">
        <f t="shared" si="147"/>
        <v>160.93916014672263</v>
      </c>
      <c r="I1882">
        <f t="shared" si="148"/>
        <v>149.91387185900001</v>
      </c>
      <c r="J1882">
        <f t="shared" si="150"/>
        <v>149882.18985900001</v>
      </c>
      <c r="M1882">
        <f t="shared" si="149"/>
        <v>99062</v>
      </c>
    </row>
    <row r="1883" spans="1:13" x14ac:dyDescent="0.2">
      <c r="A1883">
        <v>98</v>
      </c>
      <c r="B1883">
        <v>63</v>
      </c>
      <c r="C1883">
        <v>161</v>
      </c>
      <c r="D1883" s="51" t="s">
        <v>61</v>
      </c>
      <c r="E1883">
        <f>VLOOKUP(M1883,'MASS - 2016'!$A$1:$G$3418,6,FALSE)</f>
        <v>-61791.523999999998</v>
      </c>
      <c r="F1883">
        <f>VLOOKUP(M1883,'MASS - 2016'!$A$1:$G$3418,7,FALSE)</f>
        <v>10.398999999999999</v>
      </c>
      <c r="G1883">
        <f t="shared" si="151"/>
        <v>-61791.523999999998</v>
      </c>
      <c r="H1883">
        <f t="shared" si="147"/>
        <v>160.93366407088666</v>
      </c>
      <c r="I1883">
        <f t="shared" si="148"/>
        <v>149.90875229700001</v>
      </c>
      <c r="J1883">
        <f t="shared" si="150"/>
        <v>149876.559297</v>
      </c>
      <c r="M1883">
        <f t="shared" si="149"/>
        <v>98063</v>
      </c>
    </row>
    <row r="1884" spans="1:13" x14ac:dyDescent="0.2">
      <c r="A1884">
        <v>97</v>
      </c>
      <c r="B1884">
        <v>64</v>
      </c>
      <c r="C1884">
        <v>161</v>
      </c>
      <c r="D1884" s="51" t="s">
        <v>62</v>
      </c>
      <c r="E1884">
        <f>VLOOKUP(M1884,'MASS - 2016'!$A$1:$G$3418,6,FALSE)</f>
        <v>-65505.824000000001</v>
      </c>
      <c r="F1884">
        <f>VLOOKUP(M1884,'MASS - 2016'!$A$1:$G$3418,7,FALSE)</f>
        <v>1.6220000000000001</v>
      </c>
      <c r="G1884">
        <f t="shared" si="151"/>
        <v>-65505.824000000001</v>
      </c>
      <c r="H1884">
        <f t="shared" si="147"/>
        <v>160.92967660585009</v>
      </c>
      <c r="I1884">
        <f t="shared" si="148"/>
        <v>149.90503799699999</v>
      </c>
      <c r="J1884">
        <f t="shared" si="150"/>
        <v>149872.33399700001</v>
      </c>
      <c r="M1884">
        <f t="shared" si="149"/>
        <v>97064</v>
      </c>
    </row>
    <row r="1885" spans="1:13" x14ac:dyDescent="0.2">
      <c r="A1885">
        <v>96</v>
      </c>
      <c r="B1885">
        <v>65</v>
      </c>
      <c r="C1885">
        <v>161</v>
      </c>
      <c r="D1885" s="51" t="s">
        <v>63</v>
      </c>
      <c r="E1885">
        <f>VLOOKUP(M1885,'MASS - 2016'!$A$1:$G$3418,6,FALSE)</f>
        <v>-67461.589000000007</v>
      </c>
      <c r="F1885">
        <f>VLOOKUP(M1885,'MASS - 2016'!$A$1:$G$3418,7,FALSE)</f>
        <v>1.35</v>
      </c>
      <c r="G1885">
        <f t="shared" si="151"/>
        <v>-67461.589000000007</v>
      </c>
      <c r="H1885">
        <f t="shared" si="147"/>
        <v>160.92757700577548</v>
      </c>
      <c r="I1885">
        <f t="shared" si="148"/>
        <v>149.903082232</v>
      </c>
      <c r="J1885">
        <f t="shared" si="150"/>
        <v>149869.86723200002</v>
      </c>
      <c r="M1885">
        <f t="shared" si="149"/>
        <v>96065</v>
      </c>
    </row>
    <row r="1886" spans="1:13" x14ac:dyDescent="0.2">
      <c r="A1886">
        <v>95</v>
      </c>
      <c r="B1886">
        <v>66</v>
      </c>
      <c r="C1886">
        <v>161</v>
      </c>
      <c r="D1886" s="51" t="s">
        <v>64</v>
      </c>
      <c r="E1886">
        <f>VLOOKUP(M1886,'MASS - 2016'!$A$1:$G$3418,6,FALSE)</f>
        <v>-68055.801000000007</v>
      </c>
      <c r="F1886">
        <f>VLOOKUP(M1886,'MASS - 2016'!$A$1:$G$3418,7,FALSE)</f>
        <v>0.76800000000000002</v>
      </c>
      <c r="G1886">
        <f t="shared" si="151"/>
        <v>-68055.801000000007</v>
      </c>
      <c r="H1886">
        <f t="shared" si="147"/>
        <v>160.92693909295895</v>
      </c>
      <c r="I1886">
        <f t="shared" si="148"/>
        <v>149.90248801999999</v>
      </c>
      <c r="J1886">
        <f t="shared" si="150"/>
        <v>149868.76201999999</v>
      </c>
      <c r="M1886">
        <f t="shared" si="149"/>
        <v>95066</v>
      </c>
    </row>
    <row r="1887" spans="1:13" x14ac:dyDescent="0.2">
      <c r="A1887">
        <v>94</v>
      </c>
      <c r="B1887">
        <v>67</v>
      </c>
      <c r="C1887">
        <v>161</v>
      </c>
      <c r="D1887" s="51" t="s">
        <v>65</v>
      </c>
      <c r="E1887">
        <f>VLOOKUP(M1887,'MASS - 2016'!$A$1:$G$3418,6,FALSE)</f>
        <v>-67197.27</v>
      </c>
      <c r="F1887">
        <f>VLOOKUP(M1887,'MASS - 2016'!$A$1:$G$3418,7,FALSE)</f>
        <v>2.242</v>
      </c>
      <c r="G1887">
        <f t="shared" si="151"/>
        <v>-67197.27</v>
      </c>
      <c r="H1887">
        <f t="shared" si="147"/>
        <v>160.92786076389166</v>
      </c>
      <c r="I1887">
        <f t="shared" si="148"/>
        <v>149.903346551</v>
      </c>
      <c r="J1887">
        <f t="shared" si="150"/>
        <v>149869.109551</v>
      </c>
      <c r="M1887">
        <f t="shared" si="149"/>
        <v>94067</v>
      </c>
    </row>
    <row r="1888" spans="1:13" x14ac:dyDescent="0.2">
      <c r="A1888">
        <v>93</v>
      </c>
      <c r="B1888">
        <v>68</v>
      </c>
      <c r="C1888">
        <v>161</v>
      </c>
      <c r="D1888" s="51" t="s">
        <v>66</v>
      </c>
      <c r="E1888">
        <f>VLOOKUP(M1888,'MASS - 2016'!$A$1:$G$3418,6,FALSE)</f>
        <v>-65201.608</v>
      </c>
      <c r="F1888">
        <f>VLOOKUP(M1888,'MASS - 2016'!$A$1:$G$3418,7,FALSE)</f>
        <v>8.7799999999999994</v>
      </c>
      <c r="G1888">
        <f t="shared" si="151"/>
        <v>-65201.608</v>
      </c>
      <c r="H1888">
        <f t="shared" si="147"/>
        <v>160.93000319515727</v>
      </c>
      <c r="I1888">
        <f t="shared" si="148"/>
        <v>149.90534221300001</v>
      </c>
      <c r="J1888">
        <f t="shared" si="150"/>
        <v>149870.59421300003</v>
      </c>
      <c r="M1888">
        <f t="shared" si="149"/>
        <v>93068</v>
      </c>
    </row>
    <row r="1889" spans="1:13" x14ac:dyDescent="0.2">
      <c r="A1889">
        <v>92</v>
      </c>
      <c r="B1889">
        <v>69</v>
      </c>
      <c r="C1889">
        <v>161</v>
      </c>
      <c r="D1889" s="51" t="s">
        <v>67</v>
      </c>
      <c r="E1889">
        <f>VLOOKUP(M1889,'MASS - 2016'!$A$1:$G$3418,6,FALSE)</f>
        <v>-61898.707999999999</v>
      </c>
      <c r="F1889">
        <f>VLOOKUP(M1889,'MASS - 2016'!$A$1:$G$3418,7,FALSE)</f>
        <v>27.945</v>
      </c>
      <c r="G1889">
        <f t="shared" si="151"/>
        <v>-61898.707999999999</v>
      </c>
      <c r="H1889">
        <f t="shared" si="147"/>
        <v>160.93354900413047</v>
      </c>
      <c r="I1889">
        <f t="shared" si="148"/>
        <v>149.90864511300001</v>
      </c>
      <c r="J1889">
        <f t="shared" si="150"/>
        <v>149873.38611300002</v>
      </c>
      <c r="M1889">
        <f t="shared" si="149"/>
        <v>92069</v>
      </c>
    </row>
    <row r="1890" spans="1:13" x14ac:dyDescent="0.2">
      <c r="A1890">
        <v>91</v>
      </c>
      <c r="B1890">
        <v>70</v>
      </c>
      <c r="C1890">
        <v>161</v>
      </c>
      <c r="D1890" s="51" t="s">
        <v>68</v>
      </c>
      <c r="E1890">
        <f>VLOOKUP(M1890,'MASS - 2016'!$A$1:$G$3418,6,FALSE)</f>
        <v>-57839.4</v>
      </c>
      <c r="F1890">
        <f>VLOOKUP(M1890,'MASS - 2016'!$A$1:$G$3418,7,FALSE)</f>
        <v>15.353999999999999</v>
      </c>
      <c r="G1890">
        <f t="shared" si="151"/>
        <v>-57839.4</v>
      </c>
      <c r="H1890">
        <f t="shared" si="147"/>
        <v>160.93790685048717</v>
      </c>
      <c r="I1890">
        <f t="shared" si="148"/>
        <v>149.912704421</v>
      </c>
      <c r="J1890">
        <f t="shared" si="150"/>
        <v>149876.93442100001</v>
      </c>
      <c r="M1890">
        <f t="shared" si="149"/>
        <v>91070</v>
      </c>
    </row>
    <row r="1891" spans="1:13" x14ac:dyDescent="0.2">
      <c r="A1891">
        <v>90</v>
      </c>
      <c r="B1891">
        <v>71</v>
      </c>
      <c r="C1891">
        <v>161</v>
      </c>
      <c r="D1891" s="51" t="s">
        <v>69</v>
      </c>
      <c r="E1891">
        <f>VLOOKUP(M1891,'MASS - 2016'!$A$1:$G$3418,6,FALSE)</f>
        <v>-52562.343999999997</v>
      </c>
      <c r="F1891">
        <f>VLOOKUP(M1891,'MASS - 2016'!$A$1:$G$3418,7,FALSE)</f>
        <v>27.945</v>
      </c>
      <c r="G1891">
        <f t="shared" si="151"/>
        <v>-52562.343999999997</v>
      </c>
      <c r="H1891">
        <f t="shared" si="147"/>
        <v>160.94357200308551</v>
      </c>
      <c r="I1891">
        <f t="shared" si="148"/>
        <v>149.91798147700001</v>
      </c>
      <c r="J1891">
        <f t="shared" si="150"/>
        <v>149881.70047700003</v>
      </c>
      <c r="M1891">
        <f t="shared" si="149"/>
        <v>90071</v>
      </c>
    </row>
    <row r="1892" spans="1:13" x14ac:dyDescent="0.2">
      <c r="A1892">
        <v>89</v>
      </c>
      <c r="B1892">
        <v>72</v>
      </c>
      <c r="C1892">
        <v>161</v>
      </c>
      <c r="D1892" s="51" t="s">
        <v>70</v>
      </c>
      <c r="E1892">
        <f>VLOOKUP(M1892,'MASS - 2016'!$A$1:$G$3418,6,FALSE)</f>
        <v>-46314.671999999999</v>
      </c>
      <c r="F1892">
        <f>VLOOKUP(M1892,'MASS - 2016'!$A$1:$G$3418,7,FALSE)</f>
        <v>22.550999999999998</v>
      </c>
      <c r="G1892">
        <f t="shared" si="151"/>
        <v>-46314.671999999999</v>
      </c>
      <c r="H1892">
        <f t="shared" si="147"/>
        <v>160.95027915481259</v>
      </c>
      <c r="I1892">
        <f t="shared" si="148"/>
        <v>149.92422914900001</v>
      </c>
      <c r="J1892">
        <f t="shared" si="150"/>
        <v>149887.43714900003</v>
      </c>
      <c r="M1892">
        <f t="shared" si="149"/>
        <v>89072</v>
      </c>
    </row>
    <row r="1893" spans="1:13" x14ac:dyDescent="0.2">
      <c r="A1893">
        <v>88</v>
      </c>
      <c r="B1893">
        <v>73</v>
      </c>
      <c r="C1893">
        <v>161</v>
      </c>
      <c r="D1893" s="51" t="s">
        <v>71</v>
      </c>
      <c r="E1893">
        <f>VLOOKUP(M1893,'MASS - 2016'!$A$1:$G$3418,6,FALSE)</f>
        <v>-38778.997000000003</v>
      </c>
      <c r="F1893">
        <f>VLOOKUP(M1893,'MASS - 2016'!$A$1:$G$3418,7,FALSE)</f>
        <v>24.382000000000001</v>
      </c>
      <c r="G1893">
        <f t="shared" si="151"/>
        <v>-38778.997000000003</v>
      </c>
      <c r="H1893">
        <f t="shared" si="147"/>
        <v>160.95836903462555</v>
      </c>
      <c r="I1893">
        <f t="shared" si="148"/>
        <v>149.931764824</v>
      </c>
      <c r="J1893">
        <f t="shared" si="150"/>
        <v>149894.461824</v>
      </c>
      <c r="M1893">
        <f t="shared" si="149"/>
        <v>88073</v>
      </c>
    </row>
    <row r="1894" spans="1:13" x14ac:dyDescent="0.2">
      <c r="A1894">
        <v>87</v>
      </c>
      <c r="B1894">
        <v>74</v>
      </c>
      <c r="C1894">
        <v>161</v>
      </c>
      <c r="D1894" s="51" t="s">
        <v>72</v>
      </c>
      <c r="E1894" t="str">
        <f>VLOOKUP(M1894,'MASS - 2016'!$A$1:$G$3418,6,FALSE)</f>
        <v>-30555#</v>
      </c>
      <c r="F1894" t="str">
        <f>VLOOKUP(M1894,'MASS - 2016'!$A$1:$G$3418,7,FALSE)</f>
        <v>196#</v>
      </c>
      <c r="G1894">
        <f t="shared" si="151"/>
        <v>-30555.01</v>
      </c>
      <c r="H1894">
        <f t="shared" si="147"/>
        <v>160.96719784775956</v>
      </c>
      <c r="I1894">
        <f t="shared" si="148"/>
        <v>149.93998881100001</v>
      </c>
      <c r="J1894">
        <f t="shared" si="150"/>
        <v>149902.174811</v>
      </c>
      <c r="M1894">
        <f t="shared" si="149"/>
        <v>87074</v>
      </c>
    </row>
    <row r="1895" spans="1:13" x14ac:dyDescent="0.2">
      <c r="A1895">
        <v>86</v>
      </c>
      <c r="B1895">
        <v>75</v>
      </c>
      <c r="C1895">
        <v>161</v>
      </c>
      <c r="D1895" s="51" t="s">
        <v>73</v>
      </c>
      <c r="E1895">
        <f>VLOOKUP(M1895,'MASS - 2016'!$A$1:$G$3418,6,FALSE)</f>
        <v>-20840.203000000001</v>
      </c>
      <c r="F1895">
        <f>VLOOKUP(M1895,'MASS - 2016'!$A$1:$G$3418,7,FALSE)</f>
        <v>149.922</v>
      </c>
      <c r="G1895">
        <f t="shared" si="151"/>
        <v>-20840.203000000001</v>
      </c>
      <c r="H1895">
        <f t="shared" si="147"/>
        <v>160.97762712198335</v>
      </c>
      <c r="I1895">
        <f t="shared" si="148"/>
        <v>149.949703618</v>
      </c>
      <c r="J1895">
        <f t="shared" si="150"/>
        <v>149911.37861799999</v>
      </c>
      <c r="M1895">
        <f t="shared" si="149"/>
        <v>86075</v>
      </c>
    </row>
    <row r="1896" spans="1:13" x14ac:dyDescent="0.2">
      <c r="A1896">
        <v>101</v>
      </c>
      <c r="B1896">
        <v>61</v>
      </c>
      <c r="C1896">
        <v>162</v>
      </c>
      <c r="D1896" s="51" t="s">
        <v>59</v>
      </c>
      <c r="E1896" t="str">
        <f>VLOOKUP(M1896,'MASS - 2016'!$A$1:$G$3418,6,FALSE)</f>
        <v>-46370#</v>
      </c>
      <c r="F1896" t="str">
        <f>VLOOKUP(M1896,'MASS - 2016'!$A$1:$G$3418,7,FALSE)</f>
        <v>300#</v>
      </c>
      <c r="G1896">
        <f t="shared" si="151"/>
        <v>-46370.01</v>
      </c>
      <c r="H1896">
        <f t="shared" si="147"/>
        <v>161.95021974702638</v>
      </c>
      <c r="I1896">
        <f t="shared" si="148"/>
        <v>150.855667872</v>
      </c>
      <c r="J1896">
        <f t="shared" si="150"/>
        <v>150824.49687199999</v>
      </c>
      <c r="M1896">
        <f t="shared" si="149"/>
        <v>101061</v>
      </c>
    </row>
    <row r="1897" spans="1:13" x14ac:dyDescent="0.2">
      <c r="A1897">
        <v>100</v>
      </c>
      <c r="B1897">
        <v>62</v>
      </c>
      <c r="C1897">
        <v>162</v>
      </c>
      <c r="D1897" s="51" t="s">
        <v>60</v>
      </c>
      <c r="E1897" t="str">
        <f>VLOOKUP(M1897,'MASS - 2016'!$A$1:$G$3418,6,FALSE)</f>
        <v>-54530#</v>
      </c>
      <c r="F1897" t="str">
        <f>VLOOKUP(M1897,'MASS - 2016'!$A$1:$G$3418,7,FALSE)</f>
        <v>196#</v>
      </c>
      <c r="G1897">
        <f t="shared" si="151"/>
        <v>-54530.01</v>
      </c>
      <c r="H1897">
        <f t="shared" si="147"/>
        <v>161.94145962676191</v>
      </c>
      <c r="I1897">
        <f t="shared" si="148"/>
        <v>150.84750787199999</v>
      </c>
      <c r="J1897">
        <f t="shared" si="150"/>
        <v>150815.82587199999</v>
      </c>
      <c r="M1897">
        <f t="shared" si="149"/>
        <v>100062</v>
      </c>
    </row>
    <row r="1898" spans="1:13" x14ac:dyDescent="0.2">
      <c r="A1898">
        <v>99</v>
      </c>
      <c r="B1898">
        <v>63</v>
      </c>
      <c r="C1898">
        <v>162</v>
      </c>
      <c r="D1898" s="51" t="s">
        <v>61</v>
      </c>
      <c r="E1898">
        <f>VLOOKUP(M1898,'MASS - 2016'!$A$1:$G$3418,6,FALSE)</f>
        <v>-58703.400999999998</v>
      </c>
      <c r="F1898">
        <f>VLOOKUP(M1898,'MASS - 2016'!$A$1:$G$3418,7,FALSE)</f>
        <v>35.228999999999999</v>
      </c>
      <c r="G1898">
        <f t="shared" si="151"/>
        <v>-58703.400999999998</v>
      </c>
      <c r="H1898">
        <f t="shared" si="147"/>
        <v>161.93697930726796</v>
      </c>
      <c r="I1898">
        <f t="shared" si="148"/>
        <v>150.843334481</v>
      </c>
      <c r="J1898">
        <f t="shared" si="150"/>
        <v>150811.141481</v>
      </c>
      <c r="M1898">
        <f t="shared" si="149"/>
        <v>99063</v>
      </c>
    </row>
    <row r="1899" spans="1:13" x14ac:dyDescent="0.2">
      <c r="A1899">
        <v>98</v>
      </c>
      <c r="B1899">
        <v>64</v>
      </c>
      <c r="C1899">
        <v>162</v>
      </c>
      <c r="D1899" s="51" t="s">
        <v>62</v>
      </c>
      <c r="E1899">
        <f>VLOOKUP(M1899,'MASS - 2016'!$A$1:$G$3418,6,FALSE)</f>
        <v>-64280.400999999998</v>
      </c>
      <c r="F1899">
        <f>VLOOKUP(M1899,'MASS - 2016'!$A$1:$G$3418,7,FALSE)</f>
        <v>4.0090000000000003</v>
      </c>
      <c r="G1899">
        <f t="shared" si="151"/>
        <v>-64280.400999999998</v>
      </c>
      <c r="H1899">
        <f t="shared" si="147"/>
        <v>161.93099215154311</v>
      </c>
      <c r="I1899">
        <f t="shared" si="148"/>
        <v>150.83775748100001</v>
      </c>
      <c r="J1899">
        <f t="shared" si="150"/>
        <v>150805.05348100001</v>
      </c>
      <c r="M1899">
        <f t="shared" si="149"/>
        <v>98064</v>
      </c>
    </row>
    <row r="1900" spans="1:13" x14ac:dyDescent="0.2">
      <c r="A1900">
        <v>97</v>
      </c>
      <c r="B1900">
        <v>65</v>
      </c>
      <c r="C1900">
        <v>162</v>
      </c>
      <c r="D1900" s="51" t="s">
        <v>63</v>
      </c>
      <c r="E1900">
        <f>VLOOKUP(M1900,'MASS - 2016'!$A$1:$G$3418,6,FALSE)</f>
        <v>-65675.957999999999</v>
      </c>
      <c r="F1900">
        <f>VLOOKUP(M1900,'MASS - 2016'!$A$1:$G$3418,7,FALSE)</f>
        <v>36.372</v>
      </c>
      <c r="G1900">
        <f t="shared" si="151"/>
        <v>-65675.957999999999</v>
      </c>
      <c r="H1900">
        <f t="shared" si="147"/>
        <v>161.92949395948966</v>
      </c>
      <c r="I1900">
        <f t="shared" si="148"/>
        <v>150.83636192399999</v>
      </c>
      <c r="J1900">
        <f t="shared" si="150"/>
        <v>150803.146924</v>
      </c>
      <c r="M1900">
        <f t="shared" si="149"/>
        <v>97065</v>
      </c>
    </row>
    <row r="1901" spans="1:13" x14ac:dyDescent="0.2">
      <c r="A1901">
        <v>96</v>
      </c>
      <c r="B1901">
        <v>66</v>
      </c>
      <c r="C1901">
        <v>162</v>
      </c>
      <c r="D1901" s="51" t="s">
        <v>64</v>
      </c>
      <c r="E1901">
        <f>VLOOKUP(M1901,'MASS - 2016'!$A$1:$G$3418,6,FALSE)</f>
        <v>-68181.478000000003</v>
      </c>
      <c r="F1901">
        <f>VLOOKUP(M1901,'MASS - 2016'!$A$1:$G$3418,7,FALSE)</f>
        <v>0.76700000000000002</v>
      </c>
      <c r="G1901">
        <f t="shared" si="151"/>
        <v>-68181.478000000003</v>
      </c>
      <c r="H1901">
        <f t="shared" si="147"/>
        <v>161.9268041731508</v>
      </c>
      <c r="I1901">
        <f t="shared" si="148"/>
        <v>150.83385640399999</v>
      </c>
      <c r="J1901">
        <f t="shared" si="150"/>
        <v>150800.130404</v>
      </c>
      <c r="M1901">
        <f t="shared" si="149"/>
        <v>96066</v>
      </c>
    </row>
    <row r="1902" spans="1:13" x14ac:dyDescent="0.2">
      <c r="A1902">
        <v>95</v>
      </c>
      <c r="B1902">
        <v>67</v>
      </c>
      <c r="C1902">
        <v>162</v>
      </c>
      <c r="D1902" s="51" t="s">
        <v>65</v>
      </c>
      <c r="E1902">
        <f>VLOOKUP(M1902,'MASS - 2016'!$A$1:$G$3418,6,FALSE)</f>
        <v>-66041.540999999997</v>
      </c>
      <c r="F1902">
        <f>VLOOKUP(M1902,'MASS - 2016'!$A$1:$G$3418,7,FALSE)</f>
        <v>3.1659999999999999</v>
      </c>
      <c r="G1902">
        <f t="shared" si="151"/>
        <v>-66041.540999999997</v>
      </c>
      <c r="H1902">
        <f t="shared" si="147"/>
        <v>161.92910148999866</v>
      </c>
      <c r="I1902">
        <f t="shared" si="148"/>
        <v>150.835996341</v>
      </c>
      <c r="J1902">
        <f t="shared" si="150"/>
        <v>150801.759341</v>
      </c>
      <c r="M1902">
        <f t="shared" si="149"/>
        <v>95067</v>
      </c>
    </row>
    <row r="1903" spans="1:13" x14ac:dyDescent="0.2">
      <c r="A1903">
        <v>94</v>
      </c>
      <c r="B1903">
        <v>68</v>
      </c>
      <c r="C1903">
        <v>162</v>
      </c>
      <c r="D1903" s="51" t="s">
        <v>66</v>
      </c>
      <c r="E1903">
        <f>VLOOKUP(M1903,'MASS - 2016'!$A$1:$G$3418,6,FALSE)</f>
        <v>-66334.519</v>
      </c>
      <c r="F1903">
        <f>VLOOKUP(M1903,'MASS - 2016'!$A$1:$G$3418,7,FALSE)</f>
        <v>0.82199999999999995</v>
      </c>
      <c r="G1903">
        <f t="shared" si="151"/>
        <v>-66334.519</v>
      </c>
      <c r="H1903">
        <f t="shared" si="147"/>
        <v>161.92878696518065</v>
      </c>
      <c r="I1903">
        <f t="shared" si="148"/>
        <v>150.83570336299999</v>
      </c>
      <c r="J1903">
        <f t="shared" si="150"/>
        <v>150800.95536300002</v>
      </c>
      <c r="M1903">
        <f t="shared" si="149"/>
        <v>94068</v>
      </c>
    </row>
    <row r="1904" spans="1:13" x14ac:dyDescent="0.2">
      <c r="A1904">
        <v>93</v>
      </c>
      <c r="B1904">
        <v>69</v>
      </c>
      <c r="C1904">
        <v>162</v>
      </c>
      <c r="D1904" s="51" t="s">
        <v>67</v>
      </c>
      <c r="E1904">
        <f>VLOOKUP(M1904,'MASS - 2016'!$A$1:$G$3418,6,FALSE)</f>
        <v>-61477.790999999997</v>
      </c>
      <c r="F1904">
        <f>VLOOKUP(M1904,'MASS - 2016'!$A$1:$G$3418,7,FALSE)</f>
        <v>26.06</v>
      </c>
      <c r="G1904">
        <f t="shared" si="151"/>
        <v>-61477.790999999997</v>
      </c>
      <c r="H1904">
        <f t="shared" si="147"/>
        <v>161.9340008771135</v>
      </c>
      <c r="I1904">
        <f t="shared" si="148"/>
        <v>150.84056009100001</v>
      </c>
      <c r="J1904">
        <f t="shared" si="150"/>
        <v>150805.30109100003</v>
      </c>
      <c r="M1904">
        <f t="shared" si="149"/>
        <v>93069</v>
      </c>
    </row>
    <row r="1905" spans="1:13" x14ac:dyDescent="0.2">
      <c r="A1905">
        <v>92</v>
      </c>
      <c r="B1905">
        <v>70</v>
      </c>
      <c r="C1905">
        <v>162</v>
      </c>
      <c r="D1905" s="51" t="s">
        <v>68</v>
      </c>
      <c r="E1905">
        <f>VLOOKUP(M1905,'MASS - 2016'!$A$1:$G$3418,6,FALSE)</f>
        <v>-59826.347000000002</v>
      </c>
      <c r="F1905">
        <f>VLOOKUP(M1905,'MASS - 2016'!$A$1:$G$3418,7,FALSE)</f>
        <v>15.359</v>
      </c>
      <c r="G1905">
        <f t="shared" si="151"/>
        <v>-59826.347000000002</v>
      </c>
      <c r="H1905">
        <f t="shared" si="147"/>
        <v>161.93577377515882</v>
      </c>
      <c r="I1905">
        <f t="shared" si="148"/>
        <v>150.84221153499999</v>
      </c>
      <c r="J1905">
        <f t="shared" si="150"/>
        <v>150806.44153499999</v>
      </c>
      <c r="M1905">
        <f t="shared" si="149"/>
        <v>92070</v>
      </c>
    </row>
    <row r="1906" spans="1:13" x14ac:dyDescent="0.2">
      <c r="A1906">
        <v>91</v>
      </c>
      <c r="B1906">
        <v>71</v>
      </c>
      <c r="C1906">
        <v>162</v>
      </c>
      <c r="D1906" s="51" t="s">
        <v>69</v>
      </c>
      <c r="E1906">
        <f>VLOOKUP(M1906,'MASS - 2016'!$A$1:$G$3418,6,FALSE)</f>
        <v>-52831.752999999997</v>
      </c>
      <c r="F1906">
        <f>VLOOKUP(M1906,'MASS - 2016'!$A$1:$G$3418,7,FALSE)</f>
        <v>75.036000000000001</v>
      </c>
      <c r="G1906">
        <f t="shared" si="151"/>
        <v>-52831.752999999997</v>
      </c>
      <c r="H1906">
        <f t="shared" si="147"/>
        <v>161.94328278062957</v>
      </c>
      <c r="I1906">
        <f t="shared" si="148"/>
        <v>150.84920612900001</v>
      </c>
      <c r="J1906">
        <f t="shared" si="150"/>
        <v>150812.92512900001</v>
      </c>
      <c r="M1906">
        <f t="shared" si="149"/>
        <v>91071</v>
      </c>
    </row>
    <row r="1907" spans="1:13" x14ac:dyDescent="0.2">
      <c r="A1907">
        <v>90</v>
      </c>
      <c r="B1907">
        <v>72</v>
      </c>
      <c r="C1907">
        <v>162</v>
      </c>
      <c r="D1907" s="51" t="s">
        <v>70</v>
      </c>
      <c r="E1907">
        <f>VLOOKUP(M1907,'MASS - 2016'!$A$1:$G$3418,6,FALSE)</f>
        <v>-49169.008000000002</v>
      </c>
      <c r="F1907">
        <f>VLOOKUP(M1907,'MASS - 2016'!$A$1:$G$3418,7,FALSE)</f>
        <v>8.968</v>
      </c>
      <c r="G1907">
        <f t="shared" si="151"/>
        <v>-49169.008000000002</v>
      </c>
      <c r="H1907">
        <f t="shared" si="147"/>
        <v>161.94721489909745</v>
      </c>
      <c r="I1907">
        <f t="shared" si="148"/>
        <v>150.852868874</v>
      </c>
      <c r="J1907">
        <f t="shared" si="150"/>
        <v>150816.07687400002</v>
      </c>
      <c r="M1907">
        <f t="shared" si="149"/>
        <v>90072</v>
      </c>
    </row>
    <row r="1908" spans="1:13" x14ac:dyDescent="0.2">
      <c r="A1908">
        <v>89</v>
      </c>
      <c r="B1908">
        <v>73</v>
      </c>
      <c r="C1908">
        <v>162</v>
      </c>
      <c r="D1908" s="51" t="s">
        <v>71</v>
      </c>
      <c r="E1908">
        <f>VLOOKUP(M1908,'MASS - 2016'!$A$1:$G$3418,6,FALSE)</f>
        <v>-39780.194000000003</v>
      </c>
      <c r="F1908">
        <f>VLOOKUP(M1908,'MASS - 2016'!$A$1:$G$3418,7,FALSE)</f>
        <v>52.238</v>
      </c>
      <c r="G1908">
        <f t="shared" si="151"/>
        <v>-39780.194000000003</v>
      </c>
      <c r="H1908">
        <f t="shared" si="147"/>
        <v>161.95729420544313</v>
      </c>
      <c r="I1908">
        <f t="shared" si="148"/>
        <v>150.862257688</v>
      </c>
      <c r="J1908">
        <f t="shared" si="150"/>
        <v>150824.954688</v>
      </c>
      <c r="M1908">
        <f t="shared" si="149"/>
        <v>89073</v>
      </c>
    </row>
    <row r="1909" spans="1:13" x14ac:dyDescent="0.2">
      <c r="A1909">
        <v>88</v>
      </c>
      <c r="B1909">
        <v>74</v>
      </c>
      <c r="C1909">
        <v>162</v>
      </c>
      <c r="D1909" s="51" t="s">
        <v>72</v>
      </c>
      <c r="E1909">
        <f>VLOOKUP(M1909,'MASS - 2016'!$A$1:$G$3418,6,FALSE)</f>
        <v>-33999.207000000002</v>
      </c>
      <c r="F1909">
        <f>VLOOKUP(M1909,'MASS - 2016'!$A$1:$G$3418,7,FALSE)</f>
        <v>17.658000000000001</v>
      </c>
      <c r="G1909">
        <f t="shared" si="151"/>
        <v>-33999.207000000002</v>
      </c>
      <c r="H1909">
        <f t="shared" si="147"/>
        <v>161.96350035021857</v>
      </c>
      <c r="I1909">
        <f t="shared" si="148"/>
        <v>150.86803867500001</v>
      </c>
      <c r="J1909">
        <f t="shared" si="150"/>
        <v>150830.224675</v>
      </c>
      <c r="M1909">
        <f t="shared" si="149"/>
        <v>88074</v>
      </c>
    </row>
    <row r="1910" spans="1:13" x14ac:dyDescent="0.2">
      <c r="A1910">
        <v>87</v>
      </c>
      <c r="B1910">
        <v>75</v>
      </c>
      <c r="C1910">
        <v>162</v>
      </c>
      <c r="D1910" s="51" t="s">
        <v>73</v>
      </c>
      <c r="E1910" t="str">
        <f>VLOOKUP(M1910,'MASS - 2016'!$A$1:$G$3418,6,FALSE)</f>
        <v>-22501#</v>
      </c>
      <c r="F1910" t="str">
        <f>VLOOKUP(M1910,'MASS - 2016'!$A$1:$G$3418,7,FALSE)</f>
        <v>196#</v>
      </c>
      <c r="G1910">
        <f t="shared" si="151"/>
        <v>-22501.01</v>
      </c>
      <c r="H1910">
        <f t="shared" si="147"/>
        <v>161.9758441723441</v>
      </c>
      <c r="I1910">
        <f t="shared" si="148"/>
        <v>150.87953687199999</v>
      </c>
      <c r="J1910">
        <f t="shared" si="150"/>
        <v>150841.21187199999</v>
      </c>
      <c r="M1910">
        <f t="shared" si="149"/>
        <v>87075</v>
      </c>
    </row>
    <row r="1911" spans="1:13" x14ac:dyDescent="0.2">
      <c r="A1911">
        <v>86</v>
      </c>
      <c r="B1911">
        <v>76</v>
      </c>
      <c r="C1911">
        <v>162</v>
      </c>
      <c r="D1911" s="51" t="s">
        <v>74</v>
      </c>
      <c r="E1911" t="str">
        <f>VLOOKUP(M1911,'MASS - 2016'!$A$1:$G$3418,6,FALSE)</f>
        <v>-14440#</v>
      </c>
      <c r="F1911" t="str">
        <f>VLOOKUP(M1911,'MASS - 2016'!$A$1:$G$3418,7,FALSE)</f>
        <v>300#</v>
      </c>
      <c r="G1911">
        <f t="shared" si="151"/>
        <v>-14440.01</v>
      </c>
      <c r="H1911">
        <f t="shared" si="147"/>
        <v>161.98449801173774</v>
      </c>
      <c r="I1911">
        <f t="shared" si="148"/>
        <v>150.88759787200001</v>
      </c>
      <c r="J1911">
        <f t="shared" si="150"/>
        <v>150848.761872</v>
      </c>
      <c r="M1911">
        <f t="shared" si="149"/>
        <v>86076</v>
      </c>
    </row>
    <row r="1912" spans="1:13" x14ac:dyDescent="0.2">
      <c r="A1912">
        <v>102</v>
      </c>
      <c r="B1912">
        <v>61</v>
      </c>
      <c r="C1912">
        <v>163</v>
      </c>
      <c r="D1912" s="51" t="s">
        <v>59</v>
      </c>
      <c r="E1912" t="str">
        <f>VLOOKUP(M1912,'MASS - 2016'!$A$1:$G$3418,6,FALSE)</f>
        <v>-43249#</v>
      </c>
      <c r="F1912" t="str">
        <f>VLOOKUP(M1912,'MASS - 2016'!$A$1:$G$3418,7,FALSE)</f>
        <v>400#</v>
      </c>
      <c r="G1912">
        <f t="shared" si="151"/>
        <v>-43249.01</v>
      </c>
      <c r="H1912">
        <f t="shared" si="147"/>
        <v>162.95357027831869</v>
      </c>
      <c r="I1912">
        <f t="shared" si="148"/>
        <v>151.79028293299999</v>
      </c>
      <c r="J1912">
        <f t="shared" si="150"/>
        <v>151759.11193299998</v>
      </c>
      <c r="M1912">
        <f t="shared" si="149"/>
        <v>102061</v>
      </c>
    </row>
    <row r="1913" spans="1:13" x14ac:dyDescent="0.2">
      <c r="A1913">
        <v>101</v>
      </c>
      <c r="B1913">
        <v>62</v>
      </c>
      <c r="C1913">
        <v>163</v>
      </c>
      <c r="D1913" s="51" t="s">
        <v>60</v>
      </c>
      <c r="E1913" t="str">
        <f>VLOOKUP(M1913,'MASS - 2016'!$A$1:$G$3418,6,FALSE)</f>
        <v>-50720#</v>
      </c>
      <c r="F1913" t="str">
        <f>VLOOKUP(M1913,'MASS - 2016'!$A$1:$G$3418,7,FALSE)</f>
        <v>298#</v>
      </c>
      <c r="G1913">
        <f t="shared" si="151"/>
        <v>-50720.01</v>
      </c>
      <c r="H1913">
        <f t="shared" si="147"/>
        <v>162.94554982997363</v>
      </c>
      <c r="I1913">
        <f t="shared" si="148"/>
        <v>151.782811933</v>
      </c>
      <c r="J1913">
        <f t="shared" si="150"/>
        <v>151751.12993300002</v>
      </c>
      <c r="M1913">
        <f t="shared" si="149"/>
        <v>101062</v>
      </c>
    </row>
    <row r="1914" spans="1:13" x14ac:dyDescent="0.2">
      <c r="A1914">
        <v>100</v>
      </c>
      <c r="B1914">
        <v>63</v>
      </c>
      <c r="C1914">
        <v>163</v>
      </c>
      <c r="D1914" s="51" t="s">
        <v>61</v>
      </c>
      <c r="E1914">
        <f>VLOOKUP(M1914,'MASS - 2016'!$A$1:$G$3418,6,FALSE)</f>
        <v>-56484.885999999999</v>
      </c>
      <c r="F1914">
        <f>VLOOKUP(M1914,'MASS - 2016'!$A$1:$G$3418,7,FALSE)</f>
        <v>65.543999999999997</v>
      </c>
      <c r="G1914">
        <f t="shared" si="151"/>
        <v>-56484.885999999999</v>
      </c>
      <c r="H1914">
        <f t="shared" si="147"/>
        <v>162.93936098106803</v>
      </c>
      <c r="I1914">
        <f t="shared" si="148"/>
        <v>151.777047057</v>
      </c>
      <c r="J1914">
        <f t="shared" si="150"/>
        <v>151744.85405700002</v>
      </c>
      <c r="M1914">
        <f t="shared" si="149"/>
        <v>100063</v>
      </c>
    </row>
    <row r="1915" spans="1:13" x14ac:dyDescent="0.2">
      <c r="A1915">
        <v>99</v>
      </c>
      <c r="B1915">
        <v>64</v>
      </c>
      <c r="C1915">
        <v>163</v>
      </c>
      <c r="D1915" s="51" t="s">
        <v>62</v>
      </c>
      <c r="E1915">
        <f>VLOOKUP(M1915,'MASS - 2016'!$A$1:$G$3418,6,FALSE)</f>
        <v>-61313.885999999999</v>
      </c>
      <c r="F1915">
        <f>VLOOKUP(M1915,'MASS - 2016'!$A$1:$G$3418,7,FALSE)</f>
        <v>8.4260000000000002</v>
      </c>
      <c r="G1915">
        <f t="shared" si="151"/>
        <v>-61313.885999999999</v>
      </c>
      <c r="H1915">
        <f t="shared" si="147"/>
        <v>162.93417683636741</v>
      </c>
      <c r="I1915">
        <f t="shared" si="148"/>
        <v>151.772218057</v>
      </c>
      <c r="J1915">
        <f t="shared" si="150"/>
        <v>151739.51405699999</v>
      </c>
      <c r="M1915">
        <f t="shared" si="149"/>
        <v>99064</v>
      </c>
    </row>
    <row r="1916" spans="1:13" x14ac:dyDescent="0.2">
      <c r="A1916">
        <v>98</v>
      </c>
      <c r="B1916">
        <v>65</v>
      </c>
      <c r="C1916">
        <v>163</v>
      </c>
      <c r="D1916" s="51" t="s">
        <v>63</v>
      </c>
      <c r="E1916">
        <f>VLOOKUP(M1916,'MASS - 2016'!$A$1:$G$3418,6,FALSE)</f>
        <v>-64596.071000000004</v>
      </c>
      <c r="F1916">
        <f>VLOOKUP(M1916,'MASS - 2016'!$A$1:$G$3418,7,FALSE)</f>
        <v>4.0730000000000004</v>
      </c>
      <c r="G1916">
        <f t="shared" si="151"/>
        <v>-64596.071000000004</v>
      </c>
      <c r="H1916">
        <f t="shared" si="147"/>
        <v>162.93065326586122</v>
      </c>
      <c r="I1916">
        <f t="shared" si="148"/>
        <v>151.76893587199999</v>
      </c>
      <c r="J1916">
        <f t="shared" si="150"/>
        <v>151735.72087199998</v>
      </c>
      <c r="M1916">
        <f t="shared" si="149"/>
        <v>98065</v>
      </c>
    </row>
    <row r="1917" spans="1:13" x14ac:dyDescent="0.2">
      <c r="A1917">
        <v>97</v>
      </c>
      <c r="B1917">
        <v>66</v>
      </c>
      <c r="C1917">
        <v>163</v>
      </c>
      <c r="D1917" s="51" t="s">
        <v>64</v>
      </c>
      <c r="E1917">
        <f>VLOOKUP(M1917,'MASS - 2016'!$A$1:$G$3418,6,FALSE)</f>
        <v>-66381.17</v>
      </c>
      <c r="F1917">
        <f>VLOOKUP(M1917,'MASS - 2016'!$A$1:$G$3418,7,FALSE)</f>
        <v>0.76500000000000001</v>
      </c>
      <c r="G1917">
        <f t="shared" si="151"/>
        <v>-66381.17</v>
      </c>
      <c r="H1917">
        <f t="shared" si="147"/>
        <v>162.92873688327251</v>
      </c>
      <c r="I1917">
        <f t="shared" si="148"/>
        <v>151.767150773</v>
      </c>
      <c r="J1917">
        <f t="shared" si="150"/>
        <v>151733.42477300001</v>
      </c>
      <c r="M1917">
        <f t="shared" si="149"/>
        <v>97066</v>
      </c>
    </row>
    <row r="1918" spans="1:13" x14ac:dyDescent="0.2">
      <c r="A1918">
        <v>96</v>
      </c>
      <c r="B1918">
        <v>67</v>
      </c>
      <c r="C1918">
        <v>163</v>
      </c>
      <c r="D1918" s="51" t="s">
        <v>65</v>
      </c>
      <c r="E1918">
        <f>VLOOKUP(M1918,'MASS - 2016'!$A$1:$G$3418,6,FALSE)</f>
        <v>-66378.335000000006</v>
      </c>
      <c r="F1918">
        <f>VLOOKUP(M1918,'MASS - 2016'!$A$1:$G$3418,7,FALSE)</f>
        <v>0.76500000000000001</v>
      </c>
      <c r="G1918">
        <f t="shared" si="151"/>
        <v>-66378.335000000006</v>
      </c>
      <c r="H1918">
        <f t="shared" si="147"/>
        <v>162.92873992677019</v>
      </c>
      <c r="I1918">
        <f t="shared" si="148"/>
        <v>151.767153608</v>
      </c>
      <c r="J1918">
        <f t="shared" si="150"/>
        <v>151732.916608</v>
      </c>
      <c r="M1918">
        <f t="shared" si="149"/>
        <v>96067</v>
      </c>
    </row>
    <row r="1919" spans="1:13" x14ac:dyDescent="0.2">
      <c r="A1919">
        <v>95</v>
      </c>
      <c r="B1919">
        <v>68</v>
      </c>
      <c r="C1919">
        <v>163</v>
      </c>
      <c r="D1919" s="51" t="s">
        <v>66</v>
      </c>
      <c r="E1919">
        <f>VLOOKUP(M1919,'MASS - 2016'!$A$1:$G$3418,6,FALSE)</f>
        <v>-65167.722999999998</v>
      </c>
      <c r="F1919">
        <f>VLOOKUP(M1919,'MASS - 2016'!$A$1:$G$3418,7,FALSE)</f>
        <v>4.6390000000000002</v>
      </c>
      <c r="G1919">
        <f t="shared" si="151"/>
        <v>-65167.722999999998</v>
      </c>
      <c r="H1919">
        <f t="shared" si="147"/>
        <v>162.93003957220077</v>
      </c>
      <c r="I1919">
        <f t="shared" si="148"/>
        <v>151.76836422</v>
      </c>
      <c r="J1919">
        <f t="shared" si="150"/>
        <v>151733.61622</v>
      </c>
      <c r="M1919">
        <f t="shared" si="149"/>
        <v>95068</v>
      </c>
    </row>
    <row r="1920" spans="1:13" x14ac:dyDescent="0.2">
      <c r="A1920">
        <v>94</v>
      </c>
      <c r="B1920">
        <v>69</v>
      </c>
      <c r="C1920">
        <v>163</v>
      </c>
      <c r="D1920" s="51" t="s">
        <v>67</v>
      </c>
      <c r="E1920">
        <f>VLOOKUP(M1920,'MASS - 2016'!$A$1:$G$3418,6,FALSE)</f>
        <v>-62728.722999999998</v>
      </c>
      <c r="F1920">
        <f>VLOOKUP(M1920,'MASS - 2016'!$A$1:$G$3418,7,FALSE)</f>
        <v>5.524</v>
      </c>
      <c r="G1920">
        <f t="shared" si="151"/>
        <v>-62728.722999999998</v>
      </c>
      <c r="H1920">
        <f t="shared" si="147"/>
        <v>162.93265794638276</v>
      </c>
      <c r="I1920">
        <f t="shared" si="148"/>
        <v>151.77080322</v>
      </c>
      <c r="J1920">
        <f t="shared" si="150"/>
        <v>151735.54422000001</v>
      </c>
      <c r="M1920">
        <f t="shared" si="149"/>
        <v>94069</v>
      </c>
    </row>
    <row r="1921" spans="1:13" x14ac:dyDescent="0.2">
      <c r="A1921">
        <v>93</v>
      </c>
      <c r="B1921">
        <v>70</v>
      </c>
      <c r="C1921">
        <v>163</v>
      </c>
      <c r="D1921" s="51" t="s">
        <v>68</v>
      </c>
      <c r="E1921">
        <f>VLOOKUP(M1921,'MASS - 2016'!$A$1:$G$3418,6,FALSE)</f>
        <v>-59299.093999999997</v>
      </c>
      <c r="F1921">
        <f>VLOOKUP(M1921,'MASS - 2016'!$A$1:$G$3418,7,FALSE)</f>
        <v>15.364000000000001</v>
      </c>
      <c r="G1921">
        <f t="shared" si="151"/>
        <v>-59299.093999999997</v>
      </c>
      <c r="H1921">
        <f t="shared" si="147"/>
        <v>162.93633980453257</v>
      </c>
      <c r="I1921">
        <f t="shared" si="148"/>
        <v>151.77423284899999</v>
      </c>
      <c r="J1921">
        <f t="shared" si="150"/>
        <v>151738.462849</v>
      </c>
      <c r="M1921">
        <f t="shared" si="149"/>
        <v>93070</v>
      </c>
    </row>
    <row r="1922" spans="1:13" x14ac:dyDescent="0.2">
      <c r="A1922">
        <v>92</v>
      </c>
      <c r="B1922">
        <v>71</v>
      </c>
      <c r="C1922">
        <v>163</v>
      </c>
      <c r="D1922" s="51" t="s">
        <v>69</v>
      </c>
      <c r="E1922">
        <f>VLOOKUP(M1922,'MASS - 2016'!$A$1:$G$3418,6,FALSE)</f>
        <v>-54791.409</v>
      </c>
      <c r="F1922">
        <f>VLOOKUP(M1922,'MASS - 2016'!$A$1:$G$3418,7,FALSE)</f>
        <v>27.945</v>
      </c>
      <c r="G1922">
        <f t="shared" si="151"/>
        <v>-54791.409</v>
      </c>
      <c r="H1922">
        <f t="shared" si="147"/>
        <v>162.94117900339464</v>
      </c>
      <c r="I1922">
        <f t="shared" si="148"/>
        <v>151.77874053400001</v>
      </c>
      <c r="J1922">
        <f t="shared" si="150"/>
        <v>151742.45953400002</v>
      </c>
      <c r="M1922">
        <f t="shared" si="149"/>
        <v>92071</v>
      </c>
    </row>
    <row r="1923" spans="1:13" x14ac:dyDescent="0.2">
      <c r="A1923">
        <v>91</v>
      </c>
      <c r="B1923">
        <v>72</v>
      </c>
      <c r="C1923">
        <v>163</v>
      </c>
      <c r="D1923" s="51" t="s">
        <v>70</v>
      </c>
      <c r="E1923">
        <f>VLOOKUP(M1923,'MASS - 2016'!$A$1:$G$3418,6,FALSE)</f>
        <v>-49263.682000000001</v>
      </c>
      <c r="F1923">
        <f>VLOOKUP(M1923,'MASS - 2016'!$A$1:$G$3418,7,FALSE)</f>
        <v>24.777999999999999</v>
      </c>
      <c r="G1923">
        <f t="shared" si="151"/>
        <v>-49263.682000000001</v>
      </c>
      <c r="H1923">
        <f t="shared" si="147"/>
        <v>162.94711326237859</v>
      </c>
      <c r="I1923">
        <f t="shared" si="148"/>
        <v>151.78426826099999</v>
      </c>
      <c r="J1923">
        <f t="shared" si="150"/>
        <v>151747.476261</v>
      </c>
      <c r="M1923">
        <f t="shared" si="149"/>
        <v>91072</v>
      </c>
    </row>
    <row r="1924" spans="1:13" x14ac:dyDescent="0.2">
      <c r="A1924">
        <v>90</v>
      </c>
      <c r="B1924">
        <v>73</v>
      </c>
      <c r="C1924">
        <v>163</v>
      </c>
      <c r="D1924" s="51" t="s">
        <v>71</v>
      </c>
      <c r="E1924">
        <f>VLOOKUP(M1924,'MASS - 2016'!$A$1:$G$3418,6,FALSE)</f>
        <v>-42534.629000000001</v>
      </c>
      <c r="F1924">
        <f>VLOOKUP(M1924,'MASS - 2016'!$A$1:$G$3418,7,FALSE)</f>
        <v>38.061</v>
      </c>
      <c r="G1924">
        <f t="shared" si="151"/>
        <v>-42534.629000000001</v>
      </c>
      <c r="H1924">
        <f t="shared" si="147"/>
        <v>162.9543371978622</v>
      </c>
      <c r="I1924">
        <f t="shared" si="148"/>
        <v>151.79099731400001</v>
      </c>
      <c r="J1924">
        <f t="shared" si="150"/>
        <v>151753.69431399999</v>
      </c>
      <c r="M1924">
        <f t="shared" si="149"/>
        <v>90073</v>
      </c>
    </row>
    <row r="1925" spans="1:13" x14ac:dyDescent="0.2">
      <c r="A1925">
        <v>89</v>
      </c>
      <c r="B1925">
        <v>74</v>
      </c>
      <c r="C1925">
        <v>163</v>
      </c>
      <c r="D1925" s="51" t="s">
        <v>72</v>
      </c>
      <c r="E1925">
        <f>VLOOKUP(M1925,'MASS - 2016'!$A$1:$G$3418,6,FALSE)</f>
        <v>-34908.192999999999</v>
      </c>
      <c r="F1925">
        <f>VLOOKUP(M1925,'MASS - 2016'!$A$1:$G$3418,7,FALSE)</f>
        <v>52.750999999999998</v>
      </c>
      <c r="G1925">
        <f t="shared" si="151"/>
        <v>-34908.192999999999</v>
      </c>
      <c r="H1925">
        <f t="shared" si="147"/>
        <v>162.96252451361576</v>
      </c>
      <c r="I1925">
        <f t="shared" si="148"/>
        <v>151.79862374999999</v>
      </c>
      <c r="J1925">
        <f t="shared" si="150"/>
        <v>151760.80974999999</v>
      </c>
      <c r="M1925">
        <f t="shared" si="149"/>
        <v>89074</v>
      </c>
    </row>
    <row r="1926" spans="1:13" x14ac:dyDescent="0.2">
      <c r="A1926">
        <v>88</v>
      </c>
      <c r="B1926">
        <v>75</v>
      </c>
      <c r="C1926">
        <v>163</v>
      </c>
      <c r="D1926" s="51" t="s">
        <v>73</v>
      </c>
      <c r="E1926">
        <f>VLOOKUP(M1926,'MASS - 2016'!$A$1:$G$3418,6,FALSE)</f>
        <v>-26002.243999999999</v>
      </c>
      <c r="F1926">
        <f>VLOOKUP(M1926,'MASS - 2016'!$A$1:$G$3418,7,FALSE)</f>
        <v>18.533999999999999</v>
      </c>
      <c r="G1926">
        <f t="shared" si="151"/>
        <v>-26002.243999999999</v>
      </c>
      <c r="H1926">
        <f t="shared" si="147"/>
        <v>162.97208544306542</v>
      </c>
      <c r="I1926">
        <f t="shared" si="148"/>
        <v>151.80752969899999</v>
      </c>
      <c r="J1926">
        <f t="shared" si="150"/>
        <v>151769.20469899997</v>
      </c>
      <c r="M1926">
        <f t="shared" si="149"/>
        <v>88075</v>
      </c>
    </row>
    <row r="1927" spans="1:13" x14ac:dyDescent="0.2">
      <c r="A1927">
        <v>87</v>
      </c>
      <c r="B1927">
        <v>76</v>
      </c>
      <c r="C1927">
        <v>163</v>
      </c>
      <c r="D1927" s="51" t="s">
        <v>74</v>
      </c>
      <c r="E1927" t="str">
        <f>VLOOKUP(M1927,'MASS - 2016'!$A$1:$G$3418,6,FALSE)</f>
        <v>-16192#</v>
      </c>
      <c r="F1927" t="str">
        <f>VLOOKUP(M1927,'MASS - 2016'!$A$1:$G$3418,7,FALSE)</f>
        <v>298#</v>
      </c>
      <c r="G1927">
        <f t="shared" si="151"/>
        <v>-16192.01</v>
      </c>
      <c r="H1927">
        <f t="shared" si="147"/>
        <v>162.98261716238682</v>
      </c>
      <c r="I1927">
        <f t="shared" si="148"/>
        <v>151.817339933</v>
      </c>
      <c r="J1927">
        <f t="shared" si="150"/>
        <v>151778.503933</v>
      </c>
      <c r="M1927">
        <f t="shared" si="149"/>
        <v>87076</v>
      </c>
    </row>
    <row r="1928" spans="1:13" x14ac:dyDescent="0.2">
      <c r="A1928">
        <v>102</v>
      </c>
      <c r="B1928">
        <v>62</v>
      </c>
      <c r="C1928">
        <v>164</v>
      </c>
      <c r="D1928" s="51" t="s">
        <v>60</v>
      </c>
      <c r="E1928" t="str">
        <f>VLOOKUP(M1928,'MASS - 2016'!$A$1:$G$3418,6,FALSE)</f>
        <v>-48102#</v>
      </c>
      <c r="F1928" t="str">
        <f>VLOOKUP(M1928,'MASS - 2016'!$A$1:$G$3418,7,FALSE)</f>
        <v>298#</v>
      </c>
      <c r="G1928">
        <f t="shared" si="151"/>
        <v>-48102.01</v>
      </c>
      <c r="H1928">
        <f t="shared" si="147"/>
        <v>163.94836036855847</v>
      </c>
      <c r="I1928">
        <f t="shared" si="148"/>
        <v>152.71692399399998</v>
      </c>
      <c r="J1928">
        <f t="shared" si="150"/>
        <v>152685.24199399998</v>
      </c>
      <c r="M1928">
        <f t="shared" si="149"/>
        <v>102062</v>
      </c>
    </row>
    <row r="1929" spans="1:13" x14ac:dyDescent="0.2">
      <c r="A1929">
        <v>101</v>
      </c>
      <c r="B1929">
        <v>63</v>
      </c>
      <c r="C1929">
        <v>164</v>
      </c>
      <c r="D1929" s="51" t="s">
        <v>61</v>
      </c>
      <c r="E1929" t="str">
        <f>VLOOKUP(M1929,'MASS - 2016'!$A$1:$G$3418,6,FALSE)</f>
        <v>-53381#</v>
      </c>
      <c r="F1929" t="str">
        <f>VLOOKUP(M1929,'MASS - 2016'!$A$1:$G$3418,7,FALSE)</f>
        <v>114#</v>
      </c>
      <c r="G1929">
        <f t="shared" si="151"/>
        <v>-53381.01</v>
      </c>
      <c r="H1929">
        <f t="shared" ref="H1929:H1992" si="152">(C1929*$A$3+G1929/1000000)/$A$3</f>
        <v>163.94269312899033</v>
      </c>
      <c r="I1929">
        <f t="shared" ref="I1929:I1992" si="153">H1929*$A$3</f>
        <v>152.71164499399998</v>
      </c>
      <c r="J1929">
        <f t="shared" si="150"/>
        <v>152679.45199399997</v>
      </c>
      <c r="M1929">
        <f t="shared" ref="M1929:M1992" si="154">1000*A1929+B1929</f>
        <v>101063</v>
      </c>
    </row>
    <row r="1930" spans="1:13" x14ac:dyDescent="0.2">
      <c r="A1930">
        <v>100</v>
      </c>
      <c r="B1930">
        <v>64</v>
      </c>
      <c r="C1930">
        <v>164</v>
      </c>
      <c r="D1930" s="51" t="s">
        <v>62</v>
      </c>
      <c r="E1930" t="str">
        <f>VLOOKUP(M1930,'MASS - 2016'!$A$1:$G$3418,6,FALSE)</f>
        <v>-59774#</v>
      </c>
      <c r="F1930" t="str">
        <f>VLOOKUP(M1930,'MASS - 2016'!$A$1:$G$3418,7,FALSE)</f>
        <v>102#</v>
      </c>
      <c r="G1930">
        <f t="shared" si="151"/>
        <v>-59774.01</v>
      </c>
      <c r="H1930">
        <f t="shared" si="152"/>
        <v>163.93582996123899</v>
      </c>
      <c r="I1930">
        <f t="shared" si="153"/>
        <v>152.70525199399998</v>
      </c>
      <c r="J1930">
        <f t="shared" si="150"/>
        <v>152672.54799399999</v>
      </c>
      <c r="M1930">
        <f t="shared" si="154"/>
        <v>100064</v>
      </c>
    </row>
    <row r="1931" spans="1:13" x14ac:dyDescent="0.2">
      <c r="A1931">
        <v>99</v>
      </c>
      <c r="B1931">
        <v>65</v>
      </c>
      <c r="C1931">
        <v>164</v>
      </c>
      <c r="D1931" s="51" t="s">
        <v>63</v>
      </c>
      <c r="E1931">
        <f>VLOOKUP(M1931,'MASS - 2016'!$A$1:$G$3418,6,FALSE)</f>
        <v>-62077.964999999997</v>
      </c>
      <c r="F1931">
        <f>VLOOKUP(M1931,'MASS - 2016'!$A$1:$G$3418,7,FALSE)</f>
        <v>100.003</v>
      </c>
      <c r="G1931">
        <f t="shared" si="151"/>
        <v>-62077.964999999997</v>
      </c>
      <c r="H1931">
        <f t="shared" si="152"/>
        <v>163.93335656382678</v>
      </c>
      <c r="I1931">
        <f t="shared" si="153"/>
        <v>152.70294803900001</v>
      </c>
      <c r="J1931">
        <f t="shared" si="150"/>
        <v>152669.73303900001</v>
      </c>
      <c r="M1931">
        <f t="shared" si="154"/>
        <v>99065</v>
      </c>
    </row>
    <row r="1932" spans="1:13" x14ac:dyDescent="0.2">
      <c r="A1932">
        <v>98</v>
      </c>
      <c r="B1932">
        <v>66</v>
      </c>
      <c r="C1932">
        <v>164</v>
      </c>
      <c r="D1932" s="51" t="s">
        <v>64</v>
      </c>
      <c r="E1932">
        <f>VLOOKUP(M1932,'MASS - 2016'!$A$1:$G$3418,6,FALSE)</f>
        <v>-65967.964999999997</v>
      </c>
      <c r="F1932">
        <f>VLOOKUP(M1932,'MASS - 2016'!$A$1:$G$3418,7,FALSE)</f>
        <v>0.76700000000000002</v>
      </c>
      <c r="G1932">
        <f t="shared" si="151"/>
        <v>-65967.964999999997</v>
      </c>
      <c r="H1932">
        <f t="shared" si="152"/>
        <v>163.92918047708304</v>
      </c>
      <c r="I1932">
        <f t="shared" si="153"/>
        <v>152.69905803899999</v>
      </c>
      <c r="J1932">
        <f t="shared" ref="J1932:J1995" si="155">1000*I1932-B1932*0.511</f>
        <v>152665.332039</v>
      </c>
      <c r="M1932">
        <f t="shared" si="154"/>
        <v>98066</v>
      </c>
    </row>
    <row r="1933" spans="1:13" x14ac:dyDescent="0.2">
      <c r="A1933">
        <v>97</v>
      </c>
      <c r="B1933">
        <v>67</v>
      </c>
      <c r="C1933">
        <v>164</v>
      </c>
      <c r="D1933" s="51" t="s">
        <v>65</v>
      </c>
      <c r="E1933">
        <f>VLOOKUP(M1933,'MASS - 2016'!$A$1:$G$3418,6,FALSE)</f>
        <v>-64981.502999999997</v>
      </c>
      <c r="F1933">
        <f>VLOOKUP(M1933,'MASS - 2016'!$A$1:$G$3418,7,FALSE)</f>
        <v>1.528</v>
      </c>
      <c r="G1933">
        <f t="shared" si="151"/>
        <v>-64981.502999999997</v>
      </c>
      <c r="H1933">
        <f t="shared" si="152"/>
        <v>163.93023948759239</v>
      </c>
      <c r="I1933">
        <f t="shared" si="153"/>
        <v>152.70004450099998</v>
      </c>
      <c r="J1933">
        <f t="shared" si="155"/>
        <v>152665.80750099997</v>
      </c>
      <c r="M1933">
        <f t="shared" si="154"/>
        <v>97067</v>
      </c>
    </row>
    <row r="1934" spans="1:13" x14ac:dyDescent="0.2">
      <c r="A1934">
        <v>96</v>
      </c>
      <c r="B1934">
        <v>68</v>
      </c>
      <c r="C1934">
        <v>164</v>
      </c>
      <c r="D1934" s="51" t="s">
        <v>66</v>
      </c>
      <c r="E1934">
        <f>VLOOKUP(M1934,'MASS - 2016'!$A$1:$G$3418,6,FALSE)</f>
        <v>-65942.89</v>
      </c>
      <c r="F1934">
        <f>VLOOKUP(M1934,'MASS - 2016'!$A$1:$G$3418,7,FALSE)</f>
        <v>0.77500000000000002</v>
      </c>
      <c r="G1934">
        <f t="shared" si="151"/>
        <v>-65942.89</v>
      </c>
      <c r="H1934">
        <f t="shared" si="152"/>
        <v>163.9292073962026</v>
      </c>
      <c r="I1934">
        <f t="shared" si="153"/>
        <v>152.69908311399999</v>
      </c>
      <c r="J1934">
        <f t="shared" si="155"/>
        <v>152664.33511399999</v>
      </c>
      <c r="M1934">
        <f t="shared" si="154"/>
        <v>96068</v>
      </c>
    </row>
    <row r="1935" spans="1:13" x14ac:dyDescent="0.2">
      <c r="A1935">
        <v>95</v>
      </c>
      <c r="B1935">
        <v>69</v>
      </c>
      <c r="C1935">
        <v>164</v>
      </c>
      <c r="D1935" s="51" t="s">
        <v>67</v>
      </c>
      <c r="E1935">
        <f>VLOOKUP(M1935,'MASS - 2016'!$A$1:$G$3418,6,FALSE)</f>
        <v>-61904.035000000003</v>
      </c>
      <c r="F1935">
        <f>VLOOKUP(M1935,'MASS - 2016'!$A$1:$G$3418,7,FALSE)</f>
        <v>24.393999999999998</v>
      </c>
      <c r="G1935">
        <f t="shared" ref="G1935:G1998" si="156">IF(ISNUMBER(E1935),E1935,VALUE(SUBSTITUTE(E1935,"#",".01")))</f>
        <v>-61904.035000000003</v>
      </c>
      <c r="H1935">
        <f t="shared" si="152"/>
        <v>163.93354328536077</v>
      </c>
      <c r="I1935">
        <f t="shared" si="153"/>
        <v>152.70312196899999</v>
      </c>
      <c r="J1935">
        <f t="shared" si="155"/>
        <v>152667.86296900001</v>
      </c>
      <c r="M1935">
        <f t="shared" si="154"/>
        <v>95069</v>
      </c>
    </row>
    <row r="1936" spans="1:13" x14ac:dyDescent="0.2">
      <c r="A1936">
        <v>94</v>
      </c>
      <c r="B1936">
        <v>70</v>
      </c>
      <c r="C1936">
        <v>164</v>
      </c>
      <c r="D1936" s="51" t="s">
        <v>68</v>
      </c>
      <c r="E1936">
        <f>VLOOKUP(M1936,'MASS - 2016'!$A$1:$G$3418,6,FALSE)</f>
        <v>-61017.417999999998</v>
      </c>
      <c r="F1936">
        <f>VLOOKUP(M1936,'MASS - 2016'!$A$1:$G$3418,7,FALSE)</f>
        <v>15.369</v>
      </c>
      <c r="G1936">
        <f t="shared" si="156"/>
        <v>-61017.417999999998</v>
      </c>
      <c r="H1936">
        <f t="shared" si="152"/>
        <v>163.93449510785447</v>
      </c>
      <c r="I1936">
        <f t="shared" si="153"/>
        <v>152.70400858599999</v>
      </c>
      <c r="J1936">
        <f t="shared" si="155"/>
        <v>152668.23858599999</v>
      </c>
      <c r="M1936">
        <f t="shared" si="154"/>
        <v>94070</v>
      </c>
    </row>
    <row r="1937" spans="1:13" x14ac:dyDescent="0.2">
      <c r="A1937">
        <v>93</v>
      </c>
      <c r="B1937">
        <v>71</v>
      </c>
      <c r="C1937">
        <v>164</v>
      </c>
      <c r="D1937" s="51" t="s">
        <v>69</v>
      </c>
      <c r="E1937">
        <f>VLOOKUP(M1937,'MASS - 2016'!$A$1:$G$3418,6,FALSE)</f>
        <v>-54642.37</v>
      </c>
      <c r="F1937">
        <f>VLOOKUP(M1937,'MASS - 2016'!$A$1:$G$3418,7,FALSE)</f>
        <v>27.945</v>
      </c>
      <c r="G1937">
        <f t="shared" si="156"/>
        <v>-54642.37</v>
      </c>
      <c r="H1937">
        <f t="shared" si="152"/>
        <v>163.9413390033412</v>
      </c>
      <c r="I1937">
        <f t="shared" si="153"/>
        <v>152.71038363399998</v>
      </c>
      <c r="J1937">
        <f t="shared" si="155"/>
        <v>152674.10263399998</v>
      </c>
      <c r="M1937">
        <f t="shared" si="154"/>
        <v>93071</v>
      </c>
    </row>
    <row r="1938" spans="1:13" x14ac:dyDescent="0.2">
      <c r="A1938">
        <v>92</v>
      </c>
      <c r="B1938">
        <v>72</v>
      </c>
      <c r="C1938">
        <v>164</v>
      </c>
      <c r="D1938" s="51" t="s">
        <v>70</v>
      </c>
      <c r="E1938">
        <f>VLOOKUP(M1938,'MASS - 2016'!$A$1:$G$3418,6,FALSE)</f>
        <v>-51818.504999999997</v>
      </c>
      <c r="F1938">
        <f>VLOOKUP(M1938,'MASS - 2016'!$A$1:$G$3418,7,FALSE)</f>
        <v>15.82</v>
      </c>
      <c r="G1938">
        <f t="shared" si="156"/>
        <v>-51818.504999999997</v>
      </c>
      <c r="H1938">
        <f t="shared" si="152"/>
        <v>163.94437054709252</v>
      </c>
      <c r="I1938">
        <f t="shared" si="153"/>
        <v>152.71320749899999</v>
      </c>
      <c r="J1938">
        <f t="shared" si="155"/>
        <v>152676.415499</v>
      </c>
      <c r="M1938">
        <f t="shared" si="154"/>
        <v>92072</v>
      </c>
    </row>
    <row r="1939" spans="1:13" x14ac:dyDescent="0.2">
      <c r="A1939">
        <v>91</v>
      </c>
      <c r="B1939">
        <v>73</v>
      </c>
      <c r="C1939">
        <v>164</v>
      </c>
      <c r="D1939" s="51" t="s">
        <v>71</v>
      </c>
      <c r="E1939">
        <f>VLOOKUP(M1939,'MASS - 2016'!$A$1:$G$3418,6,FALSE)</f>
        <v>-43282.8</v>
      </c>
      <c r="F1939">
        <f>VLOOKUP(M1939,'MASS - 2016'!$A$1:$G$3418,7,FALSE)</f>
        <v>27.945</v>
      </c>
      <c r="G1939">
        <f t="shared" si="156"/>
        <v>-43282.8</v>
      </c>
      <c r="H1939">
        <f t="shared" si="152"/>
        <v>163.95353400326189</v>
      </c>
      <c r="I1939">
        <f t="shared" si="153"/>
        <v>152.72174320400001</v>
      </c>
      <c r="J1939">
        <f t="shared" si="155"/>
        <v>152684.44020399998</v>
      </c>
      <c r="M1939">
        <f t="shared" si="154"/>
        <v>91073</v>
      </c>
    </row>
    <row r="1940" spans="1:13" x14ac:dyDescent="0.2">
      <c r="A1940">
        <v>90</v>
      </c>
      <c r="B1940">
        <v>74</v>
      </c>
      <c r="C1940">
        <v>164</v>
      </c>
      <c r="D1940" s="51" t="s">
        <v>72</v>
      </c>
      <c r="E1940">
        <f>VLOOKUP(M1940,'MASS - 2016'!$A$1:$G$3418,6,FALSE)</f>
        <v>-38235.758999999998</v>
      </c>
      <c r="F1940">
        <f>VLOOKUP(M1940,'MASS - 2016'!$A$1:$G$3418,7,FALSE)</f>
        <v>9.6739999999999995</v>
      </c>
      <c r="G1940">
        <f t="shared" si="156"/>
        <v>-38235.758999999998</v>
      </c>
      <c r="H1940">
        <f t="shared" si="152"/>
        <v>163.95895222460254</v>
      </c>
      <c r="I1940">
        <f t="shared" si="153"/>
        <v>152.72679024499999</v>
      </c>
      <c r="J1940">
        <f t="shared" si="155"/>
        <v>152688.97624499997</v>
      </c>
      <c r="M1940">
        <f t="shared" si="154"/>
        <v>90074</v>
      </c>
    </row>
    <row r="1941" spans="1:13" x14ac:dyDescent="0.2">
      <c r="A1941">
        <v>89</v>
      </c>
      <c r="B1941">
        <v>75</v>
      </c>
      <c r="C1941">
        <v>164</v>
      </c>
      <c r="D1941" s="51" t="s">
        <v>73</v>
      </c>
      <c r="E1941">
        <f>VLOOKUP(M1941,'MASS - 2016'!$A$1:$G$3418,6,FALSE)</f>
        <v>-27472.436000000002</v>
      </c>
      <c r="F1941">
        <f>VLOOKUP(M1941,'MASS - 2016'!$A$1:$G$3418,7,FALSE)</f>
        <v>54.555</v>
      </c>
      <c r="G1941">
        <f t="shared" si="156"/>
        <v>-27472.436000000002</v>
      </c>
      <c r="H1941">
        <f t="shared" si="152"/>
        <v>163.97050712704436</v>
      </c>
      <c r="I1941">
        <f t="shared" si="153"/>
        <v>152.73755356799998</v>
      </c>
      <c r="J1941">
        <f t="shared" si="155"/>
        <v>152699.22856799996</v>
      </c>
      <c r="M1941">
        <f t="shared" si="154"/>
        <v>89075</v>
      </c>
    </row>
    <row r="1942" spans="1:13" x14ac:dyDescent="0.2">
      <c r="A1942">
        <v>88</v>
      </c>
      <c r="B1942">
        <v>76</v>
      </c>
      <c r="C1942">
        <v>164</v>
      </c>
      <c r="D1942" s="51" t="s">
        <v>74</v>
      </c>
      <c r="E1942">
        <f>VLOOKUP(M1942,'MASS - 2016'!$A$1:$G$3418,6,FALSE)</f>
        <v>-20422.106</v>
      </c>
      <c r="F1942">
        <f>VLOOKUP(M1942,'MASS - 2016'!$A$1:$G$3418,7,FALSE)</f>
        <v>149.91900000000001</v>
      </c>
      <c r="G1942">
        <f t="shared" si="156"/>
        <v>-20422.106</v>
      </c>
      <c r="H1942">
        <f t="shared" si="152"/>
        <v>163.97807596757181</v>
      </c>
      <c r="I1942">
        <f t="shared" si="153"/>
        <v>152.74460389799998</v>
      </c>
      <c r="J1942">
        <f t="shared" si="155"/>
        <v>152705.76789799996</v>
      </c>
      <c r="M1942">
        <f t="shared" si="154"/>
        <v>88076</v>
      </c>
    </row>
    <row r="1943" spans="1:13" x14ac:dyDescent="0.2">
      <c r="A1943">
        <v>103</v>
      </c>
      <c r="B1943">
        <v>62</v>
      </c>
      <c r="C1943">
        <v>165</v>
      </c>
      <c r="D1943" s="51" t="s">
        <v>60</v>
      </c>
      <c r="E1943" t="str">
        <f>VLOOKUP(M1943,'MASS - 2016'!$A$1:$G$3418,6,FALSE)</f>
        <v>-43808#</v>
      </c>
      <c r="F1943" t="str">
        <f>VLOOKUP(M1943,'MASS - 2016'!$A$1:$G$3418,7,FALSE)</f>
        <v>401#</v>
      </c>
      <c r="G1943">
        <f t="shared" si="156"/>
        <v>-43808.01</v>
      </c>
      <c r="H1943">
        <f t="shared" si="152"/>
        <v>164.95297016713883</v>
      </c>
      <c r="I1943">
        <f t="shared" si="153"/>
        <v>153.65271205499999</v>
      </c>
      <c r="J1943">
        <f t="shared" si="155"/>
        <v>153621.03005499998</v>
      </c>
      <c r="M1943">
        <f t="shared" si="154"/>
        <v>103062</v>
      </c>
    </row>
    <row r="1944" spans="1:13" x14ac:dyDescent="0.2">
      <c r="A1944">
        <v>102</v>
      </c>
      <c r="B1944">
        <v>63</v>
      </c>
      <c r="C1944">
        <v>165</v>
      </c>
      <c r="D1944" s="51" t="s">
        <v>61</v>
      </c>
      <c r="E1944" t="str">
        <f>VLOOKUP(M1944,'MASS - 2016'!$A$1:$G$3418,6,FALSE)</f>
        <v>-50724#</v>
      </c>
      <c r="F1944" t="str">
        <f>VLOOKUP(M1944,'MASS - 2016'!$A$1:$G$3418,7,FALSE)</f>
        <v>138#</v>
      </c>
      <c r="G1944">
        <f t="shared" si="156"/>
        <v>-50724.01</v>
      </c>
      <c r="H1944">
        <f t="shared" si="152"/>
        <v>164.94554553579701</v>
      </c>
      <c r="I1944">
        <f t="shared" si="153"/>
        <v>153.64579605499998</v>
      </c>
      <c r="J1944">
        <f t="shared" si="155"/>
        <v>153613.60305499999</v>
      </c>
      <c r="M1944">
        <f t="shared" si="154"/>
        <v>102063</v>
      </c>
    </row>
    <row r="1945" spans="1:13" x14ac:dyDescent="0.2">
      <c r="A1945">
        <v>101</v>
      </c>
      <c r="B1945">
        <v>64</v>
      </c>
      <c r="C1945">
        <v>165</v>
      </c>
      <c r="D1945" s="51" t="s">
        <v>62</v>
      </c>
      <c r="E1945" t="str">
        <f>VLOOKUP(M1945,'MASS - 2016'!$A$1:$G$3418,6,FALSE)</f>
        <v>-56453#</v>
      </c>
      <c r="F1945" t="str">
        <f>VLOOKUP(M1945,'MASS - 2016'!$A$1:$G$3418,7,FALSE)</f>
        <v>121#</v>
      </c>
      <c r="G1945">
        <f t="shared" si="156"/>
        <v>-56453.01</v>
      </c>
      <c r="H1945">
        <f t="shared" si="152"/>
        <v>164.93939520136132</v>
      </c>
      <c r="I1945">
        <f t="shared" si="153"/>
        <v>153.64006705499997</v>
      </c>
      <c r="J1945">
        <f t="shared" si="155"/>
        <v>153607.36305499997</v>
      </c>
      <c r="M1945">
        <f t="shared" si="154"/>
        <v>101064</v>
      </c>
    </row>
    <row r="1946" spans="1:13" x14ac:dyDescent="0.2">
      <c r="A1946">
        <v>100</v>
      </c>
      <c r="B1946">
        <v>65</v>
      </c>
      <c r="C1946">
        <v>165</v>
      </c>
      <c r="D1946" s="51" t="s">
        <v>63</v>
      </c>
      <c r="E1946" t="str">
        <f>VLOOKUP(M1946,'MASS - 2016'!$A$1:$G$3418,6,FALSE)</f>
        <v>-60566#</v>
      </c>
      <c r="F1946" t="str">
        <f>VLOOKUP(M1946,'MASS - 2016'!$A$1:$G$3418,7,FALSE)</f>
        <v>102#</v>
      </c>
      <c r="G1946">
        <f t="shared" si="156"/>
        <v>-60566.01</v>
      </c>
      <c r="H1946">
        <f t="shared" si="152"/>
        <v>164.93497971427215</v>
      </c>
      <c r="I1946">
        <f t="shared" si="153"/>
        <v>153.63595405499998</v>
      </c>
      <c r="J1946">
        <f t="shared" si="155"/>
        <v>153602.73905499998</v>
      </c>
      <c r="M1946">
        <f t="shared" si="154"/>
        <v>100065</v>
      </c>
    </row>
    <row r="1947" spans="1:13" x14ac:dyDescent="0.2">
      <c r="A1947">
        <v>99</v>
      </c>
      <c r="B1947">
        <v>66</v>
      </c>
      <c r="C1947">
        <v>165</v>
      </c>
      <c r="D1947" s="51" t="s">
        <v>64</v>
      </c>
      <c r="E1947">
        <f>VLOOKUP(M1947,'MASS - 2016'!$A$1:$G$3418,6,FALSE)</f>
        <v>-63612.606</v>
      </c>
      <c r="F1947">
        <f>VLOOKUP(M1947,'MASS - 2016'!$A$1:$G$3418,7,FALSE)</f>
        <v>0.76900000000000002</v>
      </c>
      <c r="G1947">
        <f t="shared" si="156"/>
        <v>-63612.606</v>
      </c>
      <c r="H1947">
        <f t="shared" si="152"/>
        <v>164.93170905895877</v>
      </c>
      <c r="I1947">
        <f t="shared" si="153"/>
        <v>153.63290745899999</v>
      </c>
      <c r="J1947">
        <f t="shared" si="155"/>
        <v>153599.18145900001</v>
      </c>
      <c r="M1947">
        <f t="shared" si="154"/>
        <v>99066</v>
      </c>
    </row>
    <row r="1948" spans="1:13" x14ac:dyDescent="0.2">
      <c r="A1948">
        <v>98</v>
      </c>
      <c r="B1948">
        <v>67</v>
      </c>
      <c r="C1948">
        <v>165</v>
      </c>
      <c r="D1948" s="51" t="s">
        <v>65</v>
      </c>
      <c r="E1948">
        <f>VLOOKUP(M1948,'MASS - 2016'!$A$1:$G$3418,6,FALSE)</f>
        <v>-64899.006000000001</v>
      </c>
      <c r="F1948">
        <f>VLOOKUP(M1948,'MASS - 2016'!$A$1:$G$3418,7,FALSE)</f>
        <v>1.01</v>
      </c>
      <c r="G1948">
        <f t="shared" si="156"/>
        <v>-64899.006000000001</v>
      </c>
      <c r="H1948">
        <f t="shared" si="152"/>
        <v>164.93032805176415</v>
      </c>
      <c r="I1948">
        <f t="shared" si="153"/>
        <v>153.631621059</v>
      </c>
      <c r="J1948">
        <f t="shared" si="155"/>
        <v>153597.384059</v>
      </c>
      <c r="M1948">
        <f t="shared" si="154"/>
        <v>98067</v>
      </c>
    </row>
    <row r="1949" spans="1:13" x14ac:dyDescent="0.2">
      <c r="A1949">
        <v>97</v>
      </c>
      <c r="B1949">
        <v>68</v>
      </c>
      <c r="C1949">
        <v>165</v>
      </c>
      <c r="D1949" s="51" t="s">
        <v>66</v>
      </c>
      <c r="E1949">
        <f>VLOOKUP(M1949,'MASS - 2016'!$A$1:$G$3418,6,FALSE)</f>
        <v>-64521.61</v>
      </c>
      <c r="F1949">
        <f>VLOOKUP(M1949,'MASS - 2016'!$A$1:$G$3418,7,FALSE)</f>
        <v>0.96399999999999997</v>
      </c>
      <c r="G1949">
        <f t="shared" si="156"/>
        <v>-64521.61</v>
      </c>
      <c r="H1949">
        <f t="shared" si="152"/>
        <v>164.93073320303216</v>
      </c>
      <c r="I1949">
        <f t="shared" si="153"/>
        <v>153.63199845499997</v>
      </c>
      <c r="J1949">
        <f t="shared" si="155"/>
        <v>153597.25045499997</v>
      </c>
      <c r="M1949">
        <f t="shared" si="154"/>
        <v>97068</v>
      </c>
    </row>
    <row r="1950" spans="1:13" x14ac:dyDescent="0.2">
      <c r="A1950">
        <v>96</v>
      </c>
      <c r="B1950">
        <v>69</v>
      </c>
      <c r="C1950">
        <v>165</v>
      </c>
      <c r="D1950" s="51" t="s">
        <v>67</v>
      </c>
      <c r="E1950">
        <f>VLOOKUP(M1950,'MASS - 2016'!$A$1:$G$3418,6,FALSE)</f>
        <v>-62929.620999999999</v>
      </c>
      <c r="F1950">
        <f>VLOOKUP(M1950,'MASS - 2016'!$A$1:$G$3418,7,FALSE)</f>
        <v>1.671</v>
      </c>
      <c r="G1950">
        <f t="shared" si="156"/>
        <v>-62929.620999999999</v>
      </c>
      <c r="H1950">
        <f t="shared" si="152"/>
        <v>164.93244227351011</v>
      </c>
      <c r="I1950">
        <f t="shared" si="153"/>
        <v>153.63359044399999</v>
      </c>
      <c r="J1950">
        <f t="shared" si="155"/>
        <v>153598.33144400001</v>
      </c>
      <c r="M1950">
        <f t="shared" si="154"/>
        <v>96069</v>
      </c>
    </row>
    <row r="1951" spans="1:13" x14ac:dyDescent="0.2">
      <c r="A1951">
        <v>95</v>
      </c>
      <c r="B1951">
        <v>70</v>
      </c>
      <c r="C1951">
        <v>165</v>
      </c>
      <c r="D1951" s="51" t="s">
        <v>68</v>
      </c>
      <c r="E1951">
        <f>VLOOKUP(M1951,'MASS - 2016'!$A$1:$G$3418,6,FALSE)</f>
        <v>-60295.381999999998</v>
      </c>
      <c r="F1951">
        <f>VLOOKUP(M1951,'MASS - 2016'!$A$1:$G$3418,7,FALSE)</f>
        <v>26.539000000000001</v>
      </c>
      <c r="G1951">
        <f t="shared" si="156"/>
        <v>-60295.381999999998</v>
      </c>
      <c r="H1951">
        <f t="shared" si="152"/>
        <v>164.9352702453784</v>
      </c>
      <c r="I1951">
        <f t="shared" si="153"/>
        <v>153.63622468299999</v>
      </c>
      <c r="J1951">
        <f t="shared" si="155"/>
        <v>153600.45468300002</v>
      </c>
      <c r="M1951">
        <f t="shared" si="154"/>
        <v>95070</v>
      </c>
    </row>
    <row r="1952" spans="1:13" x14ac:dyDescent="0.2">
      <c r="A1952">
        <v>94</v>
      </c>
      <c r="B1952">
        <v>71</v>
      </c>
      <c r="C1952">
        <v>165</v>
      </c>
      <c r="D1952" s="51" t="s">
        <v>69</v>
      </c>
      <c r="E1952">
        <f>VLOOKUP(M1952,'MASS - 2016'!$A$1:$G$3418,6,FALSE)</f>
        <v>-56442.241999999998</v>
      </c>
      <c r="F1952">
        <f>VLOOKUP(M1952,'MASS - 2016'!$A$1:$G$3418,7,FALSE)</f>
        <v>26.539000000000001</v>
      </c>
      <c r="G1952">
        <f t="shared" si="156"/>
        <v>-56442.241999999998</v>
      </c>
      <c r="H1952">
        <f t="shared" si="152"/>
        <v>164.93940676128474</v>
      </c>
      <c r="I1952">
        <f t="shared" si="153"/>
        <v>153.64007782299998</v>
      </c>
      <c r="J1952">
        <f t="shared" si="155"/>
        <v>153603.79682299998</v>
      </c>
      <c r="M1952">
        <f t="shared" si="154"/>
        <v>94071</v>
      </c>
    </row>
    <row r="1953" spans="1:13" x14ac:dyDescent="0.2">
      <c r="A1953">
        <v>93</v>
      </c>
      <c r="B1953">
        <v>72</v>
      </c>
      <c r="C1953">
        <v>165</v>
      </c>
      <c r="D1953" s="51" t="s">
        <v>70</v>
      </c>
      <c r="E1953">
        <f>VLOOKUP(M1953,'MASS - 2016'!$A$1:$G$3418,6,FALSE)</f>
        <v>-51635.506999999998</v>
      </c>
      <c r="F1953">
        <f>VLOOKUP(M1953,'MASS - 2016'!$A$1:$G$3418,7,FALSE)</f>
        <v>27.945</v>
      </c>
      <c r="G1953">
        <f t="shared" si="156"/>
        <v>-51635.506999999998</v>
      </c>
      <c r="H1953">
        <f t="shared" si="152"/>
        <v>164.9445670035249</v>
      </c>
      <c r="I1953">
        <f t="shared" si="153"/>
        <v>153.644884558</v>
      </c>
      <c r="J1953">
        <f t="shared" si="155"/>
        <v>153608.092558</v>
      </c>
      <c r="M1953">
        <f t="shared" si="154"/>
        <v>93072</v>
      </c>
    </row>
    <row r="1954" spans="1:13" x14ac:dyDescent="0.2">
      <c r="A1954">
        <v>92</v>
      </c>
      <c r="B1954">
        <v>73</v>
      </c>
      <c r="C1954">
        <v>165</v>
      </c>
      <c r="D1954" s="51" t="s">
        <v>71</v>
      </c>
      <c r="E1954">
        <f>VLOOKUP(M1954,'MASS - 2016'!$A$1:$G$3418,6,FALSE)</f>
        <v>-45847.853000000003</v>
      </c>
      <c r="F1954">
        <f>VLOOKUP(M1954,'MASS - 2016'!$A$1:$G$3418,7,FALSE)</f>
        <v>13.863</v>
      </c>
      <c r="G1954">
        <f t="shared" si="156"/>
        <v>-45847.853000000003</v>
      </c>
      <c r="H1954">
        <f t="shared" si="152"/>
        <v>164.95078030561913</v>
      </c>
      <c r="I1954">
        <f t="shared" si="153"/>
        <v>153.65067221199999</v>
      </c>
      <c r="J1954">
        <f t="shared" si="155"/>
        <v>153613.36921199996</v>
      </c>
      <c r="M1954">
        <f t="shared" si="154"/>
        <v>92073</v>
      </c>
    </row>
    <row r="1955" spans="1:13" x14ac:dyDescent="0.2">
      <c r="A1955">
        <v>91</v>
      </c>
      <c r="B1955">
        <v>74</v>
      </c>
      <c r="C1955">
        <v>165</v>
      </c>
      <c r="D1955" s="51" t="s">
        <v>72</v>
      </c>
      <c r="E1955">
        <f>VLOOKUP(M1955,'MASS - 2016'!$A$1:$G$3418,6,FALSE)</f>
        <v>-38861.021999999997</v>
      </c>
      <c r="F1955">
        <f>VLOOKUP(M1955,'MASS - 2016'!$A$1:$G$3418,7,FALSE)</f>
        <v>24.977</v>
      </c>
      <c r="G1955">
        <f t="shared" si="156"/>
        <v>-38861.021999999997</v>
      </c>
      <c r="H1955">
        <f t="shared" si="152"/>
        <v>164.95828097716662</v>
      </c>
      <c r="I1955">
        <f t="shared" si="153"/>
        <v>153.657659043</v>
      </c>
      <c r="J1955">
        <f t="shared" si="155"/>
        <v>153619.84504299998</v>
      </c>
      <c r="M1955">
        <f t="shared" si="154"/>
        <v>91074</v>
      </c>
    </row>
    <row r="1956" spans="1:13" x14ac:dyDescent="0.2">
      <c r="A1956">
        <v>90</v>
      </c>
      <c r="B1956">
        <v>75</v>
      </c>
      <c r="C1956">
        <v>165</v>
      </c>
      <c r="D1956" s="51" t="s">
        <v>73</v>
      </c>
      <c r="E1956">
        <f>VLOOKUP(M1956,'MASS - 2016'!$A$1:$G$3418,6,FALSE)</f>
        <v>-30659.776000000002</v>
      </c>
      <c r="F1956">
        <f>VLOOKUP(M1956,'MASS - 2016'!$A$1:$G$3418,7,FALSE)</f>
        <v>23.594000000000001</v>
      </c>
      <c r="G1956">
        <f t="shared" si="156"/>
        <v>-30659.776000000002</v>
      </c>
      <c r="H1956">
        <f t="shared" si="152"/>
        <v>164.96708537683313</v>
      </c>
      <c r="I1956">
        <f t="shared" si="153"/>
        <v>153.66586028899999</v>
      </c>
      <c r="J1956">
        <f t="shared" si="155"/>
        <v>153627.53528899999</v>
      </c>
      <c r="M1956">
        <f t="shared" si="154"/>
        <v>90075</v>
      </c>
    </row>
    <row r="1957" spans="1:13" x14ac:dyDescent="0.2">
      <c r="A1957">
        <v>89</v>
      </c>
      <c r="B1957">
        <v>76</v>
      </c>
      <c r="C1957">
        <v>165</v>
      </c>
      <c r="D1957" s="51" t="s">
        <v>74</v>
      </c>
      <c r="E1957" t="str">
        <f>VLOOKUP(M1957,'MASS - 2016'!$A$1:$G$3418,6,FALSE)</f>
        <v>-21795#</v>
      </c>
      <c r="F1957" t="str">
        <f>VLOOKUP(M1957,'MASS - 2016'!$A$1:$G$3418,7,FALSE)</f>
        <v>196#</v>
      </c>
      <c r="G1957">
        <f t="shared" si="156"/>
        <v>-21795.01</v>
      </c>
      <c r="H1957">
        <f t="shared" si="152"/>
        <v>164.97660209451402</v>
      </c>
      <c r="I1957">
        <f t="shared" si="153"/>
        <v>153.67472505499998</v>
      </c>
      <c r="J1957">
        <f t="shared" si="155"/>
        <v>153635.88905499998</v>
      </c>
      <c r="M1957">
        <f t="shared" si="154"/>
        <v>89076</v>
      </c>
    </row>
    <row r="1958" spans="1:13" x14ac:dyDescent="0.2">
      <c r="A1958">
        <v>88</v>
      </c>
      <c r="B1958">
        <v>77</v>
      </c>
      <c r="C1958">
        <v>165</v>
      </c>
      <c r="D1958" s="51" t="s">
        <v>75</v>
      </c>
      <c r="E1958" t="str">
        <f>VLOOKUP(M1958,'MASS - 2016'!$A$1:$G$3418,6,FALSE)</f>
        <v>-11593#</v>
      </c>
      <c r="F1958" t="str">
        <f>VLOOKUP(M1958,'MASS - 2016'!$A$1:$G$3418,7,FALSE)</f>
        <v>158#</v>
      </c>
      <c r="G1958">
        <f t="shared" si="156"/>
        <v>-11593.01</v>
      </c>
      <c r="H1958">
        <f t="shared" si="152"/>
        <v>164.98755439193292</v>
      </c>
      <c r="I1958">
        <f t="shared" si="153"/>
        <v>153.68492705499997</v>
      </c>
      <c r="J1958">
        <f t="shared" si="155"/>
        <v>153645.58005499997</v>
      </c>
      <c r="M1958">
        <f t="shared" si="154"/>
        <v>88077</v>
      </c>
    </row>
    <row r="1959" spans="1:13" x14ac:dyDescent="0.2">
      <c r="A1959">
        <v>103</v>
      </c>
      <c r="B1959">
        <v>63</v>
      </c>
      <c r="C1959">
        <v>166</v>
      </c>
      <c r="D1959" s="51" t="s">
        <v>61</v>
      </c>
      <c r="E1959" t="str">
        <f>VLOOKUP(M1959,'MASS - 2016'!$A$1:$G$3418,6,FALSE)</f>
        <v>-47208#</v>
      </c>
      <c r="F1959" t="str">
        <f>VLOOKUP(M1959,'MASS - 2016'!$A$1:$G$3418,7,FALSE)</f>
        <v>358#</v>
      </c>
      <c r="G1959">
        <f t="shared" si="156"/>
        <v>-47208.01</v>
      </c>
      <c r="H1959">
        <f t="shared" si="152"/>
        <v>165.94932011702866</v>
      </c>
      <c r="I1959">
        <f t="shared" si="153"/>
        <v>154.58080611600002</v>
      </c>
      <c r="J1959">
        <f t="shared" si="155"/>
        <v>154548.61311600002</v>
      </c>
      <c r="M1959">
        <f t="shared" si="154"/>
        <v>103063</v>
      </c>
    </row>
    <row r="1960" spans="1:13" x14ac:dyDescent="0.2">
      <c r="A1960">
        <v>102</v>
      </c>
      <c r="B1960">
        <v>64</v>
      </c>
      <c r="C1960">
        <v>166</v>
      </c>
      <c r="D1960" s="51" t="s">
        <v>62</v>
      </c>
      <c r="E1960" t="str">
        <f>VLOOKUP(M1960,'MASS - 2016'!$A$1:$G$3418,6,FALSE)</f>
        <v>-54530#</v>
      </c>
      <c r="F1960" t="str">
        <f>VLOOKUP(M1960,'MASS - 2016'!$A$1:$G$3418,7,FALSE)</f>
        <v>196#</v>
      </c>
      <c r="G1960">
        <f t="shared" si="156"/>
        <v>-54530.01</v>
      </c>
      <c r="H1960">
        <f t="shared" si="152"/>
        <v>165.94145962676191</v>
      </c>
      <c r="I1960">
        <f t="shared" si="153"/>
        <v>154.573484116</v>
      </c>
      <c r="J1960">
        <f t="shared" si="155"/>
        <v>154540.78011600001</v>
      </c>
      <c r="M1960">
        <f t="shared" si="154"/>
        <v>102064</v>
      </c>
    </row>
    <row r="1961" spans="1:13" x14ac:dyDescent="0.2">
      <c r="A1961">
        <v>101</v>
      </c>
      <c r="B1961">
        <v>65</v>
      </c>
      <c r="C1961">
        <v>166</v>
      </c>
      <c r="D1961" s="51" t="s">
        <v>63</v>
      </c>
      <c r="E1961">
        <f>VLOOKUP(M1961,'MASS - 2016'!$A$1:$G$3418,6,FALSE)</f>
        <v>-57884.788999999997</v>
      </c>
      <c r="F1961">
        <f>VLOOKUP(M1961,'MASS - 2016'!$A$1:$G$3418,7,FALSE)</f>
        <v>70.004999999999995</v>
      </c>
      <c r="G1961">
        <f t="shared" si="156"/>
        <v>-57884.788999999997</v>
      </c>
      <c r="H1961">
        <f t="shared" si="152"/>
        <v>165.93785812339172</v>
      </c>
      <c r="I1961">
        <f t="shared" si="153"/>
        <v>154.570129337</v>
      </c>
      <c r="J1961">
        <f t="shared" si="155"/>
        <v>154536.91433699999</v>
      </c>
      <c r="M1961">
        <f t="shared" si="154"/>
        <v>101065</v>
      </c>
    </row>
    <row r="1962" spans="1:13" x14ac:dyDescent="0.2">
      <c r="A1962">
        <v>100</v>
      </c>
      <c r="B1962">
        <v>66</v>
      </c>
      <c r="C1962">
        <v>166</v>
      </c>
      <c r="D1962" s="51" t="s">
        <v>64</v>
      </c>
      <c r="E1962">
        <f>VLOOKUP(M1962,'MASS - 2016'!$A$1:$G$3418,6,FALSE)</f>
        <v>-62584.788999999997</v>
      </c>
      <c r="F1962">
        <f>VLOOKUP(M1962,'MASS - 2016'!$A$1:$G$3418,7,FALSE)</f>
        <v>0.86699999999999999</v>
      </c>
      <c r="G1962">
        <f t="shared" si="156"/>
        <v>-62584.788999999997</v>
      </c>
      <c r="H1962">
        <f t="shared" si="152"/>
        <v>165.93281246588649</v>
      </c>
      <c r="I1962">
        <f t="shared" si="153"/>
        <v>154.56542933700001</v>
      </c>
      <c r="J1962">
        <f t="shared" si="155"/>
        <v>154531.70333700001</v>
      </c>
      <c r="M1962">
        <f t="shared" si="154"/>
        <v>100066</v>
      </c>
    </row>
    <row r="1963" spans="1:13" x14ac:dyDescent="0.2">
      <c r="A1963">
        <v>99</v>
      </c>
      <c r="B1963">
        <v>67</v>
      </c>
      <c r="C1963">
        <v>166</v>
      </c>
      <c r="D1963" s="51" t="s">
        <v>65</v>
      </c>
      <c r="E1963">
        <f>VLOOKUP(M1963,'MASS - 2016'!$A$1:$G$3418,6,FALSE)</f>
        <v>-63071.328999999998</v>
      </c>
      <c r="F1963">
        <f>VLOOKUP(M1963,'MASS - 2016'!$A$1:$G$3418,7,FALSE)</f>
        <v>1.01</v>
      </c>
      <c r="G1963">
        <f t="shared" si="156"/>
        <v>-63071.328999999998</v>
      </c>
      <c r="H1963">
        <f t="shared" si="152"/>
        <v>165.9322901437157</v>
      </c>
      <c r="I1963">
        <f t="shared" si="153"/>
        <v>154.56494279700001</v>
      </c>
      <c r="J1963">
        <f t="shared" si="155"/>
        <v>154530.70579700003</v>
      </c>
      <c r="M1963">
        <f t="shared" si="154"/>
        <v>99067</v>
      </c>
    </row>
    <row r="1964" spans="1:13" x14ac:dyDescent="0.2">
      <c r="A1964">
        <v>98</v>
      </c>
      <c r="B1964">
        <v>68</v>
      </c>
      <c r="C1964">
        <v>166</v>
      </c>
      <c r="D1964" s="51" t="s">
        <v>66</v>
      </c>
      <c r="E1964">
        <f>VLOOKUP(M1964,'MASS - 2016'!$A$1:$G$3418,6,FALSE)</f>
        <v>-64926.042000000001</v>
      </c>
      <c r="F1964">
        <f>VLOOKUP(M1964,'MASS - 2016'!$A$1:$G$3418,7,FALSE)</f>
        <v>1.165</v>
      </c>
      <c r="G1964">
        <f t="shared" si="156"/>
        <v>-64926.042000000001</v>
      </c>
      <c r="H1964">
        <f t="shared" si="152"/>
        <v>165.93029902742452</v>
      </c>
      <c r="I1964">
        <f t="shared" si="153"/>
        <v>154.56308808400001</v>
      </c>
      <c r="J1964">
        <f t="shared" si="155"/>
        <v>154528.34008400002</v>
      </c>
      <c r="M1964">
        <f t="shared" si="154"/>
        <v>98068</v>
      </c>
    </row>
    <row r="1965" spans="1:13" x14ac:dyDescent="0.2">
      <c r="A1965">
        <v>97</v>
      </c>
      <c r="B1965">
        <v>69</v>
      </c>
      <c r="C1965">
        <v>166</v>
      </c>
      <c r="D1965" s="51" t="s">
        <v>67</v>
      </c>
      <c r="E1965">
        <f>VLOOKUP(M1965,'MASS - 2016'!$A$1:$G$3418,6,FALSE)</f>
        <v>-61888.375</v>
      </c>
      <c r="F1965">
        <f>VLOOKUP(M1965,'MASS - 2016'!$A$1:$G$3418,7,FALSE)</f>
        <v>11.606</v>
      </c>
      <c r="G1965">
        <f t="shared" si="156"/>
        <v>-61888.375</v>
      </c>
      <c r="H1965">
        <f t="shared" si="152"/>
        <v>165.93356009706218</v>
      </c>
      <c r="I1965">
        <f t="shared" si="153"/>
        <v>154.56612575100002</v>
      </c>
      <c r="J1965">
        <f t="shared" si="155"/>
        <v>154530.86675100002</v>
      </c>
      <c r="M1965">
        <f t="shared" si="154"/>
        <v>97069</v>
      </c>
    </row>
    <row r="1966" spans="1:13" x14ac:dyDescent="0.2">
      <c r="A1966">
        <v>96</v>
      </c>
      <c r="B1966">
        <v>70</v>
      </c>
      <c r="C1966">
        <v>166</v>
      </c>
      <c r="D1966" s="51" t="s">
        <v>68</v>
      </c>
      <c r="E1966">
        <f>VLOOKUP(M1966,'MASS - 2016'!$A$1:$G$3418,6,FALSE)</f>
        <v>-61595.74</v>
      </c>
      <c r="F1966">
        <f>VLOOKUP(M1966,'MASS - 2016'!$A$1:$G$3418,7,FALSE)</f>
        <v>7.101</v>
      </c>
      <c r="G1966">
        <f t="shared" si="156"/>
        <v>-61595.74</v>
      </c>
      <c r="H1966">
        <f t="shared" si="152"/>
        <v>165.93387425365455</v>
      </c>
      <c r="I1966">
        <f t="shared" si="153"/>
        <v>154.56641838600001</v>
      </c>
      <c r="J1966">
        <f t="shared" si="155"/>
        <v>154530.64838600002</v>
      </c>
      <c r="M1966">
        <f t="shared" si="154"/>
        <v>96070</v>
      </c>
    </row>
    <row r="1967" spans="1:13" x14ac:dyDescent="0.2">
      <c r="A1967">
        <v>95</v>
      </c>
      <c r="B1967">
        <v>71</v>
      </c>
      <c r="C1967">
        <v>166</v>
      </c>
      <c r="D1967" s="51" t="s">
        <v>69</v>
      </c>
      <c r="E1967">
        <f>VLOOKUP(M1967,'MASS - 2016'!$A$1:$G$3418,6,FALSE)</f>
        <v>-56020.981</v>
      </c>
      <c r="F1967">
        <f>VLOOKUP(M1967,'MASS - 2016'!$A$1:$G$3418,7,FALSE)</f>
        <v>29.808</v>
      </c>
      <c r="G1967">
        <f t="shared" si="156"/>
        <v>-56020.981</v>
      </c>
      <c r="H1967">
        <f t="shared" si="152"/>
        <v>165.93985900356699</v>
      </c>
      <c r="I1967">
        <f t="shared" si="153"/>
        <v>154.57199314500002</v>
      </c>
      <c r="J1967">
        <f t="shared" si="155"/>
        <v>154535.71214500003</v>
      </c>
      <c r="M1967">
        <f t="shared" si="154"/>
        <v>95071</v>
      </c>
    </row>
    <row r="1968" spans="1:13" x14ac:dyDescent="0.2">
      <c r="A1968">
        <v>94</v>
      </c>
      <c r="B1968">
        <v>72</v>
      </c>
      <c r="C1968">
        <v>166</v>
      </c>
      <c r="D1968" s="51" t="s">
        <v>70</v>
      </c>
      <c r="E1968">
        <f>VLOOKUP(M1968,'MASS - 2016'!$A$1:$G$3418,6,FALSE)</f>
        <v>-53858.983</v>
      </c>
      <c r="F1968">
        <f>VLOOKUP(M1968,'MASS - 2016'!$A$1:$G$3418,7,FALSE)</f>
        <v>27.945</v>
      </c>
      <c r="G1968">
        <f t="shared" si="156"/>
        <v>-53858.983</v>
      </c>
      <c r="H1968">
        <f t="shared" si="152"/>
        <v>165.94218000387232</v>
      </c>
      <c r="I1968">
        <f t="shared" si="153"/>
        <v>154.57415514300001</v>
      </c>
      <c r="J1968">
        <f t="shared" si="155"/>
        <v>154537.36314300002</v>
      </c>
      <c r="M1968">
        <f t="shared" si="154"/>
        <v>94072</v>
      </c>
    </row>
    <row r="1969" spans="1:13" x14ac:dyDescent="0.2">
      <c r="A1969">
        <v>93</v>
      </c>
      <c r="B1969">
        <v>73</v>
      </c>
      <c r="C1969">
        <v>166</v>
      </c>
      <c r="D1969" s="51" t="s">
        <v>71</v>
      </c>
      <c r="E1969">
        <f>VLOOKUP(M1969,'MASS - 2016'!$A$1:$G$3418,6,FALSE)</f>
        <v>-46097.775000000001</v>
      </c>
      <c r="F1969">
        <f>VLOOKUP(M1969,'MASS - 2016'!$A$1:$G$3418,7,FALSE)</f>
        <v>27.945</v>
      </c>
      <c r="G1969">
        <f t="shared" si="156"/>
        <v>-46097.775000000001</v>
      </c>
      <c r="H1969">
        <f t="shared" si="152"/>
        <v>165.9505120033181</v>
      </c>
      <c r="I1969">
        <f t="shared" si="153"/>
        <v>154.58191635100002</v>
      </c>
      <c r="J1969">
        <f t="shared" si="155"/>
        <v>154544.61335100001</v>
      </c>
      <c r="M1969">
        <f t="shared" si="154"/>
        <v>93073</v>
      </c>
    </row>
    <row r="1970" spans="1:13" x14ac:dyDescent="0.2">
      <c r="A1970">
        <v>92</v>
      </c>
      <c r="B1970">
        <v>74</v>
      </c>
      <c r="C1970">
        <v>166</v>
      </c>
      <c r="D1970" s="51" t="s">
        <v>72</v>
      </c>
      <c r="E1970">
        <f>VLOOKUP(M1970,'MASS - 2016'!$A$1:$G$3418,6,FALSE)</f>
        <v>-41888.031000000003</v>
      </c>
      <c r="F1970">
        <f>VLOOKUP(M1970,'MASS - 2016'!$A$1:$G$3418,7,FALSE)</f>
        <v>9.4779999999999998</v>
      </c>
      <c r="G1970">
        <f t="shared" si="156"/>
        <v>-41888.031000000003</v>
      </c>
      <c r="H1970">
        <f t="shared" si="152"/>
        <v>165.95503134936251</v>
      </c>
      <c r="I1970">
        <f t="shared" si="153"/>
        <v>154.586126095</v>
      </c>
      <c r="J1970">
        <f t="shared" si="155"/>
        <v>154548.31209499997</v>
      </c>
      <c r="M1970">
        <f t="shared" si="154"/>
        <v>92074</v>
      </c>
    </row>
    <row r="1971" spans="1:13" x14ac:dyDescent="0.2">
      <c r="A1971">
        <v>91</v>
      </c>
      <c r="B1971">
        <v>75</v>
      </c>
      <c r="C1971">
        <v>166</v>
      </c>
      <c r="D1971" s="51" t="s">
        <v>73</v>
      </c>
      <c r="E1971">
        <f>VLOOKUP(M1971,'MASS - 2016'!$A$1:$G$3418,6,FALSE)</f>
        <v>-31893.477999999999</v>
      </c>
      <c r="F1971">
        <f>VLOOKUP(M1971,'MASS - 2016'!$A$1:$G$3418,7,FALSE)</f>
        <v>72.31</v>
      </c>
      <c r="G1971">
        <f t="shared" si="156"/>
        <v>-31893.477999999999</v>
      </c>
      <c r="H1971">
        <f t="shared" si="152"/>
        <v>165.96576094326812</v>
      </c>
      <c r="I1971">
        <f t="shared" si="153"/>
        <v>154.59612064800001</v>
      </c>
      <c r="J1971">
        <f t="shared" si="155"/>
        <v>154557.795648</v>
      </c>
      <c r="M1971">
        <f t="shared" si="154"/>
        <v>91075</v>
      </c>
    </row>
    <row r="1972" spans="1:13" x14ac:dyDescent="0.2">
      <c r="A1972">
        <v>90</v>
      </c>
      <c r="B1972">
        <v>76</v>
      </c>
      <c r="C1972">
        <v>166</v>
      </c>
      <c r="D1972" s="51" t="s">
        <v>74</v>
      </c>
      <c r="E1972">
        <f>VLOOKUP(M1972,'MASS - 2016'!$A$1:$G$3418,6,FALSE)</f>
        <v>-25431.517</v>
      </c>
      <c r="F1972">
        <f>VLOOKUP(M1972,'MASS - 2016'!$A$1:$G$3418,7,FALSE)</f>
        <v>17.966000000000001</v>
      </c>
      <c r="G1972">
        <f t="shared" si="156"/>
        <v>-25431.517</v>
      </c>
      <c r="H1972">
        <f t="shared" si="152"/>
        <v>165.97269814369758</v>
      </c>
      <c r="I1972">
        <f t="shared" si="153"/>
        <v>154.60258260900002</v>
      </c>
      <c r="J1972">
        <f t="shared" si="155"/>
        <v>154563.74660900002</v>
      </c>
      <c r="M1972">
        <f t="shared" si="154"/>
        <v>90076</v>
      </c>
    </row>
    <row r="1973" spans="1:13" x14ac:dyDescent="0.2">
      <c r="A1973">
        <v>89</v>
      </c>
      <c r="B1973">
        <v>77</v>
      </c>
      <c r="C1973">
        <v>166</v>
      </c>
      <c r="D1973" s="51" t="s">
        <v>75</v>
      </c>
      <c r="E1973" t="str">
        <f>VLOOKUP(M1973,'MASS - 2016'!$A$1:$G$3418,6,FALSE)</f>
        <v>-13354#</v>
      </c>
      <c r="F1973" t="str">
        <f>VLOOKUP(M1973,'MASS - 2016'!$A$1:$G$3418,7,FALSE)</f>
        <v>196#</v>
      </c>
      <c r="G1973">
        <f t="shared" si="156"/>
        <v>-13354.01</v>
      </c>
      <c r="H1973">
        <f t="shared" si="152"/>
        <v>165.98566388068471</v>
      </c>
      <c r="I1973">
        <f t="shared" si="153"/>
        <v>154.61466011600001</v>
      </c>
      <c r="J1973">
        <f t="shared" si="155"/>
        <v>154575.313116</v>
      </c>
      <c r="M1973">
        <f t="shared" si="154"/>
        <v>89077</v>
      </c>
    </row>
    <row r="1974" spans="1:13" x14ac:dyDescent="0.2">
      <c r="A1974">
        <v>104</v>
      </c>
      <c r="B1974">
        <v>63</v>
      </c>
      <c r="C1974">
        <v>167</v>
      </c>
      <c r="D1974" s="51" t="s">
        <v>61</v>
      </c>
      <c r="E1974" t="str">
        <f>VLOOKUP(M1974,'MASS - 2016'!$A$1:$G$3418,6,FALSE)</f>
        <v>-44010#</v>
      </c>
      <c r="F1974" t="str">
        <f>VLOOKUP(M1974,'MASS - 2016'!$A$1:$G$3418,7,FALSE)</f>
        <v>400#</v>
      </c>
      <c r="G1974">
        <f t="shared" si="156"/>
        <v>-44010.01</v>
      </c>
      <c r="H1974">
        <f t="shared" si="152"/>
        <v>166.95275331122053</v>
      </c>
      <c r="I1974">
        <f t="shared" si="153"/>
        <v>155.51549817700001</v>
      </c>
      <c r="J1974">
        <f t="shared" si="155"/>
        <v>155483.305177</v>
      </c>
      <c r="M1974">
        <f t="shared" si="154"/>
        <v>104063</v>
      </c>
    </row>
    <row r="1975" spans="1:13" x14ac:dyDescent="0.2">
      <c r="A1975">
        <v>103</v>
      </c>
      <c r="B1975">
        <v>64</v>
      </c>
      <c r="C1975">
        <v>167</v>
      </c>
      <c r="D1975" s="51" t="s">
        <v>62</v>
      </c>
      <c r="E1975" t="str">
        <f>VLOOKUP(M1975,'MASS - 2016'!$A$1:$G$3418,6,FALSE)</f>
        <v>-50813#</v>
      </c>
      <c r="F1975" t="str">
        <f>VLOOKUP(M1975,'MASS - 2016'!$A$1:$G$3418,7,FALSE)</f>
        <v>298#</v>
      </c>
      <c r="G1975">
        <f t="shared" si="156"/>
        <v>-50813.01</v>
      </c>
      <c r="H1975">
        <f t="shared" si="152"/>
        <v>166.94544999036768</v>
      </c>
      <c r="I1975">
        <f t="shared" si="153"/>
        <v>155.50869517699999</v>
      </c>
      <c r="J1975">
        <f t="shared" si="155"/>
        <v>155475.99117699999</v>
      </c>
      <c r="M1975">
        <f t="shared" si="154"/>
        <v>103064</v>
      </c>
    </row>
    <row r="1976" spans="1:13" x14ac:dyDescent="0.2">
      <c r="A1976">
        <v>102</v>
      </c>
      <c r="B1976">
        <v>65</v>
      </c>
      <c r="C1976">
        <v>167</v>
      </c>
      <c r="D1976" s="51" t="s">
        <v>63</v>
      </c>
      <c r="E1976" t="str">
        <f>VLOOKUP(M1976,'MASS - 2016'!$A$1:$G$3418,6,FALSE)</f>
        <v>-55927#</v>
      </c>
      <c r="F1976" t="str">
        <f>VLOOKUP(M1976,'MASS - 2016'!$A$1:$G$3418,7,FALSE)</f>
        <v>196#</v>
      </c>
      <c r="G1976">
        <f t="shared" si="156"/>
        <v>-55927.01</v>
      </c>
      <c r="H1976">
        <f t="shared" si="152"/>
        <v>166.9399598855843</v>
      </c>
      <c r="I1976">
        <f t="shared" si="153"/>
        <v>155.503581177</v>
      </c>
      <c r="J1976">
        <f t="shared" si="155"/>
        <v>155470.36617700002</v>
      </c>
      <c r="M1976">
        <f t="shared" si="154"/>
        <v>102065</v>
      </c>
    </row>
    <row r="1977" spans="1:13" x14ac:dyDescent="0.2">
      <c r="A1977">
        <v>101</v>
      </c>
      <c r="B1977">
        <v>66</v>
      </c>
      <c r="C1977">
        <v>167</v>
      </c>
      <c r="D1977" s="51" t="s">
        <v>64</v>
      </c>
      <c r="E1977">
        <f>VLOOKUP(M1977,'MASS - 2016'!$A$1:$G$3418,6,FALSE)</f>
        <v>-59930.625999999997</v>
      </c>
      <c r="F1977">
        <f>VLOOKUP(M1977,'MASS - 2016'!$A$1:$G$3418,7,FALSE)</f>
        <v>60.228000000000002</v>
      </c>
      <c r="G1977">
        <f t="shared" si="156"/>
        <v>-59930.625999999997</v>
      </c>
      <c r="H1977">
        <f t="shared" si="152"/>
        <v>166.93566182704839</v>
      </c>
      <c r="I1977">
        <f t="shared" si="153"/>
        <v>155.499577561</v>
      </c>
      <c r="J1977">
        <f t="shared" si="155"/>
        <v>155465.85156099999</v>
      </c>
      <c r="M1977">
        <f t="shared" si="154"/>
        <v>101066</v>
      </c>
    </row>
    <row r="1978" spans="1:13" x14ac:dyDescent="0.2">
      <c r="A1978">
        <v>100</v>
      </c>
      <c r="B1978">
        <v>67</v>
      </c>
      <c r="C1978">
        <v>167</v>
      </c>
      <c r="D1978" s="51" t="s">
        <v>65</v>
      </c>
      <c r="E1978">
        <f>VLOOKUP(M1978,'MASS - 2016'!$A$1:$G$3418,6,FALSE)</f>
        <v>-62280.625999999997</v>
      </c>
      <c r="F1978">
        <f>VLOOKUP(M1978,'MASS - 2016'!$A$1:$G$3418,7,FALSE)</f>
        <v>5.234</v>
      </c>
      <c r="G1978">
        <f t="shared" si="156"/>
        <v>-62280.625999999997</v>
      </c>
      <c r="H1978">
        <f t="shared" si="152"/>
        <v>166.93313899829579</v>
      </c>
      <c r="I1978">
        <f t="shared" si="153"/>
        <v>155.49722756100002</v>
      </c>
      <c r="J1978">
        <f t="shared" si="155"/>
        <v>155462.99056100001</v>
      </c>
      <c r="M1978">
        <f t="shared" si="154"/>
        <v>100067</v>
      </c>
    </row>
    <row r="1979" spans="1:13" x14ac:dyDescent="0.2">
      <c r="A1979">
        <v>99</v>
      </c>
      <c r="B1979">
        <v>68</v>
      </c>
      <c r="C1979">
        <v>167</v>
      </c>
      <c r="D1979" s="51" t="s">
        <v>66</v>
      </c>
      <c r="E1979">
        <f>VLOOKUP(M1979,'MASS - 2016'!$A$1:$G$3418,6,FALSE)</f>
        <v>-63291.18</v>
      </c>
      <c r="F1979">
        <f>VLOOKUP(M1979,'MASS - 2016'!$A$1:$G$3418,7,FALSE)</f>
        <v>1.1659999999999999</v>
      </c>
      <c r="G1979">
        <f t="shared" si="156"/>
        <v>-63291.18</v>
      </c>
      <c r="H1979">
        <f t="shared" si="152"/>
        <v>166.93205412396077</v>
      </c>
      <c r="I1979">
        <f t="shared" si="153"/>
        <v>155.49621700700001</v>
      </c>
      <c r="J1979">
        <f t="shared" si="155"/>
        <v>155461.46900700001</v>
      </c>
      <c r="M1979">
        <f t="shared" si="154"/>
        <v>99068</v>
      </c>
    </row>
    <row r="1980" spans="1:13" x14ac:dyDescent="0.2">
      <c r="A1980">
        <v>98</v>
      </c>
      <c r="B1980">
        <v>69</v>
      </c>
      <c r="C1980">
        <v>167</v>
      </c>
      <c r="D1980" s="51" t="s">
        <v>67</v>
      </c>
      <c r="E1980">
        <f>VLOOKUP(M1980,'MASS - 2016'!$A$1:$G$3418,6,FALSE)</f>
        <v>-62543.641000000003</v>
      </c>
      <c r="F1980">
        <f>VLOOKUP(M1980,'MASS - 2016'!$A$1:$G$3418,7,FALSE)</f>
        <v>1.298</v>
      </c>
      <c r="G1980">
        <f t="shared" si="156"/>
        <v>-62543.641000000003</v>
      </c>
      <c r="H1980">
        <f t="shared" si="152"/>
        <v>166.93285664008116</v>
      </c>
      <c r="I1980">
        <f t="shared" si="153"/>
        <v>155.49696454600002</v>
      </c>
      <c r="J1980">
        <f t="shared" si="155"/>
        <v>155461.70554600001</v>
      </c>
      <c r="M1980">
        <f t="shared" si="154"/>
        <v>98069</v>
      </c>
    </row>
    <row r="1981" spans="1:13" x14ac:dyDescent="0.2">
      <c r="A1981">
        <v>97</v>
      </c>
      <c r="B1981">
        <v>70</v>
      </c>
      <c r="C1981">
        <v>167</v>
      </c>
      <c r="D1981" s="51" t="s">
        <v>68</v>
      </c>
      <c r="E1981">
        <f>VLOOKUP(M1981,'MASS - 2016'!$A$1:$G$3418,6,FALSE)</f>
        <v>-60590.576000000001</v>
      </c>
      <c r="F1981">
        <f>VLOOKUP(M1981,'MASS - 2016'!$A$1:$G$3418,7,FALSE)</f>
        <v>3.9809999999999999</v>
      </c>
      <c r="G1981">
        <f t="shared" si="156"/>
        <v>-60590.576000000001</v>
      </c>
      <c r="H1981">
        <f t="shared" si="152"/>
        <v>166.93495334158658</v>
      </c>
      <c r="I1981">
        <f t="shared" si="153"/>
        <v>155.498917611</v>
      </c>
      <c r="J1981">
        <f t="shared" si="155"/>
        <v>155463.14761099999</v>
      </c>
      <c r="M1981">
        <f t="shared" si="154"/>
        <v>97070</v>
      </c>
    </row>
    <row r="1982" spans="1:13" x14ac:dyDescent="0.2">
      <c r="A1982">
        <v>96</v>
      </c>
      <c r="B1982">
        <v>71</v>
      </c>
      <c r="C1982">
        <v>167</v>
      </c>
      <c r="D1982" s="51" t="s">
        <v>69</v>
      </c>
      <c r="E1982">
        <f>VLOOKUP(M1982,'MASS - 2016'!$A$1:$G$3418,6,FALSE)</f>
        <v>-57501.125</v>
      </c>
      <c r="F1982">
        <f>VLOOKUP(M1982,'MASS - 2016'!$A$1:$G$3418,7,FALSE)</f>
        <v>31.670999999999999</v>
      </c>
      <c r="G1982">
        <f t="shared" si="156"/>
        <v>-57501.125</v>
      </c>
      <c r="H1982">
        <f t="shared" si="152"/>
        <v>166.93827000363453</v>
      </c>
      <c r="I1982">
        <f t="shared" si="153"/>
        <v>155.50200706200002</v>
      </c>
      <c r="J1982">
        <f t="shared" si="155"/>
        <v>155465.72606200003</v>
      </c>
      <c r="M1982">
        <f t="shared" si="154"/>
        <v>96071</v>
      </c>
    </row>
    <row r="1983" spans="1:13" x14ac:dyDescent="0.2">
      <c r="A1983">
        <v>95</v>
      </c>
      <c r="B1983">
        <v>72</v>
      </c>
      <c r="C1983">
        <v>167</v>
      </c>
      <c r="D1983" s="51" t="s">
        <v>70</v>
      </c>
      <c r="E1983">
        <f>VLOOKUP(M1983,'MASS - 2016'!$A$1:$G$3418,6,FALSE)</f>
        <v>-53467.756000000001</v>
      </c>
      <c r="F1983">
        <f>VLOOKUP(M1983,'MASS - 2016'!$A$1:$G$3418,7,FALSE)</f>
        <v>27.945</v>
      </c>
      <c r="G1983">
        <f t="shared" si="156"/>
        <v>-53467.756000000001</v>
      </c>
      <c r="H1983">
        <f t="shared" si="152"/>
        <v>166.94260000332949</v>
      </c>
      <c r="I1983">
        <f t="shared" si="153"/>
        <v>155.506040431</v>
      </c>
      <c r="J1983">
        <f t="shared" si="155"/>
        <v>155469.24843100001</v>
      </c>
      <c r="M1983">
        <f t="shared" si="154"/>
        <v>95072</v>
      </c>
    </row>
    <row r="1984" spans="1:13" x14ac:dyDescent="0.2">
      <c r="A1984">
        <v>94</v>
      </c>
      <c r="B1984">
        <v>73</v>
      </c>
      <c r="C1984">
        <v>167</v>
      </c>
      <c r="D1984" s="51" t="s">
        <v>71</v>
      </c>
      <c r="E1984">
        <f>VLOOKUP(M1984,'MASS - 2016'!$A$1:$G$3418,6,FALSE)</f>
        <v>-48351.059000000001</v>
      </c>
      <c r="F1984">
        <f>VLOOKUP(M1984,'MASS - 2016'!$A$1:$G$3418,7,FALSE)</f>
        <v>27.945</v>
      </c>
      <c r="G1984">
        <f t="shared" si="156"/>
        <v>-48351.059000000001</v>
      </c>
      <c r="H1984">
        <f t="shared" si="152"/>
        <v>166.94809300346148</v>
      </c>
      <c r="I1984">
        <f t="shared" si="153"/>
        <v>155.51115712800001</v>
      </c>
      <c r="J1984">
        <f t="shared" si="155"/>
        <v>155473.85412800001</v>
      </c>
      <c r="M1984">
        <f t="shared" si="154"/>
        <v>94073</v>
      </c>
    </row>
    <row r="1985" spans="1:13" x14ac:dyDescent="0.2">
      <c r="A1985">
        <v>93</v>
      </c>
      <c r="B1985">
        <v>74</v>
      </c>
      <c r="C1985">
        <v>167</v>
      </c>
      <c r="D1985" s="51" t="s">
        <v>72</v>
      </c>
      <c r="E1985">
        <f>VLOOKUP(M1985,'MASS - 2016'!$A$1:$G$3418,6,FALSE)</f>
        <v>-42098.057999999997</v>
      </c>
      <c r="F1985">
        <f>VLOOKUP(M1985,'MASS - 2016'!$A$1:$G$3418,7,FALSE)</f>
        <v>18.260999999999999</v>
      </c>
      <c r="G1985">
        <f t="shared" si="156"/>
        <v>-42098.057999999997</v>
      </c>
      <c r="H1985">
        <f t="shared" si="152"/>
        <v>166.95480587610533</v>
      </c>
      <c r="I1985">
        <f t="shared" si="153"/>
        <v>155.51741012900001</v>
      </c>
      <c r="J1985">
        <f t="shared" si="155"/>
        <v>155479.59612900001</v>
      </c>
      <c r="M1985">
        <f t="shared" si="154"/>
        <v>93074</v>
      </c>
    </row>
    <row r="1986" spans="1:13" x14ac:dyDescent="0.2">
      <c r="A1986">
        <v>92</v>
      </c>
      <c r="B1986">
        <v>75</v>
      </c>
      <c r="C1986">
        <v>167</v>
      </c>
      <c r="D1986" s="51" t="s">
        <v>73</v>
      </c>
      <c r="E1986" t="str">
        <f>VLOOKUP(M1986,'MASS - 2016'!$A$1:$G$3418,6,FALSE)</f>
        <v>-34831#</v>
      </c>
      <c r="F1986" t="str">
        <f>VLOOKUP(M1986,'MASS - 2016'!$A$1:$G$3418,7,FALSE)</f>
        <v>40#</v>
      </c>
      <c r="G1986">
        <f t="shared" si="156"/>
        <v>-34831.01</v>
      </c>
      <c r="H1986">
        <f t="shared" si="152"/>
        <v>166.96260737297391</v>
      </c>
      <c r="I1986">
        <f t="shared" si="153"/>
        <v>155.524677177</v>
      </c>
      <c r="J1986">
        <f t="shared" si="155"/>
        <v>155486.35217699999</v>
      </c>
      <c r="M1986">
        <f t="shared" si="154"/>
        <v>92075</v>
      </c>
    </row>
    <row r="1987" spans="1:13" x14ac:dyDescent="0.2">
      <c r="A1987">
        <v>91</v>
      </c>
      <c r="B1987">
        <v>76</v>
      </c>
      <c r="C1987">
        <v>167</v>
      </c>
      <c r="D1987" s="51" t="s">
        <v>74</v>
      </c>
      <c r="E1987">
        <f>VLOOKUP(M1987,'MASS - 2016'!$A$1:$G$3418,6,FALSE)</f>
        <v>-26501.992999999999</v>
      </c>
      <c r="F1987">
        <f>VLOOKUP(M1987,'MASS - 2016'!$A$1:$G$3418,7,FALSE)</f>
        <v>72.682000000000002</v>
      </c>
      <c r="G1987">
        <f t="shared" si="156"/>
        <v>-26501.992999999999</v>
      </c>
      <c r="H1987">
        <f t="shared" si="152"/>
        <v>166.97154894044999</v>
      </c>
      <c r="I1987">
        <f t="shared" si="153"/>
        <v>155.533006194</v>
      </c>
      <c r="J1987">
        <f t="shared" si="155"/>
        <v>155494.17019399998</v>
      </c>
      <c r="M1987">
        <f t="shared" si="154"/>
        <v>91076</v>
      </c>
    </row>
    <row r="1988" spans="1:13" x14ac:dyDescent="0.2">
      <c r="A1988">
        <v>90</v>
      </c>
      <c r="B1988">
        <v>77</v>
      </c>
      <c r="C1988">
        <v>167</v>
      </c>
      <c r="D1988" s="51" t="s">
        <v>75</v>
      </c>
      <c r="E1988">
        <f>VLOOKUP(M1988,'MASS - 2016'!$A$1:$G$3418,6,FALSE)</f>
        <v>-17072.439999999999</v>
      </c>
      <c r="F1988">
        <f>VLOOKUP(M1988,'MASS - 2016'!$A$1:$G$3418,7,FALSE)</f>
        <v>18.346</v>
      </c>
      <c r="G1988">
        <f t="shared" si="156"/>
        <v>-17072.439999999999</v>
      </c>
      <c r="H1988">
        <f t="shared" si="152"/>
        <v>166.98167198191081</v>
      </c>
      <c r="I1988">
        <f t="shared" si="153"/>
        <v>155.54243574700001</v>
      </c>
      <c r="J1988">
        <f t="shared" si="155"/>
        <v>155503.088747</v>
      </c>
      <c r="M1988">
        <f t="shared" si="154"/>
        <v>90077</v>
      </c>
    </row>
    <row r="1989" spans="1:13" x14ac:dyDescent="0.2">
      <c r="A1989">
        <v>104</v>
      </c>
      <c r="B1989">
        <v>64</v>
      </c>
      <c r="C1989">
        <v>168</v>
      </c>
      <c r="D1989" s="51" t="s">
        <v>62</v>
      </c>
      <c r="E1989" t="str">
        <f>VLOOKUP(M1989,'MASS - 2016'!$A$1:$G$3418,6,FALSE)</f>
        <v>-48363#</v>
      </c>
      <c r="F1989" t="str">
        <f>VLOOKUP(M1989,'MASS - 2016'!$A$1:$G$3418,7,FALSE)</f>
        <v>401#</v>
      </c>
      <c r="G1989">
        <f t="shared" si="156"/>
        <v>-48363.01</v>
      </c>
      <c r="H1989">
        <f t="shared" si="152"/>
        <v>167.94808017353532</v>
      </c>
      <c r="I1989">
        <f t="shared" si="153"/>
        <v>156.442639238</v>
      </c>
      <c r="J1989">
        <f t="shared" si="155"/>
        <v>156409.93523800001</v>
      </c>
      <c r="M1989">
        <f t="shared" si="154"/>
        <v>104064</v>
      </c>
    </row>
    <row r="1990" spans="1:13" x14ac:dyDescent="0.2">
      <c r="A1990">
        <v>103</v>
      </c>
      <c r="B1990">
        <v>65</v>
      </c>
      <c r="C1990">
        <v>168</v>
      </c>
      <c r="D1990" s="51" t="s">
        <v>63</v>
      </c>
      <c r="E1990" t="str">
        <f>VLOOKUP(M1990,'MASS - 2016'!$A$1:$G$3418,6,FALSE)</f>
        <v>-52723#</v>
      </c>
      <c r="F1990" t="str">
        <f>VLOOKUP(M1990,'MASS - 2016'!$A$1:$G$3418,7,FALSE)</f>
        <v>298#</v>
      </c>
      <c r="G1990">
        <f t="shared" si="156"/>
        <v>-52723.01</v>
      </c>
      <c r="H1990">
        <f t="shared" si="152"/>
        <v>167.94339952104107</v>
      </c>
      <c r="I1990">
        <f t="shared" si="153"/>
        <v>156.43827923800001</v>
      </c>
      <c r="J1990">
        <f t="shared" si="155"/>
        <v>156405.06423800002</v>
      </c>
      <c r="M1990">
        <f t="shared" si="154"/>
        <v>103065</v>
      </c>
    </row>
    <row r="1991" spans="1:13" x14ac:dyDescent="0.2">
      <c r="A1991">
        <v>102</v>
      </c>
      <c r="B1991">
        <v>66</v>
      </c>
      <c r="C1991">
        <v>168</v>
      </c>
      <c r="D1991" s="51" t="s">
        <v>64</v>
      </c>
      <c r="E1991">
        <f>VLOOKUP(M1991,'MASS - 2016'!$A$1:$G$3418,6,FALSE)</f>
        <v>-58559.565999999999</v>
      </c>
      <c r="F1991">
        <f>VLOOKUP(M1991,'MASS - 2016'!$A$1:$G$3418,7,FALSE)</f>
        <v>140.00899999999999</v>
      </c>
      <c r="G1991">
        <f t="shared" si="156"/>
        <v>-58559.565999999999</v>
      </c>
      <c r="H1991">
        <f t="shared" si="152"/>
        <v>167.93713372049078</v>
      </c>
      <c r="I1991">
        <f t="shared" si="153"/>
        <v>156.43244268199999</v>
      </c>
      <c r="J1991">
        <f t="shared" si="155"/>
        <v>156398.716682</v>
      </c>
      <c r="M1991">
        <f t="shared" si="154"/>
        <v>102066</v>
      </c>
    </row>
    <row r="1992" spans="1:13" x14ac:dyDescent="0.2">
      <c r="A1992">
        <v>101</v>
      </c>
      <c r="B1992">
        <v>67</v>
      </c>
      <c r="C1992">
        <v>168</v>
      </c>
      <c r="D1992" s="51" t="s">
        <v>65</v>
      </c>
      <c r="E1992">
        <f>VLOOKUP(M1992,'MASS - 2016'!$A$1:$G$3418,6,FALSE)</f>
        <v>-60061.171000000002</v>
      </c>
      <c r="F1992">
        <f>VLOOKUP(M1992,'MASS - 2016'!$A$1:$G$3418,7,FALSE)</f>
        <v>30.023</v>
      </c>
      <c r="G1992">
        <f t="shared" si="156"/>
        <v>-60061.171000000002</v>
      </c>
      <c r="H1992">
        <f t="shared" si="152"/>
        <v>167.93552168122733</v>
      </c>
      <c r="I1992">
        <f t="shared" si="153"/>
        <v>156.430941077</v>
      </c>
      <c r="J1992">
        <f t="shared" si="155"/>
        <v>156396.704077</v>
      </c>
      <c r="M1992">
        <f t="shared" si="154"/>
        <v>101067</v>
      </c>
    </row>
    <row r="1993" spans="1:13" x14ac:dyDescent="0.2">
      <c r="A1993">
        <v>100</v>
      </c>
      <c r="B1993">
        <v>68</v>
      </c>
      <c r="C1993">
        <v>168</v>
      </c>
      <c r="D1993" s="51" t="s">
        <v>66</v>
      </c>
      <c r="E1993">
        <f>VLOOKUP(M1993,'MASS - 2016'!$A$1:$G$3418,6,FALSE)</f>
        <v>-62991.171000000002</v>
      </c>
      <c r="F1993">
        <f>VLOOKUP(M1993,'MASS - 2016'!$A$1:$G$3418,7,FALSE)</f>
        <v>1.1679999999999999</v>
      </c>
      <c r="G1993">
        <f t="shared" si="156"/>
        <v>-62991.171000000002</v>
      </c>
      <c r="H1993">
        <f t="shared" ref="H1993:H2056" si="157">(C1993*$A$3+G1993/1000000)/$A$3</f>
        <v>167.93237619686769</v>
      </c>
      <c r="I1993">
        <f t="shared" ref="I1993:I2056" si="158">H1993*$A$3</f>
        <v>156.42801107700001</v>
      </c>
      <c r="J1993">
        <f t="shared" si="155"/>
        <v>156393.26307700001</v>
      </c>
      <c r="M1993">
        <f t="shared" ref="M1993:M2056" si="159">1000*A1993+B1993</f>
        <v>100068</v>
      </c>
    </row>
    <row r="1994" spans="1:13" x14ac:dyDescent="0.2">
      <c r="A1994">
        <v>99</v>
      </c>
      <c r="B1994">
        <v>69</v>
      </c>
      <c r="C1994">
        <v>168</v>
      </c>
      <c r="D1994" s="51" t="s">
        <v>67</v>
      </c>
      <c r="E1994">
        <f>VLOOKUP(M1994,'MASS - 2016'!$A$1:$G$3418,6,FALSE)</f>
        <v>-61312.921000000002</v>
      </c>
      <c r="F1994">
        <f>VLOOKUP(M1994,'MASS - 2016'!$A$1:$G$3418,7,FALSE)</f>
        <v>1.7090000000000001</v>
      </c>
      <c r="G1994">
        <f t="shared" si="156"/>
        <v>-61312.921000000002</v>
      </c>
      <c r="H1994">
        <f t="shared" si="157"/>
        <v>167.9341778723375</v>
      </c>
      <c r="I1994">
        <f t="shared" si="158"/>
        <v>156.42968932700001</v>
      </c>
      <c r="J1994">
        <f t="shared" si="155"/>
        <v>156394.43032700001</v>
      </c>
      <c r="M1994">
        <f t="shared" si="159"/>
        <v>99069</v>
      </c>
    </row>
    <row r="1995" spans="1:13" x14ac:dyDescent="0.2">
      <c r="A1995">
        <v>98</v>
      </c>
      <c r="B1995">
        <v>70</v>
      </c>
      <c r="C1995">
        <v>168</v>
      </c>
      <c r="D1995" s="51" t="s">
        <v>68</v>
      </c>
      <c r="E1995">
        <f>VLOOKUP(M1995,'MASS - 2016'!$A$1:$G$3418,6,FALSE)</f>
        <v>-61581.900999999998</v>
      </c>
      <c r="F1995">
        <f>VLOOKUP(M1995,'MASS - 2016'!$A$1:$G$3418,7,FALSE)</f>
        <v>1.1950000000000001</v>
      </c>
      <c r="G1995">
        <f t="shared" si="156"/>
        <v>-61581.900999999998</v>
      </c>
      <c r="H1995">
        <f t="shared" si="157"/>
        <v>167.93388911043201</v>
      </c>
      <c r="I1995">
        <f t="shared" si="158"/>
        <v>156.42942034699999</v>
      </c>
      <c r="J1995">
        <f t="shared" si="155"/>
        <v>156393.65034699999</v>
      </c>
      <c r="M1995">
        <f t="shared" si="159"/>
        <v>98070</v>
      </c>
    </row>
    <row r="1996" spans="1:13" x14ac:dyDescent="0.2">
      <c r="A1996">
        <v>97</v>
      </c>
      <c r="B1996">
        <v>71</v>
      </c>
      <c r="C1996">
        <v>168</v>
      </c>
      <c r="D1996" s="51" t="s">
        <v>69</v>
      </c>
      <c r="E1996">
        <f>VLOOKUP(M1996,'MASS - 2016'!$A$1:$G$3418,6,FALSE)</f>
        <v>-57067.85</v>
      </c>
      <c r="F1996">
        <f>VLOOKUP(M1996,'MASS - 2016'!$A$1:$G$3418,7,FALSE)</f>
        <v>39.265999999999998</v>
      </c>
      <c r="G1996">
        <f t="shared" si="156"/>
        <v>-57067.85</v>
      </c>
      <c r="H1996">
        <f t="shared" si="157"/>
        <v>167.93873514347612</v>
      </c>
      <c r="I1996">
        <f t="shared" si="158"/>
        <v>156.43393439799999</v>
      </c>
      <c r="J1996">
        <f t="shared" ref="J1996:J2059" si="160">1000*I1996-B1996*0.511</f>
        <v>156397.65339799999</v>
      </c>
      <c r="M1996">
        <f t="shared" si="159"/>
        <v>97071</v>
      </c>
    </row>
    <row r="1997" spans="1:13" x14ac:dyDescent="0.2">
      <c r="A1997">
        <v>96</v>
      </c>
      <c r="B1997">
        <v>72</v>
      </c>
      <c r="C1997">
        <v>168</v>
      </c>
      <c r="D1997" s="51" t="s">
        <v>70</v>
      </c>
      <c r="E1997">
        <f>VLOOKUP(M1997,'MASS - 2016'!$A$1:$G$3418,6,FALSE)</f>
        <v>-55360.552000000003</v>
      </c>
      <c r="F1997">
        <f>VLOOKUP(M1997,'MASS - 2016'!$A$1:$G$3418,7,FALSE)</f>
        <v>27.945</v>
      </c>
      <c r="G1997">
        <f t="shared" si="156"/>
        <v>-55360.552000000003</v>
      </c>
      <c r="H1997">
        <f t="shared" si="157"/>
        <v>167.94056800325646</v>
      </c>
      <c r="I1997">
        <f t="shared" si="158"/>
        <v>156.435641696</v>
      </c>
      <c r="J1997">
        <f t="shared" si="160"/>
        <v>156398.84969600002</v>
      </c>
      <c r="M1997">
        <f t="shared" si="159"/>
        <v>96072</v>
      </c>
    </row>
    <row r="1998" spans="1:13" x14ac:dyDescent="0.2">
      <c r="A1998">
        <v>95</v>
      </c>
      <c r="B1998">
        <v>73</v>
      </c>
      <c r="C1998">
        <v>168</v>
      </c>
      <c r="D1998" s="51" t="s">
        <v>71</v>
      </c>
      <c r="E1998">
        <f>VLOOKUP(M1998,'MASS - 2016'!$A$1:$G$3418,6,FALSE)</f>
        <v>-48393.908000000003</v>
      </c>
      <c r="F1998">
        <f>VLOOKUP(M1998,'MASS - 2016'!$A$1:$G$3418,7,FALSE)</f>
        <v>27.945</v>
      </c>
      <c r="G1998">
        <f t="shared" si="156"/>
        <v>-48393.908000000003</v>
      </c>
      <c r="H1998">
        <f t="shared" si="157"/>
        <v>167.94804700316817</v>
      </c>
      <c r="I1998">
        <f t="shared" si="158"/>
        <v>156.44260833999999</v>
      </c>
      <c r="J1998">
        <f t="shared" si="160"/>
        <v>156405.30533999999</v>
      </c>
      <c r="M1998">
        <f t="shared" si="159"/>
        <v>95073</v>
      </c>
    </row>
    <row r="1999" spans="1:13" x14ac:dyDescent="0.2">
      <c r="A1999">
        <v>94</v>
      </c>
      <c r="B1999">
        <v>74</v>
      </c>
      <c r="C1999">
        <v>168</v>
      </c>
      <c r="D1999" s="51" t="s">
        <v>72</v>
      </c>
      <c r="E1999">
        <f>VLOOKUP(M1999,'MASS - 2016'!$A$1:$G$3418,6,FALSE)</f>
        <v>-44893.108999999997</v>
      </c>
      <c r="F1999">
        <f>VLOOKUP(M1999,'MASS - 2016'!$A$1:$G$3418,7,FALSE)</f>
        <v>13.271000000000001</v>
      </c>
      <c r="G1999">
        <f t="shared" ref="G1999:G2062" si="161">IF(ISNUMBER(E1999),E1999,VALUE(SUBSTITUTE(E1999,"#",".01")))</f>
        <v>-44893.108999999997</v>
      </c>
      <c r="H1999">
        <f t="shared" si="157"/>
        <v>167.95180526545516</v>
      </c>
      <c r="I1999">
        <f t="shared" si="158"/>
        <v>156.44610913900001</v>
      </c>
      <c r="J1999">
        <f t="shared" si="160"/>
        <v>156408.29513899999</v>
      </c>
      <c r="M1999">
        <f t="shared" si="159"/>
        <v>94074</v>
      </c>
    </row>
    <row r="2000" spans="1:13" x14ac:dyDescent="0.2">
      <c r="A2000">
        <v>93</v>
      </c>
      <c r="B2000">
        <v>75</v>
      </c>
      <c r="C2000">
        <v>168</v>
      </c>
      <c r="D2000" s="51" t="s">
        <v>73</v>
      </c>
      <c r="E2000">
        <f>VLOOKUP(M2000,'MASS - 2016'!$A$1:$G$3418,6,FALSE)</f>
        <v>-35794.885000000002</v>
      </c>
      <c r="F2000">
        <f>VLOOKUP(M2000,'MASS - 2016'!$A$1:$G$3418,7,FALSE)</f>
        <v>30.821000000000002</v>
      </c>
      <c r="G2000">
        <f t="shared" si="161"/>
        <v>-35794.885000000002</v>
      </c>
      <c r="H2000">
        <f t="shared" si="157"/>
        <v>167.96157261060625</v>
      </c>
      <c r="I2000">
        <f t="shared" si="158"/>
        <v>156.455207363</v>
      </c>
      <c r="J2000">
        <f t="shared" si="160"/>
        <v>156416.88236299998</v>
      </c>
      <c r="M2000">
        <f t="shared" si="159"/>
        <v>93075</v>
      </c>
    </row>
    <row r="2001" spans="1:13" x14ac:dyDescent="0.2">
      <c r="A2001">
        <v>92</v>
      </c>
      <c r="B2001">
        <v>76</v>
      </c>
      <c r="C2001">
        <v>168</v>
      </c>
      <c r="D2001" s="51" t="s">
        <v>74</v>
      </c>
      <c r="E2001">
        <f>VLOOKUP(M2001,'MASS - 2016'!$A$1:$G$3418,6,FALSE)</f>
        <v>-29995.213</v>
      </c>
      <c r="F2001">
        <f>VLOOKUP(M2001,'MASS - 2016'!$A$1:$G$3418,7,FALSE)</f>
        <v>9.9039999999999999</v>
      </c>
      <c r="G2001">
        <f t="shared" si="161"/>
        <v>-29995.213</v>
      </c>
      <c r="H2001">
        <f t="shared" si="157"/>
        <v>167.9677988145541</v>
      </c>
      <c r="I2001">
        <f t="shared" si="158"/>
        <v>156.46100703499999</v>
      </c>
      <c r="J2001">
        <f t="shared" si="160"/>
        <v>156422.17103499998</v>
      </c>
      <c r="M2001">
        <f t="shared" si="159"/>
        <v>92076</v>
      </c>
    </row>
    <row r="2002" spans="1:13" x14ac:dyDescent="0.2">
      <c r="A2002">
        <v>91</v>
      </c>
      <c r="B2002">
        <v>77</v>
      </c>
      <c r="C2002">
        <v>168</v>
      </c>
      <c r="D2002" s="51" t="s">
        <v>75</v>
      </c>
      <c r="E2002">
        <f>VLOOKUP(M2002,'MASS - 2016'!$A$1:$G$3418,6,FALSE)</f>
        <v>-18666.225999999999</v>
      </c>
      <c r="F2002">
        <f>VLOOKUP(M2002,'MASS - 2016'!$A$1:$G$3418,7,FALSE)</f>
        <v>55.216000000000001</v>
      </c>
      <c r="G2002">
        <f t="shared" si="161"/>
        <v>-18666.225999999999</v>
      </c>
      <c r="H2002">
        <f t="shared" si="157"/>
        <v>167.97996098227406</v>
      </c>
      <c r="I2002">
        <f t="shared" si="158"/>
        <v>156.47233602200001</v>
      </c>
      <c r="J2002">
        <f t="shared" si="160"/>
        <v>156432.98902199999</v>
      </c>
      <c r="M2002">
        <f t="shared" si="159"/>
        <v>91077</v>
      </c>
    </row>
    <row r="2003" spans="1:13" x14ac:dyDescent="0.2">
      <c r="A2003">
        <v>90</v>
      </c>
      <c r="B2003">
        <v>78</v>
      </c>
      <c r="C2003">
        <v>168</v>
      </c>
      <c r="D2003" s="51" t="s">
        <v>76</v>
      </c>
      <c r="E2003">
        <f>VLOOKUP(M2003,'MASS - 2016'!$A$1:$G$3418,6,FALSE)</f>
        <v>-11007.46</v>
      </c>
      <c r="F2003">
        <f>VLOOKUP(M2003,'MASS - 2016'!$A$1:$G$3418,7,FALSE)</f>
        <v>149.95099999999999</v>
      </c>
      <c r="G2003">
        <f t="shared" si="161"/>
        <v>-11007.46</v>
      </c>
      <c r="H2003">
        <f t="shared" si="157"/>
        <v>167.98818300571</v>
      </c>
      <c r="I2003">
        <f t="shared" si="158"/>
        <v>156.479994788</v>
      </c>
      <c r="J2003">
        <f t="shared" si="160"/>
        <v>156440.136788</v>
      </c>
      <c r="M2003">
        <f t="shared" si="159"/>
        <v>90078</v>
      </c>
    </row>
    <row r="2004" spans="1:13" x14ac:dyDescent="0.2">
      <c r="A2004">
        <v>105</v>
      </c>
      <c r="B2004">
        <v>64</v>
      </c>
      <c r="C2004">
        <v>169</v>
      </c>
      <c r="D2004" s="51" t="s">
        <v>62</v>
      </c>
      <c r="E2004" t="str">
        <f>VLOOKUP(M2004,'MASS - 2016'!$A$1:$G$3418,6,FALSE)</f>
        <v>-44153#</v>
      </c>
      <c r="F2004" t="str">
        <f>VLOOKUP(M2004,'MASS - 2016'!$A$1:$G$3418,7,FALSE)</f>
        <v>503#</v>
      </c>
      <c r="G2004">
        <f t="shared" si="161"/>
        <v>-44153.01</v>
      </c>
      <c r="H2004">
        <f t="shared" si="157"/>
        <v>168.95259979440706</v>
      </c>
      <c r="I2004">
        <f t="shared" si="158"/>
        <v>157.37834329899999</v>
      </c>
      <c r="J2004">
        <f t="shared" si="160"/>
        <v>157345.639299</v>
      </c>
      <c r="M2004">
        <f t="shared" si="159"/>
        <v>105064</v>
      </c>
    </row>
    <row r="2005" spans="1:13" x14ac:dyDescent="0.2">
      <c r="A2005">
        <v>104</v>
      </c>
      <c r="B2005">
        <v>65</v>
      </c>
      <c r="C2005">
        <v>169</v>
      </c>
      <c r="D2005" s="51" t="s">
        <v>63</v>
      </c>
      <c r="E2005" t="str">
        <f>VLOOKUP(M2005,'MASS - 2016'!$A$1:$G$3418,6,FALSE)</f>
        <v>-50329#</v>
      </c>
      <c r="F2005" t="str">
        <f>VLOOKUP(M2005,'MASS - 2016'!$A$1:$G$3418,7,FALSE)</f>
        <v>298#</v>
      </c>
      <c r="G2005">
        <f t="shared" si="161"/>
        <v>-50329.01</v>
      </c>
      <c r="H2005">
        <f t="shared" si="157"/>
        <v>168.94596958573629</v>
      </c>
      <c r="I2005">
        <f t="shared" si="158"/>
        <v>157.37216729899998</v>
      </c>
      <c r="J2005">
        <f t="shared" si="160"/>
        <v>157338.952299</v>
      </c>
      <c r="M2005">
        <f t="shared" si="159"/>
        <v>104065</v>
      </c>
    </row>
    <row r="2006" spans="1:13" x14ac:dyDescent="0.2">
      <c r="A2006">
        <v>103</v>
      </c>
      <c r="B2006">
        <v>66</v>
      </c>
      <c r="C2006">
        <v>169</v>
      </c>
      <c r="D2006" s="51" t="s">
        <v>64</v>
      </c>
      <c r="E2006">
        <f>VLOOKUP(M2006,'MASS - 2016'!$A$1:$G$3418,6,FALSE)</f>
        <v>-55597.177000000003</v>
      </c>
      <c r="F2006">
        <f>VLOOKUP(M2006,'MASS - 2016'!$A$1:$G$3418,7,FALSE)</f>
        <v>300.67</v>
      </c>
      <c r="G2006">
        <f t="shared" si="161"/>
        <v>-55597.177000000003</v>
      </c>
      <c r="H2006">
        <f t="shared" si="157"/>
        <v>168.94031397587193</v>
      </c>
      <c r="I2006">
        <f t="shared" si="158"/>
        <v>157.36689913199999</v>
      </c>
      <c r="J2006">
        <f t="shared" si="160"/>
        <v>157333.173132</v>
      </c>
      <c r="M2006">
        <f t="shared" si="159"/>
        <v>103066</v>
      </c>
    </row>
    <row r="2007" spans="1:13" x14ac:dyDescent="0.2">
      <c r="A2007">
        <v>102</v>
      </c>
      <c r="B2007">
        <v>67</v>
      </c>
      <c r="C2007">
        <v>169</v>
      </c>
      <c r="D2007" s="51" t="s">
        <v>65</v>
      </c>
      <c r="E2007">
        <f>VLOOKUP(M2007,'MASS - 2016'!$A$1:$G$3418,6,FALSE)</f>
        <v>-58797.177000000003</v>
      </c>
      <c r="F2007">
        <f>VLOOKUP(M2007,'MASS - 2016'!$A$1:$G$3418,7,FALSE)</f>
        <v>20.059999999999999</v>
      </c>
      <c r="G2007">
        <f t="shared" si="161"/>
        <v>-58797.177000000003</v>
      </c>
      <c r="H2007">
        <f t="shared" si="157"/>
        <v>168.93687863459175</v>
      </c>
      <c r="I2007">
        <f t="shared" si="158"/>
        <v>157.36369913199999</v>
      </c>
      <c r="J2007">
        <f t="shared" si="160"/>
        <v>157329.46213199999</v>
      </c>
      <c r="M2007">
        <f t="shared" si="159"/>
        <v>102067</v>
      </c>
    </row>
    <row r="2008" spans="1:13" x14ac:dyDescent="0.2">
      <c r="A2008">
        <v>101</v>
      </c>
      <c r="B2008">
        <v>68</v>
      </c>
      <c r="C2008">
        <v>169</v>
      </c>
      <c r="D2008" s="51" t="s">
        <v>66</v>
      </c>
      <c r="E2008">
        <f>VLOOKUP(M2008,'MASS - 2016'!$A$1:$G$3418,6,FALSE)</f>
        <v>-60923.103999999999</v>
      </c>
      <c r="F2008">
        <f>VLOOKUP(M2008,'MASS - 2016'!$A$1:$G$3418,7,FALSE)</f>
        <v>1.179</v>
      </c>
      <c r="G2008">
        <f t="shared" si="161"/>
        <v>-60923.103999999999</v>
      </c>
      <c r="H2008">
        <f t="shared" si="157"/>
        <v>168.93459635809742</v>
      </c>
      <c r="I2008">
        <f t="shared" si="158"/>
        <v>157.36157320499998</v>
      </c>
      <c r="J2008">
        <f t="shared" si="160"/>
        <v>157326.825205</v>
      </c>
      <c r="M2008">
        <f t="shared" si="159"/>
        <v>101068</v>
      </c>
    </row>
    <row r="2009" spans="1:13" x14ac:dyDescent="0.2">
      <c r="A2009">
        <v>100</v>
      </c>
      <c r="B2009">
        <v>69</v>
      </c>
      <c r="C2009">
        <v>169</v>
      </c>
      <c r="D2009" s="51" t="s">
        <v>67</v>
      </c>
      <c r="E2009">
        <f>VLOOKUP(M2009,'MASS - 2016'!$A$1:$G$3418,6,FALSE)</f>
        <v>-61275.212</v>
      </c>
      <c r="F2009">
        <f>VLOOKUP(M2009,'MASS - 2016'!$A$1:$G$3418,7,FALSE)</f>
        <v>0.81200000000000006</v>
      </c>
      <c r="G2009">
        <f t="shared" si="161"/>
        <v>-61275.212</v>
      </c>
      <c r="H2009">
        <f t="shared" si="157"/>
        <v>168.93421835461385</v>
      </c>
      <c r="I2009">
        <f t="shared" si="158"/>
        <v>157.361221097</v>
      </c>
      <c r="J2009">
        <f t="shared" si="160"/>
        <v>157325.96209700001</v>
      </c>
      <c r="M2009">
        <f t="shared" si="159"/>
        <v>100069</v>
      </c>
    </row>
    <row r="2010" spans="1:13" x14ac:dyDescent="0.2">
      <c r="A2010">
        <v>99</v>
      </c>
      <c r="B2010">
        <v>70</v>
      </c>
      <c r="C2010">
        <v>169</v>
      </c>
      <c r="D2010" s="51" t="s">
        <v>68</v>
      </c>
      <c r="E2010">
        <f>VLOOKUP(M2010,'MASS - 2016'!$A$1:$G$3418,6,FALSE)</f>
        <v>-60377.563000000002</v>
      </c>
      <c r="F2010">
        <f>VLOOKUP(M2010,'MASS - 2016'!$A$1:$G$3418,7,FALSE)</f>
        <v>1.2050000000000001</v>
      </c>
      <c r="G2010">
        <f t="shared" si="161"/>
        <v>-60377.563000000002</v>
      </c>
      <c r="H2010">
        <f t="shared" si="157"/>
        <v>168.9351820204466</v>
      </c>
      <c r="I2010">
        <f t="shared" si="158"/>
        <v>157.36211874599999</v>
      </c>
      <c r="J2010">
        <f t="shared" si="160"/>
        <v>157326.348746</v>
      </c>
      <c r="M2010">
        <f t="shared" si="159"/>
        <v>99070</v>
      </c>
    </row>
    <row r="2011" spans="1:13" x14ac:dyDescent="0.2">
      <c r="A2011">
        <v>98</v>
      </c>
      <c r="B2011">
        <v>71</v>
      </c>
      <c r="C2011">
        <v>169</v>
      </c>
      <c r="D2011" s="51" t="s">
        <v>69</v>
      </c>
      <c r="E2011">
        <f>VLOOKUP(M2011,'MASS - 2016'!$A$1:$G$3418,6,FALSE)</f>
        <v>-58084.563000000002</v>
      </c>
      <c r="F2011">
        <f>VLOOKUP(M2011,'MASS - 2016'!$A$1:$G$3418,7,FALSE)</f>
        <v>3.2330000000000001</v>
      </c>
      <c r="G2011">
        <f t="shared" si="161"/>
        <v>-58084.563000000002</v>
      </c>
      <c r="H2011">
        <f t="shared" si="157"/>
        <v>168.93764365718269</v>
      </c>
      <c r="I2011">
        <f t="shared" si="158"/>
        <v>157.364411746</v>
      </c>
      <c r="J2011">
        <f t="shared" si="160"/>
        <v>157328.13074600001</v>
      </c>
      <c r="M2011">
        <f t="shared" si="159"/>
        <v>98071</v>
      </c>
    </row>
    <row r="2012" spans="1:13" x14ac:dyDescent="0.2">
      <c r="A2012">
        <v>97</v>
      </c>
      <c r="B2012">
        <v>72</v>
      </c>
      <c r="C2012">
        <v>169</v>
      </c>
      <c r="D2012" s="51" t="s">
        <v>70</v>
      </c>
      <c r="E2012">
        <f>VLOOKUP(M2012,'MASS - 2016'!$A$1:$G$3418,6,FALSE)</f>
        <v>-54716.889000000003</v>
      </c>
      <c r="F2012">
        <f>VLOOKUP(M2012,'MASS - 2016'!$A$1:$G$3418,7,FALSE)</f>
        <v>27.945</v>
      </c>
      <c r="G2012">
        <f t="shared" si="161"/>
        <v>-54716.889000000003</v>
      </c>
      <c r="H2012">
        <f t="shared" si="157"/>
        <v>168.94125900390469</v>
      </c>
      <c r="I2012">
        <f t="shared" si="158"/>
        <v>157.36777942000001</v>
      </c>
      <c r="J2012">
        <f t="shared" si="160"/>
        <v>157330.98742000002</v>
      </c>
      <c r="M2012">
        <f t="shared" si="159"/>
        <v>97072</v>
      </c>
    </row>
    <row r="2013" spans="1:13" x14ac:dyDescent="0.2">
      <c r="A2013">
        <v>96</v>
      </c>
      <c r="B2013">
        <v>73</v>
      </c>
      <c r="C2013">
        <v>169</v>
      </c>
      <c r="D2013" s="51" t="s">
        <v>71</v>
      </c>
      <c r="E2013">
        <f>VLOOKUP(M2013,'MASS - 2016'!$A$1:$G$3418,6,FALSE)</f>
        <v>-50290.43</v>
      </c>
      <c r="F2013">
        <f>VLOOKUP(M2013,'MASS - 2016'!$A$1:$G$3418,7,FALSE)</f>
        <v>27.945</v>
      </c>
      <c r="G2013">
        <f t="shared" si="161"/>
        <v>-50290.43</v>
      </c>
      <c r="H2013">
        <f t="shared" si="157"/>
        <v>168.94601100306963</v>
      </c>
      <c r="I2013">
        <f t="shared" si="158"/>
        <v>157.37220587900001</v>
      </c>
      <c r="J2013">
        <f t="shared" si="160"/>
        <v>157334.902879</v>
      </c>
      <c r="M2013">
        <f t="shared" si="159"/>
        <v>96073</v>
      </c>
    </row>
    <row r="2014" spans="1:13" x14ac:dyDescent="0.2">
      <c r="A2014">
        <v>95</v>
      </c>
      <c r="B2014">
        <v>74</v>
      </c>
      <c r="C2014">
        <v>169</v>
      </c>
      <c r="D2014" s="51" t="s">
        <v>72</v>
      </c>
      <c r="E2014">
        <f>VLOOKUP(M2014,'MASS - 2016'!$A$1:$G$3418,6,FALSE)</f>
        <v>-44917.873</v>
      </c>
      <c r="F2014">
        <f>VLOOKUP(M2014,'MASS - 2016'!$A$1:$G$3418,7,FALSE)</f>
        <v>15.436</v>
      </c>
      <c r="G2014">
        <f t="shared" si="161"/>
        <v>-44917.873</v>
      </c>
      <c r="H2014">
        <f t="shared" si="157"/>
        <v>168.95177868020781</v>
      </c>
      <c r="I2014">
        <f t="shared" si="158"/>
        <v>157.37757843599999</v>
      </c>
      <c r="J2014">
        <f t="shared" si="160"/>
        <v>157339.76443599997</v>
      </c>
      <c r="M2014">
        <f t="shared" si="159"/>
        <v>95074</v>
      </c>
    </row>
    <row r="2015" spans="1:13" x14ac:dyDescent="0.2">
      <c r="A2015">
        <v>94</v>
      </c>
      <c r="B2015">
        <v>75</v>
      </c>
      <c r="C2015">
        <v>169</v>
      </c>
      <c r="D2015" s="51" t="s">
        <v>73</v>
      </c>
      <c r="E2015">
        <f>VLOOKUP(M2015,'MASS - 2016'!$A$1:$G$3418,6,FALSE)</f>
        <v>-38409.232000000004</v>
      </c>
      <c r="F2015">
        <f>VLOOKUP(M2015,'MASS - 2016'!$A$1:$G$3418,7,FALSE)</f>
        <v>11.374000000000001</v>
      </c>
      <c r="G2015">
        <f t="shared" si="161"/>
        <v>-38409.232000000004</v>
      </c>
      <c r="H2015">
        <f t="shared" si="157"/>
        <v>168.95876599367821</v>
      </c>
      <c r="I2015">
        <f t="shared" si="158"/>
        <v>157.384087077</v>
      </c>
      <c r="J2015">
        <f t="shared" si="160"/>
        <v>157345.76207699999</v>
      </c>
      <c r="M2015">
        <f t="shared" si="159"/>
        <v>94075</v>
      </c>
    </row>
    <row r="2016" spans="1:13" x14ac:dyDescent="0.2">
      <c r="A2016">
        <v>93</v>
      </c>
      <c r="B2016">
        <v>76</v>
      </c>
      <c r="C2016">
        <v>169</v>
      </c>
      <c r="D2016" s="51" t="s">
        <v>74</v>
      </c>
      <c r="E2016">
        <f>VLOOKUP(M2016,'MASS - 2016'!$A$1:$G$3418,6,FALSE)</f>
        <v>-30722.690999999999</v>
      </c>
      <c r="F2016">
        <f>VLOOKUP(M2016,'MASS - 2016'!$A$1:$G$3418,7,FALSE)</f>
        <v>25.167000000000002</v>
      </c>
      <c r="G2016">
        <f t="shared" si="161"/>
        <v>-30722.690999999999</v>
      </c>
      <c r="H2016">
        <f t="shared" si="157"/>
        <v>168.96701783480293</v>
      </c>
      <c r="I2016">
        <f t="shared" si="158"/>
        <v>157.391773618</v>
      </c>
      <c r="J2016">
        <f t="shared" si="160"/>
        <v>157352.937618</v>
      </c>
      <c r="M2016">
        <f t="shared" si="159"/>
        <v>93076</v>
      </c>
    </row>
    <row r="2017" spans="1:13" x14ac:dyDescent="0.2">
      <c r="A2017">
        <v>92</v>
      </c>
      <c r="B2017">
        <v>77</v>
      </c>
      <c r="C2017">
        <v>169</v>
      </c>
      <c r="D2017" s="51" t="s">
        <v>75</v>
      </c>
      <c r="E2017">
        <f>VLOOKUP(M2017,'MASS - 2016'!$A$1:$G$3418,6,FALSE)</f>
        <v>-22093.839</v>
      </c>
      <c r="F2017">
        <f>VLOOKUP(M2017,'MASS - 2016'!$A$1:$G$3418,7,FALSE)</f>
        <v>23.308</v>
      </c>
      <c r="G2017">
        <f t="shared" si="161"/>
        <v>-22093.839</v>
      </c>
      <c r="H2017">
        <f t="shared" si="157"/>
        <v>168.97628128838923</v>
      </c>
      <c r="I2017">
        <f t="shared" si="158"/>
        <v>157.40040246999999</v>
      </c>
      <c r="J2017">
        <f t="shared" si="160"/>
        <v>157361.05546999999</v>
      </c>
      <c r="M2017">
        <f t="shared" si="159"/>
        <v>92077</v>
      </c>
    </row>
    <row r="2018" spans="1:13" x14ac:dyDescent="0.2">
      <c r="A2018">
        <v>91</v>
      </c>
      <c r="B2018">
        <v>78</v>
      </c>
      <c r="C2018">
        <v>169</v>
      </c>
      <c r="D2018" s="51" t="s">
        <v>76</v>
      </c>
      <c r="E2018" t="str">
        <f>VLOOKUP(M2018,'MASS - 2016'!$A$1:$G$3418,6,FALSE)</f>
        <v>-12512#</v>
      </c>
      <c r="F2018" t="str">
        <f>VLOOKUP(M2018,'MASS - 2016'!$A$1:$G$3418,7,FALSE)</f>
        <v>196#</v>
      </c>
      <c r="G2018">
        <f t="shared" si="161"/>
        <v>-12512.01</v>
      </c>
      <c r="H2018">
        <f t="shared" si="157"/>
        <v>168.98656780485905</v>
      </c>
      <c r="I2018">
        <f t="shared" si="158"/>
        <v>157.409984299</v>
      </c>
      <c r="J2018">
        <f t="shared" si="160"/>
        <v>157370.126299</v>
      </c>
      <c r="M2018">
        <f t="shared" si="159"/>
        <v>91078</v>
      </c>
    </row>
    <row r="2019" spans="1:13" x14ac:dyDescent="0.2">
      <c r="A2019">
        <v>105</v>
      </c>
      <c r="B2019">
        <v>65</v>
      </c>
      <c r="C2019">
        <v>170</v>
      </c>
      <c r="D2019" s="51" t="s">
        <v>63</v>
      </c>
      <c r="E2019" t="str">
        <f>VLOOKUP(M2019,'MASS - 2016'!$A$1:$G$3418,6,FALSE)</f>
        <v>-46724#</v>
      </c>
      <c r="F2019" t="str">
        <f>VLOOKUP(M2019,'MASS - 2016'!$A$1:$G$3418,7,FALSE)</f>
        <v>401#</v>
      </c>
      <c r="G2019">
        <f t="shared" si="161"/>
        <v>-46724.01</v>
      </c>
      <c r="H2019">
        <f t="shared" si="157"/>
        <v>169.94983971239728</v>
      </c>
      <c r="I2019">
        <f t="shared" si="158"/>
        <v>158.30726636</v>
      </c>
      <c r="J2019">
        <f t="shared" si="160"/>
        <v>158274.05136000001</v>
      </c>
      <c r="M2019">
        <f t="shared" si="159"/>
        <v>105065</v>
      </c>
    </row>
    <row r="2020" spans="1:13" x14ac:dyDescent="0.2">
      <c r="A2020">
        <v>104</v>
      </c>
      <c r="B2020">
        <v>66</v>
      </c>
      <c r="C2020">
        <v>170</v>
      </c>
      <c r="D2020" s="51" t="s">
        <v>64</v>
      </c>
      <c r="E2020" t="str">
        <f>VLOOKUP(M2020,'MASS - 2016'!$A$1:$G$3418,6,FALSE)</f>
        <v>-53663#</v>
      </c>
      <c r="F2020" t="str">
        <f>VLOOKUP(M2020,'MASS - 2016'!$A$1:$G$3418,7,FALSE)</f>
        <v>196#</v>
      </c>
      <c r="G2020">
        <f t="shared" si="161"/>
        <v>-53663.01</v>
      </c>
      <c r="H2020">
        <f t="shared" si="157"/>
        <v>169.94239038954001</v>
      </c>
      <c r="I2020">
        <f t="shared" si="158"/>
        <v>158.30032735999998</v>
      </c>
      <c r="J2020">
        <f t="shared" si="160"/>
        <v>158266.60136</v>
      </c>
      <c r="M2020">
        <f t="shared" si="159"/>
        <v>104066</v>
      </c>
    </row>
    <row r="2021" spans="1:13" x14ac:dyDescent="0.2">
      <c r="A2021">
        <v>103</v>
      </c>
      <c r="B2021">
        <v>67</v>
      </c>
      <c r="C2021">
        <v>170</v>
      </c>
      <c r="D2021" s="51" t="s">
        <v>65</v>
      </c>
      <c r="E2021">
        <f>VLOOKUP(M2021,'MASS - 2016'!$A$1:$G$3418,6,FALSE)</f>
        <v>-56238.680999999997</v>
      </c>
      <c r="F2021">
        <f>VLOOKUP(M2021,'MASS - 2016'!$A$1:$G$3418,7,FALSE)</f>
        <v>50.024000000000001</v>
      </c>
      <c r="G2021">
        <f t="shared" si="161"/>
        <v>-56238.680999999997</v>
      </c>
      <c r="H2021">
        <f t="shared" si="157"/>
        <v>169.93962529300549</v>
      </c>
      <c r="I2021">
        <f t="shared" si="158"/>
        <v>158.29775168899999</v>
      </c>
      <c r="J2021">
        <f t="shared" si="160"/>
        <v>158263.514689</v>
      </c>
      <c r="M2021">
        <f t="shared" si="159"/>
        <v>103067</v>
      </c>
    </row>
    <row r="2022" spans="1:13" x14ac:dyDescent="0.2">
      <c r="A2022">
        <v>102</v>
      </c>
      <c r="B2022">
        <v>68</v>
      </c>
      <c r="C2022">
        <v>170</v>
      </c>
      <c r="D2022" s="51" t="s">
        <v>66</v>
      </c>
      <c r="E2022">
        <f>VLOOKUP(M2022,'MASS - 2016'!$A$1:$G$3418,6,FALSE)</f>
        <v>-60108.680999999997</v>
      </c>
      <c r="F2022">
        <f>VLOOKUP(M2022,'MASS - 2016'!$A$1:$G$3418,7,FALSE)</f>
        <v>1.546</v>
      </c>
      <c r="G2022">
        <f t="shared" si="161"/>
        <v>-60108.680999999997</v>
      </c>
      <c r="H2022">
        <f t="shared" si="157"/>
        <v>169.93547067714476</v>
      </c>
      <c r="I2022">
        <f t="shared" si="158"/>
        <v>158.29388168899999</v>
      </c>
      <c r="J2022">
        <f t="shared" si="160"/>
        <v>158259.13368900001</v>
      </c>
      <c r="M2022">
        <f t="shared" si="159"/>
        <v>102068</v>
      </c>
    </row>
    <row r="2023" spans="1:13" x14ac:dyDescent="0.2">
      <c r="A2023">
        <v>101</v>
      </c>
      <c r="B2023">
        <v>69</v>
      </c>
      <c r="C2023">
        <v>170</v>
      </c>
      <c r="D2023" s="51" t="s">
        <v>67</v>
      </c>
      <c r="E2023">
        <f>VLOOKUP(M2023,'MASS - 2016'!$A$1:$G$3418,6,FALSE)</f>
        <v>-59795.853000000003</v>
      </c>
      <c r="F2023">
        <f>VLOOKUP(M2023,'MASS - 2016'!$A$1:$G$3418,7,FALSE)</f>
        <v>0.80100000000000005</v>
      </c>
      <c r="G2023">
        <f t="shared" si="161"/>
        <v>-59795.853000000003</v>
      </c>
      <c r="H2023">
        <f t="shared" si="157"/>
        <v>169.93580651181415</v>
      </c>
      <c r="I2023">
        <f t="shared" si="158"/>
        <v>158.29419451699999</v>
      </c>
      <c r="J2023">
        <f t="shared" si="160"/>
        <v>158258.93551700001</v>
      </c>
      <c r="M2023">
        <f t="shared" si="159"/>
        <v>101069</v>
      </c>
    </row>
    <row r="2024" spans="1:13" x14ac:dyDescent="0.2">
      <c r="A2024">
        <v>100</v>
      </c>
      <c r="B2024">
        <v>70</v>
      </c>
      <c r="C2024">
        <v>170</v>
      </c>
      <c r="D2024" s="51" t="s">
        <v>68</v>
      </c>
      <c r="E2024">
        <f>VLOOKUP(M2024,'MASS - 2016'!$A$1:$G$3418,6,FALSE)</f>
        <v>-60763.919000000002</v>
      </c>
      <c r="F2024">
        <f>VLOOKUP(M2024,'MASS - 2016'!$A$1:$G$3418,7,FALSE)</f>
        <v>0.01</v>
      </c>
      <c r="G2024">
        <f t="shared" si="161"/>
        <v>-60763.919000000002</v>
      </c>
      <c r="H2024">
        <f t="shared" si="157"/>
        <v>169.93476725022296</v>
      </c>
      <c r="I2024">
        <f t="shared" si="158"/>
        <v>158.29322645099998</v>
      </c>
      <c r="J2024">
        <f t="shared" si="160"/>
        <v>158257.45645100001</v>
      </c>
      <c r="M2024">
        <f t="shared" si="159"/>
        <v>100070</v>
      </c>
    </row>
    <row r="2025" spans="1:13" x14ac:dyDescent="0.2">
      <c r="A2025">
        <v>99</v>
      </c>
      <c r="B2025">
        <v>71</v>
      </c>
      <c r="C2025">
        <v>170</v>
      </c>
      <c r="D2025" s="51" t="s">
        <v>69</v>
      </c>
      <c r="E2025">
        <f>VLOOKUP(M2025,'MASS - 2016'!$A$1:$G$3418,6,FALSE)</f>
        <v>-57306.224000000002</v>
      </c>
      <c r="F2025">
        <f>VLOOKUP(M2025,'MASS - 2016'!$A$1:$G$3418,7,FALSE)</f>
        <v>16.843</v>
      </c>
      <c r="G2025">
        <f t="shared" si="161"/>
        <v>-57306.224000000002</v>
      </c>
      <c r="H2025">
        <f t="shared" si="157"/>
        <v>169.93847923846289</v>
      </c>
      <c r="I2025">
        <f t="shared" si="158"/>
        <v>158.29668414599999</v>
      </c>
      <c r="J2025">
        <f t="shared" si="160"/>
        <v>158260.403146</v>
      </c>
      <c r="M2025">
        <f t="shared" si="159"/>
        <v>99071</v>
      </c>
    </row>
    <row r="2026" spans="1:13" x14ac:dyDescent="0.2">
      <c r="A2026">
        <v>98</v>
      </c>
      <c r="B2026">
        <v>72</v>
      </c>
      <c r="C2026">
        <v>170</v>
      </c>
      <c r="D2026" s="51" t="s">
        <v>70</v>
      </c>
      <c r="E2026">
        <f>VLOOKUP(M2026,'MASS - 2016'!$A$1:$G$3418,6,FALSE)</f>
        <v>-56253.853999999999</v>
      </c>
      <c r="F2026">
        <f>VLOOKUP(M2026,'MASS - 2016'!$A$1:$G$3418,7,FALSE)</f>
        <v>27.945</v>
      </c>
      <c r="G2026">
        <f t="shared" si="161"/>
        <v>-56253.853999999999</v>
      </c>
      <c r="H2026">
        <f t="shared" si="157"/>
        <v>169.93960900412009</v>
      </c>
      <c r="I2026">
        <f t="shared" si="158"/>
        <v>158.29773651599999</v>
      </c>
      <c r="J2026">
        <f t="shared" si="160"/>
        <v>158260.94451599999</v>
      </c>
      <c r="M2026">
        <f t="shared" si="159"/>
        <v>98072</v>
      </c>
    </row>
    <row r="2027" spans="1:13" x14ac:dyDescent="0.2">
      <c r="A2027">
        <v>97</v>
      </c>
      <c r="B2027">
        <v>73</v>
      </c>
      <c r="C2027">
        <v>170</v>
      </c>
      <c r="D2027" s="51" t="s">
        <v>71</v>
      </c>
      <c r="E2027">
        <f>VLOOKUP(M2027,'MASS - 2016'!$A$1:$G$3418,6,FALSE)</f>
        <v>-50137.665000000001</v>
      </c>
      <c r="F2027">
        <f>VLOOKUP(M2027,'MASS - 2016'!$A$1:$G$3418,7,FALSE)</f>
        <v>27.945</v>
      </c>
      <c r="G2027">
        <f t="shared" si="161"/>
        <v>-50137.665000000001</v>
      </c>
      <c r="H2027">
        <f t="shared" si="157"/>
        <v>169.9461750030417</v>
      </c>
      <c r="I2027">
        <f t="shared" si="158"/>
        <v>158.303852705</v>
      </c>
      <c r="J2027">
        <f t="shared" si="160"/>
        <v>158266.54970499998</v>
      </c>
      <c r="M2027">
        <f t="shared" si="159"/>
        <v>97073</v>
      </c>
    </row>
    <row r="2028" spans="1:13" x14ac:dyDescent="0.2">
      <c r="A2028">
        <v>96</v>
      </c>
      <c r="B2028">
        <v>74</v>
      </c>
      <c r="C2028">
        <v>170</v>
      </c>
      <c r="D2028" s="51" t="s">
        <v>72</v>
      </c>
      <c r="E2028">
        <f>VLOOKUP(M2028,'MASS - 2016'!$A$1:$G$3418,6,FALSE)</f>
        <v>-47290.832000000002</v>
      </c>
      <c r="F2028">
        <f>VLOOKUP(M2028,'MASS - 2016'!$A$1:$G$3418,7,FALSE)</f>
        <v>13.195</v>
      </c>
      <c r="G2028">
        <f t="shared" si="161"/>
        <v>-47290.832000000002</v>
      </c>
      <c r="H2028">
        <f t="shared" si="157"/>
        <v>169.94923120395504</v>
      </c>
      <c r="I2028">
        <f t="shared" si="158"/>
        <v>158.306699538</v>
      </c>
      <c r="J2028">
        <f t="shared" si="160"/>
        <v>158268.885538</v>
      </c>
      <c r="M2028">
        <f t="shared" si="159"/>
        <v>96074</v>
      </c>
    </row>
    <row r="2029" spans="1:13" x14ac:dyDescent="0.2">
      <c r="A2029">
        <v>95</v>
      </c>
      <c r="B2029">
        <v>75</v>
      </c>
      <c r="C2029">
        <v>170</v>
      </c>
      <c r="D2029" s="51" t="s">
        <v>73</v>
      </c>
      <c r="E2029">
        <f>VLOOKUP(M2029,'MASS - 2016'!$A$1:$G$3418,6,FALSE)</f>
        <v>-38913.192999999999</v>
      </c>
      <c r="F2029">
        <f>VLOOKUP(M2029,'MASS - 2016'!$A$1:$G$3418,7,FALSE)</f>
        <v>23.109000000000002</v>
      </c>
      <c r="G2029">
        <f t="shared" si="161"/>
        <v>-38913.192999999999</v>
      </c>
      <c r="H2029">
        <f t="shared" si="157"/>
        <v>169.95822496929478</v>
      </c>
      <c r="I2029">
        <f t="shared" si="158"/>
        <v>158.31507717699998</v>
      </c>
      <c r="J2029">
        <f t="shared" si="160"/>
        <v>158276.75217699996</v>
      </c>
      <c r="M2029">
        <f t="shared" si="159"/>
        <v>95075</v>
      </c>
    </row>
    <row r="2030" spans="1:13" x14ac:dyDescent="0.2">
      <c r="A2030">
        <v>94</v>
      </c>
      <c r="B2030">
        <v>76</v>
      </c>
      <c r="C2030">
        <v>170</v>
      </c>
      <c r="D2030" s="51" t="s">
        <v>74</v>
      </c>
      <c r="E2030">
        <f>VLOOKUP(M2030,'MASS - 2016'!$A$1:$G$3418,6,FALSE)</f>
        <v>-33926.247000000003</v>
      </c>
      <c r="F2030">
        <f>VLOOKUP(M2030,'MASS - 2016'!$A$1:$G$3418,7,FALSE)</f>
        <v>9.7729999999999997</v>
      </c>
      <c r="G2030">
        <f t="shared" si="161"/>
        <v>-33926.247000000003</v>
      </c>
      <c r="H2030">
        <f t="shared" si="157"/>
        <v>169.96357867599971</v>
      </c>
      <c r="I2030">
        <f t="shared" si="158"/>
        <v>158.32006412299998</v>
      </c>
      <c r="J2030">
        <f t="shared" si="160"/>
        <v>158281.22812299998</v>
      </c>
      <c r="M2030">
        <f t="shared" si="159"/>
        <v>94076</v>
      </c>
    </row>
    <row r="2031" spans="1:13" x14ac:dyDescent="0.2">
      <c r="A2031">
        <v>93</v>
      </c>
      <c r="B2031">
        <v>77</v>
      </c>
      <c r="C2031">
        <v>170</v>
      </c>
      <c r="D2031" s="51" t="s">
        <v>75</v>
      </c>
      <c r="E2031" t="str">
        <f>VLOOKUP(M2031,'MASS - 2016'!$A$1:$G$3418,6,FALSE)</f>
        <v>-23360#</v>
      </c>
      <c r="F2031" t="str">
        <f>VLOOKUP(M2031,'MASS - 2016'!$A$1:$G$3418,7,FALSE)</f>
        <v>89#</v>
      </c>
      <c r="G2031">
        <f t="shared" si="161"/>
        <v>-23360.01</v>
      </c>
      <c r="H2031">
        <f t="shared" si="157"/>
        <v>169.97492199791921</v>
      </c>
      <c r="I2031">
        <f t="shared" si="158"/>
        <v>158.33063035999999</v>
      </c>
      <c r="J2031">
        <f t="shared" si="160"/>
        <v>158291.28335999997</v>
      </c>
      <c r="M2031">
        <f t="shared" si="159"/>
        <v>93077</v>
      </c>
    </row>
    <row r="2032" spans="1:13" x14ac:dyDescent="0.2">
      <c r="A2032">
        <v>92</v>
      </c>
      <c r="B2032">
        <v>78</v>
      </c>
      <c r="C2032">
        <v>170</v>
      </c>
      <c r="D2032" s="51" t="s">
        <v>76</v>
      </c>
      <c r="E2032">
        <f>VLOOKUP(M2032,'MASS - 2016'!$A$1:$G$3418,6,FALSE)</f>
        <v>-16299.192999999999</v>
      </c>
      <c r="F2032">
        <f>VLOOKUP(M2032,'MASS - 2016'!$A$1:$G$3418,7,FALSE)</f>
        <v>18.247</v>
      </c>
      <c r="G2032">
        <f t="shared" si="161"/>
        <v>-16299.192999999999</v>
      </c>
      <c r="H2032">
        <f t="shared" si="157"/>
        <v>169.98250209670417</v>
      </c>
      <c r="I2032">
        <f t="shared" si="158"/>
        <v>158.33769117699998</v>
      </c>
      <c r="J2032">
        <f t="shared" si="160"/>
        <v>158297.83317699996</v>
      </c>
      <c r="M2032">
        <f t="shared" si="159"/>
        <v>92078</v>
      </c>
    </row>
    <row r="2033" spans="1:13" x14ac:dyDescent="0.2">
      <c r="A2033">
        <v>106</v>
      </c>
      <c r="B2033">
        <v>65</v>
      </c>
      <c r="C2033">
        <v>171</v>
      </c>
      <c r="D2033" s="51" t="s">
        <v>63</v>
      </c>
      <c r="E2033" t="str">
        <f>VLOOKUP(M2033,'MASS - 2016'!$A$1:$G$3418,6,FALSE)</f>
        <v>-44032#</v>
      </c>
      <c r="F2033" t="str">
        <f>VLOOKUP(M2033,'MASS - 2016'!$A$1:$G$3418,7,FALSE)</f>
        <v>503#</v>
      </c>
      <c r="G2033">
        <f t="shared" si="161"/>
        <v>-44032.01</v>
      </c>
      <c r="H2033">
        <f t="shared" si="157"/>
        <v>170.95272969324921</v>
      </c>
      <c r="I2033">
        <f t="shared" si="158"/>
        <v>159.24145242099999</v>
      </c>
      <c r="J2033">
        <f t="shared" si="160"/>
        <v>159208.237421</v>
      </c>
      <c r="M2033">
        <f t="shared" si="159"/>
        <v>106065</v>
      </c>
    </row>
    <row r="2034" spans="1:13" x14ac:dyDescent="0.2">
      <c r="A2034">
        <v>105</v>
      </c>
      <c r="B2034">
        <v>66</v>
      </c>
      <c r="C2034">
        <v>171</v>
      </c>
      <c r="D2034" s="51" t="s">
        <v>64</v>
      </c>
      <c r="E2034" t="str">
        <f>VLOOKUP(M2034,'MASS - 2016'!$A$1:$G$3418,6,FALSE)</f>
        <v>-50189#</v>
      </c>
      <c r="F2034" t="str">
        <f>VLOOKUP(M2034,'MASS - 2016'!$A$1:$G$3418,7,FALSE)</f>
        <v>298#</v>
      </c>
      <c r="G2034">
        <f t="shared" si="161"/>
        <v>-50189.01</v>
      </c>
      <c r="H2034">
        <f t="shared" si="157"/>
        <v>170.9461198819173</v>
      </c>
      <c r="I2034">
        <f t="shared" si="158"/>
        <v>159.23529542099999</v>
      </c>
      <c r="J2034">
        <f t="shared" si="160"/>
        <v>159201.56942099999</v>
      </c>
      <c r="M2034">
        <f t="shared" si="159"/>
        <v>105066</v>
      </c>
    </row>
    <row r="2035" spans="1:13" x14ac:dyDescent="0.2">
      <c r="A2035">
        <v>104</v>
      </c>
      <c r="B2035">
        <v>67</v>
      </c>
      <c r="C2035">
        <v>171</v>
      </c>
      <c r="D2035" s="51" t="s">
        <v>65</v>
      </c>
      <c r="E2035">
        <f>VLOOKUP(M2035,'MASS - 2016'!$A$1:$G$3418,6,FALSE)</f>
        <v>-54518.955999999998</v>
      </c>
      <c r="F2035">
        <f>VLOOKUP(M2035,'MASS - 2016'!$A$1:$G$3418,7,FALSE)</f>
        <v>600.00199999999995</v>
      </c>
      <c r="G2035">
        <f t="shared" si="161"/>
        <v>-54518.955999999998</v>
      </c>
      <c r="H2035">
        <f t="shared" si="157"/>
        <v>170.94147149371892</v>
      </c>
      <c r="I2035">
        <f t="shared" si="158"/>
        <v>159.23096547499998</v>
      </c>
      <c r="J2035">
        <f t="shared" si="160"/>
        <v>159196.72847499998</v>
      </c>
      <c r="M2035">
        <f t="shared" si="159"/>
        <v>104067</v>
      </c>
    </row>
    <row r="2036" spans="1:13" x14ac:dyDescent="0.2">
      <c r="A2036">
        <v>103</v>
      </c>
      <c r="B2036">
        <v>68</v>
      </c>
      <c r="C2036">
        <v>171</v>
      </c>
      <c r="D2036" s="51" t="s">
        <v>66</v>
      </c>
      <c r="E2036">
        <f>VLOOKUP(M2036,'MASS - 2016'!$A$1:$G$3418,6,FALSE)</f>
        <v>-57718.955999999998</v>
      </c>
      <c r="F2036">
        <f>VLOOKUP(M2036,'MASS - 2016'!$A$1:$G$3418,7,FALSE)</f>
        <v>1.5569999999999999</v>
      </c>
      <c r="G2036">
        <f t="shared" si="161"/>
        <v>-57718.955999999998</v>
      </c>
      <c r="H2036">
        <f t="shared" si="157"/>
        <v>170.93803615243874</v>
      </c>
      <c r="I2036">
        <f t="shared" si="158"/>
        <v>159.22776547499998</v>
      </c>
      <c r="J2036">
        <f t="shared" si="160"/>
        <v>159193.017475</v>
      </c>
      <c r="M2036">
        <f t="shared" si="159"/>
        <v>103068</v>
      </c>
    </row>
    <row r="2037" spans="1:13" x14ac:dyDescent="0.2">
      <c r="A2037">
        <v>102</v>
      </c>
      <c r="B2037">
        <v>69</v>
      </c>
      <c r="C2037">
        <v>171</v>
      </c>
      <c r="D2037" s="51" t="s">
        <v>67</v>
      </c>
      <c r="E2037">
        <f>VLOOKUP(M2037,'MASS - 2016'!$A$1:$G$3418,6,FALSE)</f>
        <v>-59210.298000000003</v>
      </c>
      <c r="F2037">
        <f>VLOOKUP(M2037,'MASS - 2016'!$A$1:$G$3418,7,FALSE)</f>
        <v>0.97199999999999998</v>
      </c>
      <c r="G2037">
        <f t="shared" si="161"/>
        <v>-59210.298000000003</v>
      </c>
      <c r="H2037">
        <f t="shared" si="157"/>
        <v>170.9364351309589</v>
      </c>
      <c r="I2037">
        <f t="shared" si="158"/>
        <v>159.22627413299998</v>
      </c>
      <c r="J2037">
        <f t="shared" si="160"/>
        <v>159191.01513299998</v>
      </c>
      <c r="M2037">
        <f t="shared" si="159"/>
        <v>102069</v>
      </c>
    </row>
    <row r="2038" spans="1:13" x14ac:dyDescent="0.2">
      <c r="A2038">
        <v>101</v>
      </c>
      <c r="B2038">
        <v>70</v>
      </c>
      <c r="C2038">
        <v>171</v>
      </c>
      <c r="D2038" s="51" t="s">
        <v>68</v>
      </c>
      <c r="E2038">
        <f>VLOOKUP(M2038,'MASS - 2016'!$A$1:$G$3418,6,FALSE)</f>
        <v>-59306.81</v>
      </c>
      <c r="F2038">
        <f>VLOOKUP(M2038,'MASS - 2016'!$A$1:$G$3418,7,FALSE)</f>
        <v>1.2999999999999999E-2</v>
      </c>
      <c r="G2038">
        <f t="shared" si="161"/>
        <v>-59306.81</v>
      </c>
      <c r="H2038">
        <f t="shared" si="157"/>
        <v>170.93633152106591</v>
      </c>
      <c r="I2038">
        <f t="shared" si="158"/>
        <v>159.22617762099998</v>
      </c>
      <c r="J2038">
        <f t="shared" si="160"/>
        <v>159190.40762099999</v>
      </c>
      <c r="M2038">
        <f t="shared" si="159"/>
        <v>101070</v>
      </c>
    </row>
    <row r="2039" spans="1:13" x14ac:dyDescent="0.2">
      <c r="A2039">
        <v>100</v>
      </c>
      <c r="B2039">
        <v>71</v>
      </c>
      <c r="C2039">
        <v>171</v>
      </c>
      <c r="D2039" s="51" t="s">
        <v>69</v>
      </c>
      <c r="E2039">
        <f>VLOOKUP(M2039,'MASS - 2016'!$A$1:$G$3418,6,FALSE)</f>
        <v>-57828.394999999997</v>
      </c>
      <c r="F2039">
        <f>VLOOKUP(M2039,'MASS - 2016'!$A$1:$G$3418,7,FALSE)</f>
        <v>1.8620000000000001</v>
      </c>
      <c r="G2039">
        <f t="shared" si="161"/>
        <v>-57828.394999999997</v>
      </c>
      <c r="H2039">
        <f t="shared" si="157"/>
        <v>170.93791866484051</v>
      </c>
      <c r="I2039">
        <f t="shared" si="158"/>
        <v>159.22765603599998</v>
      </c>
      <c r="J2039">
        <f t="shared" si="160"/>
        <v>159191.37503599998</v>
      </c>
      <c r="M2039">
        <f t="shared" si="159"/>
        <v>100071</v>
      </c>
    </row>
    <row r="2040" spans="1:13" x14ac:dyDescent="0.2">
      <c r="A2040">
        <v>99</v>
      </c>
      <c r="B2040">
        <v>72</v>
      </c>
      <c r="C2040">
        <v>171</v>
      </c>
      <c r="D2040" s="51" t="s">
        <v>70</v>
      </c>
      <c r="E2040">
        <f>VLOOKUP(M2040,'MASS - 2016'!$A$1:$G$3418,6,FALSE)</f>
        <v>-55431.345000000001</v>
      </c>
      <c r="F2040">
        <f>VLOOKUP(M2040,'MASS - 2016'!$A$1:$G$3418,7,FALSE)</f>
        <v>28.876000000000001</v>
      </c>
      <c r="G2040">
        <f t="shared" si="161"/>
        <v>-55431.345000000001</v>
      </c>
      <c r="H2040">
        <f t="shared" si="157"/>
        <v>170.94049200384543</v>
      </c>
      <c r="I2040">
        <f t="shared" si="158"/>
        <v>159.230053086</v>
      </c>
      <c r="J2040">
        <f t="shared" si="160"/>
        <v>159193.26108600001</v>
      </c>
      <c r="M2040">
        <f t="shared" si="159"/>
        <v>99072</v>
      </c>
    </row>
    <row r="2041" spans="1:13" x14ac:dyDescent="0.2">
      <c r="A2041">
        <v>98</v>
      </c>
      <c r="B2041">
        <v>73</v>
      </c>
      <c r="C2041">
        <v>171</v>
      </c>
      <c r="D2041" s="51" t="s">
        <v>71</v>
      </c>
      <c r="E2041">
        <f>VLOOKUP(M2041,'MASS - 2016'!$A$1:$G$3418,6,FALSE)</f>
        <v>-51720.273000000001</v>
      </c>
      <c r="F2041">
        <f>VLOOKUP(M2041,'MASS - 2016'!$A$1:$G$3418,7,FALSE)</f>
        <v>27.945</v>
      </c>
      <c r="G2041">
        <f t="shared" si="161"/>
        <v>-51720.273000000001</v>
      </c>
      <c r="H2041">
        <f t="shared" si="157"/>
        <v>170.94447600348144</v>
      </c>
      <c r="I2041">
        <f t="shared" si="158"/>
        <v>159.23376415799999</v>
      </c>
      <c r="J2041">
        <f t="shared" si="160"/>
        <v>159196.46115799996</v>
      </c>
      <c r="M2041">
        <f t="shared" si="159"/>
        <v>98073</v>
      </c>
    </row>
    <row r="2042" spans="1:13" x14ac:dyDescent="0.2">
      <c r="A2042">
        <v>97</v>
      </c>
      <c r="B2042">
        <v>74</v>
      </c>
      <c r="C2042">
        <v>171</v>
      </c>
      <c r="D2042" s="51" t="s">
        <v>72</v>
      </c>
      <c r="E2042">
        <f>VLOOKUP(M2042,'MASS - 2016'!$A$1:$G$3418,6,FALSE)</f>
        <v>-47086.09</v>
      </c>
      <c r="F2042">
        <f>VLOOKUP(M2042,'MASS - 2016'!$A$1:$G$3418,7,FALSE)</f>
        <v>27.945</v>
      </c>
      <c r="G2042">
        <f t="shared" si="161"/>
        <v>-47086.09</v>
      </c>
      <c r="H2042">
        <f t="shared" si="157"/>
        <v>170.94945100353141</v>
      </c>
      <c r="I2042">
        <f t="shared" si="158"/>
        <v>159.23839834099999</v>
      </c>
      <c r="J2042">
        <f t="shared" si="160"/>
        <v>159200.58434099998</v>
      </c>
      <c r="M2042">
        <f t="shared" si="159"/>
        <v>97074</v>
      </c>
    </row>
    <row r="2043" spans="1:13" x14ac:dyDescent="0.2">
      <c r="A2043">
        <v>96</v>
      </c>
      <c r="B2043">
        <v>75</v>
      </c>
      <c r="C2043">
        <v>171</v>
      </c>
      <c r="D2043" s="51" t="s">
        <v>73</v>
      </c>
      <c r="E2043">
        <f>VLOOKUP(M2043,'MASS - 2016'!$A$1:$G$3418,6,FALSE)</f>
        <v>-41250.28</v>
      </c>
      <c r="F2043">
        <f>VLOOKUP(M2043,'MASS - 2016'!$A$1:$G$3418,7,FALSE)</f>
        <v>27.945</v>
      </c>
      <c r="G2043">
        <f t="shared" si="161"/>
        <v>-41250.28</v>
      </c>
      <c r="H2043">
        <f t="shared" si="157"/>
        <v>170.95571600321773</v>
      </c>
      <c r="I2043">
        <f t="shared" si="158"/>
        <v>159.24423415099997</v>
      </c>
      <c r="J2043">
        <f t="shared" si="160"/>
        <v>159205.90915099997</v>
      </c>
      <c r="M2043">
        <f t="shared" si="159"/>
        <v>96075</v>
      </c>
    </row>
    <row r="2044" spans="1:13" x14ac:dyDescent="0.2">
      <c r="A2044">
        <v>95</v>
      </c>
      <c r="B2044">
        <v>76</v>
      </c>
      <c r="C2044">
        <v>171</v>
      </c>
      <c r="D2044" s="51" t="s">
        <v>74</v>
      </c>
      <c r="E2044">
        <f>VLOOKUP(M2044,'MASS - 2016'!$A$1:$G$3418,6,FALSE)</f>
        <v>-34301.942000000003</v>
      </c>
      <c r="F2044">
        <f>VLOOKUP(M2044,'MASS - 2016'!$A$1:$G$3418,7,FALSE)</f>
        <v>17.823</v>
      </c>
      <c r="G2044">
        <f t="shared" si="161"/>
        <v>-34301.942000000003</v>
      </c>
      <c r="H2044">
        <f t="shared" si="157"/>
        <v>170.96317535083026</v>
      </c>
      <c r="I2044">
        <f t="shared" si="158"/>
        <v>159.25118248899997</v>
      </c>
      <c r="J2044">
        <f t="shared" si="160"/>
        <v>159212.34648899996</v>
      </c>
      <c r="M2044">
        <f t="shared" si="159"/>
        <v>95076</v>
      </c>
    </row>
    <row r="2045" spans="1:13" x14ac:dyDescent="0.2">
      <c r="A2045">
        <v>94</v>
      </c>
      <c r="B2045">
        <v>77</v>
      </c>
      <c r="C2045">
        <v>171</v>
      </c>
      <c r="D2045" s="51" t="s">
        <v>75</v>
      </c>
      <c r="E2045">
        <f>VLOOKUP(M2045,'MASS - 2016'!$A$1:$G$3418,6,FALSE)</f>
        <v>-26412.025000000001</v>
      </c>
      <c r="F2045">
        <f>VLOOKUP(M2045,'MASS - 2016'!$A$1:$G$3418,7,FALSE)</f>
        <v>38.466000000000001</v>
      </c>
      <c r="G2045">
        <f t="shared" si="161"/>
        <v>-26412.025000000001</v>
      </c>
      <c r="H2045">
        <f t="shared" si="157"/>
        <v>170.97164552507004</v>
      </c>
      <c r="I2045">
        <f t="shared" si="158"/>
        <v>159.25907240599997</v>
      </c>
      <c r="J2045">
        <f t="shared" si="160"/>
        <v>159219.72540599995</v>
      </c>
      <c r="M2045">
        <f t="shared" si="159"/>
        <v>94077</v>
      </c>
    </row>
    <row r="2046" spans="1:13" x14ac:dyDescent="0.2">
      <c r="A2046">
        <v>93</v>
      </c>
      <c r="B2046">
        <v>78</v>
      </c>
      <c r="C2046">
        <v>171</v>
      </c>
      <c r="D2046" s="51" t="s">
        <v>76</v>
      </c>
      <c r="E2046">
        <f>VLOOKUP(M2046,'MASS - 2016'!$A$1:$G$3418,6,FALSE)</f>
        <v>-17469.702000000001</v>
      </c>
      <c r="F2046">
        <f>VLOOKUP(M2046,'MASS - 2016'!$A$1:$G$3418,7,FALSE)</f>
        <v>72.747</v>
      </c>
      <c r="G2046">
        <f t="shared" si="161"/>
        <v>-17469.702000000001</v>
      </c>
      <c r="H2046">
        <f t="shared" si="157"/>
        <v>170.98124550361464</v>
      </c>
      <c r="I2046">
        <f t="shared" si="158"/>
        <v>159.26801472899999</v>
      </c>
      <c r="J2046">
        <f t="shared" si="160"/>
        <v>159228.15672899998</v>
      </c>
      <c r="M2046">
        <f t="shared" si="159"/>
        <v>93078</v>
      </c>
    </row>
    <row r="2047" spans="1:13" x14ac:dyDescent="0.2">
      <c r="A2047">
        <v>92</v>
      </c>
      <c r="B2047">
        <v>79</v>
      </c>
      <c r="C2047">
        <v>171</v>
      </c>
      <c r="D2047" s="51" t="s">
        <v>77</v>
      </c>
      <c r="E2047">
        <f>VLOOKUP(M2047,'MASS - 2016'!$A$1:$G$3418,6,FALSE)</f>
        <v>-7562.2950000000001</v>
      </c>
      <c r="F2047">
        <f>VLOOKUP(M2047,'MASS - 2016'!$A$1:$G$3418,7,FALSE)</f>
        <v>20.713000000000001</v>
      </c>
      <c r="G2047">
        <f t="shared" si="161"/>
        <v>-7562.2950000000001</v>
      </c>
      <c r="H2047">
        <f t="shared" si="157"/>
        <v>170.99188154244172</v>
      </c>
      <c r="I2047">
        <f t="shared" si="158"/>
        <v>159.27792213599997</v>
      </c>
      <c r="J2047">
        <f t="shared" si="160"/>
        <v>159237.55313599997</v>
      </c>
      <c r="M2047">
        <f t="shared" si="159"/>
        <v>92079</v>
      </c>
    </row>
    <row r="2048" spans="1:13" x14ac:dyDescent="0.2">
      <c r="A2048">
        <v>106</v>
      </c>
      <c r="B2048">
        <v>66</v>
      </c>
      <c r="C2048">
        <v>172</v>
      </c>
      <c r="D2048" s="51" t="s">
        <v>64</v>
      </c>
      <c r="E2048" t="str">
        <f>VLOOKUP(M2048,'MASS - 2016'!$A$1:$G$3418,6,FALSE)</f>
        <v>-48009#</v>
      </c>
      <c r="F2048" t="str">
        <f>VLOOKUP(M2048,'MASS - 2016'!$A$1:$G$3418,7,FALSE)</f>
        <v>298#</v>
      </c>
      <c r="G2048">
        <f t="shared" si="161"/>
        <v>-48009.01</v>
      </c>
      <c r="H2048">
        <f t="shared" si="157"/>
        <v>171.94846020816448</v>
      </c>
      <c r="I2048">
        <f t="shared" si="158"/>
        <v>160.16896948200002</v>
      </c>
      <c r="J2048">
        <f t="shared" si="160"/>
        <v>160135.24348200002</v>
      </c>
      <c r="M2048">
        <f t="shared" si="159"/>
        <v>106066</v>
      </c>
    </row>
    <row r="2049" spans="1:13" x14ac:dyDescent="0.2">
      <c r="A2049">
        <v>105</v>
      </c>
      <c r="B2049">
        <v>67</v>
      </c>
      <c r="C2049">
        <v>172</v>
      </c>
      <c r="D2049" s="51" t="s">
        <v>65</v>
      </c>
      <c r="E2049" t="str">
        <f>VLOOKUP(M2049,'MASS - 2016'!$A$1:$G$3418,6,FALSE)</f>
        <v>-51484#</v>
      </c>
      <c r="F2049" t="str">
        <f>VLOOKUP(M2049,'MASS - 2016'!$A$1:$G$3418,7,FALSE)</f>
        <v>196#</v>
      </c>
      <c r="G2049">
        <f t="shared" si="161"/>
        <v>-51484.01</v>
      </c>
      <c r="H2049">
        <f t="shared" si="157"/>
        <v>171.944729642243</v>
      </c>
      <c r="I2049">
        <f t="shared" si="158"/>
        <v>160.16549448200001</v>
      </c>
      <c r="J2049">
        <f t="shared" si="160"/>
        <v>160131.25748200002</v>
      </c>
      <c r="M2049">
        <f t="shared" si="159"/>
        <v>105067</v>
      </c>
    </row>
    <row r="2050" spans="1:13" x14ac:dyDescent="0.2">
      <c r="A2050">
        <v>104</v>
      </c>
      <c r="B2050">
        <v>68</v>
      </c>
      <c r="C2050">
        <v>172</v>
      </c>
      <c r="D2050" s="51" t="s">
        <v>66</v>
      </c>
      <c r="E2050">
        <f>VLOOKUP(M2050,'MASS - 2016'!$A$1:$G$3418,6,FALSE)</f>
        <v>-56483.612000000001</v>
      </c>
      <c r="F2050">
        <f>VLOOKUP(M2050,'MASS - 2016'!$A$1:$G$3418,7,FALSE)</f>
        <v>4.008</v>
      </c>
      <c r="G2050">
        <f t="shared" si="161"/>
        <v>-56483.612000000001</v>
      </c>
      <c r="H2050">
        <f t="shared" si="157"/>
        <v>171.9393623487633</v>
      </c>
      <c r="I2050">
        <f t="shared" si="158"/>
        <v>160.16049488000002</v>
      </c>
      <c r="J2050">
        <f t="shared" si="160"/>
        <v>160125.74688000002</v>
      </c>
      <c r="M2050">
        <f t="shared" si="159"/>
        <v>104068</v>
      </c>
    </row>
    <row r="2051" spans="1:13" x14ac:dyDescent="0.2">
      <c r="A2051">
        <v>103</v>
      </c>
      <c r="B2051">
        <v>69</v>
      </c>
      <c r="C2051">
        <v>172</v>
      </c>
      <c r="D2051" s="51" t="s">
        <v>67</v>
      </c>
      <c r="E2051">
        <f>VLOOKUP(M2051,'MASS - 2016'!$A$1:$G$3418,6,FALSE)</f>
        <v>-57374.379000000001</v>
      </c>
      <c r="F2051">
        <f>VLOOKUP(M2051,'MASS - 2016'!$A$1:$G$3418,7,FALSE)</f>
        <v>5.5030000000000001</v>
      </c>
      <c r="G2051">
        <f t="shared" si="161"/>
        <v>-57374.379000000001</v>
      </c>
      <c r="H2051">
        <f t="shared" si="157"/>
        <v>171.93840607106137</v>
      </c>
      <c r="I2051">
        <f t="shared" si="158"/>
        <v>160.159604113</v>
      </c>
      <c r="J2051">
        <f t="shared" si="160"/>
        <v>160124.34511300002</v>
      </c>
      <c r="M2051">
        <f t="shared" si="159"/>
        <v>103069</v>
      </c>
    </row>
    <row r="2052" spans="1:13" x14ac:dyDescent="0.2">
      <c r="A2052">
        <v>102</v>
      </c>
      <c r="B2052">
        <v>70</v>
      </c>
      <c r="C2052">
        <v>172</v>
      </c>
      <c r="D2052" s="51" t="s">
        <v>68</v>
      </c>
      <c r="E2052">
        <f>VLOOKUP(M2052,'MASS - 2016'!$A$1:$G$3418,6,FALSE)</f>
        <v>-59255.446000000004</v>
      </c>
      <c r="F2052">
        <f>VLOOKUP(M2052,'MASS - 2016'!$A$1:$G$3418,7,FALSE)</f>
        <v>1.4E-2</v>
      </c>
      <c r="G2052">
        <f t="shared" si="161"/>
        <v>-59255.446000000004</v>
      </c>
      <c r="H2052">
        <f t="shared" si="157"/>
        <v>171.93638666258764</v>
      </c>
      <c r="I2052">
        <f t="shared" si="158"/>
        <v>160.157723046</v>
      </c>
      <c r="J2052">
        <f t="shared" si="160"/>
        <v>160121.95304600001</v>
      </c>
      <c r="M2052">
        <f t="shared" si="159"/>
        <v>102070</v>
      </c>
    </row>
    <row r="2053" spans="1:13" x14ac:dyDescent="0.2">
      <c r="A2053">
        <v>101</v>
      </c>
      <c r="B2053">
        <v>71</v>
      </c>
      <c r="C2053">
        <v>172</v>
      </c>
      <c r="D2053" s="51" t="s">
        <v>69</v>
      </c>
      <c r="E2053">
        <f>VLOOKUP(M2053,'MASS - 2016'!$A$1:$G$3418,6,FALSE)</f>
        <v>-56735.98</v>
      </c>
      <c r="F2053">
        <f>VLOOKUP(M2053,'MASS - 2016'!$A$1:$G$3418,7,FALSE)</f>
        <v>2.3359999999999999</v>
      </c>
      <c r="G2053">
        <f t="shared" si="161"/>
        <v>-56735.98</v>
      </c>
      <c r="H2053">
        <f t="shared" si="157"/>
        <v>171.93909142057322</v>
      </c>
      <c r="I2053">
        <f t="shared" si="158"/>
        <v>160.160242512</v>
      </c>
      <c r="J2053">
        <f t="shared" si="160"/>
        <v>160123.96151200001</v>
      </c>
      <c r="M2053">
        <f t="shared" si="159"/>
        <v>101071</v>
      </c>
    </row>
    <row r="2054" spans="1:13" x14ac:dyDescent="0.2">
      <c r="A2054">
        <v>100</v>
      </c>
      <c r="B2054">
        <v>72</v>
      </c>
      <c r="C2054">
        <v>172</v>
      </c>
      <c r="D2054" s="51" t="s">
        <v>70</v>
      </c>
      <c r="E2054">
        <f>VLOOKUP(M2054,'MASS - 2016'!$A$1:$G$3418,6,FALSE)</f>
        <v>-56402.226000000002</v>
      </c>
      <c r="F2054">
        <f>VLOOKUP(M2054,'MASS - 2016'!$A$1:$G$3418,7,FALSE)</f>
        <v>24.428000000000001</v>
      </c>
      <c r="G2054">
        <f t="shared" si="161"/>
        <v>-56402.226000000002</v>
      </c>
      <c r="H2054">
        <f t="shared" si="157"/>
        <v>171.93944972022749</v>
      </c>
      <c r="I2054">
        <f t="shared" si="158"/>
        <v>160.16057626600002</v>
      </c>
      <c r="J2054">
        <f t="shared" si="160"/>
        <v>160123.78426600003</v>
      </c>
      <c r="M2054">
        <f t="shared" si="159"/>
        <v>100072</v>
      </c>
    </row>
    <row r="2055" spans="1:13" x14ac:dyDescent="0.2">
      <c r="A2055">
        <v>99</v>
      </c>
      <c r="B2055">
        <v>73</v>
      </c>
      <c r="C2055">
        <v>172</v>
      </c>
      <c r="D2055" s="51" t="s">
        <v>71</v>
      </c>
      <c r="E2055">
        <f>VLOOKUP(M2055,'MASS - 2016'!$A$1:$G$3418,6,FALSE)</f>
        <v>-51329.976999999999</v>
      </c>
      <c r="F2055">
        <f>VLOOKUP(M2055,'MASS - 2016'!$A$1:$G$3418,7,FALSE)</f>
        <v>27.945</v>
      </c>
      <c r="G2055">
        <f t="shared" si="161"/>
        <v>-51329.976999999999</v>
      </c>
      <c r="H2055">
        <f t="shared" si="157"/>
        <v>171.94489500346907</v>
      </c>
      <c r="I2055">
        <f t="shared" si="158"/>
        <v>160.16564851500002</v>
      </c>
      <c r="J2055">
        <f t="shared" si="160"/>
        <v>160128.34551499999</v>
      </c>
      <c r="M2055">
        <f t="shared" si="159"/>
        <v>99073</v>
      </c>
    </row>
    <row r="2056" spans="1:13" x14ac:dyDescent="0.2">
      <c r="A2056">
        <v>98</v>
      </c>
      <c r="B2056">
        <v>74</v>
      </c>
      <c r="C2056">
        <v>172</v>
      </c>
      <c r="D2056" s="51" t="s">
        <v>72</v>
      </c>
      <c r="E2056">
        <f>VLOOKUP(M2056,'MASS - 2016'!$A$1:$G$3418,6,FALSE)</f>
        <v>-49097.186000000002</v>
      </c>
      <c r="F2056">
        <f>VLOOKUP(M2056,'MASS - 2016'!$A$1:$G$3418,7,FALSE)</f>
        <v>27.945</v>
      </c>
      <c r="G2056">
        <f t="shared" si="161"/>
        <v>-49097.186000000002</v>
      </c>
      <c r="H2056">
        <f t="shared" si="157"/>
        <v>171.9472920031854</v>
      </c>
      <c r="I2056">
        <f t="shared" si="158"/>
        <v>160.167881306</v>
      </c>
      <c r="J2056">
        <f t="shared" si="160"/>
        <v>160130.06730599998</v>
      </c>
      <c r="M2056">
        <f t="shared" si="159"/>
        <v>98074</v>
      </c>
    </row>
    <row r="2057" spans="1:13" x14ac:dyDescent="0.2">
      <c r="A2057">
        <v>97</v>
      </c>
      <c r="B2057">
        <v>75</v>
      </c>
      <c r="C2057">
        <v>172</v>
      </c>
      <c r="D2057" s="51" t="s">
        <v>73</v>
      </c>
      <c r="E2057">
        <f>VLOOKUP(M2057,'MASS - 2016'!$A$1:$G$3418,6,FALSE)</f>
        <v>-41537.106</v>
      </c>
      <c r="F2057">
        <f>VLOOKUP(M2057,'MASS - 2016'!$A$1:$G$3418,7,FALSE)</f>
        <v>38.994999999999997</v>
      </c>
      <c r="G2057">
        <f t="shared" si="161"/>
        <v>-41537.106</v>
      </c>
      <c r="H2057">
        <f t="shared" ref="H2057:H2120" si="162">(C2057*$A$3+G2057/1000000)/$A$3</f>
        <v>171.95540808284341</v>
      </c>
      <c r="I2057">
        <f t="shared" ref="I2057:I2120" si="163">H2057*$A$3</f>
        <v>160.17544138600002</v>
      </c>
      <c r="J2057">
        <f t="shared" si="160"/>
        <v>160137.11638600001</v>
      </c>
      <c r="M2057">
        <f t="shared" ref="M2057:M2120" si="164">1000*A2057+B2057</f>
        <v>97075</v>
      </c>
    </row>
    <row r="2058" spans="1:13" x14ac:dyDescent="0.2">
      <c r="A2058">
        <v>96</v>
      </c>
      <c r="B2058">
        <v>76</v>
      </c>
      <c r="C2058">
        <v>172</v>
      </c>
      <c r="D2058" s="51" t="s">
        <v>74</v>
      </c>
      <c r="E2058">
        <f>VLOOKUP(M2058,'MASS - 2016'!$A$1:$G$3418,6,FALSE)</f>
        <v>-37243.841999999997</v>
      </c>
      <c r="F2058">
        <f>VLOOKUP(M2058,'MASS - 2016'!$A$1:$G$3418,7,FALSE)</f>
        <v>12.782</v>
      </c>
      <c r="G2058">
        <f t="shared" si="161"/>
        <v>-37243.841999999997</v>
      </c>
      <c r="H2058">
        <f t="shared" si="162"/>
        <v>171.96001709129524</v>
      </c>
      <c r="I2058">
        <f t="shared" si="163"/>
        <v>160.17973465</v>
      </c>
      <c r="J2058">
        <f t="shared" si="160"/>
        <v>160140.89864999999</v>
      </c>
      <c r="M2058">
        <f t="shared" si="164"/>
        <v>96076</v>
      </c>
    </row>
    <row r="2059" spans="1:13" x14ac:dyDescent="0.2">
      <c r="A2059">
        <v>95</v>
      </c>
      <c r="B2059">
        <v>77</v>
      </c>
      <c r="C2059">
        <v>172</v>
      </c>
      <c r="D2059" s="51" t="s">
        <v>75</v>
      </c>
      <c r="E2059">
        <f>VLOOKUP(M2059,'MASS - 2016'!$A$1:$G$3418,6,FALSE)</f>
        <v>-27379.368999999999</v>
      </c>
      <c r="F2059">
        <f>VLOOKUP(M2059,'MASS - 2016'!$A$1:$G$3418,7,FALSE)</f>
        <v>32.402000000000001</v>
      </c>
      <c r="G2059">
        <f t="shared" si="161"/>
        <v>-27379.368999999999</v>
      </c>
      <c r="H2059">
        <f t="shared" si="162"/>
        <v>171.97060703857781</v>
      </c>
      <c r="I2059">
        <f t="shared" si="163"/>
        <v>160.18959912300002</v>
      </c>
      <c r="J2059">
        <f t="shared" si="160"/>
        <v>160150.25212300001</v>
      </c>
      <c r="M2059">
        <f t="shared" si="164"/>
        <v>95077</v>
      </c>
    </row>
    <row r="2060" spans="1:13" x14ac:dyDescent="0.2">
      <c r="A2060">
        <v>94</v>
      </c>
      <c r="B2060">
        <v>78</v>
      </c>
      <c r="C2060">
        <v>172</v>
      </c>
      <c r="D2060" s="51" t="s">
        <v>76</v>
      </c>
      <c r="E2060">
        <f>VLOOKUP(M2060,'MASS - 2016'!$A$1:$G$3418,6,FALSE)</f>
        <v>-21106.92</v>
      </c>
      <c r="F2060">
        <f>VLOOKUP(M2060,'MASS - 2016'!$A$1:$G$3418,7,FALSE)</f>
        <v>10.377000000000001</v>
      </c>
      <c r="G2060">
        <f t="shared" si="161"/>
        <v>-21106.92</v>
      </c>
      <c r="H2060">
        <f t="shared" si="162"/>
        <v>171.97734078950828</v>
      </c>
      <c r="I2060">
        <f t="shared" si="163"/>
        <v>160.19587157200002</v>
      </c>
      <c r="J2060">
        <f t="shared" ref="J2060:J2123" si="165">1000*I2060-B2060*0.511</f>
        <v>160156.013572</v>
      </c>
      <c r="M2060">
        <f t="shared" si="164"/>
        <v>94078</v>
      </c>
    </row>
    <row r="2061" spans="1:13" x14ac:dyDescent="0.2">
      <c r="A2061">
        <v>93</v>
      </c>
      <c r="B2061">
        <v>79</v>
      </c>
      <c r="C2061">
        <v>172</v>
      </c>
      <c r="D2061" s="51" t="s">
        <v>77</v>
      </c>
      <c r="E2061">
        <f>VLOOKUP(M2061,'MASS - 2016'!$A$1:$G$3418,6,FALSE)</f>
        <v>-9318.0059999999994</v>
      </c>
      <c r="F2061">
        <f>VLOOKUP(M2061,'MASS - 2016'!$A$1:$G$3418,7,FALSE)</f>
        <v>56.158000000000001</v>
      </c>
      <c r="G2061">
        <f t="shared" si="161"/>
        <v>-9318.0059999999994</v>
      </c>
      <c r="H2061">
        <f t="shared" si="162"/>
        <v>171.98999670916851</v>
      </c>
      <c r="I2061">
        <f t="shared" si="163"/>
        <v>160.20766048600001</v>
      </c>
      <c r="J2061">
        <f t="shared" si="165"/>
        <v>160167.291486</v>
      </c>
      <c r="M2061">
        <f t="shared" si="164"/>
        <v>93079</v>
      </c>
    </row>
    <row r="2062" spans="1:13" x14ac:dyDescent="0.2">
      <c r="A2062">
        <v>107</v>
      </c>
      <c r="B2062">
        <v>66</v>
      </c>
      <c r="C2062">
        <v>173</v>
      </c>
      <c r="D2062" s="51" t="s">
        <v>64</v>
      </c>
      <c r="E2062" t="str">
        <f>VLOOKUP(M2062,'MASS - 2016'!$A$1:$G$3418,6,FALSE)</f>
        <v>-43939#</v>
      </c>
      <c r="F2062" t="str">
        <f>VLOOKUP(M2062,'MASS - 2016'!$A$1:$G$3418,7,FALSE)</f>
        <v>401#</v>
      </c>
      <c r="G2062">
        <f t="shared" si="161"/>
        <v>-43939.01</v>
      </c>
      <c r="H2062">
        <f t="shared" si="162"/>
        <v>172.95282953285519</v>
      </c>
      <c r="I2062">
        <f t="shared" si="163"/>
        <v>161.104533543</v>
      </c>
      <c r="J2062">
        <f t="shared" si="165"/>
        <v>161070.807543</v>
      </c>
      <c r="M2062">
        <f t="shared" si="164"/>
        <v>107066</v>
      </c>
    </row>
    <row r="2063" spans="1:13" x14ac:dyDescent="0.2">
      <c r="A2063">
        <v>106</v>
      </c>
      <c r="B2063">
        <v>67</v>
      </c>
      <c r="C2063">
        <v>173</v>
      </c>
      <c r="D2063" s="51" t="s">
        <v>65</v>
      </c>
      <c r="E2063" t="str">
        <f>VLOOKUP(M2063,'MASS - 2016'!$A$1:$G$3418,6,FALSE)</f>
        <v>-49351#</v>
      </c>
      <c r="F2063" t="str">
        <f>VLOOKUP(M2063,'MASS - 2016'!$A$1:$G$3418,7,FALSE)</f>
        <v>298#</v>
      </c>
      <c r="G2063">
        <f t="shared" ref="G2063:G2126" si="166">IF(ISNUMBER(E2063),E2063,VALUE(SUBSTITUTE(E2063,"#",".01")))</f>
        <v>-49351.01</v>
      </c>
      <c r="H2063">
        <f t="shared" si="162"/>
        <v>172.94701951191507</v>
      </c>
      <c r="I2063">
        <f t="shared" si="163"/>
        <v>161.099121543</v>
      </c>
      <c r="J2063">
        <f t="shared" si="165"/>
        <v>161064.88454299999</v>
      </c>
      <c r="M2063">
        <f t="shared" si="164"/>
        <v>106067</v>
      </c>
    </row>
    <row r="2064" spans="1:13" x14ac:dyDescent="0.2">
      <c r="A2064">
        <v>105</v>
      </c>
      <c r="B2064">
        <v>68</v>
      </c>
      <c r="C2064">
        <v>173</v>
      </c>
      <c r="D2064" s="51" t="s">
        <v>66</v>
      </c>
      <c r="E2064" t="str">
        <f>VLOOKUP(M2064,'MASS - 2016'!$A$1:$G$3418,6,FALSE)</f>
        <v>-53654#</v>
      </c>
      <c r="F2064" t="str">
        <f>VLOOKUP(M2064,'MASS - 2016'!$A$1:$G$3418,7,FALSE)</f>
        <v>196#</v>
      </c>
      <c r="G2064">
        <f t="shared" si="166"/>
        <v>-53654.01</v>
      </c>
      <c r="H2064">
        <f t="shared" si="162"/>
        <v>172.94240005143737</v>
      </c>
      <c r="I2064">
        <f t="shared" si="163"/>
        <v>161.094818543</v>
      </c>
      <c r="J2064">
        <f t="shared" si="165"/>
        <v>161060.07054300001</v>
      </c>
      <c r="M2064">
        <f t="shared" si="164"/>
        <v>105068</v>
      </c>
    </row>
    <row r="2065" spans="1:13" x14ac:dyDescent="0.2">
      <c r="A2065">
        <v>104</v>
      </c>
      <c r="B2065">
        <v>69</v>
      </c>
      <c r="C2065">
        <v>173</v>
      </c>
      <c r="D2065" s="51" t="s">
        <v>67</v>
      </c>
      <c r="E2065">
        <f>VLOOKUP(M2065,'MASS - 2016'!$A$1:$G$3418,6,FALSE)</f>
        <v>-56256.059000000001</v>
      </c>
      <c r="F2065">
        <f>VLOOKUP(M2065,'MASS - 2016'!$A$1:$G$3418,7,FALSE)</f>
        <v>4.4000000000000004</v>
      </c>
      <c r="G2065">
        <f t="shared" si="166"/>
        <v>-56256.059000000001</v>
      </c>
      <c r="H2065">
        <f t="shared" si="162"/>
        <v>172.93960663695526</v>
      </c>
      <c r="I2065">
        <f t="shared" si="163"/>
        <v>161.09221649400001</v>
      </c>
      <c r="J2065">
        <f t="shared" si="165"/>
        <v>161056.95749400003</v>
      </c>
      <c r="M2065">
        <f t="shared" si="164"/>
        <v>104069</v>
      </c>
    </row>
    <row r="2066" spans="1:13" x14ac:dyDescent="0.2">
      <c r="A2066">
        <v>103</v>
      </c>
      <c r="B2066">
        <v>70</v>
      </c>
      <c r="C2066">
        <v>173</v>
      </c>
      <c r="D2066" s="51" t="s">
        <v>68</v>
      </c>
      <c r="E2066">
        <f>VLOOKUP(M2066,'MASS - 2016'!$A$1:$G$3418,6,FALSE)</f>
        <v>-57551.224999999999</v>
      </c>
      <c r="F2066">
        <f>VLOOKUP(M2066,'MASS - 2016'!$A$1:$G$3418,7,FALSE)</f>
        <v>1.0999999999999999E-2</v>
      </c>
      <c r="G2066">
        <f t="shared" si="166"/>
        <v>-57551.224999999999</v>
      </c>
      <c r="H2066">
        <f t="shared" si="162"/>
        <v>172.93821621907261</v>
      </c>
      <c r="I2066">
        <f t="shared" si="163"/>
        <v>161.09092132800001</v>
      </c>
      <c r="J2066">
        <f t="shared" si="165"/>
        <v>161055.15132800001</v>
      </c>
      <c r="M2066">
        <f t="shared" si="164"/>
        <v>103070</v>
      </c>
    </row>
    <row r="2067" spans="1:13" x14ac:dyDescent="0.2">
      <c r="A2067">
        <v>102</v>
      </c>
      <c r="B2067">
        <v>71</v>
      </c>
      <c r="C2067">
        <v>173</v>
      </c>
      <c r="D2067" s="51" t="s">
        <v>69</v>
      </c>
      <c r="E2067">
        <f>VLOOKUP(M2067,'MASS - 2016'!$A$1:$G$3418,6,FALSE)</f>
        <v>-56880.915999999997</v>
      </c>
      <c r="F2067">
        <f>VLOOKUP(M2067,'MASS - 2016'!$A$1:$G$3418,7,FALSE)</f>
        <v>1.5669999999999999</v>
      </c>
      <c r="G2067">
        <f t="shared" si="166"/>
        <v>-56880.915999999997</v>
      </c>
      <c r="H2067">
        <f t="shared" si="162"/>
        <v>172.93893582537828</v>
      </c>
      <c r="I2067">
        <f t="shared" si="163"/>
        <v>161.09159163699999</v>
      </c>
      <c r="J2067">
        <f t="shared" si="165"/>
        <v>161055.31063700002</v>
      </c>
      <c r="M2067">
        <f t="shared" si="164"/>
        <v>102071</v>
      </c>
    </row>
    <row r="2068" spans="1:13" x14ac:dyDescent="0.2">
      <c r="A2068">
        <v>101</v>
      </c>
      <c r="B2068">
        <v>72</v>
      </c>
      <c r="C2068">
        <v>173</v>
      </c>
      <c r="D2068" s="51" t="s">
        <v>70</v>
      </c>
      <c r="E2068">
        <f>VLOOKUP(M2068,'MASS - 2016'!$A$1:$G$3418,6,FALSE)</f>
        <v>-55411.784</v>
      </c>
      <c r="F2068">
        <f>VLOOKUP(M2068,'MASS - 2016'!$A$1:$G$3418,7,FALSE)</f>
        <v>27.945</v>
      </c>
      <c r="G2068">
        <f t="shared" si="166"/>
        <v>-55411.784</v>
      </c>
      <c r="H2068">
        <f t="shared" si="162"/>
        <v>172.94051300344256</v>
      </c>
      <c r="I2068">
        <f t="shared" si="163"/>
        <v>161.093060769</v>
      </c>
      <c r="J2068">
        <f t="shared" si="165"/>
        <v>161056.26876900002</v>
      </c>
      <c r="M2068">
        <f t="shared" si="164"/>
        <v>101072</v>
      </c>
    </row>
    <row r="2069" spans="1:13" x14ac:dyDescent="0.2">
      <c r="A2069">
        <v>100</v>
      </c>
      <c r="B2069">
        <v>73</v>
      </c>
      <c r="C2069">
        <v>173</v>
      </c>
      <c r="D2069" s="51" t="s">
        <v>71</v>
      </c>
      <c r="E2069">
        <f>VLOOKUP(M2069,'MASS - 2016'!$A$1:$G$3418,6,FALSE)</f>
        <v>-52396.538</v>
      </c>
      <c r="F2069">
        <f>VLOOKUP(M2069,'MASS - 2016'!$A$1:$G$3418,7,FALSE)</f>
        <v>27.945</v>
      </c>
      <c r="G2069">
        <f t="shared" si="166"/>
        <v>-52396.538</v>
      </c>
      <c r="H2069">
        <f t="shared" si="162"/>
        <v>172.94375000314682</v>
      </c>
      <c r="I2069">
        <f t="shared" si="163"/>
        <v>161.09607601499999</v>
      </c>
      <c r="J2069">
        <f t="shared" si="165"/>
        <v>161058.77301499998</v>
      </c>
      <c r="M2069">
        <f t="shared" si="164"/>
        <v>100073</v>
      </c>
    </row>
    <row r="2070" spans="1:13" x14ac:dyDescent="0.2">
      <c r="A2070">
        <v>99</v>
      </c>
      <c r="B2070">
        <v>74</v>
      </c>
      <c r="C2070">
        <v>173</v>
      </c>
      <c r="D2070" s="51" t="s">
        <v>72</v>
      </c>
      <c r="E2070">
        <f>VLOOKUP(M2070,'MASS - 2016'!$A$1:$G$3418,6,FALSE)</f>
        <v>-48727.383000000002</v>
      </c>
      <c r="F2070">
        <f>VLOOKUP(M2070,'MASS - 2016'!$A$1:$G$3418,7,FALSE)</f>
        <v>27.945</v>
      </c>
      <c r="G2070">
        <f t="shared" si="166"/>
        <v>-48727.383000000002</v>
      </c>
      <c r="H2070">
        <f t="shared" si="162"/>
        <v>172.94768900303274</v>
      </c>
      <c r="I2070">
        <f t="shared" si="163"/>
        <v>161.09974517000001</v>
      </c>
      <c r="J2070">
        <f t="shared" si="165"/>
        <v>161061.93117</v>
      </c>
      <c r="M2070">
        <f t="shared" si="164"/>
        <v>99074</v>
      </c>
    </row>
    <row r="2071" spans="1:13" x14ac:dyDescent="0.2">
      <c r="A2071">
        <v>98</v>
      </c>
      <c r="B2071">
        <v>75</v>
      </c>
      <c r="C2071">
        <v>173</v>
      </c>
      <c r="D2071" s="51" t="s">
        <v>73</v>
      </c>
      <c r="E2071">
        <f>VLOOKUP(M2071,'MASS - 2016'!$A$1:$G$3418,6,FALSE)</f>
        <v>-43553.864999999998</v>
      </c>
      <c r="F2071">
        <f>VLOOKUP(M2071,'MASS - 2016'!$A$1:$G$3418,7,FALSE)</f>
        <v>27.945</v>
      </c>
      <c r="G2071">
        <f t="shared" si="166"/>
        <v>-43553.864999999998</v>
      </c>
      <c r="H2071">
        <f t="shared" si="162"/>
        <v>172.95324300301684</v>
      </c>
      <c r="I2071">
        <f t="shared" si="163"/>
        <v>161.104918688</v>
      </c>
      <c r="J2071">
        <f t="shared" si="165"/>
        <v>161066.59368799999</v>
      </c>
      <c r="M2071">
        <f t="shared" si="164"/>
        <v>98075</v>
      </c>
    </row>
    <row r="2072" spans="1:13" x14ac:dyDescent="0.2">
      <c r="A2072">
        <v>97</v>
      </c>
      <c r="B2072">
        <v>76</v>
      </c>
      <c r="C2072">
        <v>173</v>
      </c>
      <c r="D2072" s="51" t="s">
        <v>74</v>
      </c>
      <c r="E2072">
        <f>VLOOKUP(M2072,'MASS - 2016'!$A$1:$G$3418,6,FALSE)</f>
        <v>-37438.256999999998</v>
      </c>
      <c r="F2072">
        <f>VLOOKUP(M2072,'MASS - 2016'!$A$1:$G$3418,7,FALSE)</f>
        <v>14.959</v>
      </c>
      <c r="G2072">
        <f t="shared" si="166"/>
        <v>-37438.256999999998</v>
      </c>
      <c r="H2072">
        <f t="shared" si="162"/>
        <v>172.95980837820932</v>
      </c>
      <c r="I2072">
        <f t="shared" si="163"/>
        <v>161.11103429600001</v>
      </c>
      <c r="J2072">
        <f t="shared" si="165"/>
        <v>161072.19829600002</v>
      </c>
      <c r="M2072">
        <f t="shared" si="164"/>
        <v>97076</v>
      </c>
    </row>
    <row r="2073" spans="1:13" x14ac:dyDescent="0.2">
      <c r="A2073">
        <v>96</v>
      </c>
      <c r="B2073">
        <v>77</v>
      </c>
      <c r="C2073">
        <v>173</v>
      </c>
      <c r="D2073" s="51" t="s">
        <v>75</v>
      </c>
      <c r="E2073">
        <f>VLOOKUP(M2073,'MASS - 2016'!$A$1:$G$3418,6,FALSE)</f>
        <v>-30268.435000000001</v>
      </c>
      <c r="F2073">
        <f>VLOOKUP(M2073,'MASS - 2016'!$A$1:$G$3418,7,FALSE)</f>
        <v>11.026</v>
      </c>
      <c r="G2073">
        <f t="shared" si="166"/>
        <v>-30268.435000000001</v>
      </c>
      <c r="H2073">
        <f t="shared" si="162"/>
        <v>172.96750549867434</v>
      </c>
      <c r="I2073">
        <f t="shared" si="163"/>
        <v>161.11820411799999</v>
      </c>
      <c r="J2073">
        <f t="shared" si="165"/>
        <v>161078.85711799999</v>
      </c>
      <c r="M2073">
        <f t="shared" si="164"/>
        <v>96077</v>
      </c>
    </row>
    <row r="2074" spans="1:13" x14ac:dyDescent="0.2">
      <c r="A2074">
        <v>95</v>
      </c>
      <c r="B2074">
        <v>78</v>
      </c>
      <c r="C2074">
        <v>173</v>
      </c>
      <c r="D2074" s="51" t="s">
        <v>76</v>
      </c>
      <c r="E2074">
        <f>VLOOKUP(M2074,'MASS - 2016'!$A$1:$G$3418,6,FALSE)</f>
        <v>-21942.911</v>
      </c>
      <c r="F2074">
        <f>VLOOKUP(M2074,'MASS - 2016'!$A$1:$G$3418,7,FALSE)</f>
        <v>55.976999999999997</v>
      </c>
      <c r="G2074">
        <f t="shared" si="166"/>
        <v>-21942.911</v>
      </c>
      <c r="H2074">
        <f t="shared" si="162"/>
        <v>172.97644331626071</v>
      </c>
      <c r="I2074">
        <f t="shared" si="163"/>
        <v>161.12652964200001</v>
      </c>
      <c r="J2074">
        <f t="shared" si="165"/>
        <v>161086.671642</v>
      </c>
      <c r="M2074">
        <f t="shared" si="164"/>
        <v>95078</v>
      </c>
    </row>
    <row r="2075" spans="1:13" x14ac:dyDescent="0.2">
      <c r="A2075">
        <v>94</v>
      </c>
      <c r="B2075">
        <v>79</v>
      </c>
      <c r="C2075">
        <v>173</v>
      </c>
      <c r="D2075" s="51" t="s">
        <v>77</v>
      </c>
      <c r="E2075">
        <f>VLOOKUP(M2075,'MASS - 2016'!$A$1:$G$3418,6,FALSE)</f>
        <v>-12832.44</v>
      </c>
      <c r="F2075">
        <f>VLOOKUP(M2075,'MASS - 2016'!$A$1:$G$3418,7,FALSE)</f>
        <v>22.783999999999999</v>
      </c>
      <c r="G2075">
        <f t="shared" si="166"/>
        <v>-12832.44</v>
      </c>
      <c r="H2075">
        <f t="shared" si="162"/>
        <v>172.98622380910703</v>
      </c>
      <c r="I2075">
        <f t="shared" si="163"/>
        <v>161.13564011299999</v>
      </c>
      <c r="J2075">
        <f t="shared" si="165"/>
        <v>161095.271113</v>
      </c>
      <c r="M2075">
        <f t="shared" si="164"/>
        <v>94079</v>
      </c>
    </row>
    <row r="2076" spans="1:13" x14ac:dyDescent="0.2">
      <c r="A2076">
        <v>107</v>
      </c>
      <c r="B2076">
        <v>67</v>
      </c>
      <c r="C2076">
        <v>174</v>
      </c>
      <c r="D2076" s="51" t="s">
        <v>65</v>
      </c>
      <c r="E2076" t="str">
        <f>VLOOKUP(M2076,'MASS - 2016'!$A$1:$G$3418,6,FALSE)</f>
        <v>-45690#</v>
      </c>
      <c r="F2076" t="str">
        <f>VLOOKUP(M2076,'MASS - 2016'!$A$1:$G$3418,7,FALSE)</f>
        <v>298#</v>
      </c>
      <c r="G2076">
        <f t="shared" si="166"/>
        <v>-45690.01</v>
      </c>
      <c r="H2076">
        <f t="shared" si="162"/>
        <v>173.95094975704845</v>
      </c>
      <c r="I2076">
        <f t="shared" si="163"/>
        <v>162.03427660400001</v>
      </c>
      <c r="J2076">
        <f t="shared" si="165"/>
        <v>162000.03960400002</v>
      </c>
      <c r="M2076">
        <f t="shared" si="164"/>
        <v>107067</v>
      </c>
    </row>
    <row r="2077" spans="1:13" x14ac:dyDescent="0.2">
      <c r="A2077">
        <v>106</v>
      </c>
      <c r="B2077">
        <v>68</v>
      </c>
      <c r="C2077">
        <v>174</v>
      </c>
      <c r="D2077" s="51" t="s">
        <v>66</v>
      </c>
      <c r="E2077" t="str">
        <f>VLOOKUP(M2077,'MASS - 2016'!$A$1:$G$3418,6,FALSE)</f>
        <v>-51949#</v>
      </c>
      <c r="F2077" t="str">
        <f>VLOOKUP(M2077,'MASS - 2016'!$A$1:$G$3418,7,FALSE)</f>
        <v>298#</v>
      </c>
      <c r="G2077">
        <f t="shared" si="166"/>
        <v>-51949.01</v>
      </c>
      <c r="H2077">
        <f t="shared" si="162"/>
        <v>173.94423044421322</v>
      </c>
      <c r="I2077">
        <f t="shared" si="163"/>
        <v>162.02801760400001</v>
      </c>
      <c r="J2077">
        <f t="shared" si="165"/>
        <v>161993.26960400003</v>
      </c>
      <c r="M2077">
        <f t="shared" si="164"/>
        <v>106068</v>
      </c>
    </row>
    <row r="2078" spans="1:13" x14ac:dyDescent="0.2">
      <c r="A2078">
        <v>105</v>
      </c>
      <c r="B2078">
        <v>69</v>
      </c>
      <c r="C2078">
        <v>174</v>
      </c>
      <c r="D2078" s="51" t="s">
        <v>67</v>
      </c>
      <c r="E2078">
        <f>VLOOKUP(M2078,'MASS - 2016'!$A$1:$G$3418,6,FALSE)</f>
        <v>-53864.512000000002</v>
      </c>
      <c r="F2078">
        <f>VLOOKUP(M2078,'MASS - 2016'!$A$1:$G$3418,7,FALSE)</f>
        <v>44.720999999999997</v>
      </c>
      <c r="G2078">
        <f t="shared" si="166"/>
        <v>-53864.512000000002</v>
      </c>
      <c r="H2078">
        <f t="shared" si="162"/>
        <v>173.94217406824671</v>
      </c>
      <c r="I2078">
        <f t="shared" si="163"/>
        <v>162.02610210200001</v>
      </c>
      <c r="J2078">
        <f t="shared" si="165"/>
        <v>161990.84310200001</v>
      </c>
      <c r="M2078">
        <f t="shared" si="164"/>
        <v>105069</v>
      </c>
    </row>
    <row r="2079" spans="1:13" x14ac:dyDescent="0.2">
      <c r="A2079">
        <v>104</v>
      </c>
      <c r="B2079">
        <v>70</v>
      </c>
      <c r="C2079">
        <v>174</v>
      </c>
      <c r="D2079" s="51" t="s">
        <v>68</v>
      </c>
      <c r="E2079">
        <f>VLOOKUP(M2079,'MASS - 2016'!$A$1:$G$3418,6,FALSE)</f>
        <v>-56944.512000000002</v>
      </c>
      <c r="F2079">
        <f>VLOOKUP(M2079,'MASS - 2016'!$A$1:$G$3418,7,FALSE)</f>
        <v>1.0999999999999999E-2</v>
      </c>
      <c r="G2079">
        <f t="shared" si="166"/>
        <v>-56944.512000000002</v>
      </c>
      <c r="H2079">
        <f t="shared" si="162"/>
        <v>173.93886755226453</v>
      </c>
      <c r="I2079">
        <f t="shared" si="163"/>
        <v>162.023022102</v>
      </c>
      <c r="J2079">
        <f t="shared" si="165"/>
        <v>161987.252102</v>
      </c>
      <c r="M2079">
        <f t="shared" si="164"/>
        <v>104070</v>
      </c>
    </row>
    <row r="2080" spans="1:13" x14ac:dyDescent="0.2">
      <c r="A2080">
        <v>103</v>
      </c>
      <c r="B2080">
        <v>71</v>
      </c>
      <c r="C2080">
        <v>174</v>
      </c>
      <c r="D2080" s="51" t="s">
        <v>69</v>
      </c>
      <c r="E2080">
        <f>VLOOKUP(M2080,'MASS - 2016'!$A$1:$G$3418,6,FALSE)</f>
        <v>-55570.195</v>
      </c>
      <c r="F2080">
        <f>VLOOKUP(M2080,'MASS - 2016'!$A$1:$G$3418,7,FALSE)</f>
        <v>1.5669999999999999</v>
      </c>
      <c r="G2080">
        <f t="shared" si="166"/>
        <v>-55570.195</v>
      </c>
      <c r="H2080">
        <f t="shared" si="162"/>
        <v>173.94034294224019</v>
      </c>
      <c r="I2080">
        <f t="shared" si="163"/>
        <v>162.024396419</v>
      </c>
      <c r="J2080">
        <f t="shared" si="165"/>
        <v>161988.11541900001</v>
      </c>
      <c r="M2080">
        <f t="shared" si="164"/>
        <v>103071</v>
      </c>
    </row>
    <row r="2081" spans="1:13" x14ac:dyDescent="0.2">
      <c r="A2081">
        <v>102</v>
      </c>
      <c r="B2081">
        <v>72</v>
      </c>
      <c r="C2081">
        <v>174</v>
      </c>
      <c r="D2081" s="51" t="s">
        <v>70</v>
      </c>
      <c r="E2081">
        <f>VLOOKUP(M2081,'MASS - 2016'!$A$1:$G$3418,6,FALSE)</f>
        <v>-55844.481</v>
      </c>
      <c r="F2081">
        <f>VLOOKUP(M2081,'MASS - 2016'!$A$1:$G$3418,7,FALSE)</f>
        <v>2.2589999999999999</v>
      </c>
      <c r="G2081">
        <f t="shared" si="166"/>
        <v>-55844.481</v>
      </c>
      <c r="H2081">
        <f t="shared" si="162"/>
        <v>173.94004848410944</v>
      </c>
      <c r="I2081">
        <f t="shared" si="163"/>
        <v>162.02412213299999</v>
      </c>
      <c r="J2081">
        <f t="shared" si="165"/>
        <v>161987.33013300001</v>
      </c>
      <c r="M2081">
        <f t="shared" si="164"/>
        <v>102072</v>
      </c>
    </row>
    <row r="2082" spans="1:13" x14ac:dyDescent="0.2">
      <c r="A2082">
        <v>101</v>
      </c>
      <c r="B2082">
        <v>73</v>
      </c>
      <c r="C2082">
        <v>174</v>
      </c>
      <c r="D2082" s="51" t="s">
        <v>71</v>
      </c>
      <c r="E2082">
        <f>VLOOKUP(M2082,'MASS - 2016'!$A$1:$G$3418,6,FALSE)</f>
        <v>-51740.766000000003</v>
      </c>
      <c r="F2082">
        <f>VLOOKUP(M2082,'MASS - 2016'!$A$1:$G$3418,7,FALSE)</f>
        <v>27.945</v>
      </c>
      <c r="G2082">
        <f t="shared" si="166"/>
        <v>-51740.766000000003</v>
      </c>
      <c r="H2082">
        <f t="shared" si="162"/>
        <v>173.94445400334121</v>
      </c>
      <c r="I2082">
        <f t="shared" si="163"/>
        <v>162.02822584800001</v>
      </c>
      <c r="J2082">
        <f t="shared" si="165"/>
        <v>161990.92284799999</v>
      </c>
      <c r="M2082">
        <f t="shared" si="164"/>
        <v>101073</v>
      </c>
    </row>
    <row r="2083" spans="1:13" x14ac:dyDescent="0.2">
      <c r="A2083">
        <v>100</v>
      </c>
      <c r="B2083">
        <v>74</v>
      </c>
      <c r="C2083">
        <v>174</v>
      </c>
      <c r="D2083" s="51" t="s">
        <v>72</v>
      </c>
      <c r="E2083">
        <f>VLOOKUP(M2083,'MASS - 2016'!$A$1:$G$3418,6,FALSE)</f>
        <v>-50227.088000000003</v>
      </c>
      <c r="F2083">
        <f>VLOOKUP(M2083,'MASS - 2016'!$A$1:$G$3418,7,FALSE)</f>
        <v>27.945</v>
      </c>
      <c r="G2083">
        <f t="shared" si="166"/>
        <v>-50227.088000000003</v>
      </c>
      <c r="H2083">
        <f t="shared" si="162"/>
        <v>173.94607900350314</v>
      </c>
      <c r="I2083">
        <f t="shared" si="163"/>
        <v>162.02973952599999</v>
      </c>
      <c r="J2083">
        <f t="shared" si="165"/>
        <v>161991.92552599998</v>
      </c>
      <c r="M2083">
        <f t="shared" si="164"/>
        <v>100074</v>
      </c>
    </row>
    <row r="2084" spans="1:13" x14ac:dyDescent="0.2">
      <c r="A2084">
        <v>99</v>
      </c>
      <c r="B2084">
        <v>75</v>
      </c>
      <c r="C2084">
        <v>174</v>
      </c>
      <c r="D2084" s="51" t="s">
        <v>73</v>
      </c>
      <c r="E2084">
        <f>VLOOKUP(M2084,'MASS - 2016'!$A$1:$G$3418,6,FALSE)</f>
        <v>-43673.095999999998</v>
      </c>
      <c r="F2084">
        <f>VLOOKUP(M2084,'MASS - 2016'!$A$1:$G$3418,7,FALSE)</f>
        <v>27.945</v>
      </c>
      <c r="G2084">
        <f t="shared" si="166"/>
        <v>-43673.095999999998</v>
      </c>
      <c r="H2084">
        <f t="shared" si="162"/>
        <v>173.95311500327429</v>
      </c>
      <c r="I2084">
        <f t="shared" si="163"/>
        <v>162.03629351800001</v>
      </c>
      <c r="J2084">
        <f t="shared" si="165"/>
        <v>161997.96851800001</v>
      </c>
      <c r="M2084">
        <f t="shared" si="164"/>
        <v>99075</v>
      </c>
    </row>
    <row r="2085" spans="1:13" x14ac:dyDescent="0.2">
      <c r="A2085">
        <v>98</v>
      </c>
      <c r="B2085">
        <v>76</v>
      </c>
      <c r="C2085">
        <v>174</v>
      </c>
      <c r="D2085" s="51" t="s">
        <v>74</v>
      </c>
      <c r="E2085">
        <f>VLOOKUP(M2085,'MASS - 2016'!$A$1:$G$3418,6,FALSE)</f>
        <v>-39995.415999999997</v>
      </c>
      <c r="F2085">
        <f>VLOOKUP(M2085,'MASS - 2016'!$A$1:$G$3418,7,FALSE)</f>
        <v>10.254</v>
      </c>
      <c r="G2085">
        <f t="shared" si="166"/>
        <v>-39995.415999999997</v>
      </c>
      <c r="H2085">
        <f t="shared" si="162"/>
        <v>173.95706315512408</v>
      </c>
      <c r="I2085">
        <f t="shared" si="163"/>
        <v>162.03997119799999</v>
      </c>
      <c r="J2085">
        <f t="shared" si="165"/>
        <v>162001.13519799997</v>
      </c>
      <c r="M2085">
        <f t="shared" si="164"/>
        <v>98076</v>
      </c>
    </row>
    <row r="2086" spans="1:13" x14ac:dyDescent="0.2">
      <c r="A2086">
        <v>97</v>
      </c>
      <c r="B2086">
        <v>77</v>
      </c>
      <c r="C2086">
        <v>174</v>
      </c>
      <c r="D2086" s="51" t="s">
        <v>75</v>
      </c>
      <c r="E2086">
        <f>VLOOKUP(M2086,'MASS - 2016'!$A$1:$G$3418,6,FALSE)</f>
        <v>-30863.491999999998</v>
      </c>
      <c r="F2086">
        <f>VLOOKUP(M2086,'MASS - 2016'!$A$1:$G$3418,7,FALSE)</f>
        <v>24.321999999999999</v>
      </c>
      <c r="G2086">
        <f t="shared" si="166"/>
        <v>-30863.491999999998</v>
      </c>
      <c r="H2086">
        <f t="shared" si="162"/>
        <v>173.96686667871305</v>
      </c>
      <c r="I2086">
        <f t="shared" si="163"/>
        <v>162.04910312199999</v>
      </c>
      <c r="J2086">
        <f t="shared" si="165"/>
        <v>162009.75612199999</v>
      </c>
      <c r="M2086">
        <f t="shared" si="164"/>
        <v>97077</v>
      </c>
    </row>
    <row r="2087" spans="1:13" x14ac:dyDescent="0.2">
      <c r="A2087">
        <v>96</v>
      </c>
      <c r="B2087">
        <v>78</v>
      </c>
      <c r="C2087">
        <v>174</v>
      </c>
      <c r="D2087" s="51" t="s">
        <v>76</v>
      </c>
      <c r="E2087">
        <f>VLOOKUP(M2087,'MASS - 2016'!$A$1:$G$3418,6,FALSE)</f>
        <v>-25318.163</v>
      </c>
      <c r="F2087">
        <f>VLOOKUP(M2087,'MASS - 2016'!$A$1:$G$3418,7,FALSE)</f>
        <v>10.351000000000001</v>
      </c>
      <c r="G2087">
        <f t="shared" si="166"/>
        <v>-25318.163</v>
      </c>
      <c r="H2087">
        <f t="shared" si="162"/>
        <v>173.97281983422113</v>
      </c>
      <c r="I2087">
        <f t="shared" si="163"/>
        <v>162.05464845099999</v>
      </c>
      <c r="J2087">
        <f t="shared" si="165"/>
        <v>162014.79045099998</v>
      </c>
      <c r="M2087">
        <f t="shared" si="164"/>
        <v>96078</v>
      </c>
    </row>
    <row r="2088" spans="1:13" x14ac:dyDescent="0.2">
      <c r="A2088">
        <v>95</v>
      </c>
      <c r="B2088">
        <v>79</v>
      </c>
      <c r="C2088">
        <v>174</v>
      </c>
      <c r="D2088" s="51" t="s">
        <v>77</v>
      </c>
      <c r="E2088" t="str">
        <f>VLOOKUP(M2088,'MASS - 2016'!$A$1:$G$3418,6,FALSE)</f>
        <v>-14235#</v>
      </c>
      <c r="F2088" t="str">
        <f>VLOOKUP(M2088,'MASS - 2016'!$A$1:$G$3418,7,FALSE)</f>
        <v>89#</v>
      </c>
      <c r="G2088">
        <f t="shared" si="166"/>
        <v>-14235.01</v>
      </c>
      <c r="H2088">
        <f t="shared" si="162"/>
        <v>173.9847180882885</v>
      </c>
      <c r="I2088">
        <f t="shared" si="163"/>
        <v>162.06573160400001</v>
      </c>
      <c r="J2088">
        <f t="shared" si="165"/>
        <v>162025.36260399999</v>
      </c>
      <c r="M2088">
        <f t="shared" si="164"/>
        <v>95079</v>
      </c>
    </row>
    <row r="2089" spans="1:13" x14ac:dyDescent="0.2">
      <c r="A2089">
        <v>108</v>
      </c>
      <c r="B2089">
        <v>67</v>
      </c>
      <c r="C2089">
        <v>175</v>
      </c>
      <c r="D2089" s="51" t="s">
        <v>65</v>
      </c>
      <c r="E2089" t="str">
        <f>VLOOKUP(M2089,'MASS - 2016'!$A$1:$G$3418,6,FALSE)</f>
        <v>-43203#</v>
      </c>
      <c r="F2089" t="str">
        <f>VLOOKUP(M2089,'MASS - 2016'!$A$1:$G$3418,7,FALSE)</f>
        <v>401#</v>
      </c>
      <c r="G2089">
        <f t="shared" si="166"/>
        <v>-43203.01</v>
      </c>
      <c r="H2089">
        <f t="shared" si="162"/>
        <v>174.95361966134959</v>
      </c>
      <c r="I2089">
        <f t="shared" si="163"/>
        <v>162.96825766499998</v>
      </c>
      <c r="J2089">
        <f t="shared" si="165"/>
        <v>162934.02066499999</v>
      </c>
      <c r="M2089">
        <f t="shared" si="164"/>
        <v>108067</v>
      </c>
    </row>
    <row r="2090" spans="1:13" x14ac:dyDescent="0.2">
      <c r="A2090">
        <v>107</v>
      </c>
      <c r="B2090">
        <v>68</v>
      </c>
      <c r="C2090">
        <v>175</v>
      </c>
      <c r="D2090" s="51" t="s">
        <v>66</v>
      </c>
      <c r="E2090" t="str">
        <f>VLOOKUP(M2090,'MASS - 2016'!$A$1:$G$3418,6,FALSE)</f>
        <v>-48652#</v>
      </c>
      <c r="F2090" t="str">
        <f>VLOOKUP(M2090,'MASS - 2016'!$A$1:$G$3418,7,FALSE)</f>
        <v>401#</v>
      </c>
      <c r="G2090">
        <f t="shared" si="166"/>
        <v>-48652.01</v>
      </c>
      <c r="H2090">
        <f t="shared" si="162"/>
        <v>174.94776991927594</v>
      </c>
      <c r="I2090">
        <f t="shared" si="163"/>
        <v>162.96280866499998</v>
      </c>
      <c r="J2090">
        <f t="shared" si="165"/>
        <v>162928.060665</v>
      </c>
      <c r="M2090">
        <f t="shared" si="164"/>
        <v>107068</v>
      </c>
    </row>
    <row r="2091" spans="1:13" x14ac:dyDescent="0.2">
      <c r="A2091">
        <v>106</v>
      </c>
      <c r="B2091">
        <v>69</v>
      </c>
      <c r="C2091">
        <v>175</v>
      </c>
      <c r="D2091" s="51" t="s">
        <v>67</v>
      </c>
      <c r="E2091">
        <f>VLOOKUP(M2091,'MASS - 2016'!$A$1:$G$3418,6,FALSE)</f>
        <v>-52310.548999999999</v>
      </c>
      <c r="F2091">
        <f>VLOOKUP(M2091,'MASS - 2016'!$A$1:$G$3418,7,FALSE)</f>
        <v>50</v>
      </c>
      <c r="G2091">
        <f t="shared" si="166"/>
        <v>-52310.548999999999</v>
      </c>
      <c r="H2091">
        <f t="shared" si="162"/>
        <v>174.94384231613475</v>
      </c>
      <c r="I2091">
        <f t="shared" si="163"/>
        <v>162.959150126</v>
      </c>
      <c r="J2091">
        <f t="shared" si="165"/>
        <v>162923.891126</v>
      </c>
      <c r="M2091">
        <f t="shared" si="164"/>
        <v>106069</v>
      </c>
    </row>
    <row r="2092" spans="1:13" x14ac:dyDescent="0.2">
      <c r="A2092">
        <v>105</v>
      </c>
      <c r="B2092">
        <v>70</v>
      </c>
      <c r="C2092">
        <v>175</v>
      </c>
      <c r="D2092" s="51" t="s">
        <v>68</v>
      </c>
      <c r="E2092">
        <f>VLOOKUP(M2092,'MASS - 2016'!$A$1:$G$3418,6,FALSE)</f>
        <v>-54695.548999999999</v>
      </c>
      <c r="F2092">
        <f>VLOOKUP(M2092,'MASS - 2016'!$A$1:$G$3418,7,FALSE)</f>
        <v>7.0999999999999994E-2</v>
      </c>
      <c r="G2092">
        <f t="shared" si="166"/>
        <v>-54695.548999999999</v>
      </c>
      <c r="H2092">
        <f t="shared" si="162"/>
        <v>174.94128191333687</v>
      </c>
      <c r="I2092">
        <f t="shared" si="163"/>
        <v>162.95676512599999</v>
      </c>
      <c r="J2092">
        <f t="shared" si="165"/>
        <v>162920.99512599999</v>
      </c>
      <c r="M2092">
        <f t="shared" si="164"/>
        <v>105070</v>
      </c>
    </row>
    <row r="2093" spans="1:13" x14ac:dyDescent="0.2">
      <c r="A2093">
        <v>104</v>
      </c>
      <c r="B2093">
        <v>71</v>
      </c>
      <c r="C2093">
        <v>175</v>
      </c>
      <c r="D2093" s="51" t="s">
        <v>69</v>
      </c>
      <c r="E2093">
        <f>VLOOKUP(M2093,'MASS - 2016'!$A$1:$G$3418,6,FALSE)</f>
        <v>-55165.582000000002</v>
      </c>
      <c r="F2093">
        <f>VLOOKUP(M2093,'MASS - 2016'!$A$1:$G$3418,7,FALSE)</f>
        <v>1.2070000000000001</v>
      </c>
      <c r="G2093">
        <f t="shared" si="166"/>
        <v>-55165.582000000002</v>
      </c>
      <c r="H2093">
        <f t="shared" si="162"/>
        <v>174.94077731215938</v>
      </c>
      <c r="I2093">
        <f t="shared" si="163"/>
        <v>162.95629509299999</v>
      </c>
      <c r="J2093">
        <f t="shared" si="165"/>
        <v>162920.01409300001</v>
      </c>
      <c r="M2093">
        <f t="shared" si="164"/>
        <v>104071</v>
      </c>
    </row>
    <row r="2094" spans="1:13" x14ac:dyDescent="0.2">
      <c r="A2094">
        <v>103</v>
      </c>
      <c r="B2094">
        <v>72</v>
      </c>
      <c r="C2094">
        <v>175</v>
      </c>
      <c r="D2094" s="51" t="s">
        <v>70</v>
      </c>
      <c r="E2094">
        <f>VLOOKUP(M2094,'MASS - 2016'!$A$1:$G$3418,6,FALSE)</f>
        <v>-54481.661999999997</v>
      </c>
      <c r="F2094">
        <f>VLOOKUP(M2094,'MASS - 2016'!$A$1:$G$3418,7,FALSE)</f>
        <v>2.282</v>
      </c>
      <c r="G2094">
        <f t="shared" si="166"/>
        <v>-54481.661999999997</v>
      </c>
      <c r="H2094">
        <f t="shared" si="162"/>
        <v>174.94151153047449</v>
      </c>
      <c r="I2094">
        <f t="shared" si="163"/>
        <v>162.95697901299999</v>
      </c>
      <c r="J2094">
        <f t="shared" si="165"/>
        <v>162920.18701300002</v>
      </c>
      <c r="M2094">
        <f t="shared" si="164"/>
        <v>103072</v>
      </c>
    </row>
    <row r="2095" spans="1:13" x14ac:dyDescent="0.2">
      <c r="A2095">
        <v>102</v>
      </c>
      <c r="B2095">
        <v>73</v>
      </c>
      <c r="C2095">
        <v>175</v>
      </c>
      <c r="D2095" s="51" t="s">
        <v>71</v>
      </c>
      <c r="E2095">
        <f>VLOOKUP(M2095,'MASS - 2016'!$A$1:$G$3418,6,FALSE)</f>
        <v>-52408.646999999997</v>
      </c>
      <c r="F2095">
        <f>VLOOKUP(M2095,'MASS - 2016'!$A$1:$G$3418,7,FALSE)</f>
        <v>27.945</v>
      </c>
      <c r="G2095">
        <f t="shared" si="166"/>
        <v>-52408.646999999997</v>
      </c>
      <c r="H2095">
        <f t="shared" si="162"/>
        <v>174.94373700360072</v>
      </c>
      <c r="I2095">
        <f t="shared" si="163"/>
        <v>162.959052028</v>
      </c>
      <c r="J2095">
        <f t="shared" si="165"/>
        <v>162921.74902799999</v>
      </c>
      <c r="M2095">
        <f t="shared" si="164"/>
        <v>102073</v>
      </c>
    </row>
    <row r="2096" spans="1:13" x14ac:dyDescent="0.2">
      <c r="A2096">
        <v>101</v>
      </c>
      <c r="B2096">
        <v>74</v>
      </c>
      <c r="C2096">
        <v>175</v>
      </c>
      <c r="D2096" s="51" t="s">
        <v>72</v>
      </c>
      <c r="E2096">
        <f>VLOOKUP(M2096,'MASS - 2016'!$A$1:$G$3418,6,FALSE)</f>
        <v>-49632.794999999998</v>
      </c>
      <c r="F2096">
        <f>VLOOKUP(M2096,'MASS - 2016'!$A$1:$G$3418,7,FALSE)</f>
        <v>27.945</v>
      </c>
      <c r="G2096">
        <f t="shared" si="166"/>
        <v>-49632.794999999998</v>
      </c>
      <c r="H2096">
        <f t="shared" si="162"/>
        <v>174.94671700327672</v>
      </c>
      <c r="I2096">
        <f t="shared" si="163"/>
        <v>162.96182787999999</v>
      </c>
      <c r="J2096">
        <f t="shared" si="165"/>
        <v>162924.01387999998</v>
      </c>
      <c r="M2096">
        <f t="shared" si="164"/>
        <v>101074</v>
      </c>
    </row>
    <row r="2097" spans="1:13" x14ac:dyDescent="0.2">
      <c r="A2097">
        <v>100</v>
      </c>
      <c r="B2097">
        <v>75</v>
      </c>
      <c r="C2097">
        <v>175</v>
      </c>
      <c r="D2097" s="51" t="s">
        <v>73</v>
      </c>
      <c r="E2097">
        <f>VLOOKUP(M2097,'MASS - 2016'!$A$1:$G$3418,6,FALSE)</f>
        <v>-45288.307000000001</v>
      </c>
      <c r="F2097">
        <f>VLOOKUP(M2097,'MASS - 2016'!$A$1:$G$3418,7,FALSE)</f>
        <v>27.945</v>
      </c>
      <c r="G2097">
        <f t="shared" si="166"/>
        <v>-45288.307000000001</v>
      </c>
      <c r="H2097">
        <f t="shared" si="162"/>
        <v>174.95138100295415</v>
      </c>
      <c r="I2097">
        <f t="shared" si="163"/>
        <v>162.966172368</v>
      </c>
      <c r="J2097">
        <f t="shared" si="165"/>
        <v>162927.84736799999</v>
      </c>
      <c r="M2097">
        <f t="shared" si="164"/>
        <v>100075</v>
      </c>
    </row>
    <row r="2098" spans="1:13" x14ac:dyDescent="0.2">
      <c r="A2098">
        <v>99</v>
      </c>
      <c r="B2098">
        <v>76</v>
      </c>
      <c r="C2098">
        <v>175</v>
      </c>
      <c r="D2098" s="51" t="s">
        <v>74</v>
      </c>
      <c r="E2098">
        <f>VLOOKUP(M2098,'MASS - 2016'!$A$1:$G$3418,6,FALSE)</f>
        <v>-40105.375999999997</v>
      </c>
      <c r="F2098">
        <f>VLOOKUP(M2098,'MASS - 2016'!$A$1:$G$3418,7,FALSE)</f>
        <v>11.775</v>
      </c>
      <c r="G2098">
        <f t="shared" si="166"/>
        <v>-40105.375999999997</v>
      </c>
      <c r="H2098">
        <f t="shared" si="162"/>
        <v>174.95694510820931</v>
      </c>
      <c r="I2098">
        <f t="shared" si="163"/>
        <v>162.97135529899998</v>
      </c>
      <c r="J2098">
        <f t="shared" si="165"/>
        <v>162932.51929899998</v>
      </c>
      <c r="M2098">
        <f t="shared" si="164"/>
        <v>99076</v>
      </c>
    </row>
    <row r="2099" spans="1:13" x14ac:dyDescent="0.2">
      <c r="A2099">
        <v>98</v>
      </c>
      <c r="B2099">
        <v>77</v>
      </c>
      <c r="C2099">
        <v>175</v>
      </c>
      <c r="D2099" s="51" t="s">
        <v>75</v>
      </c>
      <c r="E2099">
        <f>VLOOKUP(M2099,'MASS - 2016'!$A$1:$G$3418,6,FALSE)</f>
        <v>-33394.506000000001</v>
      </c>
      <c r="F2099">
        <f>VLOOKUP(M2099,'MASS - 2016'!$A$1:$G$3418,7,FALSE)</f>
        <v>12.384</v>
      </c>
      <c r="G2099">
        <f t="shared" si="166"/>
        <v>-33394.506000000001</v>
      </c>
      <c r="H2099">
        <f t="shared" si="162"/>
        <v>174.96414952343963</v>
      </c>
      <c r="I2099">
        <f t="shared" si="163"/>
        <v>162.97806616899999</v>
      </c>
      <c r="J2099">
        <f t="shared" si="165"/>
        <v>162938.71916899999</v>
      </c>
      <c r="M2099">
        <f t="shared" si="164"/>
        <v>98077</v>
      </c>
    </row>
    <row r="2100" spans="1:13" x14ac:dyDescent="0.2">
      <c r="A2100">
        <v>97</v>
      </c>
      <c r="B2100">
        <v>78</v>
      </c>
      <c r="C2100">
        <v>175</v>
      </c>
      <c r="D2100" s="51" t="s">
        <v>76</v>
      </c>
      <c r="E2100">
        <f>VLOOKUP(M2100,'MASS - 2016'!$A$1:$G$3418,6,FALSE)</f>
        <v>-25713.466</v>
      </c>
      <c r="F2100">
        <f>VLOOKUP(M2100,'MASS - 2016'!$A$1:$G$3418,7,FALSE)</f>
        <v>18.184999999999999</v>
      </c>
      <c r="G2100">
        <f t="shared" si="166"/>
        <v>-25713.466</v>
      </c>
      <c r="H2100">
        <f t="shared" si="162"/>
        <v>174.97239545899797</v>
      </c>
      <c r="I2100">
        <f t="shared" si="163"/>
        <v>162.98574720899998</v>
      </c>
      <c r="J2100">
        <f t="shared" si="165"/>
        <v>162945.88920899999</v>
      </c>
      <c r="M2100">
        <f t="shared" si="164"/>
        <v>97078</v>
      </c>
    </row>
    <row r="2101" spans="1:13" x14ac:dyDescent="0.2">
      <c r="A2101">
        <v>96</v>
      </c>
      <c r="B2101">
        <v>79</v>
      </c>
      <c r="C2101">
        <v>175</v>
      </c>
      <c r="D2101" s="51" t="s">
        <v>77</v>
      </c>
      <c r="E2101">
        <f>VLOOKUP(M2101,'MASS - 2016'!$A$1:$G$3418,6,FALSE)</f>
        <v>-17403.955000000002</v>
      </c>
      <c r="F2101">
        <f>VLOOKUP(M2101,'MASS - 2016'!$A$1:$G$3418,7,FALSE)</f>
        <v>38.64</v>
      </c>
      <c r="G2101">
        <f t="shared" si="166"/>
        <v>-17403.955000000002</v>
      </c>
      <c r="H2101">
        <f t="shared" si="162"/>
        <v>174.98131608592189</v>
      </c>
      <c r="I2101">
        <f t="shared" si="163"/>
        <v>162.99405672</v>
      </c>
      <c r="J2101">
        <f t="shared" si="165"/>
        <v>162953.68771999999</v>
      </c>
      <c r="M2101">
        <f t="shared" si="164"/>
        <v>96079</v>
      </c>
    </row>
    <row r="2102" spans="1:13" x14ac:dyDescent="0.2">
      <c r="A2102">
        <v>95</v>
      </c>
      <c r="B2102">
        <v>80</v>
      </c>
      <c r="C2102">
        <v>175</v>
      </c>
      <c r="D2102" s="51" t="s">
        <v>78</v>
      </c>
      <c r="E2102">
        <f>VLOOKUP(M2102,'MASS - 2016'!$A$1:$G$3418,6,FALSE)</f>
        <v>-7972.576</v>
      </c>
      <c r="F2102">
        <f>VLOOKUP(M2102,'MASS - 2016'!$A$1:$G$3418,7,FALSE)</f>
        <v>72.896000000000001</v>
      </c>
      <c r="G2102">
        <f t="shared" si="166"/>
        <v>-7972.576</v>
      </c>
      <c r="H2102">
        <f t="shared" si="162"/>
        <v>174.99144108767433</v>
      </c>
      <c r="I2102">
        <f t="shared" si="163"/>
        <v>163.00348809900001</v>
      </c>
      <c r="J2102">
        <f t="shared" si="165"/>
        <v>162962.608099</v>
      </c>
      <c r="M2102">
        <f t="shared" si="164"/>
        <v>95080</v>
      </c>
    </row>
    <row r="2103" spans="1:13" x14ac:dyDescent="0.2">
      <c r="A2103">
        <v>108</v>
      </c>
      <c r="B2103">
        <v>68</v>
      </c>
      <c r="C2103">
        <v>176</v>
      </c>
      <c r="D2103" s="51" t="s">
        <v>66</v>
      </c>
      <c r="E2103" t="str">
        <f>VLOOKUP(M2103,'MASS - 2016'!$A$1:$G$3418,6,FALSE)</f>
        <v>-46631#</v>
      </c>
      <c r="F2103" t="str">
        <f>VLOOKUP(M2103,'MASS - 2016'!$A$1:$G$3418,7,FALSE)</f>
        <v>401#</v>
      </c>
      <c r="G2103">
        <f t="shared" si="166"/>
        <v>-46631.01</v>
      </c>
      <c r="H2103">
        <f t="shared" si="162"/>
        <v>175.9499395520032</v>
      </c>
      <c r="I2103">
        <f t="shared" si="163"/>
        <v>163.89632372599999</v>
      </c>
      <c r="J2103">
        <f t="shared" si="165"/>
        <v>163861.57572600001</v>
      </c>
      <c r="M2103">
        <f t="shared" si="164"/>
        <v>108068</v>
      </c>
    </row>
    <row r="2104" spans="1:13" x14ac:dyDescent="0.2">
      <c r="A2104">
        <v>107</v>
      </c>
      <c r="B2104">
        <v>69</v>
      </c>
      <c r="C2104">
        <v>176</v>
      </c>
      <c r="D2104" s="51" t="s">
        <v>67</v>
      </c>
      <c r="E2104">
        <f>VLOOKUP(M2104,'MASS - 2016'!$A$1:$G$3418,6,FALSE)</f>
        <v>-49371.313999999998</v>
      </c>
      <c r="F2104">
        <f>VLOOKUP(M2104,'MASS - 2016'!$A$1:$G$3418,7,FALSE)</f>
        <v>100</v>
      </c>
      <c r="G2104">
        <f t="shared" si="166"/>
        <v>-49371.313999999998</v>
      </c>
      <c r="H2104">
        <f t="shared" si="162"/>
        <v>175.94699771467461</v>
      </c>
      <c r="I2104">
        <f t="shared" si="163"/>
        <v>163.89358342199998</v>
      </c>
      <c r="J2104">
        <f t="shared" si="165"/>
        <v>163858.32442199998</v>
      </c>
      <c r="M2104">
        <f t="shared" si="164"/>
        <v>107069</v>
      </c>
    </row>
    <row r="2105" spans="1:13" x14ac:dyDescent="0.2">
      <c r="A2105">
        <v>106</v>
      </c>
      <c r="B2105">
        <v>70</v>
      </c>
      <c r="C2105">
        <v>176</v>
      </c>
      <c r="D2105" s="51" t="s">
        <v>68</v>
      </c>
      <c r="E2105">
        <f>VLOOKUP(M2105,'MASS - 2016'!$A$1:$G$3418,6,FALSE)</f>
        <v>-53491.313999999998</v>
      </c>
      <c r="F2105">
        <f>VLOOKUP(M2105,'MASS - 2016'!$A$1:$G$3418,7,FALSE)</f>
        <v>1.4999999999999999E-2</v>
      </c>
      <c r="G2105">
        <f t="shared" si="166"/>
        <v>-53491.313999999998</v>
      </c>
      <c r="H2105">
        <f t="shared" si="162"/>
        <v>175.94257471277638</v>
      </c>
      <c r="I2105">
        <f t="shared" si="163"/>
        <v>163.88946342199998</v>
      </c>
      <c r="J2105">
        <f t="shared" si="165"/>
        <v>163853.69342199998</v>
      </c>
      <c r="M2105">
        <f t="shared" si="164"/>
        <v>106070</v>
      </c>
    </row>
    <row r="2106" spans="1:13" x14ac:dyDescent="0.2">
      <c r="A2106">
        <v>105</v>
      </c>
      <c r="B2106">
        <v>71</v>
      </c>
      <c r="C2106">
        <v>176</v>
      </c>
      <c r="D2106" s="51" t="s">
        <v>69</v>
      </c>
      <c r="E2106">
        <f>VLOOKUP(M2106,'MASS - 2016'!$A$1:$G$3418,6,FALSE)</f>
        <v>-53382.235999999997</v>
      </c>
      <c r="F2106">
        <f>VLOOKUP(M2106,'MASS - 2016'!$A$1:$G$3418,7,FALSE)</f>
        <v>1.212</v>
      </c>
      <c r="G2106">
        <f t="shared" si="166"/>
        <v>-53382.235999999997</v>
      </c>
      <c r="H2106">
        <f t="shared" si="162"/>
        <v>175.94269181282519</v>
      </c>
      <c r="I2106">
        <f t="shared" si="163"/>
        <v>163.88957249999999</v>
      </c>
      <c r="J2106">
        <f t="shared" si="165"/>
        <v>163853.29149999999</v>
      </c>
      <c r="M2106">
        <f t="shared" si="164"/>
        <v>105071</v>
      </c>
    </row>
    <row r="2107" spans="1:13" x14ac:dyDescent="0.2">
      <c r="A2107">
        <v>104</v>
      </c>
      <c r="B2107">
        <v>72</v>
      </c>
      <c r="C2107">
        <v>176</v>
      </c>
      <c r="D2107" s="51" t="s">
        <v>70</v>
      </c>
      <c r="E2107">
        <f>VLOOKUP(M2107,'MASS - 2016'!$A$1:$G$3418,6,FALSE)</f>
        <v>-54576.321000000004</v>
      </c>
      <c r="F2107">
        <f>VLOOKUP(M2107,'MASS - 2016'!$A$1:$G$3418,7,FALSE)</f>
        <v>1.4810000000000001</v>
      </c>
      <c r="G2107">
        <f t="shared" si="166"/>
        <v>-54576.321000000004</v>
      </c>
      <c r="H2107">
        <f t="shared" si="162"/>
        <v>175.94140990985875</v>
      </c>
      <c r="I2107">
        <f t="shared" si="163"/>
        <v>163.88837841499998</v>
      </c>
      <c r="J2107">
        <f t="shared" si="165"/>
        <v>163851.586415</v>
      </c>
      <c r="M2107">
        <f t="shared" si="164"/>
        <v>104072</v>
      </c>
    </row>
    <row r="2108" spans="1:13" x14ac:dyDescent="0.2">
      <c r="A2108">
        <v>103</v>
      </c>
      <c r="B2108">
        <v>73</v>
      </c>
      <c r="C2108">
        <v>176</v>
      </c>
      <c r="D2108" s="51" t="s">
        <v>71</v>
      </c>
      <c r="E2108">
        <f>VLOOKUP(M2108,'MASS - 2016'!$A$1:$G$3418,6,FALSE)</f>
        <v>-51365.374000000003</v>
      </c>
      <c r="F2108">
        <f>VLOOKUP(M2108,'MASS - 2016'!$A$1:$G$3418,7,FALSE)</f>
        <v>30.739000000000001</v>
      </c>
      <c r="G2108">
        <f t="shared" si="166"/>
        <v>-51365.374000000003</v>
      </c>
      <c r="H2108">
        <f t="shared" si="162"/>
        <v>175.94485700322676</v>
      </c>
      <c r="I2108">
        <f t="shared" si="163"/>
        <v>163.89158936199999</v>
      </c>
      <c r="J2108">
        <f t="shared" si="165"/>
        <v>163854.28636199998</v>
      </c>
      <c r="M2108">
        <f t="shared" si="164"/>
        <v>103073</v>
      </c>
    </row>
    <row r="2109" spans="1:13" x14ac:dyDescent="0.2">
      <c r="A2109">
        <v>102</v>
      </c>
      <c r="B2109">
        <v>74</v>
      </c>
      <c r="C2109">
        <v>176</v>
      </c>
      <c r="D2109" s="51" t="s">
        <v>72</v>
      </c>
      <c r="E2109">
        <f>VLOOKUP(M2109,'MASS - 2016'!$A$1:$G$3418,6,FALSE)</f>
        <v>-50641.603000000003</v>
      </c>
      <c r="F2109">
        <f>VLOOKUP(M2109,'MASS - 2016'!$A$1:$G$3418,7,FALSE)</f>
        <v>27.945</v>
      </c>
      <c r="G2109">
        <f t="shared" si="166"/>
        <v>-50641.603000000003</v>
      </c>
      <c r="H2109">
        <f t="shared" si="162"/>
        <v>175.9456340033498</v>
      </c>
      <c r="I2109">
        <f t="shared" si="163"/>
        <v>163.89231313299999</v>
      </c>
      <c r="J2109">
        <f t="shared" si="165"/>
        <v>163854.49913299998</v>
      </c>
      <c r="M2109">
        <f t="shared" si="164"/>
        <v>102074</v>
      </c>
    </row>
    <row r="2110" spans="1:13" x14ac:dyDescent="0.2">
      <c r="A2110">
        <v>101</v>
      </c>
      <c r="B2110">
        <v>75</v>
      </c>
      <c r="C2110">
        <v>176</v>
      </c>
      <c r="D2110" s="51" t="s">
        <v>73</v>
      </c>
      <c r="E2110">
        <f>VLOOKUP(M2110,'MASS - 2016'!$A$1:$G$3418,6,FALSE)</f>
        <v>-45062.885000000002</v>
      </c>
      <c r="F2110">
        <f>VLOOKUP(M2110,'MASS - 2016'!$A$1:$G$3418,7,FALSE)</f>
        <v>27.945</v>
      </c>
      <c r="G2110">
        <f t="shared" si="166"/>
        <v>-45062.885000000002</v>
      </c>
      <c r="H2110">
        <f t="shared" si="162"/>
        <v>175.95162300342352</v>
      </c>
      <c r="I2110">
        <f t="shared" si="163"/>
        <v>163.897891851</v>
      </c>
      <c r="J2110">
        <f t="shared" si="165"/>
        <v>163859.56685099998</v>
      </c>
      <c r="M2110">
        <f t="shared" si="164"/>
        <v>101075</v>
      </c>
    </row>
    <row r="2111" spans="1:13" x14ac:dyDescent="0.2">
      <c r="A2111">
        <v>100</v>
      </c>
      <c r="B2111">
        <v>76</v>
      </c>
      <c r="C2111">
        <v>176</v>
      </c>
      <c r="D2111" s="51" t="s">
        <v>74</v>
      </c>
      <c r="E2111">
        <f>VLOOKUP(M2111,'MASS - 2016'!$A$1:$G$3418,6,FALSE)</f>
        <v>-42097.94</v>
      </c>
      <c r="F2111">
        <f>VLOOKUP(M2111,'MASS - 2016'!$A$1:$G$3418,7,FALSE)</f>
        <v>27.945</v>
      </c>
      <c r="G2111">
        <f t="shared" si="166"/>
        <v>-42097.94</v>
      </c>
      <c r="H2111">
        <f t="shared" si="162"/>
        <v>175.95480600278353</v>
      </c>
      <c r="I2111">
        <f t="shared" si="163"/>
        <v>163.900856796</v>
      </c>
      <c r="J2111">
        <f t="shared" si="165"/>
        <v>163862.020796</v>
      </c>
      <c r="M2111">
        <f t="shared" si="164"/>
        <v>100076</v>
      </c>
    </row>
    <row r="2112" spans="1:13" x14ac:dyDescent="0.2">
      <c r="A2112">
        <v>99</v>
      </c>
      <c r="B2112">
        <v>77</v>
      </c>
      <c r="C2112">
        <v>176</v>
      </c>
      <c r="D2112" s="51" t="s">
        <v>75</v>
      </c>
      <c r="E2112">
        <f>VLOOKUP(M2112,'MASS - 2016'!$A$1:$G$3418,6,FALSE)</f>
        <v>-33878.326000000001</v>
      </c>
      <c r="F2112">
        <f>VLOOKUP(M2112,'MASS - 2016'!$A$1:$G$3418,7,FALSE)</f>
        <v>16.75</v>
      </c>
      <c r="G2112">
        <f t="shared" si="166"/>
        <v>-33878.326000000001</v>
      </c>
      <c r="H2112">
        <f t="shared" si="162"/>
        <v>175.96363012130894</v>
      </c>
      <c r="I2112">
        <f t="shared" si="163"/>
        <v>163.90907640999998</v>
      </c>
      <c r="J2112">
        <f t="shared" si="165"/>
        <v>163869.72940999997</v>
      </c>
      <c r="M2112">
        <f t="shared" si="164"/>
        <v>99077</v>
      </c>
    </row>
    <row r="2113" spans="1:13" x14ac:dyDescent="0.2">
      <c r="A2113">
        <v>98</v>
      </c>
      <c r="B2113">
        <v>78</v>
      </c>
      <c r="C2113">
        <v>176</v>
      </c>
      <c r="D2113" s="51" t="s">
        <v>76</v>
      </c>
      <c r="E2113">
        <f>VLOOKUP(M2113,'MASS - 2016'!$A$1:$G$3418,6,FALSE)</f>
        <v>-28933.866999999998</v>
      </c>
      <c r="F2113">
        <f>VLOOKUP(M2113,'MASS - 2016'!$A$1:$G$3418,7,FALSE)</f>
        <v>12.724</v>
      </c>
      <c r="G2113">
        <f t="shared" si="166"/>
        <v>-28933.866999999998</v>
      </c>
      <c r="H2113">
        <f t="shared" si="162"/>
        <v>175.96893821634359</v>
      </c>
      <c r="I2113">
        <f t="shared" si="163"/>
        <v>163.91402086899998</v>
      </c>
      <c r="J2113">
        <f t="shared" si="165"/>
        <v>163874.16286899996</v>
      </c>
      <c r="M2113">
        <f t="shared" si="164"/>
        <v>98078</v>
      </c>
    </row>
    <row r="2114" spans="1:13" x14ac:dyDescent="0.2">
      <c r="A2114">
        <v>97</v>
      </c>
      <c r="B2114">
        <v>79</v>
      </c>
      <c r="C2114">
        <v>176</v>
      </c>
      <c r="D2114" s="51" t="s">
        <v>77</v>
      </c>
      <c r="E2114">
        <f>VLOOKUP(M2114,'MASS - 2016'!$A$1:$G$3418,6,FALSE)</f>
        <v>-18520.963</v>
      </c>
      <c r="F2114">
        <f>VLOOKUP(M2114,'MASS - 2016'!$A$1:$G$3418,7,FALSE)</f>
        <v>33.185000000000002</v>
      </c>
      <c r="G2114">
        <f t="shared" si="166"/>
        <v>-18520.963</v>
      </c>
      <c r="H2114">
        <f t="shared" si="162"/>
        <v>175.98011692851793</v>
      </c>
      <c r="I2114">
        <f t="shared" si="163"/>
        <v>163.924433773</v>
      </c>
      <c r="J2114">
        <f t="shared" si="165"/>
        <v>163884.06477299999</v>
      </c>
      <c r="M2114">
        <f t="shared" si="164"/>
        <v>97079</v>
      </c>
    </row>
    <row r="2115" spans="1:13" x14ac:dyDescent="0.2">
      <c r="A2115">
        <v>96</v>
      </c>
      <c r="B2115">
        <v>80</v>
      </c>
      <c r="C2115">
        <v>176</v>
      </c>
      <c r="D2115" s="51" t="s">
        <v>78</v>
      </c>
      <c r="E2115">
        <f>VLOOKUP(M2115,'MASS - 2016'!$A$1:$G$3418,6,FALSE)</f>
        <v>-11784.95</v>
      </c>
      <c r="F2115">
        <f>VLOOKUP(M2115,'MASS - 2016'!$A$1:$G$3418,7,FALSE)</f>
        <v>11.119</v>
      </c>
      <c r="G2115">
        <f t="shared" si="166"/>
        <v>-11784.95</v>
      </c>
      <c r="H2115">
        <f t="shared" si="162"/>
        <v>175.98734833586877</v>
      </c>
      <c r="I2115">
        <f t="shared" si="163"/>
        <v>163.931169786</v>
      </c>
      <c r="J2115">
        <f t="shared" si="165"/>
        <v>163890.28978599998</v>
      </c>
      <c r="M2115">
        <f t="shared" si="164"/>
        <v>96080</v>
      </c>
    </row>
    <row r="2116" spans="1:13" x14ac:dyDescent="0.2">
      <c r="A2116">
        <v>109</v>
      </c>
      <c r="B2116">
        <v>68</v>
      </c>
      <c r="C2116">
        <v>177</v>
      </c>
      <c r="D2116" s="51" t="s">
        <v>66</v>
      </c>
      <c r="E2116" t="str">
        <f>VLOOKUP(M2116,'MASS - 2016'!$A$1:$G$3418,6,FALSE)</f>
        <v>-42858#</v>
      </c>
      <c r="F2116" t="str">
        <f>VLOOKUP(M2116,'MASS - 2016'!$A$1:$G$3418,7,FALSE)</f>
        <v>503#</v>
      </c>
      <c r="G2116">
        <f t="shared" si="166"/>
        <v>-42858.01</v>
      </c>
      <c r="H2116">
        <f t="shared" si="162"/>
        <v>176.95399003408136</v>
      </c>
      <c r="I2116">
        <f t="shared" si="163"/>
        <v>164.83159078699998</v>
      </c>
      <c r="J2116">
        <f t="shared" si="165"/>
        <v>164796.842787</v>
      </c>
      <c r="M2116">
        <f t="shared" si="164"/>
        <v>109068</v>
      </c>
    </row>
    <row r="2117" spans="1:13" x14ac:dyDescent="0.2">
      <c r="A2117">
        <v>108</v>
      </c>
      <c r="B2117">
        <v>69</v>
      </c>
      <c r="C2117">
        <v>177</v>
      </c>
      <c r="D2117" s="51" t="s">
        <v>67</v>
      </c>
      <c r="E2117" t="str">
        <f>VLOOKUP(M2117,'MASS - 2016'!$A$1:$G$3418,6,FALSE)</f>
        <v>-47469#</v>
      </c>
      <c r="F2117" t="str">
        <f>VLOOKUP(M2117,'MASS - 2016'!$A$1:$G$3418,7,FALSE)</f>
        <v>298#</v>
      </c>
      <c r="G2117">
        <f t="shared" si="166"/>
        <v>-47469.01</v>
      </c>
      <c r="H2117">
        <f t="shared" si="162"/>
        <v>176.94903992200548</v>
      </c>
      <c r="I2117">
        <f t="shared" si="163"/>
        <v>164.826979787</v>
      </c>
      <c r="J2117">
        <f t="shared" si="165"/>
        <v>164791.720787</v>
      </c>
      <c r="M2117">
        <f t="shared" si="164"/>
        <v>108069</v>
      </c>
    </row>
    <row r="2118" spans="1:13" x14ac:dyDescent="0.2">
      <c r="A2118">
        <v>107</v>
      </c>
      <c r="B2118">
        <v>70</v>
      </c>
      <c r="C2118">
        <v>177</v>
      </c>
      <c r="D2118" s="51" t="s">
        <v>68</v>
      </c>
      <c r="E2118">
        <f>VLOOKUP(M2118,'MASS - 2016'!$A$1:$G$3418,6,FALSE)</f>
        <v>-50986.396999999997</v>
      </c>
      <c r="F2118">
        <f>VLOOKUP(M2118,'MASS - 2016'!$A$1:$G$3418,7,FALSE)</f>
        <v>0.22</v>
      </c>
      <c r="G2118">
        <f t="shared" si="166"/>
        <v>-50986.396999999997</v>
      </c>
      <c r="H2118">
        <f t="shared" si="162"/>
        <v>176.94526385176812</v>
      </c>
      <c r="I2118">
        <f t="shared" si="163"/>
        <v>164.82346239999998</v>
      </c>
      <c r="J2118">
        <f t="shared" si="165"/>
        <v>164787.6924</v>
      </c>
      <c r="M2118">
        <f t="shared" si="164"/>
        <v>107070</v>
      </c>
    </row>
    <row r="2119" spans="1:13" x14ac:dyDescent="0.2">
      <c r="A2119">
        <v>106</v>
      </c>
      <c r="B2119">
        <v>71</v>
      </c>
      <c r="C2119">
        <v>177</v>
      </c>
      <c r="D2119" s="51" t="s">
        <v>69</v>
      </c>
      <c r="E2119">
        <f>VLOOKUP(M2119,'MASS - 2016'!$A$1:$G$3418,6,FALSE)</f>
        <v>-52383.805999999997</v>
      </c>
      <c r="F2119">
        <f>VLOOKUP(M2119,'MASS - 2016'!$A$1:$G$3418,7,FALSE)</f>
        <v>1.22</v>
      </c>
      <c r="G2119">
        <f t="shared" si="166"/>
        <v>-52383.805999999997</v>
      </c>
      <c r="H2119">
        <f t="shared" si="162"/>
        <v>176.94376367151094</v>
      </c>
      <c r="I2119">
        <f t="shared" si="163"/>
        <v>164.82206499099999</v>
      </c>
      <c r="J2119">
        <f t="shared" si="165"/>
        <v>164785.783991</v>
      </c>
      <c r="M2119">
        <f t="shared" si="164"/>
        <v>106071</v>
      </c>
    </row>
    <row r="2120" spans="1:13" x14ac:dyDescent="0.2">
      <c r="A2120">
        <v>105</v>
      </c>
      <c r="B2120">
        <v>72</v>
      </c>
      <c r="C2120">
        <v>177</v>
      </c>
      <c r="D2120" s="51" t="s">
        <v>70</v>
      </c>
      <c r="E2120">
        <f>VLOOKUP(M2120,'MASS - 2016'!$A$1:$G$3418,6,FALSE)</f>
        <v>-52880.616000000002</v>
      </c>
      <c r="F2120">
        <f>VLOOKUP(M2120,'MASS - 2016'!$A$1:$G$3418,7,FALSE)</f>
        <v>1.4079999999999999</v>
      </c>
      <c r="G2120">
        <f t="shared" si="166"/>
        <v>-52880.616000000002</v>
      </c>
      <c r="H2120">
        <f t="shared" si="162"/>
        <v>176.94323032404174</v>
      </c>
      <c r="I2120">
        <f t="shared" si="163"/>
        <v>164.82156818099998</v>
      </c>
      <c r="J2120">
        <f t="shared" si="165"/>
        <v>164784.77618099999</v>
      </c>
      <c r="M2120">
        <f t="shared" si="164"/>
        <v>105072</v>
      </c>
    </row>
    <row r="2121" spans="1:13" x14ac:dyDescent="0.2">
      <c r="A2121">
        <v>104</v>
      </c>
      <c r="B2121">
        <v>73</v>
      </c>
      <c r="C2121">
        <v>177</v>
      </c>
      <c r="D2121" s="51" t="s">
        <v>71</v>
      </c>
      <c r="E2121">
        <f>VLOOKUP(M2121,'MASS - 2016'!$A$1:$G$3418,6,FALSE)</f>
        <v>-51714.616000000002</v>
      </c>
      <c r="F2121">
        <f>VLOOKUP(M2121,'MASS - 2016'!$A$1:$G$3418,7,FALSE)</f>
        <v>3.3140000000000001</v>
      </c>
      <c r="G2121">
        <f t="shared" si="166"/>
        <v>-51714.616000000002</v>
      </c>
      <c r="H2121">
        <f t="shared" ref="H2121:H2184" si="167">(C2121*$A$3+G2121/1000000)/$A$3</f>
        <v>176.9444820765207</v>
      </c>
      <c r="I2121">
        <f t="shared" ref="I2121:I2184" si="168">H2121*$A$3</f>
        <v>164.82273418099999</v>
      </c>
      <c r="J2121">
        <f t="shared" si="165"/>
        <v>164785.43118099996</v>
      </c>
      <c r="M2121">
        <f t="shared" ref="M2121:M2184" si="169">1000*A2121+B2121</f>
        <v>104073</v>
      </c>
    </row>
    <row r="2122" spans="1:13" x14ac:dyDescent="0.2">
      <c r="A2122">
        <v>103</v>
      </c>
      <c r="B2122">
        <v>74</v>
      </c>
      <c r="C2122">
        <v>177</v>
      </c>
      <c r="D2122" s="51" t="s">
        <v>72</v>
      </c>
      <c r="E2122">
        <f>VLOOKUP(M2122,'MASS - 2016'!$A$1:$G$3418,6,FALSE)</f>
        <v>-49701.726000000002</v>
      </c>
      <c r="F2122">
        <f>VLOOKUP(M2122,'MASS - 2016'!$A$1:$G$3418,7,FALSE)</f>
        <v>27.945</v>
      </c>
      <c r="G2122">
        <f t="shared" si="166"/>
        <v>-49701.726000000002</v>
      </c>
      <c r="H2122">
        <f t="shared" si="167"/>
        <v>176.94664300280493</v>
      </c>
      <c r="I2122">
        <f t="shared" si="168"/>
        <v>164.82474707099999</v>
      </c>
      <c r="J2122">
        <f t="shared" si="165"/>
        <v>164786.93307099998</v>
      </c>
      <c r="M2122">
        <f t="shared" si="169"/>
        <v>103074</v>
      </c>
    </row>
    <row r="2123" spans="1:13" x14ac:dyDescent="0.2">
      <c r="A2123">
        <v>102</v>
      </c>
      <c r="B2123">
        <v>75</v>
      </c>
      <c r="C2123">
        <v>177</v>
      </c>
      <c r="D2123" s="51" t="s">
        <v>73</v>
      </c>
      <c r="E2123">
        <f>VLOOKUP(M2123,'MASS - 2016'!$A$1:$G$3418,6,FALSE)</f>
        <v>-46269.17</v>
      </c>
      <c r="F2123">
        <f>VLOOKUP(M2123,'MASS - 2016'!$A$1:$G$3418,7,FALSE)</f>
        <v>27.945</v>
      </c>
      <c r="G2123">
        <f t="shared" si="166"/>
        <v>-46269.17</v>
      </c>
      <c r="H2123">
        <f t="shared" si="167"/>
        <v>176.95032800321849</v>
      </c>
      <c r="I2123">
        <f t="shared" si="168"/>
        <v>164.828179627</v>
      </c>
      <c r="J2123">
        <f t="shared" si="165"/>
        <v>164789.85462699999</v>
      </c>
      <c r="M2123">
        <f t="shared" si="169"/>
        <v>102075</v>
      </c>
    </row>
    <row r="2124" spans="1:13" x14ac:dyDescent="0.2">
      <c r="A2124">
        <v>101</v>
      </c>
      <c r="B2124">
        <v>76</v>
      </c>
      <c r="C2124">
        <v>177</v>
      </c>
      <c r="D2124" s="51" t="s">
        <v>74</v>
      </c>
      <c r="E2124">
        <f>VLOOKUP(M2124,'MASS - 2016'!$A$1:$G$3418,6,FALSE)</f>
        <v>-41956.462</v>
      </c>
      <c r="F2124">
        <f>VLOOKUP(M2124,'MASS - 2016'!$A$1:$G$3418,7,FALSE)</f>
        <v>14.613</v>
      </c>
      <c r="G2124">
        <f t="shared" si="166"/>
        <v>-41956.462</v>
      </c>
      <c r="H2124">
        <f t="shared" si="167"/>
        <v>176.95495788566276</v>
      </c>
      <c r="I2124">
        <f t="shared" si="168"/>
        <v>164.83249233499998</v>
      </c>
      <c r="J2124">
        <f t="shared" ref="J2124:J2187" si="170">1000*I2124-B2124*0.511</f>
        <v>164793.65633499998</v>
      </c>
      <c r="M2124">
        <f t="shared" si="169"/>
        <v>101076</v>
      </c>
    </row>
    <row r="2125" spans="1:13" x14ac:dyDescent="0.2">
      <c r="A2125">
        <v>100</v>
      </c>
      <c r="B2125">
        <v>77</v>
      </c>
      <c r="C2125">
        <v>177</v>
      </c>
      <c r="D2125" s="51" t="s">
        <v>75</v>
      </c>
      <c r="E2125">
        <f>VLOOKUP(M2125,'MASS - 2016'!$A$1:$G$3418,6,FALSE)</f>
        <v>-36047.421000000002</v>
      </c>
      <c r="F2125">
        <f>VLOOKUP(M2125,'MASS - 2016'!$A$1:$G$3418,7,FALSE)</f>
        <v>19.760000000000002</v>
      </c>
      <c r="G2125">
        <f t="shared" si="166"/>
        <v>-36047.421000000002</v>
      </c>
      <c r="H2125">
        <f t="shared" si="167"/>
        <v>176.96130150206076</v>
      </c>
      <c r="I2125">
        <f t="shared" si="168"/>
        <v>164.83840137599998</v>
      </c>
      <c r="J2125">
        <f t="shared" si="170"/>
        <v>164799.05437599996</v>
      </c>
      <c r="M2125">
        <f t="shared" si="169"/>
        <v>100077</v>
      </c>
    </row>
    <row r="2126" spans="1:13" x14ac:dyDescent="0.2">
      <c r="A2126">
        <v>99</v>
      </c>
      <c r="B2126">
        <v>78</v>
      </c>
      <c r="C2126">
        <v>177</v>
      </c>
      <c r="D2126" s="51" t="s">
        <v>76</v>
      </c>
      <c r="E2126">
        <f>VLOOKUP(M2126,'MASS - 2016'!$A$1:$G$3418,6,FALSE)</f>
        <v>-29370.444</v>
      </c>
      <c r="F2126">
        <f>VLOOKUP(M2126,'MASS - 2016'!$A$1:$G$3418,7,FALSE)</f>
        <v>14.988</v>
      </c>
      <c r="G2126">
        <f t="shared" si="166"/>
        <v>-29370.444</v>
      </c>
      <c r="H2126">
        <f t="shared" si="167"/>
        <v>176.9684695316592</v>
      </c>
      <c r="I2126">
        <f t="shared" si="168"/>
        <v>164.84507835299999</v>
      </c>
      <c r="J2126">
        <f t="shared" si="170"/>
        <v>164805.22035299998</v>
      </c>
      <c r="M2126">
        <f t="shared" si="169"/>
        <v>99078</v>
      </c>
    </row>
    <row r="2127" spans="1:13" x14ac:dyDescent="0.2">
      <c r="A2127">
        <v>98</v>
      </c>
      <c r="B2127">
        <v>79</v>
      </c>
      <c r="C2127">
        <v>177</v>
      </c>
      <c r="D2127" s="51" t="s">
        <v>77</v>
      </c>
      <c r="E2127">
        <f>VLOOKUP(M2127,'MASS - 2016'!$A$1:$G$3418,6,FALSE)</f>
        <v>-21545.102999999999</v>
      </c>
      <c r="F2127">
        <f>VLOOKUP(M2127,'MASS - 2016'!$A$1:$G$3418,7,FALSE)</f>
        <v>10.496</v>
      </c>
      <c r="G2127">
        <f t="shared" ref="G2127:G2190" si="171">IF(ISNUMBER(E2127),E2127,VALUE(SUBSTITUTE(E2127,"#",".01")))</f>
        <v>-21545.102999999999</v>
      </c>
      <c r="H2127">
        <f t="shared" si="167"/>
        <v>176.97687038071194</v>
      </c>
      <c r="I2127">
        <f t="shared" si="168"/>
        <v>164.85290369399999</v>
      </c>
      <c r="J2127">
        <f t="shared" si="170"/>
        <v>164812.53469399997</v>
      </c>
      <c r="M2127">
        <f t="shared" si="169"/>
        <v>98079</v>
      </c>
    </row>
    <row r="2128" spans="1:13" x14ac:dyDescent="0.2">
      <c r="A2128">
        <v>97</v>
      </c>
      <c r="B2128">
        <v>80</v>
      </c>
      <c r="C2128">
        <v>177</v>
      </c>
      <c r="D2128" s="51" t="s">
        <v>78</v>
      </c>
      <c r="E2128">
        <f>VLOOKUP(M2128,'MASS - 2016'!$A$1:$G$3418,6,FALSE)</f>
        <v>-12782.541999999999</v>
      </c>
      <c r="F2128">
        <f>VLOOKUP(M2128,'MASS - 2016'!$A$1:$G$3418,7,FALSE)</f>
        <v>75.055999999999997</v>
      </c>
      <c r="G2128">
        <f t="shared" si="171"/>
        <v>-12782.541999999999</v>
      </c>
      <c r="H2128">
        <f t="shared" si="167"/>
        <v>176.98627737681304</v>
      </c>
      <c r="I2128">
        <f t="shared" si="168"/>
        <v>164.86166625499999</v>
      </c>
      <c r="J2128">
        <f t="shared" si="170"/>
        <v>164820.78625499998</v>
      </c>
      <c r="M2128">
        <f t="shared" si="169"/>
        <v>97080</v>
      </c>
    </row>
    <row r="2129" spans="1:13" x14ac:dyDescent="0.2">
      <c r="A2129">
        <v>96</v>
      </c>
      <c r="B2129">
        <v>81</v>
      </c>
      <c r="C2129">
        <v>177</v>
      </c>
      <c r="D2129" s="51" t="s">
        <v>79</v>
      </c>
      <c r="E2129">
        <f>VLOOKUP(M2129,'MASS - 2016'!$A$1:$G$3418,6,FALSE)</f>
        <v>-3340.5259999999998</v>
      </c>
      <c r="F2129">
        <f>VLOOKUP(M2129,'MASS - 2016'!$A$1:$G$3418,7,FALSE)</f>
        <v>21.629000000000001</v>
      </c>
      <c r="G2129">
        <f t="shared" si="171"/>
        <v>-3340.5259999999998</v>
      </c>
      <c r="H2129">
        <f t="shared" si="167"/>
        <v>176.99641379785459</v>
      </c>
      <c r="I2129">
        <f t="shared" si="168"/>
        <v>164.871108271</v>
      </c>
      <c r="J2129">
        <f t="shared" si="170"/>
        <v>164829.717271</v>
      </c>
      <c r="M2129">
        <f t="shared" si="169"/>
        <v>96081</v>
      </c>
    </row>
    <row r="2130" spans="1:13" x14ac:dyDescent="0.2">
      <c r="A2130">
        <v>109</v>
      </c>
      <c r="B2130">
        <v>69</v>
      </c>
      <c r="C2130">
        <v>178</v>
      </c>
      <c r="D2130" s="51" t="s">
        <v>67</v>
      </c>
      <c r="E2130" t="str">
        <f>VLOOKUP(M2130,'MASS - 2016'!$A$1:$G$3418,6,FALSE)</f>
        <v>-44116#</v>
      </c>
      <c r="F2130" t="str">
        <f>VLOOKUP(M2130,'MASS - 2016'!$A$1:$G$3418,7,FALSE)</f>
        <v>401#</v>
      </c>
      <c r="G2130">
        <f t="shared" si="171"/>
        <v>-44116.01</v>
      </c>
      <c r="H2130">
        <f t="shared" si="167"/>
        <v>177.95263951554062</v>
      </c>
      <c r="I2130">
        <f t="shared" si="168"/>
        <v>165.761826848</v>
      </c>
      <c r="J2130">
        <f t="shared" si="170"/>
        <v>165726.56784800001</v>
      </c>
      <c r="M2130">
        <f t="shared" si="169"/>
        <v>109069</v>
      </c>
    </row>
    <row r="2131" spans="1:13" x14ac:dyDescent="0.2">
      <c r="A2131">
        <v>108</v>
      </c>
      <c r="B2131">
        <v>70</v>
      </c>
      <c r="C2131">
        <v>178</v>
      </c>
      <c r="D2131" s="51" t="s">
        <v>68</v>
      </c>
      <c r="E2131">
        <f>VLOOKUP(M2131,'MASS - 2016'!$A$1:$G$3418,6,FALSE)</f>
        <v>-49695.474999999999</v>
      </c>
      <c r="F2131">
        <f>VLOOKUP(M2131,'MASS - 2016'!$A$1:$G$3418,7,FALSE)</f>
        <v>10</v>
      </c>
      <c r="G2131">
        <f t="shared" si="171"/>
        <v>-49695.474999999999</v>
      </c>
      <c r="H2131">
        <f t="shared" si="167"/>
        <v>177.94664971352944</v>
      </c>
      <c r="I2131">
        <f t="shared" si="168"/>
        <v>165.75624738300002</v>
      </c>
      <c r="J2131">
        <f t="shared" si="170"/>
        <v>165720.47738300002</v>
      </c>
      <c r="M2131">
        <f t="shared" si="169"/>
        <v>108070</v>
      </c>
    </row>
    <row r="2132" spans="1:13" x14ac:dyDescent="0.2">
      <c r="A2132">
        <v>107</v>
      </c>
      <c r="B2132">
        <v>71</v>
      </c>
      <c r="C2132">
        <v>178</v>
      </c>
      <c r="D2132" s="51" t="s">
        <v>69</v>
      </c>
      <c r="E2132">
        <f>VLOOKUP(M2132,'MASS - 2016'!$A$1:$G$3418,6,FALSE)</f>
        <v>-50337.784</v>
      </c>
      <c r="F2132">
        <f>VLOOKUP(M2132,'MASS - 2016'!$A$1:$G$3418,7,FALSE)</f>
        <v>2.2509999999999999</v>
      </c>
      <c r="G2132">
        <f t="shared" si="171"/>
        <v>-50337.784</v>
      </c>
      <c r="H2132">
        <f t="shared" si="167"/>
        <v>177.94596016645994</v>
      </c>
      <c r="I2132">
        <f t="shared" si="168"/>
        <v>165.75560507400002</v>
      </c>
      <c r="J2132">
        <f t="shared" si="170"/>
        <v>165719.32407400003</v>
      </c>
      <c r="M2132">
        <f t="shared" si="169"/>
        <v>107071</v>
      </c>
    </row>
    <row r="2133" spans="1:13" x14ac:dyDescent="0.2">
      <c r="A2133">
        <v>106</v>
      </c>
      <c r="B2133">
        <v>72</v>
      </c>
      <c r="C2133">
        <v>178</v>
      </c>
      <c r="D2133" s="51" t="s">
        <v>70</v>
      </c>
      <c r="E2133">
        <f>VLOOKUP(M2133,'MASS - 2016'!$A$1:$G$3418,6,FALSE)</f>
        <v>-52435.235999999997</v>
      </c>
      <c r="F2133">
        <f>VLOOKUP(M2133,'MASS - 2016'!$A$1:$G$3418,7,FALSE)</f>
        <v>1.4119999999999999</v>
      </c>
      <c r="G2133">
        <f t="shared" si="171"/>
        <v>-52435.235999999997</v>
      </c>
      <c r="H2133">
        <f t="shared" si="167"/>
        <v>177.94370845913531</v>
      </c>
      <c r="I2133">
        <f t="shared" si="168"/>
        <v>165.753507622</v>
      </c>
      <c r="J2133">
        <f t="shared" si="170"/>
        <v>165716.71562200002</v>
      </c>
      <c r="M2133">
        <f t="shared" si="169"/>
        <v>106072</v>
      </c>
    </row>
    <row r="2134" spans="1:13" x14ac:dyDescent="0.2">
      <c r="A2134">
        <v>105</v>
      </c>
      <c r="B2134">
        <v>73</v>
      </c>
      <c r="C2134">
        <v>178</v>
      </c>
      <c r="D2134" s="51" t="s">
        <v>71</v>
      </c>
      <c r="E2134" t="str">
        <f>VLOOKUP(M2134,'MASS - 2016'!$A$1:$G$3418,6,FALSE)</f>
        <v>-50598#</v>
      </c>
      <c r="F2134" t="str">
        <f>VLOOKUP(M2134,'MASS - 2016'!$A$1:$G$3418,7,FALSE)</f>
        <v>52#</v>
      </c>
      <c r="G2134">
        <f t="shared" si="171"/>
        <v>-50598.01</v>
      </c>
      <c r="H2134">
        <f t="shared" si="167"/>
        <v>177.94568080235996</v>
      </c>
      <c r="I2134">
        <f t="shared" si="168"/>
        <v>165.75534484800002</v>
      </c>
      <c r="J2134">
        <f t="shared" si="170"/>
        <v>165718.04184799999</v>
      </c>
      <c r="M2134">
        <f t="shared" si="169"/>
        <v>105073</v>
      </c>
    </row>
    <row r="2135" spans="1:13" x14ac:dyDescent="0.2">
      <c r="A2135">
        <v>104</v>
      </c>
      <c r="B2135">
        <v>74</v>
      </c>
      <c r="C2135">
        <v>178</v>
      </c>
      <c r="D2135" s="51" t="s">
        <v>72</v>
      </c>
      <c r="E2135">
        <f>VLOOKUP(M2135,'MASS - 2016'!$A$1:$G$3418,6,FALSE)</f>
        <v>-50406.936000000002</v>
      </c>
      <c r="F2135">
        <f>VLOOKUP(M2135,'MASS - 2016'!$A$1:$G$3418,7,FALSE)</f>
        <v>15.199</v>
      </c>
      <c r="G2135">
        <f t="shared" si="171"/>
        <v>-50406.936000000002</v>
      </c>
      <c r="H2135">
        <f t="shared" si="167"/>
        <v>177.94588592873487</v>
      </c>
      <c r="I2135">
        <f t="shared" si="168"/>
        <v>165.75553592200001</v>
      </c>
      <c r="J2135">
        <f t="shared" si="170"/>
        <v>165717.721922</v>
      </c>
      <c r="M2135">
        <f t="shared" si="169"/>
        <v>104074</v>
      </c>
    </row>
    <row r="2136" spans="1:13" x14ac:dyDescent="0.2">
      <c r="A2136">
        <v>103</v>
      </c>
      <c r="B2136">
        <v>75</v>
      </c>
      <c r="C2136">
        <v>178</v>
      </c>
      <c r="D2136" s="51" t="s">
        <v>73</v>
      </c>
      <c r="E2136">
        <f>VLOOKUP(M2136,'MASS - 2016'!$A$1:$G$3418,6,FALSE)</f>
        <v>-45653.453000000001</v>
      </c>
      <c r="F2136">
        <f>VLOOKUP(M2136,'MASS - 2016'!$A$1:$G$3418,7,FALSE)</f>
        <v>27.945</v>
      </c>
      <c r="G2136">
        <f t="shared" si="171"/>
        <v>-45653.453000000001</v>
      </c>
      <c r="H2136">
        <f t="shared" si="167"/>
        <v>177.95098900260194</v>
      </c>
      <c r="I2136">
        <f t="shared" si="168"/>
        <v>165.76028940500001</v>
      </c>
      <c r="J2136">
        <f t="shared" si="170"/>
        <v>165721.96440500001</v>
      </c>
      <c r="M2136">
        <f t="shared" si="169"/>
        <v>103075</v>
      </c>
    </row>
    <row r="2137" spans="1:13" x14ac:dyDescent="0.2">
      <c r="A2137">
        <v>102</v>
      </c>
      <c r="B2137">
        <v>76</v>
      </c>
      <c r="C2137">
        <v>178</v>
      </c>
      <c r="D2137" s="51" t="s">
        <v>74</v>
      </c>
      <c r="E2137">
        <f>VLOOKUP(M2137,'MASS - 2016'!$A$1:$G$3418,6,FALSE)</f>
        <v>-43544.27</v>
      </c>
      <c r="F2137">
        <f>VLOOKUP(M2137,'MASS - 2016'!$A$1:$G$3418,7,FALSE)</f>
        <v>13.632</v>
      </c>
      <c r="G2137">
        <f t="shared" si="171"/>
        <v>-43544.27</v>
      </c>
      <c r="H2137">
        <f t="shared" si="167"/>
        <v>177.95325330367297</v>
      </c>
      <c r="I2137">
        <f t="shared" si="168"/>
        <v>165.762398588</v>
      </c>
      <c r="J2137">
        <f t="shared" si="170"/>
        <v>165723.56258799997</v>
      </c>
      <c r="M2137">
        <f t="shared" si="169"/>
        <v>102076</v>
      </c>
    </row>
    <row r="2138" spans="1:13" x14ac:dyDescent="0.2">
      <c r="A2138">
        <v>101</v>
      </c>
      <c r="B2138">
        <v>77</v>
      </c>
      <c r="C2138">
        <v>178</v>
      </c>
      <c r="D2138" s="51" t="s">
        <v>75</v>
      </c>
      <c r="E2138">
        <f>VLOOKUP(M2138,'MASS - 2016'!$A$1:$G$3418,6,FALSE)</f>
        <v>-36251.883999999998</v>
      </c>
      <c r="F2138">
        <f>VLOOKUP(M2138,'MASS - 2016'!$A$1:$G$3418,7,FALSE)</f>
        <v>19.760000000000002</v>
      </c>
      <c r="G2138">
        <f t="shared" si="171"/>
        <v>-36251.883999999998</v>
      </c>
      <c r="H2138">
        <f t="shared" si="167"/>
        <v>177.96108200200325</v>
      </c>
      <c r="I2138">
        <f t="shared" si="168"/>
        <v>165.76969097400001</v>
      </c>
      <c r="J2138">
        <f t="shared" si="170"/>
        <v>165730.34397400002</v>
      </c>
      <c r="M2138">
        <f t="shared" si="169"/>
        <v>101077</v>
      </c>
    </row>
    <row r="2139" spans="1:13" x14ac:dyDescent="0.2">
      <c r="A2139">
        <v>100</v>
      </c>
      <c r="B2139">
        <v>78</v>
      </c>
      <c r="C2139">
        <v>178</v>
      </c>
      <c r="D2139" s="51" t="s">
        <v>76</v>
      </c>
      <c r="E2139">
        <f>VLOOKUP(M2139,'MASS - 2016'!$A$1:$G$3418,6,FALSE)</f>
        <v>-31997.519</v>
      </c>
      <c r="F2139">
        <f>VLOOKUP(M2139,'MASS - 2016'!$A$1:$G$3418,7,FALSE)</f>
        <v>10.132999999999999</v>
      </c>
      <c r="G2139">
        <f t="shared" si="171"/>
        <v>-31997.519</v>
      </c>
      <c r="H2139">
        <f t="shared" si="167"/>
        <v>177.96564925066122</v>
      </c>
      <c r="I2139">
        <f t="shared" si="168"/>
        <v>165.77394533900002</v>
      </c>
      <c r="J2139">
        <f t="shared" si="170"/>
        <v>165734.08733900002</v>
      </c>
      <c r="M2139">
        <f t="shared" si="169"/>
        <v>100078</v>
      </c>
    </row>
    <row r="2140" spans="1:13" x14ac:dyDescent="0.2">
      <c r="A2140">
        <v>99</v>
      </c>
      <c r="B2140">
        <v>79</v>
      </c>
      <c r="C2140">
        <v>178</v>
      </c>
      <c r="D2140" s="51" t="s">
        <v>77</v>
      </c>
      <c r="E2140">
        <f>VLOOKUP(M2140,'MASS - 2016'!$A$1:$G$3418,6,FALSE)</f>
        <v>-22303.742999999999</v>
      </c>
      <c r="F2140">
        <f>VLOOKUP(M2140,'MASS - 2016'!$A$1:$G$3418,7,FALSE)</f>
        <v>10.086</v>
      </c>
      <c r="G2140">
        <f t="shared" si="171"/>
        <v>-22303.742999999999</v>
      </c>
      <c r="H2140">
        <f t="shared" si="167"/>
        <v>177.97605594717797</v>
      </c>
      <c r="I2140">
        <f t="shared" si="168"/>
        <v>165.783639115</v>
      </c>
      <c r="J2140">
        <f t="shared" si="170"/>
        <v>165743.27011499999</v>
      </c>
      <c r="M2140">
        <f t="shared" si="169"/>
        <v>99079</v>
      </c>
    </row>
    <row r="2141" spans="1:13" x14ac:dyDescent="0.2">
      <c r="A2141">
        <v>98</v>
      </c>
      <c r="B2141">
        <v>80</v>
      </c>
      <c r="C2141">
        <v>178</v>
      </c>
      <c r="D2141" s="51" t="s">
        <v>78</v>
      </c>
      <c r="E2141">
        <f>VLOOKUP(M2141,'MASS - 2016'!$A$1:$G$3418,6,FALSE)</f>
        <v>-16315.901</v>
      </c>
      <c r="F2141">
        <f>VLOOKUP(M2141,'MASS - 2016'!$A$1:$G$3418,7,FALSE)</f>
        <v>10.77</v>
      </c>
      <c r="G2141">
        <f t="shared" si="171"/>
        <v>-16315.901</v>
      </c>
      <c r="H2141">
        <f t="shared" si="167"/>
        <v>177.98248415992853</v>
      </c>
      <c r="I2141">
        <f t="shared" si="168"/>
        <v>165.789626957</v>
      </c>
      <c r="J2141">
        <f t="shared" si="170"/>
        <v>165748.746957</v>
      </c>
      <c r="M2141">
        <f t="shared" si="169"/>
        <v>98080</v>
      </c>
    </row>
    <row r="2142" spans="1:13" x14ac:dyDescent="0.2">
      <c r="A2142">
        <v>97</v>
      </c>
      <c r="B2142">
        <v>81</v>
      </c>
      <c r="C2142">
        <v>178</v>
      </c>
      <c r="D2142" s="51" t="s">
        <v>79</v>
      </c>
      <c r="E2142" t="str">
        <f>VLOOKUP(M2142,'MASS - 2016'!$A$1:$G$3418,6,FALSE)</f>
        <v>-4790#</v>
      </c>
      <c r="F2142" t="str">
        <f>VLOOKUP(M2142,'MASS - 2016'!$A$1:$G$3418,7,FALSE)</f>
        <v>89#</v>
      </c>
      <c r="G2142">
        <f t="shared" si="171"/>
        <v>-4790.01</v>
      </c>
      <c r="H2142">
        <f t="shared" si="167"/>
        <v>177.9948577127858</v>
      </c>
      <c r="I2142">
        <f t="shared" si="168"/>
        <v>165.80115284800002</v>
      </c>
      <c r="J2142">
        <f t="shared" si="170"/>
        <v>165759.76184800002</v>
      </c>
      <c r="M2142">
        <f t="shared" si="169"/>
        <v>97081</v>
      </c>
    </row>
    <row r="2143" spans="1:13" x14ac:dyDescent="0.2">
      <c r="A2143">
        <v>110</v>
      </c>
      <c r="B2143">
        <v>69</v>
      </c>
      <c r="C2143">
        <v>179</v>
      </c>
      <c r="D2143" s="51" t="s">
        <v>67</v>
      </c>
      <c r="E2143" t="str">
        <f>VLOOKUP(M2143,'MASS - 2016'!$A$1:$G$3418,6,FALSE)</f>
        <v>-41601#</v>
      </c>
      <c r="F2143" t="str">
        <f>VLOOKUP(M2143,'MASS - 2016'!$A$1:$G$3418,7,FALSE)</f>
        <v>503#</v>
      </c>
      <c r="G2143">
        <f t="shared" si="171"/>
        <v>-41601.01</v>
      </c>
      <c r="H2143">
        <f t="shared" si="167"/>
        <v>178.95533947907802</v>
      </c>
      <c r="I2143">
        <f t="shared" si="168"/>
        <v>166.69583590900001</v>
      </c>
      <c r="J2143">
        <f t="shared" si="170"/>
        <v>166660.57690900002</v>
      </c>
      <c r="M2143">
        <f t="shared" si="169"/>
        <v>110069</v>
      </c>
    </row>
    <row r="2144" spans="1:13" x14ac:dyDescent="0.2">
      <c r="A2144">
        <v>109</v>
      </c>
      <c r="B2144">
        <v>70</v>
      </c>
      <c r="C2144">
        <v>179</v>
      </c>
      <c r="D2144" s="51" t="s">
        <v>68</v>
      </c>
      <c r="E2144" t="str">
        <f>VLOOKUP(M2144,'MASS - 2016'!$A$1:$G$3418,6,FALSE)</f>
        <v>-46537#</v>
      </c>
      <c r="F2144" t="str">
        <f>VLOOKUP(M2144,'MASS - 2016'!$A$1:$G$3418,7,FALSE)</f>
        <v>196#</v>
      </c>
      <c r="G2144">
        <f t="shared" si="171"/>
        <v>-46537.01</v>
      </c>
      <c r="H2144">
        <f t="shared" si="167"/>
        <v>178.95004046515334</v>
      </c>
      <c r="I2144">
        <f t="shared" si="168"/>
        <v>166.690899909</v>
      </c>
      <c r="J2144">
        <f t="shared" si="170"/>
        <v>166655.12990900001</v>
      </c>
      <c r="M2144">
        <f t="shared" si="169"/>
        <v>109070</v>
      </c>
    </row>
    <row r="2145" spans="1:13" x14ac:dyDescent="0.2">
      <c r="A2145">
        <v>108</v>
      </c>
      <c r="B2145">
        <v>71</v>
      </c>
      <c r="C2145">
        <v>179</v>
      </c>
      <c r="D2145" s="51" t="s">
        <v>69</v>
      </c>
      <c r="E2145">
        <f>VLOOKUP(M2145,'MASS - 2016'!$A$1:$G$3418,6,FALSE)</f>
        <v>-49058.917999999998</v>
      </c>
      <c r="F2145">
        <f>VLOOKUP(M2145,'MASS - 2016'!$A$1:$G$3418,7,FALSE)</f>
        <v>5.15</v>
      </c>
      <c r="G2145">
        <f t="shared" si="171"/>
        <v>-49058.917999999998</v>
      </c>
      <c r="H2145">
        <f t="shared" si="167"/>
        <v>178.94733308557295</v>
      </c>
      <c r="I2145">
        <f t="shared" si="168"/>
        <v>166.68837800100002</v>
      </c>
      <c r="J2145">
        <f t="shared" si="170"/>
        <v>166652.09700100002</v>
      </c>
      <c r="M2145">
        <f t="shared" si="169"/>
        <v>108071</v>
      </c>
    </row>
    <row r="2146" spans="1:13" x14ac:dyDescent="0.2">
      <c r="A2146">
        <v>107</v>
      </c>
      <c r="B2146">
        <v>72</v>
      </c>
      <c r="C2146">
        <v>179</v>
      </c>
      <c r="D2146" s="51" t="s">
        <v>70</v>
      </c>
      <c r="E2146">
        <f>VLOOKUP(M2146,'MASS - 2016'!$A$1:$G$3418,6,FALSE)</f>
        <v>-50462.906999999999</v>
      </c>
      <c r="F2146">
        <f>VLOOKUP(M2146,'MASS - 2016'!$A$1:$G$3418,7,FALSE)</f>
        <v>1.413</v>
      </c>
      <c r="G2146">
        <f t="shared" si="171"/>
        <v>-50462.906999999999</v>
      </c>
      <c r="H2146">
        <f t="shared" si="167"/>
        <v>178.94582584139525</v>
      </c>
      <c r="I2146">
        <f t="shared" si="168"/>
        <v>166.68697401200001</v>
      </c>
      <c r="J2146">
        <f t="shared" si="170"/>
        <v>166650.18201200003</v>
      </c>
      <c r="M2146">
        <f t="shared" si="169"/>
        <v>107072</v>
      </c>
    </row>
    <row r="2147" spans="1:13" x14ac:dyDescent="0.2">
      <c r="A2147">
        <v>106</v>
      </c>
      <c r="B2147">
        <v>73</v>
      </c>
      <c r="C2147">
        <v>179</v>
      </c>
      <c r="D2147" s="51" t="s">
        <v>71</v>
      </c>
      <c r="E2147">
        <f>VLOOKUP(M2147,'MASS - 2016'!$A$1:$G$3418,6,FALSE)</f>
        <v>-50357.322999999997</v>
      </c>
      <c r="F2147">
        <f>VLOOKUP(M2147,'MASS - 2016'!$A$1:$G$3418,7,FALSE)</f>
        <v>1.4630000000000001</v>
      </c>
      <c r="G2147">
        <f t="shared" si="171"/>
        <v>-50357.322999999997</v>
      </c>
      <c r="H2147">
        <f t="shared" si="167"/>
        <v>178.9459391904808</v>
      </c>
      <c r="I2147">
        <f t="shared" si="168"/>
        <v>166.68707959600002</v>
      </c>
      <c r="J2147">
        <f t="shared" si="170"/>
        <v>166649.77659600001</v>
      </c>
      <c r="M2147">
        <f t="shared" si="169"/>
        <v>106073</v>
      </c>
    </row>
    <row r="2148" spans="1:13" x14ac:dyDescent="0.2">
      <c r="A2148">
        <v>105</v>
      </c>
      <c r="B2148">
        <v>74</v>
      </c>
      <c r="C2148">
        <v>179</v>
      </c>
      <c r="D2148" s="51" t="s">
        <v>72</v>
      </c>
      <c r="E2148">
        <f>VLOOKUP(M2148,'MASS - 2016'!$A$1:$G$3418,6,FALSE)</f>
        <v>-49295.127</v>
      </c>
      <c r="F2148">
        <f>VLOOKUP(M2148,'MASS - 2016'!$A$1:$G$3418,7,FALSE)</f>
        <v>14.573</v>
      </c>
      <c r="G2148">
        <f t="shared" si="171"/>
        <v>-49295.127</v>
      </c>
      <c r="H2148">
        <f t="shared" si="167"/>
        <v>178.94707950478281</v>
      </c>
      <c r="I2148">
        <f t="shared" si="168"/>
        <v>166.68814179200001</v>
      </c>
      <c r="J2148">
        <f t="shared" si="170"/>
        <v>166650.327792</v>
      </c>
      <c r="M2148">
        <f t="shared" si="169"/>
        <v>105074</v>
      </c>
    </row>
    <row r="2149" spans="1:13" x14ac:dyDescent="0.2">
      <c r="A2149">
        <v>104</v>
      </c>
      <c r="B2149">
        <v>75</v>
      </c>
      <c r="C2149">
        <v>179</v>
      </c>
      <c r="D2149" s="51" t="s">
        <v>73</v>
      </c>
      <c r="E2149">
        <f>VLOOKUP(M2149,'MASS - 2016'!$A$1:$G$3418,6,FALSE)</f>
        <v>-46584.28</v>
      </c>
      <c r="F2149">
        <f>VLOOKUP(M2149,'MASS - 2016'!$A$1:$G$3418,7,FALSE)</f>
        <v>24.638999999999999</v>
      </c>
      <c r="G2149">
        <f t="shared" si="171"/>
        <v>-46584.28</v>
      </c>
      <c r="H2149">
        <f t="shared" si="167"/>
        <v>178.94998971872138</v>
      </c>
      <c r="I2149">
        <f t="shared" si="168"/>
        <v>166.69085263900001</v>
      </c>
      <c r="J2149">
        <f t="shared" si="170"/>
        <v>166652.52763900001</v>
      </c>
      <c r="M2149">
        <f t="shared" si="169"/>
        <v>104075</v>
      </c>
    </row>
    <row r="2150" spans="1:13" x14ac:dyDescent="0.2">
      <c r="A2150">
        <v>103</v>
      </c>
      <c r="B2150">
        <v>76</v>
      </c>
      <c r="C2150">
        <v>179</v>
      </c>
      <c r="D2150" s="51" t="s">
        <v>74</v>
      </c>
      <c r="E2150">
        <f>VLOOKUP(M2150,'MASS - 2016'!$A$1:$G$3418,6,FALSE)</f>
        <v>-43019.495000000003</v>
      </c>
      <c r="F2150">
        <f>VLOOKUP(M2150,'MASS - 2016'!$A$1:$G$3418,7,FALSE)</f>
        <v>16.504000000000001</v>
      </c>
      <c r="G2150">
        <f t="shared" si="171"/>
        <v>-43019.495000000003</v>
      </c>
      <c r="H2150">
        <f t="shared" si="167"/>
        <v>178.95381667280432</v>
      </c>
      <c r="I2150">
        <f t="shared" si="168"/>
        <v>166.69441742399999</v>
      </c>
      <c r="J2150">
        <f t="shared" si="170"/>
        <v>166655.58142399997</v>
      </c>
      <c r="M2150">
        <f t="shared" si="169"/>
        <v>103076</v>
      </c>
    </row>
    <row r="2151" spans="1:13" x14ac:dyDescent="0.2">
      <c r="A2151">
        <v>102</v>
      </c>
      <c r="B2151">
        <v>77</v>
      </c>
      <c r="C2151">
        <v>179</v>
      </c>
      <c r="D2151" s="51" t="s">
        <v>75</v>
      </c>
      <c r="E2151">
        <f>VLOOKUP(M2151,'MASS - 2016'!$A$1:$G$3418,6,FALSE)</f>
        <v>-38081.714</v>
      </c>
      <c r="F2151">
        <f>VLOOKUP(M2151,'MASS - 2016'!$A$1:$G$3418,7,FALSE)</f>
        <v>9.7710000000000008</v>
      </c>
      <c r="G2151">
        <f t="shared" si="171"/>
        <v>-38081.714</v>
      </c>
      <c r="H2151">
        <f t="shared" si="167"/>
        <v>178.95911759871115</v>
      </c>
      <c r="I2151">
        <f t="shared" si="168"/>
        <v>166.69935520500002</v>
      </c>
      <c r="J2151">
        <f t="shared" si="170"/>
        <v>166660.00820500002</v>
      </c>
      <c r="M2151">
        <f t="shared" si="169"/>
        <v>102077</v>
      </c>
    </row>
    <row r="2152" spans="1:13" x14ac:dyDescent="0.2">
      <c r="A2152">
        <v>101</v>
      </c>
      <c r="B2152">
        <v>78</v>
      </c>
      <c r="C2152">
        <v>179</v>
      </c>
      <c r="D2152" s="51" t="s">
        <v>76</v>
      </c>
      <c r="E2152">
        <f>VLOOKUP(M2152,'MASS - 2016'!$A$1:$G$3418,6,FALSE)</f>
        <v>-32268.145</v>
      </c>
      <c r="F2152">
        <f>VLOOKUP(M2152,'MASS - 2016'!$A$1:$G$3418,7,FALSE)</f>
        <v>7.9770000000000003</v>
      </c>
      <c r="G2152">
        <f t="shared" si="171"/>
        <v>-32268.145</v>
      </c>
      <c r="H2152">
        <f t="shared" si="167"/>
        <v>178.96535872170205</v>
      </c>
      <c r="I2152">
        <f t="shared" si="168"/>
        <v>166.70516877400001</v>
      </c>
      <c r="J2152">
        <f t="shared" si="170"/>
        <v>166665.31077400001</v>
      </c>
      <c r="M2152">
        <f t="shared" si="169"/>
        <v>101078</v>
      </c>
    </row>
    <row r="2153" spans="1:13" x14ac:dyDescent="0.2">
      <c r="A2153">
        <v>100</v>
      </c>
      <c r="B2153">
        <v>79</v>
      </c>
      <c r="C2153">
        <v>179</v>
      </c>
      <c r="D2153" s="51" t="s">
        <v>77</v>
      </c>
      <c r="E2153">
        <f>VLOOKUP(M2153,'MASS - 2016'!$A$1:$G$3418,6,FALSE)</f>
        <v>-24988.566999999999</v>
      </c>
      <c r="F2153">
        <f>VLOOKUP(M2153,'MASS - 2016'!$A$1:$G$3418,7,FALSE)</f>
        <v>11.696</v>
      </c>
      <c r="G2153">
        <f t="shared" si="171"/>
        <v>-24988.566999999999</v>
      </c>
      <c r="H2153">
        <f t="shared" si="167"/>
        <v>178.97317367007884</v>
      </c>
      <c r="I2153">
        <f t="shared" si="168"/>
        <v>166.712448352</v>
      </c>
      <c r="J2153">
        <f t="shared" si="170"/>
        <v>166672.079352</v>
      </c>
      <c r="M2153">
        <f t="shared" si="169"/>
        <v>100079</v>
      </c>
    </row>
    <row r="2154" spans="1:13" x14ac:dyDescent="0.2">
      <c r="A2154">
        <v>99</v>
      </c>
      <c r="B2154">
        <v>80</v>
      </c>
      <c r="C2154">
        <v>179</v>
      </c>
      <c r="D2154" s="51" t="s">
        <v>78</v>
      </c>
      <c r="E2154">
        <f>VLOOKUP(M2154,'MASS - 2016'!$A$1:$G$3418,6,FALSE)</f>
        <v>-16928.133999999998</v>
      </c>
      <c r="F2154">
        <f>VLOOKUP(M2154,'MASS - 2016'!$A$1:$G$3418,7,FALSE)</f>
        <v>27.266999999999999</v>
      </c>
      <c r="G2154">
        <f t="shared" si="171"/>
        <v>-16928.133999999998</v>
      </c>
      <c r="H2154">
        <f t="shared" si="167"/>
        <v>178.98182690077292</v>
      </c>
      <c r="I2154">
        <f t="shared" si="168"/>
        <v>166.72050878499999</v>
      </c>
      <c r="J2154">
        <f t="shared" si="170"/>
        <v>166679.62878499998</v>
      </c>
      <c r="M2154">
        <f t="shared" si="169"/>
        <v>99080</v>
      </c>
    </row>
    <row r="2155" spans="1:13" x14ac:dyDescent="0.2">
      <c r="A2155">
        <v>98</v>
      </c>
      <c r="B2155">
        <v>81</v>
      </c>
      <c r="C2155">
        <v>179</v>
      </c>
      <c r="D2155" s="51" t="s">
        <v>79</v>
      </c>
      <c r="E2155">
        <f>VLOOKUP(M2155,'MASS - 2016'!$A$1:$G$3418,6,FALSE)</f>
        <v>-8268.4950000000008</v>
      </c>
      <c r="F2155">
        <f>VLOOKUP(M2155,'MASS - 2016'!$A$1:$G$3418,7,FALSE)</f>
        <v>38.792999999999999</v>
      </c>
      <c r="G2155">
        <f t="shared" si="171"/>
        <v>-8268.4950000000008</v>
      </c>
      <c r="H2155">
        <f t="shared" si="167"/>
        <v>178.99112340556297</v>
      </c>
      <c r="I2155">
        <f t="shared" si="168"/>
        <v>166.72916842399999</v>
      </c>
      <c r="J2155">
        <f t="shared" si="170"/>
        <v>166687.777424</v>
      </c>
      <c r="M2155">
        <f t="shared" si="169"/>
        <v>98081</v>
      </c>
    </row>
    <row r="2156" spans="1:13" x14ac:dyDescent="0.2">
      <c r="A2156">
        <v>110</v>
      </c>
      <c r="B2156">
        <v>70</v>
      </c>
      <c r="C2156">
        <v>180</v>
      </c>
      <c r="D2156" s="51" t="s">
        <v>68</v>
      </c>
      <c r="E2156" t="str">
        <f>VLOOKUP(M2156,'MASS - 2016'!$A$1:$G$3418,6,FALSE)</f>
        <v>-44600#</v>
      </c>
      <c r="F2156" t="str">
        <f>VLOOKUP(M2156,'MASS - 2016'!$A$1:$G$3418,7,FALSE)</f>
        <v>298#</v>
      </c>
      <c r="G2156">
        <f t="shared" si="171"/>
        <v>-44600.01</v>
      </c>
      <c r="H2156">
        <f t="shared" si="167"/>
        <v>179.95211992017198</v>
      </c>
      <c r="I2156">
        <f t="shared" si="168"/>
        <v>167.62433096999999</v>
      </c>
      <c r="J2156">
        <f t="shared" si="170"/>
        <v>167588.56096999999</v>
      </c>
      <c r="M2156">
        <f t="shared" si="169"/>
        <v>110070</v>
      </c>
    </row>
    <row r="2157" spans="1:13" x14ac:dyDescent="0.2">
      <c r="A2157">
        <v>109</v>
      </c>
      <c r="B2157">
        <v>71</v>
      </c>
      <c r="C2157">
        <v>180</v>
      </c>
      <c r="D2157" s="51" t="s">
        <v>69</v>
      </c>
      <c r="E2157">
        <f>VLOOKUP(M2157,'MASS - 2016'!$A$1:$G$3418,6,FALSE)</f>
        <v>-46676.347999999998</v>
      </c>
      <c r="F2157">
        <f>VLOOKUP(M2157,'MASS - 2016'!$A$1:$G$3418,7,FALSE)</f>
        <v>70.724999999999994</v>
      </c>
      <c r="G2157">
        <f t="shared" si="171"/>
        <v>-46676.347999999998</v>
      </c>
      <c r="H2157">
        <f t="shared" si="167"/>
        <v>179.94989087965854</v>
      </c>
      <c r="I2157">
        <f t="shared" si="168"/>
        <v>167.62225463199999</v>
      </c>
      <c r="J2157">
        <f t="shared" si="170"/>
        <v>167585.97363200001</v>
      </c>
      <c r="M2157">
        <f t="shared" si="169"/>
        <v>109071</v>
      </c>
    </row>
    <row r="2158" spans="1:13" x14ac:dyDescent="0.2">
      <c r="A2158">
        <v>108</v>
      </c>
      <c r="B2158">
        <v>72</v>
      </c>
      <c r="C2158">
        <v>180</v>
      </c>
      <c r="D2158" s="51" t="s">
        <v>70</v>
      </c>
      <c r="E2158">
        <f>VLOOKUP(M2158,'MASS - 2016'!$A$1:$G$3418,6,FALSE)</f>
        <v>-49779.347999999998</v>
      </c>
      <c r="F2158">
        <f>VLOOKUP(M2158,'MASS - 2016'!$A$1:$G$3418,7,FALSE)</f>
        <v>1.419</v>
      </c>
      <c r="G2158">
        <f t="shared" si="171"/>
        <v>-49779.347999999998</v>
      </c>
      <c r="H2158">
        <f t="shared" si="167"/>
        <v>179.94655967216093</v>
      </c>
      <c r="I2158">
        <f t="shared" si="168"/>
        <v>167.61915163200001</v>
      </c>
      <c r="J2158">
        <f t="shared" si="170"/>
        <v>167582.35963200004</v>
      </c>
      <c r="M2158">
        <f t="shared" si="169"/>
        <v>108072</v>
      </c>
    </row>
    <row r="2159" spans="1:13" x14ac:dyDescent="0.2">
      <c r="A2159">
        <v>107</v>
      </c>
      <c r="B2159">
        <v>73</v>
      </c>
      <c r="C2159">
        <v>180</v>
      </c>
      <c r="D2159" s="51" t="s">
        <v>71</v>
      </c>
      <c r="E2159">
        <f>VLOOKUP(M2159,'MASS - 2016'!$A$1:$G$3418,6,FALSE)</f>
        <v>-48932.877</v>
      </c>
      <c r="F2159">
        <f>VLOOKUP(M2159,'MASS - 2016'!$A$1:$G$3418,7,FALSE)</f>
        <v>1.9390000000000001</v>
      </c>
      <c r="G2159">
        <f t="shared" si="171"/>
        <v>-48932.877</v>
      </c>
      <c r="H2159">
        <f t="shared" si="167"/>
        <v>179.94746839615115</v>
      </c>
      <c r="I2159">
        <f t="shared" si="168"/>
        <v>167.619998103</v>
      </c>
      <c r="J2159">
        <f t="shared" si="170"/>
        <v>167582.69510299998</v>
      </c>
      <c r="M2159">
        <f t="shared" si="169"/>
        <v>107073</v>
      </c>
    </row>
    <row r="2160" spans="1:13" x14ac:dyDescent="0.2">
      <c r="A2160">
        <v>106</v>
      </c>
      <c r="B2160">
        <v>74</v>
      </c>
      <c r="C2160">
        <v>180</v>
      </c>
      <c r="D2160" s="51" t="s">
        <v>72</v>
      </c>
      <c r="E2160">
        <f>VLOOKUP(M2160,'MASS - 2016'!$A$1:$G$3418,6,FALSE)</f>
        <v>-49636.114999999998</v>
      </c>
      <c r="F2160">
        <f>VLOOKUP(M2160,'MASS - 2016'!$A$1:$G$3418,7,FALSE)</f>
        <v>1.4359999999999999</v>
      </c>
      <c r="G2160">
        <f t="shared" si="171"/>
        <v>-49636.114999999998</v>
      </c>
      <c r="H2160">
        <f t="shared" si="167"/>
        <v>179.94671343911017</v>
      </c>
      <c r="I2160">
        <f t="shared" si="168"/>
        <v>167.619294865</v>
      </c>
      <c r="J2160">
        <f t="shared" si="170"/>
        <v>167581.48086499999</v>
      </c>
      <c r="M2160">
        <f t="shared" si="169"/>
        <v>106074</v>
      </c>
    </row>
    <row r="2161" spans="1:13" x14ac:dyDescent="0.2">
      <c r="A2161">
        <v>105</v>
      </c>
      <c r="B2161">
        <v>75</v>
      </c>
      <c r="C2161">
        <v>180</v>
      </c>
      <c r="D2161" s="51" t="s">
        <v>73</v>
      </c>
      <c r="E2161">
        <f>VLOOKUP(M2161,'MASS - 2016'!$A$1:$G$3418,6,FALSE)</f>
        <v>-45837.358999999997</v>
      </c>
      <c r="F2161">
        <f>VLOOKUP(M2161,'MASS - 2016'!$A$1:$G$3418,7,FALSE)</f>
        <v>21.391999999999999</v>
      </c>
      <c r="G2161">
        <f t="shared" si="171"/>
        <v>-45837.358999999997</v>
      </c>
      <c r="H2161">
        <f t="shared" si="167"/>
        <v>179.95079157139148</v>
      </c>
      <c r="I2161">
        <f t="shared" si="168"/>
        <v>167.62309362100001</v>
      </c>
      <c r="J2161">
        <f t="shared" si="170"/>
        <v>167584.768621</v>
      </c>
      <c r="M2161">
        <f t="shared" si="169"/>
        <v>105075</v>
      </c>
    </row>
    <row r="2162" spans="1:13" x14ac:dyDescent="0.2">
      <c r="A2162">
        <v>104</v>
      </c>
      <c r="B2162">
        <v>76</v>
      </c>
      <c r="C2162">
        <v>180</v>
      </c>
      <c r="D2162" s="51" t="s">
        <v>74</v>
      </c>
      <c r="E2162">
        <f>VLOOKUP(M2162,'MASS - 2016'!$A$1:$G$3418,6,FALSE)</f>
        <v>-44357.81</v>
      </c>
      <c r="F2162">
        <f>VLOOKUP(M2162,'MASS - 2016'!$A$1:$G$3418,7,FALSE)</f>
        <v>16.390999999999998</v>
      </c>
      <c r="G2162">
        <f t="shared" si="171"/>
        <v>-44357.81</v>
      </c>
      <c r="H2162">
        <f t="shared" si="167"/>
        <v>179.95237993256512</v>
      </c>
      <c r="I2162">
        <f t="shared" si="168"/>
        <v>167.62457316999999</v>
      </c>
      <c r="J2162">
        <f t="shared" si="170"/>
        <v>167585.73716999998</v>
      </c>
      <c r="M2162">
        <f t="shared" si="169"/>
        <v>104076</v>
      </c>
    </row>
    <row r="2163" spans="1:13" x14ac:dyDescent="0.2">
      <c r="A2163">
        <v>103</v>
      </c>
      <c r="B2163">
        <v>77</v>
      </c>
      <c r="C2163">
        <v>180</v>
      </c>
      <c r="D2163" s="51" t="s">
        <v>75</v>
      </c>
      <c r="E2163">
        <f>VLOOKUP(M2163,'MASS - 2016'!$A$1:$G$3418,6,FALSE)</f>
        <v>-37977.525999999998</v>
      </c>
      <c r="F2163">
        <f>VLOOKUP(M2163,'MASS - 2016'!$A$1:$G$3418,7,FALSE)</f>
        <v>21.706</v>
      </c>
      <c r="G2163">
        <f t="shared" si="171"/>
        <v>-37977.525999999998</v>
      </c>
      <c r="H2163">
        <f t="shared" si="167"/>
        <v>179.95922944912905</v>
      </c>
      <c r="I2163">
        <f t="shared" si="168"/>
        <v>167.63095345400001</v>
      </c>
      <c r="J2163">
        <f t="shared" si="170"/>
        <v>167591.60645399999</v>
      </c>
      <c r="M2163">
        <f t="shared" si="169"/>
        <v>103077</v>
      </c>
    </row>
    <row r="2164" spans="1:13" x14ac:dyDescent="0.2">
      <c r="A2164">
        <v>102</v>
      </c>
      <c r="B2164">
        <v>78</v>
      </c>
      <c r="C2164">
        <v>180</v>
      </c>
      <c r="D2164" s="51" t="s">
        <v>76</v>
      </c>
      <c r="E2164">
        <f>VLOOKUP(M2164,'MASS - 2016'!$A$1:$G$3418,6,FALSE)</f>
        <v>-34435.877</v>
      </c>
      <c r="F2164">
        <f>VLOOKUP(M2164,'MASS - 2016'!$A$1:$G$3418,7,FALSE)</f>
        <v>10.974</v>
      </c>
      <c r="G2164">
        <f t="shared" si="171"/>
        <v>-34435.877</v>
      </c>
      <c r="H2164">
        <f t="shared" si="167"/>
        <v>179.96303156569456</v>
      </c>
      <c r="I2164">
        <f t="shared" si="168"/>
        <v>167.63449510300001</v>
      </c>
      <c r="J2164">
        <f t="shared" si="170"/>
        <v>167594.63710299999</v>
      </c>
      <c r="M2164">
        <f t="shared" si="169"/>
        <v>102078</v>
      </c>
    </row>
    <row r="2165" spans="1:13" x14ac:dyDescent="0.2">
      <c r="A2165">
        <v>101</v>
      </c>
      <c r="B2165">
        <v>79</v>
      </c>
      <c r="C2165">
        <v>180</v>
      </c>
      <c r="D2165" s="51" t="s">
        <v>77</v>
      </c>
      <c r="E2165">
        <f>VLOOKUP(M2165,'MASS - 2016'!$A$1:$G$3418,6,FALSE)</f>
        <v>-25625.508999999998</v>
      </c>
      <c r="F2165">
        <f>VLOOKUP(M2165,'MASS - 2016'!$A$1:$G$3418,7,FALSE)</f>
        <v>4.7859999999999996</v>
      </c>
      <c r="G2165">
        <f t="shared" si="171"/>
        <v>-25625.508999999998</v>
      </c>
      <c r="H2165">
        <f t="shared" si="167"/>
        <v>179.9724898847208</v>
      </c>
      <c r="I2165">
        <f t="shared" si="168"/>
        <v>167.64330547099999</v>
      </c>
      <c r="J2165">
        <f t="shared" si="170"/>
        <v>167602.93647099999</v>
      </c>
      <c r="M2165">
        <f t="shared" si="169"/>
        <v>101079</v>
      </c>
    </row>
    <row r="2166" spans="1:13" x14ac:dyDescent="0.2">
      <c r="A2166">
        <v>100</v>
      </c>
      <c r="B2166">
        <v>80</v>
      </c>
      <c r="C2166">
        <v>180</v>
      </c>
      <c r="D2166" s="51" t="s">
        <v>78</v>
      </c>
      <c r="E2166">
        <f>VLOOKUP(M2166,'MASS - 2016'!$A$1:$G$3418,6,FALSE)</f>
        <v>-20250.447</v>
      </c>
      <c r="F2166">
        <f>VLOOKUP(M2166,'MASS - 2016'!$A$1:$G$3418,7,FALSE)</f>
        <v>12.648999999999999</v>
      </c>
      <c r="G2166">
        <f t="shared" si="171"/>
        <v>-20250.447</v>
      </c>
      <c r="H2166">
        <f t="shared" si="167"/>
        <v>179.97826025108711</v>
      </c>
      <c r="I2166">
        <f t="shared" si="168"/>
        <v>167.648680533</v>
      </c>
      <c r="J2166">
        <f t="shared" si="170"/>
        <v>167607.800533</v>
      </c>
      <c r="M2166">
        <f t="shared" si="169"/>
        <v>100080</v>
      </c>
    </row>
    <row r="2167" spans="1:13" x14ac:dyDescent="0.2">
      <c r="A2167">
        <v>99</v>
      </c>
      <c r="B2167">
        <v>81</v>
      </c>
      <c r="C2167">
        <v>180</v>
      </c>
      <c r="D2167" s="51" t="s">
        <v>79</v>
      </c>
      <c r="E2167">
        <f>VLOOKUP(M2167,'MASS - 2016'!$A$1:$G$3418,6,FALSE)</f>
        <v>-9386.6470000000008</v>
      </c>
      <c r="F2167">
        <f>VLOOKUP(M2167,'MASS - 2016'!$A$1:$G$3418,7,FALSE)</f>
        <v>60.01</v>
      </c>
      <c r="G2167">
        <f t="shared" si="171"/>
        <v>-9386.6470000000008</v>
      </c>
      <c r="H2167">
        <f t="shared" si="167"/>
        <v>179.98992302002449</v>
      </c>
      <c r="I2167">
        <f t="shared" si="168"/>
        <v>167.65954433299999</v>
      </c>
      <c r="J2167">
        <f t="shared" si="170"/>
        <v>167618.15333299999</v>
      </c>
      <c r="M2167">
        <f t="shared" si="169"/>
        <v>99081</v>
      </c>
    </row>
    <row r="2168" spans="1:13" x14ac:dyDescent="0.2">
      <c r="A2168">
        <v>111</v>
      </c>
      <c r="B2168">
        <v>70</v>
      </c>
      <c r="C2168">
        <v>181</v>
      </c>
      <c r="D2168" s="51" t="s">
        <v>68</v>
      </c>
      <c r="E2168" t="str">
        <f>VLOOKUP(M2168,'MASS - 2016'!$A$1:$G$3418,6,FALSE)</f>
        <v>-41088#</v>
      </c>
      <c r="F2168" t="str">
        <f>VLOOKUP(M2168,'MASS - 2016'!$A$1:$G$3418,7,FALSE)</f>
        <v>298#</v>
      </c>
      <c r="G2168">
        <f t="shared" si="171"/>
        <v>-41088.01</v>
      </c>
      <c r="H2168">
        <f t="shared" si="167"/>
        <v>180.95589020722699</v>
      </c>
      <c r="I2168">
        <f t="shared" si="168"/>
        <v>168.55933703099998</v>
      </c>
      <c r="J2168">
        <f t="shared" si="170"/>
        <v>168523.56703099998</v>
      </c>
      <c r="M2168">
        <f t="shared" si="169"/>
        <v>111070</v>
      </c>
    </row>
    <row r="2169" spans="1:13" x14ac:dyDescent="0.2">
      <c r="A2169">
        <v>110</v>
      </c>
      <c r="B2169">
        <v>71</v>
      </c>
      <c r="C2169">
        <v>181</v>
      </c>
      <c r="D2169" s="51" t="s">
        <v>69</v>
      </c>
      <c r="E2169">
        <f>VLOOKUP(M2169,'MASS - 2016'!$A$1:$G$3418,6,FALSE)</f>
        <v>-44797.41</v>
      </c>
      <c r="F2169">
        <f>VLOOKUP(M2169,'MASS - 2016'!$A$1:$G$3418,7,FALSE)</f>
        <v>125.752</v>
      </c>
      <c r="G2169">
        <f t="shared" si="171"/>
        <v>-44797.41</v>
      </c>
      <c r="H2169">
        <f t="shared" si="167"/>
        <v>180.95190800255676</v>
      </c>
      <c r="I2169">
        <f t="shared" si="168"/>
        <v>168.55562763099999</v>
      </c>
      <c r="J2169">
        <f t="shared" si="170"/>
        <v>168519.34663099999</v>
      </c>
      <c r="M2169">
        <f t="shared" si="169"/>
        <v>110071</v>
      </c>
    </row>
    <row r="2170" spans="1:13" x14ac:dyDescent="0.2">
      <c r="A2170">
        <v>109</v>
      </c>
      <c r="B2170">
        <v>72</v>
      </c>
      <c r="C2170">
        <v>181</v>
      </c>
      <c r="D2170" s="51" t="s">
        <v>70</v>
      </c>
      <c r="E2170">
        <f>VLOOKUP(M2170,'MASS - 2016'!$A$1:$G$3418,6,FALSE)</f>
        <v>-47402.830999999998</v>
      </c>
      <c r="F2170">
        <f>VLOOKUP(M2170,'MASS - 2016'!$A$1:$G$3418,7,FALSE)</f>
        <v>1.42</v>
      </c>
      <c r="G2170">
        <f t="shared" si="171"/>
        <v>-47402.830999999998</v>
      </c>
      <c r="H2170">
        <f t="shared" si="167"/>
        <v>180.94911096808377</v>
      </c>
      <c r="I2170">
        <f t="shared" si="168"/>
        <v>168.55302220999999</v>
      </c>
      <c r="J2170">
        <f t="shared" si="170"/>
        <v>168516.23021000001</v>
      </c>
      <c r="M2170">
        <f t="shared" si="169"/>
        <v>109072</v>
      </c>
    </row>
    <row r="2171" spans="1:13" x14ac:dyDescent="0.2">
      <c r="A2171">
        <v>108</v>
      </c>
      <c r="B2171">
        <v>73</v>
      </c>
      <c r="C2171">
        <v>181</v>
      </c>
      <c r="D2171" s="51" t="s">
        <v>71</v>
      </c>
      <c r="E2171">
        <f>VLOOKUP(M2171,'MASS - 2016'!$A$1:$G$3418,6,FALSE)</f>
        <v>-48438.311000000002</v>
      </c>
      <c r="F2171">
        <f>VLOOKUP(M2171,'MASS - 2016'!$A$1:$G$3418,7,FALSE)</f>
        <v>1.403</v>
      </c>
      <c r="G2171">
        <f t="shared" si="171"/>
        <v>-48438.311000000002</v>
      </c>
      <c r="H2171">
        <f t="shared" si="167"/>
        <v>180.94799933458725</v>
      </c>
      <c r="I2171">
        <f t="shared" si="168"/>
        <v>168.55198672999998</v>
      </c>
      <c r="J2171">
        <f t="shared" si="170"/>
        <v>168514.68372999996</v>
      </c>
      <c r="M2171">
        <f t="shared" si="169"/>
        <v>108073</v>
      </c>
    </row>
    <row r="2172" spans="1:13" x14ac:dyDescent="0.2">
      <c r="A2172">
        <v>107</v>
      </c>
      <c r="B2172">
        <v>74</v>
      </c>
      <c r="C2172">
        <v>181</v>
      </c>
      <c r="D2172" s="51" t="s">
        <v>72</v>
      </c>
      <c r="E2172">
        <f>VLOOKUP(M2172,'MASS - 2016'!$A$1:$G$3418,6,FALSE)</f>
        <v>-48233.817999999999</v>
      </c>
      <c r="F2172">
        <f>VLOOKUP(M2172,'MASS - 2016'!$A$1:$G$3418,7,FALSE)</f>
        <v>1.4450000000000001</v>
      </c>
      <c r="G2172">
        <f t="shared" si="171"/>
        <v>-48233.817999999999</v>
      </c>
      <c r="H2172">
        <f t="shared" si="167"/>
        <v>180.94821886685116</v>
      </c>
      <c r="I2172">
        <f t="shared" si="168"/>
        <v>168.55219122299999</v>
      </c>
      <c r="J2172">
        <f t="shared" si="170"/>
        <v>168514.37722299999</v>
      </c>
      <c r="M2172">
        <f t="shared" si="169"/>
        <v>107074</v>
      </c>
    </row>
    <row r="2173" spans="1:13" x14ac:dyDescent="0.2">
      <c r="A2173">
        <v>106</v>
      </c>
      <c r="B2173">
        <v>75</v>
      </c>
      <c r="C2173">
        <v>181</v>
      </c>
      <c r="D2173" s="51" t="s">
        <v>73</v>
      </c>
      <c r="E2173">
        <f>VLOOKUP(M2173,'MASS - 2016'!$A$1:$G$3418,6,FALSE)</f>
        <v>-46517.391000000003</v>
      </c>
      <c r="F2173">
        <f>VLOOKUP(M2173,'MASS - 2016'!$A$1:$G$3418,7,FALSE)</f>
        <v>12.548999999999999</v>
      </c>
      <c r="G2173">
        <f t="shared" si="171"/>
        <v>-46517.391000000003</v>
      </c>
      <c r="H2173">
        <f t="shared" si="167"/>
        <v>180.950061527016</v>
      </c>
      <c r="I2173">
        <f t="shared" si="168"/>
        <v>168.55390764999999</v>
      </c>
      <c r="J2173">
        <f t="shared" si="170"/>
        <v>168515.58264999997</v>
      </c>
      <c r="M2173">
        <f t="shared" si="169"/>
        <v>106075</v>
      </c>
    </row>
    <row r="2174" spans="1:13" x14ac:dyDescent="0.2">
      <c r="A2174">
        <v>105</v>
      </c>
      <c r="B2174">
        <v>76</v>
      </c>
      <c r="C2174">
        <v>181</v>
      </c>
      <c r="D2174" s="51" t="s">
        <v>74</v>
      </c>
      <c r="E2174">
        <f>VLOOKUP(M2174,'MASS - 2016'!$A$1:$G$3418,6,FALSE)</f>
        <v>-43549.963000000003</v>
      </c>
      <c r="F2174">
        <f>VLOOKUP(M2174,'MASS - 2016'!$A$1:$G$3418,7,FALSE)</f>
        <v>25.338000000000001</v>
      </c>
      <c r="G2174">
        <f t="shared" si="171"/>
        <v>-43549.963000000003</v>
      </c>
      <c r="H2174">
        <f t="shared" si="167"/>
        <v>180.95324719198612</v>
      </c>
      <c r="I2174">
        <f t="shared" si="168"/>
        <v>168.55687507799999</v>
      </c>
      <c r="J2174">
        <f t="shared" si="170"/>
        <v>168518.03907799997</v>
      </c>
      <c r="M2174">
        <f t="shared" si="169"/>
        <v>105076</v>
      </c>
    </row>
    <row r="2175" spans="1:13" x14ac:dyDescent="0.2">
      <c r="A2175">
        <v>104</v>
      </c>
      <c r="B2175">
        <v>77</v>
      </c>
      <c r="C2175">
        <v>181</v>
      </c>
      <c r="D2175" s="51" t="s">
        <v>75</v>
      </c>
      <c r="E2175">
        <f>VLOOKUP(M2175,'MASS - 2016'!$A$1:$G$3418,6,FALSE)</f>
        <v>-39463.027999999998</v>
      </c>
      <c r="F2175">
        <f>VLOOKUP(M2175,'MASS - 2016'!$A$1:$G$3418,7,FALSE)</f>
        <v>5.2450000000000001</v>
      </c>
      <c r="G2175">
        <f t="shared" si="171"/>
        <v>-39463.027999999998</v>
      </c>
      <c r="H2175">
        <f t="shared" si="167"/>
        <v>180.95763469714703</v>
      </c>
      <c r="I2175">
        <f t="shared" si="168"/>
        <v>168.56096201299999</v>
      </c>
      <c r="J2175">
        <f t="shared" si="170"/>
        <v>168521.61501299997</v>
      </c>
      <c r="M2175">
        <f t="shared" si="169"/>
        <v>104077</v>
      </c>
    </row>
    <row r="2176" spans="1:13" x14ac:dyDescent="0.2">
      <c r="A2176">
        <v>103</v>
      </c>
      <c r="B2176">
        <v>78</v>
      </c>
      <c r="C2176">
        <v>181</v>
      </c>
      <c r="D2176" s="51" t="s">
        <v>76</v>
      </c>
      <c r="E2176">
        <f>VLOOKUP(M2176,'MASS - 2016'!$A$1:$G$3418,6,FALSE)</f>
        <v>-34381.510999999999</v>
      </c>
      <c r="F2176">
        <f>VLOOKUP(M2176,'MASS - 2016'!$A$1:$G$3418,7,FALSE)</f>
        <v>13.689</v>
      </c>
      <c r="G2176">
        <f t="shared" si="171"/>
        <v>-34381.510999999999</v>
      </c>
      <c r="H2176">
        <f t="shared" si="167"/>
        <v>180.96308992999582</v>
      </c>
      <c r="I2176">
        <f t="shared" si="168"/>
        <v>168.56604353</v>
      </c>
      <c r="J2176">
        <f t="shared" si="170"/>
        <v>168526.18552999999</v>
      </c>
      <c r="M2176">
        <f t="shared" si="169"/>
        <v>103078</v>
      </c>
    </row>
    <row r="2177" spans="1:13" x14ac:dyDescent="0.2">
      <c r="A2177">
        <v>102</v>
      </c>
      <c r="B2177">
        <v>79</v>
      </c>
      <c r="C2177">
        <v>181</v>
      </c>
      <c r="D2177" s="51" t="s">
        <v>77</v>
      </c>
      <c r="E2177">
        <f>VLOOKUP(M2177,'MASS - 2016'!$A$1:$G$3418,6,FALSE)</f>
        <v>-27871.135999999999</v>
      </c>
      <c r="F2177">
        <f>VLOOKUP(M2177,'MASS - 2016'!$A$1:$G$3418,7,FALSE)</f>
        <v>19.975999999999999</v>
      </c>
      <c r="G2177">
        <f t="shared" si="171"/>
        <v>-27871.135999999999</v>
      </c>
      <c r="H2177">
        <f t="shared" si="167"/>
        <v>180.97007910499175</v>
      </c>
      <c r="I2177">
        <f t="shared" si="168"/>
        <v>168.57255390500001</v>
      </c>
      <c r="J2177">
        <f t="shared" si="170"/>
        <v>168532.184905</v>
      </c>
      <c r="M2177">
        <f t="shared" si="169"/>
        <v>102079</v>
      </c>
    </row>
    <row r="2178" spans="1:13" x14ac:dyDescent="0.2">
      <c r="A2178">
        <v>101</v>
      </c>
      <c r="B2178">
        <v>80</v>
      </c>
      <c r="C2178">
        <v>181</v>
      </c>
      <c r="D2178" s="51" t="s">
        <v>78</v>
      </c>
      <c r="E2178">
        <f>VLOOKUP(M2178,'MASS - 2016'!$A$1:$G$3418,6,FALSE)</f>
        <v>-20661.135999999999</v>
      </c>
      <c r="F2178">
        <f>VLOOKUP(M2178,'MASS - 2016'!$A$1:$G$3418,7,FALSE)</f>
        <v>15.382</v>
      </c>
      <c r="G2178">
        <f t="shared" si="171"/>
        <v>-20661.135999999999</v>
      </c>
      <c r="H2178">
        <f t="shared" si="167"/>
        <v>180.97781935831364</v>
      </c>
      <c r="I2178">
        <f t="shared" si="168"/>
        <v>168.57976390499999</v>
      </c>
      <c r="J2178">
        <f t="shared" si="170"/>
        <v>168538.883905</v>
      </c>
      <c r="M2178">
        <f t="shared" si="169"/>
        <v>101080</v>
      </c>
    </row>
    <row r="2179" spans="1:13" x14ac:dyDescent="0.2">
      <c r="A2179">
        <v>100</v>
      </c>
      <c r="B2179">
        <v>81</v>
      </c>
      <c r="C2179">
        <v>181</v>
      </c>
      <c r="D2179" s="51" t="s">
        <v>79</v>
      </c>
      <c r="E2179">
        <f>VLOOKUP(M2179,'MASS - 2016'!$A$1:$G$3418,6,FALSE)</f>
        <v>-12798.735000000001</v>
      </c>
      <c r="F2179">
        <f>VLOOKUP(M2179,'MASS - 2016'!$A$1:$G$3418,7,FALSE)</f>
        <v>9.1080000000000005</v>
      </c>
      <c r="G2179">
        <f t="shared" si="171"/>
        <v>-12798.735000000001</v>
      </c>
      <c r="H2179">
        <f t="shared" si="167"/>
        <v>180.98625999291261</v>
      </c>
      <c r="I2179">
        <f t="shared" si="168"/>
        <v>168.587626306</v>
      </c>
      <c r="J2179">
        <f t="shared" si="170"/>
        <v>168546.23530599999</v>
      </c>
      <c r="M2179">
        <f t="shared" si="169"/>
        <v>100081</v>
      </c>
    </row>
    <row r="2180" spans="1:13" x14ac:dyDescent="0.2">
      <c r="A2180">
        <v>99</v>
      </c>
      <c r="B2180">
        <v>82</v>
      </c>
      <c r="C2180">
        <v>181</v>
      </c>
      <c r="D2180" s="51" t="s">
        <v>80</v>
      </c>
      <c r="E2180">
        <f>VLOOKUP(M2180,'MASS - 2016'!$A$1:$G$3418,6,FALSE)</f>
        <v>-3117.35</v>
      </c>
      <c r="F2180">
        <f>VLOOKUP(M2180,'MASS - 2016'!$A$1:$G$3418,7,FALSE)</f>
        <v>75.411000000000001</v>
      </c>
      <c r="G2180">
        <f t="shared" si="171"/>
        <v>-3117.35</v>
      </c>
      <c r="H2180">
        <f t="shared" si="167"/>
        <v>180.99665338714382</v>
      </c>
      <c r="I2180">
        <f t="shared" si="168"/>
        <v>168.597307691</v>
      </c>
      <c r="J2180">
        <f t="shared" si="170"/>
        <v>168555.40569099999</v>
      </c>
      <c r="M2180">
        <f t="shared" si="169"/>
        <v>99082</v>
      </c>
    </row>
    <row r="2181" spans="1:13" x14ac:dyDescent="0.2">
      <c r="A2181">
        <v>111</v>
      </c>
      <c r="B2181">
        <v>71</v>
      </c>
      <c r="C2181">
        <v>182</v>
      </c>
      <c r="D2181" s="51" t="s">
        <v>69</v>
      </c>
      <c r="E2181" t="str">
        <f>VLOOKUP(M2181,'MASS - 2016'!$A$1:$G$3418,6,FALSE)</f>
        <v>-41880#</v>
      </c>
      <c r="F2181" t="str">
        <f>VLOOKUP(M2181,'MASS - 2016'!$A$1:$G$3418,7,FALSE)</f>
        <v>196#</v>
      </c>
      <c r="G2181">
        <f t="shared" si="171"/>
        <v>-41880.01</v>
      </c>
      <c r="H2181">
        <f t="shared" si="167"/>
        <v>181.95503996026014</v>
      </c>
      <c r="I2181">
        <f t="shared" si="168"/>
        <v>169.49003909199999</v>
      </c>
      <c r="J2181">
        <f t="shared" si="170"/>
        <v>169453.758092</v>
      </c>
      <c r="M2181">
        <f t="shared" si="169"/>
        <v>111071</v>
      </c>
    </row>
    <row r="2182" spans="1:13" x14ac:dyDescent="0.2">
      <c r="A2182">
        <v>110</v>
      </c>
      <c r="B2182">
        <v>72</v>
      </c>
      <c r="C2182">
        <v>182</v>
      </c>
      <c r="D2182" s="51" t="s">
        <v>70</v>
      </c>
      <c r="E2182">
        <f>VLOOKUP(M2182,'MASS - 2016'!$A$1:$G$3418,6,FALSE)</f>
        <v>-46049.508000000002</v>
      </c>
      <c r="F2182">
        <f>VLOOKUP(M2182,'MASS - 2016'!$A$1:$G$3418,7,FALSE)</f>
        <v>6.165</v>
      </c>
      <c r="G2182">
        <f t="shared" si="171"/>
        <v>-46049.508000000002</v>
      </c>
      <c r="H2182">
        <f t="shared" si="167"/>
        <v>181.95056382007354</v>
      </c>
      <c r="I2182">
        <f t="shared" si="168"/>
        <v>169.48586959399998</v>
      </c>
      <c r="J2182">
        <f t="shared" si="170"/>
        <v>169449.077594</v>
      </c>
      <c r="M2182">
        <f t="shared" si="169"/>
        <v>110072</v>
      </c>
    </row>
    <row r="2183" spans="1:13" x14ac:dyDescent="0.2">
      <c r="A2183">
        <v>109</v>
      </c>
      <c r="B2183">
        <v>73</v>
      </c>
      <c r="C2183">
        <v>182</v>
      </c>
      <c r="D2183" s="51" t="s">
        <v>71</v>
      </c>
      <c r="E2183">
        <f>VLOOKUP(M2183,'MASS - 2016'!$A$1:$G$3418,6,FALSE)</f>
        <v>-46429.934000000001</v>
      </c>
      <c r="F2183">
        <f>VLOOKUP(M2183,'MASS - 2016'!$A$1:$G$3418,7,FALSE)</f>
        <v>1.405</v>
      </c>
      <c r="G2183">
        <f t="shared" si="171"/>
        <v>-46429.934000000001</v>
      </c>
      <c r="H2183">
        <f t="shared" si="167"/>
        <v>181.95015541596672</v>
      </c>
      <c r="I2183">
        <f t="shared" si="168"/>
        <v>169.48548916799999</v>
      </c>
      <c r="J2183">
        <f t="shared" si="170"/>
        <v>169448.18616799999</v>
      </c>
      <c r="M2183">
        <f t="shared" si="169"/>
        <v>109073</v>
      </c>
    </row>
    <row r="2184" spans="1:13" x14ac:dyDescent="0.2">
      <c r="A2184">
        <v>108</v>
      </c>
      <c r="B2184">
        <v>74</v>
      </c>
      <c r="C2184">
        <v>182</v>
      </c>
      <c r="D2184" s="51" t="s">
        <v>72</v>
      </c>
      <c r="E2184">
        <f>VLOOKUP(M2184,'MASS - 2016'!$A$1:$G$3418,6,FALSE)</f>
        <v>-48246.06</v>
      </c>
      <c r="F2184">
        <f>VLOOKUP(M2184,'MASS - 2016'!$A$1:$G$3418,7,FALSE)</f>
        <v>0.73799999999999999</v>
      </c>
      <c r="G2184">
        <f t="shared" si="171"/>
        <v>-48246.06</v>
      </c>
      <c r="H2184">
        <f t="shared" si="167"/>
        <v>181.94820572452366</v>
      </c>
      <c r="I2184">
        <f t="shared" si="168"/>
        <v>169.48367304199999</v>
      </c>
      <c r="J2184">
        <f t="shared" si="170"/>
        <v>169445.85904199997</v>
      </c>
      <c r="M2184">
        <f t="shared" si="169"/>
        <v>108074</v>
      </c>
    </row>
    <row r="2185" spans="1:13" x14ac:dyDescent="0.2">
      <c r="A2185">
        <v>107</v>
      </c>
      <c r="B2185">
        <v>75</v>
      </c>
      <c r="C2185">
        <v>182</v>
      </c>
      <c r="D2185" s="51" t="s">
        <v>73</v>
      </c>
      <c r="E2185">
        <f>VLOOKUP(M2185,'MASS - 2016'!$A$1:$G$3418,6,FALSE)</f>
        <v>-45446.06</v>
      </c>
      <c r="F2185">
        <f>VLOOKUP(M2185,'MASS - 2016'!$A$1:$G$3418,7,FALSE)</f>
        <v>101.983</v>
      </c>
      <c r="G2185">
        <f t="shared" si="171"/>
        <v>-45446.06</v>
      </c>
      <c r="H2185">
        <f t="shared" ref="H2185:H2248" si="172">(C2185*$A$3+G2185/1000000)/$A$3</f>
        <v>181.95121164814384</v>
      </c>
      <c r="I2185">
        <f t="shared" ref="I2185:I2248" si="173">H2185*$A$3</f>
        <v>169.486473042</v>
      </c>
      <c r="J2185">
        <f t="shared" si="170"/>
        <v>169448.14804199999</v>
      </c>
      <c r="M2185">
        <f t="shared" ref="M2185:M2248" si="174">1000*A2185+B2185</f>
        <v>107075</v>
      </c>
    </row>
    <row r="2186" spans="1:13" x14ac:dyDescent="0.2">
      <c r="A2186">
        <v>106</v>
      </c>
      <c r="B2186">
        <v>76</v>
      </c>
      <c r="C2186">
        <v>182</v>
      </c>
      <c r="D2186" s="51" t="s">
        <v>74</v>
      </c>
      <c r="E2186">
        <f>VLOOKUP(M2186,'MASS - 2016'!$A$1:$G$3418,6,FALSE)</f>
        <v>-44609.103999999999</v>
      </c>
      <c r="F2186">
        <f>VLOOKUP(M2186,'MASS - 2016'!$A$1:$G$3418,7,FALSE)</f>
        <v>21.745000000000001</v>
      </c>
      <c r="G2186">
        <f t="shared" si="171"/>
        <v>-44609.103999999999</v>
      </c>
      <c r="H2186">
        <f t="shared" si="172"/>
        <v>181.95211015736149</v>
      </c>
      <c r="I2186">
        <f t="shared" si="173"/>
        <v>169.487309998</v>
      </c>
      <c r="J2186">
        <f t="shared" si="170"/>
        <v>169448.473998</v>
      </c>
      <c r="M2186">
        <f t="shared" si="174"/>
        <v>106076</v>
      </c>
    </row>
    <row r="2187" spans="1:13" x14ac:dyDescent="0.2">
      <c r="A2187">
        <v>105</v>
      </c>
      <c r="B2187">
        <v>77</v>
      </c>
      <c r="C2187">
        <v>182</v>
      </c>
      <c r="D2187" s="51" t="s">
        <v>75</v>
      </c>
      <c r="E2187">
        <f>VLOOKUP(M2187,'MASS - 2016'!$A$1:$G$3418,6,FALSE)</f>
        <v>-39051.678999999996</v>
      </c>
      <c r="F2187">
        <f>VLOOKUP(M2187,'MASS - 2016'!$A$1:$G$3418,7,FALSE)</f>
        <v>20.966999999999999</v>
      </c>
      <c r="G2187">
        <f t="shared" si="171"/>
        <v>-39051.678999999996</v>
      </c>
      <c r="H2187">
        <f t="shared" si="172"/>
        <v>181.95807629845959</v>
      </c>
      <c r="I2187">
        <f t="shared" si="173"/>
        <v>169.49286742299998</v>
      </c>
      <c r="J2187">
        <f t="shared" si="170"/>
        <v>169453.52042299998</v>
      </c>
      <c r="M2187">
        <f t="shared" si="174"/>
        <v>105077</v>
      </c>
    </row>
    <row r="2188" spans="1:13" x14ac:dyDescent="0.2">
      <c r="A2188">
        <v>104</v>
      </c>
      <c r="B2188">
        <v>78</v>
      </c>
      <c r="C2188">
        <v>182</v>
      </c>
      <c r="D2188" s="51" t="s">
        <v>76</v>
      </c>
      <c r="E2188">
        <f>VLOOKUP(M2188,'MASS - 2016'!$A$1:$G$3418,6,FALSE)</f>
        <v>-36168.449000000001</v>
      </c>
      <c r="F2188">
        <f>VLOOKUP(M2188,'MASS - 2016'!$A$1:$G$3418,7,FALSE)</f>
        <v>13.095000000000001</v>
      </c>
      <c r="G2188">
        <f t="shared" si="171"/>
        <v>-36168.449000000001</v>
      </c>
      <c r="H2188">
        <f t="shared" si="172"/>
        <v>181.96117157315939</v>
      </c>
      <c r="I2188">
        <f t="shared" si="173"/>
        <v>169.49575065299999</v>
      </c>
      <c r="J2188">
        <f t="shared" ref="J2188:J2251" si="175">1000*I2188-B2188*0.511</f>
        <v>169455.89265299999</v>
      </c>
      <c r="M2188">
        <f t="shared" si="174"/>
        <v>104078</v>
      </c>
    </row>
    <row r="2189" spans="1:13" x14ac:dyDescent="0.2">
      <c r="A2189">
        <v>103</v>
      </c>
      <c r="B2189">
        <v>79</v>
      </c>
      <c r="C2189">
        <v>182</v>
      </c>
      <c r="D2189" s="51" t="s">
        <v>77</v>
      </c>
      <c r="E2189">
        <f>VLOOKUP(M2189,'MASS - 2016'!$A$1:$G$3418,6,FALSE)</f>
        <v>-28300.768</v>
      </c>
      <c r="F2189">
        <f>VLOOKUP(M2189,'MASS - 2016'!$A$1:$G$3418,7,FALSE)</f>
        <v>20.260000000000002</v>
      </c>
      <c r="G2189">
        <f t="shared" si="171"/>
        <v>-28300.768</v>
      </c>
      <c r="H2189">
        <f t="shared" si="172"/>
        <v>181.96961787607145</v>
      </c>
      <c r="I2189">
        <f t="shared" si="173"/>
        <v>169.50361833399998</v>
      </c>
      <c r="J2189">
        <f t="shared" si="175"/>
        <v>169463.24933399996</v>
      </c>
      <c r="M2189">
        <f t="shared" si="174"/>
        <v>103079</v>
      </c>
    </row>
    <row r="2190" spans="1:13" x14ac:dyDescent="0.2">
      <c r="A2190">
        <v>102</v>
      </c>
      <c r="B2190">
        <v>80</v>
      </c>
      <c r="C2190">
        <v>182</v>
      </c>
      <c r="D2190" s="51" t="s">
        <v>78</v>
      </c>
      <c r="E2190">
        <f>VLOOKUP(M2190,'MASS - 2016'!$A$1:$G$3418,6,FALSE)</f>
        <v>-23576.921999999999</v>
      </c>
      <c r="F2190">
        <f>VLOOKUP(M2190,'MASS - 2016'!$A$1:$G$3418,7,FALSE)</f>
        <v>9.7899999999999991</v>
      </c>
      <c r="G2190">
        <f t="shared" si="171"/>
        <v>-23576.921999999999</v>
      </c>
      <c r="H2190">
        <f t="shared" si="172"/>
        <v>181.97468913331053</v>
      </c>
      <c r="I2190">
        <f t="shared" si="173"/>
        <v>169.50834218</v>
      </c>
      <c r="J2190">
        <f t="shared" si="175"/>
        <v>169467.46218</v>
      </c>
      <c r="M2190">
        <f t="shared" si="174"/>
        <v>102080</v>
      </c>
    </row>
    <row r="2191" spans="1:13" x14ac:dyDescent="0.2">
      <c r="A2191">
        <v>101</v>
      </c>
      <c r="B2191">
        <v>81</v>
      </c>
      <c r="C2191">
        <v>182</v>
      </c>
      <c r="D2191" s="51" t="s">
        <v>79</v>
      </c>
      <c r="E2191">
        <f>VLOOKUP(M2191,'MASS - 2016'!$A$1:$G$3418,6,FALSE)</f>
        <v>-13327.927</v>
      </c>
      <c r="F2191">
        <f>VLOOKUP(M2191,'MASS - 2016'!$A$1:$G$3418,7,FALSE)</f>
        <v>11.839</v>
      </c>
      <c r="G2191">
        <f t="shared" ref="G2191:G2254" si="176">IF(ISNUMBER(E2191),E2191,VALUE(SUBSTITUTE(E2191,"#",".01")))</f>
        <v>-13327.927</v>
      </c>
      <c r="H2191">
        <f t="shared" si="172"/>
        <v>181.98569188193673</v>
      </c>
      <c r="I2191">
        <f t="shared" si="173"/>
        <v>169.51859117499998</v>
      </c>
      <c r="J2191">
        <f t="shared" si="175"/>
        <v>169477.20017499998</v>
      </c>
      <c r="M2191">
        <f t="shared" si="174"/>
        <v>101081</v>
      </c>
    </row>
    <row r="2192" spans="1:13" x14ac:dyDescent="0.2">
      <c r="A2192">
        <v>100</v>
      </c>
      <c r="B2192">
        <v>82</v>
      </c>
      <c r="C2192">
        <v>182</v>
      </c>
      <c r="D2192" s="51" t="s">
        <v>80</v>
      </c>
      <c r="E2192">
        <f>VLOOKUP(M2192,'MASS - 2016'!$A$1:$G$3418,6,FALSE)</f>
        <v>-6825.1120000000001</v>
      </c>
      <c r="F2192">
        <f>VLOOKUP(M2192,'MASS - 2016'!$A$1:$G$3418,7,FALSE)</f>
        <v>12.098000000000001</v>
      </c>
      <c r="G2192">
        <f t="shared" si="176"/>
        <v>-6825.1120000000001</v>
      </c>
      <c r="H2192">
        <f t="shared" si="172"/>
        <v>181.99267294093889</v>
      </c>
      <c r="I2192">
        <f t="shared" si="173"/>
        <v>169.52509398999999</v>
      </c>
      <c r="J2192">
        <f t="shared" si="175"/>
        <v>169483.19198999999</v>
      </c>
      <c r="M2192">
        <f t="shared" si="174"/>
        <v>100082</v>
      </c>
    </row>
    <row r="2193" spans="1:13" x14ac:dyDescent="0.2">
      <c r="A2193">
        <v>112</v>
      </c>
      <c r="B2193">
        <v>71</v>
      </c>
      <c r="C2193">
        <v>183</v>
      </c>
      <c r="D2193" s="51" t="s">
        <v>69</v>
      </c>
      <c r="E2193">
        <f>VLOOKUP(M2193,'MASS - 2016'!$A$1:$G$3418,6,FALSE)</f>
        <v>-39716.11</v>
      </c>
      <c r="F2193">
        <f>VLOOKUP(M2193,'MASS - 2016'!$A$1:$G$3418,7,FALSE)</f>
        <v>80.108000000000004</v>
      </c>
      <c r="G2193">
        <f t="shared" si="176"/>
        <v>-39716.11</v>
      </c>
      <c r="H2193">
        <f t="shared" si="172"/>
        <v>182.95736300244644</v>
      </c>
      <c r="I2193">
        <f t="shared" si="173"/>
        <v>170.42369705299998</v>
      </c>
      <c r="J2193">
        <f t="shared" si="175"/>
        <v>170387.41605299999</v>
      </c>
      <c r="M2193">
        <f t="shared" si="174"/>
        <v>112071</v>
      </c>
    </row>
    <row r="2194" spans="1:13" x14ac:dyDescent="0.2">
      <c r="A2194">
        <v>111</v>
      </c>
      <c r="B2194">
        <v>72</v>
      </c>
      <c r="C2194">
        <v>183</v>
      </c>
      <c r="D2194" s="51" t="s">
        <v>70</v>
      </c>
      <c r="E2194">
        <f>VLOOKUP(M2194,'MASS - 2016'!$A$1:$G$3418,6,FALSE)</f>
        <v>-43282.796000000002</v>
      </c>
      <c r="F2194">
        <f>VLOOKUP(M2194,'MASS - 2016'!$A$1:$G$3418,7,FALSE)</f>
        <v>30.033999999999999</v>
      </c>
      <c r="G2194">
        <f t="shared" si="176"/>
        <v>-43282.796000000002</v>
      </c>
      <c r="H2194">
        <f t="shared" si="172"/>
        <v>182.95353400755604</v>
      </c>
      <c r="I2194">
        <f t="shared" si="173"/>
        <v>170.42013036699998</v>
      </c>
      <c r="J2194">
        <f t="shared" si="175"/>
        <v>170383.33836699999</v>
      </c>
      <c r="M2194">
        <f t="shared" si="174"/>
        <v>111072</v>
      </c>
    </row>
    <row r="2195" spans="1:13" x14ac:dyDescent="0.2">
      <c r="A2195">
        <v>110</v>
      </c>
      <c r="B2195">
        <v>73</v>
      </c>
      <c r="C2195">
        <v>183</v>
      </c>
      <c r="D2195" s="51" t="s">
        <v>71</v>
      </c>
      <c r="E2195">
        <f>VLOOKUP(M2195,'MASS - 2016'!$A$1:$G$3418,6,FALSE)</f>
        <v>-45292.796000000002</v>
      </c>
      <c r="F2195">
        <f>VLOOKUP(M2195,'MASS - 2016'!$A$1:$G$3418,7,FALSE)</f>
        <v>1.419</v>
      </c>
      <c r="G2195">
        <f t="shared" si="176"/>
        <v>-45292.796000000002</v>
      </c>
      <c r="H2195">
        <f t="shared" si="172"/>
        <v>182.95137618381443</v>
      </c>
      <c r="I2195">
        <f t="shared" si="173"/>
        <v>170.41812036699997</v>
      </c>
      <c r="J2195">
        <f t="shared" si="175"/>
        <v>170380.81736699995</v>
      </c>
      <c r="M2195">
        <f t="shared" si="174"/>
        <v>110073</v>
      </c>
    </row>
    <row r="2196" spans="1:13" x14ac:dyDescent="0.2">
      <c r="A2196">
        <v>109</v>
      </c>
      <c r="B2196">
        <v>74</v>
      </c>
      <c r="C2196">
        <v>183</v>
      </c>
      <c r="D2196" s="51" t="s">
        <v>72</v>
      </c>
      <c r="E2196">
        <f>VLOOKUP(M2196,'MASS - 2016'!$A$1:$G$3418,6,FALSE)</f>
        <v>-46365.58</v>
      </c>
      <c r="F2196">
        <f>VLOOKUP(M2196,'MASS - 2016'!$A$1:$G$3418,7,FALSE)</f>
        <v>0.73699999999999999</v>
      </c>
      <c r="G2196">
        <f t="shared" si="176"/>
        <v>-46365.58</v>
      </c>
      <c r="H2196">
        <f t="shared" si="172"/>
        <v>182.95022450282693</v>
      </c>
      <c r="I2196">
        <f t="shared" si="173"/>
        <v>170.41704758299997</v>
      </c>
      <c r="J2196">
        <f t="shared" si="175"/>
        <v>170379.23358299996</v>
      </c>
      <c r="M2196">
        <f t="shared" si="174"/>
        <v>109074</v>
      </c>
    </row>
    <row r="2197" spans="1:13" x14ac:dyDescent="0.2">
      <c r="A2197">
        <v>108</v>
      </c>
      <c r="B2197">
        <v>75</v>
      </c>
      <c r="C2197">
        <v>183</v>
      </c>
      <c r="D2197" s="51" t="s">
        <v>73</v>
      </c>
      <c r="E2197">
        <f>VLOOKUP(M2197,'MASS - 2016'!$A$1:$G$3418,6,FALSE)</f>
        <v>-45809.58</v>
      </c>
      <c r="F2197">
        <f>VLOOKUP(M2197,'MASS - 2016'!$A$1:$G$3418,7,FALSE)</f>
        <v>8.0340000000000007</v>
      </c>
      <c r="G2197">
        <f t="shared" si="176"/>
        <v>-45809.58</v>
      </c>
      <c r="H2197">
        <f t="shared" si="172"/>
        <v>182.95082139337438</v>
      </c>
      <c r="I2197">
        <f t="shared" si="173"/>
        <v>170.41760358299999</v>
      </c>
      <c r="J2197">
        <f t="shared" si="175"/>
        <v>170379.27858299998</v>
      </c>
      <c r="M2197">
        <f t="shared" si="174"/>
        <v>108075</v>
      </c>
    </row>
    <row r="2198" spans="1:13" x14ac:dyDescent="0.2">
      <c r="A2198">
        <v>107</v>
      </c>
      <c r="B2198">
        <v>76</v>
      </c>
      <c r="C2198">
        <v>183</v>
      </c>
      <c r="D2198" s="51" t="s">
        <v>74</v>
      </c>
      <c r="E2198">
        <f>VLOOKUP(M2198,'MASS - 2016'!$A$1:$G$3418,6,FALSE)</f>
        <v>-43664.042999999998</v>
      </c>
      <c r="F2198">
        <f>VLOOKUP(M2198,'MASS - 2016'!$A$1:$G$3418,7,FALSE)</f>
        <v>49.76</v>
      </c>
      <c r="G2198">
        <f t="shared" si="176"/>
        <v>-43664.042999999998</v>
      </c>
      <c r="H2198">
        <f t="shared" si="172"/>
        <v>182.95312472206948</v>
      </c>
      <c r="I2198">
        <f t="shared" si="173"/>
        <v>170.41974911999998</v>
      </c>
      <c r="J2198">
        <f t="shared" si="175"/>
        <v>170380.91311999995</v>
      </c>
      <c r="M2198">
        <f t="shared" si="174"/>
        <v>107076</v>
      </c>
    </row>
    <row r="2199" spans="1:13" x14ac:dyDescent="0.2">
      <c r="A2199">
        <v>106</v>
      </c>
      <c r="B2199">
        <v>77</v>
      </c>
      <c r="C2199">
        <v>183</v>
      </c>
      <c r="D2199" s="51" t="s">
        <v>75</v>
      </c>
      <c r="E2199">
        <f>VLOOKUP(M2199,'MASS - 2016'!$A$1:$G$3418,6,FALSE)</f>
        <v>-40203.311000000002</v>
      </c>
      <c r="F2199">
        <f>VLOOKUP(M2199,'MASS - 2016'!$A$1:$G$3418,7,FALSE)</f>
        <v>24.398</v>
      </c>
      <c r="G2199">
        <f t="shared" si="176"/>
        <v>-40203.311000000002</v>
      </c>
      <c r="H2199">
        <f t="shared" si="172"/>
        <v>182.956839970663</v>
      </c>
      <c r="I2199">
        <f t="shared" si="173"/>
        <v>170.42320985199999</v>
      </c>
      <c r="J2199">
        <f t="shared" si="175"/>
        <v>170383.86285199996</v>
      </c>
      <c r="M2199">
        <f t="shared" si="174"/>
        <v>106077</v>
      </c>
    </row>
    <row r="2200" spans="1:13" x14ac:dyDescent="0.2">
      <c r="A2200">
        <v>105</v>
      </c>
      <c r="B2200">
        <v>78</v>
      </c>
      <c r="C2200">
        <v>183</v>
      </c>
      <c r="D2200" s="51" t="s">
        <v>76</v>
      </c>
      <c r="E2200">
        <f>VLOOKUP(M2200,'MASS - 2016'!$A$1:$G$3418,6,FALSE)</f>
        <v>-35772.487000000001</v>
      </c>
      <c r="F2200">
        <f>VLOOKUP(M2200,'MASS - 2016'!$A$1:$G$3418,7,FALSE)</f>
        <v>15.532999999999999</v>
      </c>
      <c r="G2200">
        <f t="shared" si="176"/>
        <v>-35772.487000000001</v>
      </c>
      <c r="H2200">
        <f t="shared" si="172"/>
        <v>182.96159665584813</v>
      </c>
      <c r="I2200">
        <f t="shared" si="173"/>
        <v>170.42764067599998</v>
      </c>
      <c r="J2200">
        <f t="shared" si="175"/>
        <v>170387.78267599997</v>
      </c>
      <c r="M2200">
        <f t="shared" si="174"/>
        <v>105078</v>
      </c>
    </row>
    <row r="2201" spans="1:13" x14ac:dyDescent="0.2">
      <c r="A2201">
        <v>104</v>
      </c>
      <c r="B2201">
        <v>79</v>
      </c>
      <c r="C2201">
        <v>183</v>
      </c>
      <c r="D2201" s="51" t="s">
        <v>77</v>
      </c>
      <c r="E2201">
        <f>VLOOKUP(M2201,'MASS - 2016'!$A$1:$G$3418,6,FALSE)</f>
        <v>-30191.483</v>
      </c>
      <c r="F2201">
        <f>VLOOKUP(M2201,'MASS - 2016'!$A$1:$G$3418,7,FALSE)</f>
        <v>9.423</v>
      </c>
      <c r="G2201">
        <f t="shared" si="176"/>
        <v>-30191.483</v>
      </c>
      <c r="H2201">
        <f t="shared" si="172"/>
        <v>182.96758811004375</v>
      </c>
      <c r="I2201">
        <f t="shared" si="173"/>
        <v>170.43322167999997</v>
      </c>
      <c r="J2201">
        <f t="shared" si="175"/>
        <v>170392.85267999998</v>
      </c>
      <c r="M2201">
        <f t="shared" si="174"/>
        <v>104079</v>
      </c>
    </row>
    <row r="2202" spans="1:13" x14ac:dyDescent="0.2">
      <c r="A2202">
        <v>103</v>
      </c>
      <c r="B2202">
        <v>80</v>
      </c>
      <c r="C2202">
        <v>183</v>
      </c>
      <c r="D2202" s="51" t="s">
        <v>78</v>
      </c>
      <c r="E2202">
        <f>VLOOKUP(M2202,'MASS - 2016'!$A$1:$G$3418,6,FALSE)</f>
        <v>-23804.673999999999</v>
      </c>
      <c r="F2202">
        <f>VLOOKUP(M2202,'MASS - 2016'!$A$1:$G$3418,7,FALSE)</f>
        <v>7.0839999999999996</v>
      </c>
      <c r="G2202">
        <f t="shared" si="176"/>
        <v>-23804.673999999999</v>
      </c>
      <c r="H2202">
        <f t="shared" si="172"/>
        <v>182.97444463148327</v>
      </c>
      <c r="I2202">
        <f t="shared" si="173"/>
        <v>170.43960848899999</v>
      </c>
      <c r="J2202">
        <f t="shared" si="175"/>
        <v>170398.728489</v>
      </c>
      <c r="M2202">
        <f t="shared" si="174"/>
        <v>103080</v>
      </c>
    </row>
    <row r="2203" spans="1:13" x14ac:dyDescent="0.2">
      <c r="A2203">
        <v>102</v>
      </c>
      <c r="B2203">
        <v>81</v>
      </c>
      <c r="C2203">
        <v>183</v>
      </c>
      <c r="D2203" s="51" t="s">
        <v>79</v>
      </c>
      <c r="E2203">
        <f>VLOOKUP(M2203,'MASS - 2016'!$A$1:$G$3418,6,FALSE)</f>
        <v>-16587.257000000001</v>
      </c>
      <c r="F2203">
        <f>VLOOKUP(M2203,'MASS - 2016'!$A$1:$G$3418,7,FALSE)</f>
        <v>9.3309999999999995</v>
      </c>
      <c r="G2203">
        <f t="shared" si="176"/>
        <v>-16587.257000000001</v>
      </c>
      <c r="H2203">
        <f t="shared" si="172"/>
        <v>182.98219284728214</v>
      </c>
      <c r="I2203">
        <f t="shared" si="173"/>
        <v>170.44682590599999</v>
      </c>
      <c r="J2203">
        <f t="shared" si="175"/>
        <v>170405.43490599998</v>
      </c>
      <c r="M2203">
        <f t="shared" si="174"/>
        <v>102081</v>
      </c>
    </row>
    <row r="2204" spans="1:13" x14ac:dyDescent="0.2">
      <c r="A2204">
        <v>101</v>
      </c>
      <c r="B2204">
        <v>82</v>
      </c>
      <c r="C2204">
        <v>183</v>
      </c>
      <c r="D2204" s="51" t="s">
        <v>80</v>
      </c>
      <c r="E2204">
        <f>VLOOKUP(M2204,'MASS - 2016'!$A$1:$G$3418,6,FALSE)</f>
        <v>-7575.2179999999998</v>
      </c>
      <c r="F2204">
        <f>VLOOKUP(M2204,'MASS - 2016'!$A$1:$G$3418,7,FALSE)</f>
        <v>28.151</v>
      </c>
      <c r="G2204">
        <f t="shared" si="176"/>
        <v>-7575.2179999999998</v>
      </c>
      <c r="H2204">
        <f t="shared" si="172"/>
        <v>182.99186766903068</v>
      </c>
      <c r="I2204">
        <f t="shared" si="173"/>
        <v>170.45583794499998</v>
      </c>
      <c r="J2204">
        <f t="shared" si="175"/>
        <v>170413.93594499998</v>
      </c>
      <c r="M2204">
        <f t="shared" si="174"/>
        <v>101082</v>
      </c>
    </row>
    <row r="2205" spans="1:13" x14ac:dyDescent="0.2">
      <c r="A2205">
        <v>113</v>
      </c>
      <c r="B2205">
        <v>71</v>
      </c>
      <c r="C2205">
        <v>184</v>
      </c>
      <c r="D2205" s="51" t="s">
        <v>69</v>
      </c>
      <c r="E2205" t="str">
        <f>VLOOKUP(M2205,'MASS - 2016'!$A$1:$G$3418,6,FALSE)</f>
        <v>-36412#</v>
      </c>
      <c r="F2205" t="str">
        <f>VLOOKUP(M2205,'MASS - 2016'!$A$1:$G$3418,7,FALSE)</f>
        <v>298#</v>
      </c>
      <c r="G2205">
        <f t="shared" si="176"/>
        <v>-36412.01</v>
      </c>
      <c r="H2205">
        <f t="shared" si="172"/>
        <v>183.96091009967267</v>
      </c>
      <c r="I2205">
        <f t="shared" si="173"/>
        <v>171.35849521400002</v>
      </c>
      <c r="J2205">
        <f t="shared" si="175"/>
        <v>171322.21421400004</v>
      </c>
      <c r="M2205">
        <f t="shared" si="174"/>
        <v>113071</v>
      </c>
    </row>
    <row r="2206" spans="1:13" x14ac:dyDescent="0.2">
      <c r="A2206">
        <v>112</v>
      </c>
      <c r="B2206">
        <v>72</v>
      </c>
      <c r="C2206">
        <v>184</v>
      </c>
      <c r="D2206" s="51" t="s">
        <v>70</v>
      </c>
      <c r="E2206">
        <f>VLOOKUP(M2206,'MASS - 2016'!$A$1:$G$3418,6,FALSE)</f>
        <v>-41499.373</v>
      </c>
      <c r="F2206">
        <f>VLOOKUP(M2206,'MASS - 2016'!$A$1:$G$3418,7,FALSE)</f>
        <v>39.706000000000003</v>
      </c>
      <c r="G2206">
        <f t="shared" si="176"/>
        <v>-41499.373</v>
      </c>
      <c r="H2206">
        <f t="shared" si="172"/>
        <v>183.9554485908848</v>
      </c>
      <c r="I2206">
        <f t="shared" si="173"/>
        <v>171.35340785100001</v>
      </c>
      <c r="J2206">
        <f t="shared" si="175"/>
        <v>171316.61585100004</v>
      </c>
      <c r="M2206">
        <f t="shared" si="174"/>
        <v>112072</v>
      </c>
    </row>
    <row r="2207" spans="1:13" x14ac:dyDescent="0.2">
      <c r="A2207">
        <v>111</v>
      </c>
      <c r="B2207">
        <v>73</v>
      </c>
      <c r="C2207">
        <v>184</v>
      </c>
      <c r="D2207" s="51" t="s">
        <v>71</v>
      </c>
      <c r="E2207">
        <f>VLOOKUP(M2207,'MASS - 2016'!$A$1:$G$3418,6,FALSE)</f>
        <v>-42839.373</v>
      </c>
      <c r="F2207">
        <f>VLOOKUP(M2207,'MASS - 2016'!$A$1:$G$3418,7,FALSE)</f>
        <v>26.01</v>
      </c>
      <c r="G2207">
        <f t="shared" si="176"/>
        <v>-42839.373</v>
      </c>
      <c r="H2207">
        <f t="shared" si="172"/>
        <v>183.95401004172373</v>
      </c>
      <c r="I2207">
        <f t="shared" si="173"/>
        <v>171.35206785100002</v>
      </c>
      <c r="J2207">
        <f t="shared" si="175"/>
        <v>171314.76485100001</v>
      </c>
      <c r="M2207">
        <f t="shared" si="174"/>
        <v>111073</v>
      </c>
    </row>
    <row r="2208" spans="1:13" x14ac:dyDescent="0.2">
      <c r="A2208">
        <v>110</v>
      </c>
      <c r="B2208">
        <v>74</v>
      </c>
      <c r="C2208">
        <v>184</v>
      </c>
      <c r="D2208" s="51" t="s">
        <v>72</v>
      </c>
      <c r="E2208">
        <f>VLOOKUP(M2208,'MASS - 2016'!$A$1:$G$3418,6,FALSE)</f>
        <v>-45705.373</v>
      </c>
      <c r="F2208">
        <f>VLOOKUP(M2208,'MASS - 2016'!$A$1:$G$3418,7,FALSE)</f>
        <v>0.73099999999999998</v>
      </c>
      <c r="G2208">
        <f t="shared" si="176"/>
        <v>-45705.373</v>
      </c>
      <c r="H2208">
        <f t="shared" si="172"/>
        <v>183.95093326418964</v>
      </c>
      <c r="I2208">
        <f t="shared" si="173"/>
        <v>171.349201851</v>
      </c>
      <c r="J2208">
        <f t="shared" si="175"/>
        <v>171311.38785099998</v>
      </c>
      <c r="M2208">
        <f t="shared" si="174"/>
        <v>110074</v>
      </c>
    </row>
    <row r="2209" spans="1:13" x14ac:dyDescent="0.2">
      <c r="A2209">
        <v>109</v>
      </c>
      <c r="B2209">
        <v>75</v>
      </c>
      <c r="C2209">
        <v>184</v>
      </c>
      <c r="D2209" s="51" t="s">
        <v>73</v>
      </c>
      <c r="E2209">
        <f>VLOOKUP(M2209,'MASS - 2016'!$A$1:$G$3418,6,FALSE)</f>
        <v>-44219.633999999998</v>
      </c>
      <c r="F2209">
        <f>VLOOKUP(M2209,'MASS - 2016'!$A$1:$G$3418,7,FALSE)</f>
        <v>4.2750000000000004</v>
      </c>
      <c r="G2209">
        <f t="shared" si="176"/>
        <v>-44219.633999999998</v>
      </c>
      <c r="H2209">
        <f t="shared" si="172"/>
        <v>183.95252827060162</v>
      </c>
      <c r="I2209">
        <f t="shared" si="173"/>
        <v>171.35068759000001</v>
      </c>
      <c r="J2209">
        <f t="shared" si="175"/>
        <v>171312.36259</v>
      </c>
      <c r="M2209">
        <f t="shared" si="174"/>
        <v>109075</v>
      </c>
    </row>
    <row r="2210" spans="1:13" x14ac:dyDescent="0.2">
      <c r="A2210">
        <v>108</v>
      </c>
      <c r="B2210">
        <v>76</v>
      </c>
      <c r="C2210">
        <v>184</v>
      </c>
      <c r="D2210" s="51" t="s">
        <v>74</v>
      </c>
      <c r="E2210">
        <f>VLOOKUP(M2210,'MASS - 2016'!$A$1:$G$3418,6,FALSE)</f>
        <v>-44252.533000000003</v>
      </c>
      <c r="F2210">
        <f>VLOOKUP(M2210,'MASS - 2016'!$A$1:$G$3418,7,FALSE)</f>
        <v>0.82699999999999996</v>
      </c>
      <c r="G2210">
        <f t="shared" si="176"/>
        <v>-44252.533000000003</v>
      </c>
      <c r="H2210">
        <f t="shared" si="172"/>
        <v>183.95249295207265</v>
      </c>
      <c r="I2210">
        <f t="shared" si="173"/>
        <v>171.35065469100002</v>
      </c>
      <c r="J2210">
        <f t="shared" si="175"/>
        <v>171311.81869099999</v>
      </c>
      <c r="M2210">
        <f t="shared" si="174"/>
        <v>108076</v>
      </c>
    </row>
    <row r="2211" spans="1:13" x14ac:dyDescent="0.2">
      <c r="A2211">
        <v>107</v>
      </c>
      <c r="B2211">
        <v>77</v>
      </c>
      <c r="C2211">
        <v>184</v>
      </c>
      <c r="D2211" s="51" t="s">
        <v>75</v>
      </c>
      <c r="E2211">
        <f>VLOOKUP(M2211,'MASS - 2016'!$A$1:$G$3418,6,FALSE)</f>
        <v>-39610.851000000002</v>
      </c>
      <c r="F2211">
        <f>VLOOKUP(M2211,'MASS - 2016'!$A$1:$G$3418,7,FALSE)</f>
        <v>27.945</v>
      </c>
      <c r="G2211">
        <f t="shared" si="176"/>
        <v>-39610.851000000002</v>
      </c>
      <c r="H2211">
        <f t="shared" si="172"/>
        <v>183.95747600263016</v>
      </c>
      <c r="I2211">
        <f t="shared" si="173"/>
        <v>171.35529637300002</v>
      </c>
      <c r="J2211">
        <f t="shared" si="175"/>
        <v>171315.94937300001</v>
      </c>
      <c r="M2211">
        <f t="shared" si="174"/>
        <v>107077</v>
      </c>
    </row>
    <row r="2212" spans="1:13" x14ac:dyDescent="0.2">
      <c r="A2212">
        <v>106</v>
      </c>
      <c r="B2212">
        <v>78</v>
      </c>
      <c r="C2212">
        <v>184</v>
      </c>
      <c r="D2212" s="51" t="s">
        <v>76</v>
      </c>
      <c r="E2212">
        <f>VLOOKUP(M2212,'MASS - 2016'!$A$1:$G$3418,6,FALSE)</f>
        <v>-37334.243000000002</v>
      </c>
      <c r="F2212">
        <f>VLOOKUP(M2212,'MASS - 2016'!$A$1:$G$3418,7,FALSE)</f>
        <v>15.584</v>
      </c>
      <c r="G2212">
        <f t="shared" si="176"/>
        <v>-37334.243000000002</v>
      </c>
      <c r="H2212">
        <f t="shared" si="172"/>
        <v>183.95992004183051</v>
      </c>
      <c r="I2212">
        <f t="shared" si="173"/>
        <v>171.357572981</v>
      </c>
      <c r="J2212">
        <f t="shared" si="175"/>
        <v>171317.714981</v>
      </c>
      <c r="M2212">
        <f t="shared" si="174"/>
        <v>106078</v>
      </c>
    </row>
    <row r="2213" spans="1:13" x14ac:dyDescent="0.2">
      <c r="A2213">
        <v>105</v>
      </c>
      <c r="B2213">
        <v>79</v>
      </c>
      <c r="C2213">
        <v>184</v>
      </c>
      <c r="D2213" s="51" t="s">
        <v>77</v>
      </c>
      <c r="E2213">
        <f>VLOOKUP(M2213,'MASS - 2016'!$A$1:$G$3418,6,FALSE)</f>
        <v>-30318.71</v>
      </c>
      <c r="F2213">
        <f>VLOOKUP(M2213,'MASS - 2016'!$A$1:$G$3418,7,FALSE)</f>
        <v>22.274999999999999</v>
      </c>
      <c r="G2213">
        <f t="shared" si="176"/>
        <v>-30318.71</v>
      </c>
      <c r="H2213">
        <f t="shared" si="172"/>
        <v>183.96745152624223</v>
      </c>
      <c r="I2213">
        <f t="shared" si="173"/>
        <v>171.36458851400002</v>
      </c>
      <c r="J2213">
        <f t="shared" si="175"/>
        <v>171324.21951400003</v>
      </c>
      <c r="M2213">
        <f t="shared" si="174"/>
        <v>105079</v>
      </c>
    </row>
    <row r="2214" spans="1:13" x14ac:dyDescent="0.2">
      <c r="A2214">
        <v>104</v>
      </c>
      <c r="B2214">
        <v>80</v>
      </c>
      <c r="C2214">
        <v>184</v>
      </c>
      <c r="D2214" s="51" t="s">
        <v>78</v>
      </c>
      <c r="E2214">
        <f>VLOOKUP(M2214,'MASS - 2016'!$A$1:$G$3418,6,FALSE)</f>
        <v>-26348.965</v>
      </c>
      <c r="F2214">
        <f>VLOOKUP(M2214,'MASS - 2016'!$A$1:$G$3418,7,FALSE)</f>
        <v>10.061999999999999</v>
      </c>
      <c r="G2214">
        <f t="shared" si="176"/>
        <v>-26348.965</v>
      </c>
      <c r="H2214">
        <f t="shared" si="172"/>
        <v>183.97171322276418</v>
      </c>
      <c r="I2214">
        <f t="shared" si="173"/>
        <v>171.368558259</v>
      </c>
      <c r="J2214">
        <f t="shared" si="175"/>
        <v>171327.67825899998</v>
      </c>
      <c r="M2214">
        <f t="shared" si="174"/>
        <v>104080</v>
      </c>
    </row>
    <row r="2215" spans="1:13" x14ac:dyDescent="0.2">
      <c r="A2215">
        <v>103</v>
      </c>
      <c r="B2215">
        <v>81</v>
      </c>
      <c r="C2215">
        <v>184</v>
      </c>
      <c r="D2215" s="51" t="s">
        <v>79</v>
      </c>
      <c r="E2215">
        <f>VLOOKUP(M2215,'MASS - 2016'!$A$1:$G$3418,6,FALSE)</f>
        <v>-16883.241999999998</v>
      </c>
      <c r="F2215">
        <f>VLOOKUP(M2215,'MASS - 2016'!$A$1:$G$3418,7,FALSE)</f>
        <v>10.02</v>
      </c>
      <c r="G2215">
        <f t="shared" si="176"/>
        <v>-16883.241999999998</v>
      </c>
      <c r="H2215">
        <f t="shared" si="172"/>
        <v>183.98187509431691</v>
      </c>
      <c r="I2215">
        <f t="shared" si="173"/>
        <v>171.378023982</v>
      </c>
      <c r="J2215">
        <f t="shared" si="175"/>
        <v>171336.63298200001</v>
      </c>
      <c r="M2215">
        <f t="shared" si="174"/>
        <v>103081</v>
      </c>
    </row>
    <row r="2216" spans="1:13" x14ac:dyDescent="0.2">
      <c r="A2216">
        <v>102</v>
      </c>
      <c r="B2216">
        <v>82</v>
      </c>
      <c r="C2216">
        <v>184</v>
      </c>
      <c r="D2216" s="51" t="s">
        <v>80</v>
      </c>
      <c r="E2216">
        <f>VLOOKUP(M2216,'MASS - 2016'!$A$1:$G$3418,6,FALSE)</f>
        <v>-11051.522000000001</v>
      </c>
      <c r="F2216">
        <f>VLOOKUP(M2216,'MASS - 2016'!$A$1:$G$3418,7,FALSE)</f>
        <v>12.805999999999999</v>
      </c>
      <c r="G2216">
        <f t="shared" si="176"/>
        <v>-11051.522000000001</v>
      </c>
      <c r="H2216">
        <f t="shared" si="172"/>
        <v>183.98813570320769</v>
      </c>
      <c r="I2216">
        <f t="shared" si="173"/>
        <v>171.38385570200001</v>
      </c>
      <c r="J2216">
        <f t="shared" si="175"/>
        <v>171341.953702</v>
      </c>
      <c r="M2216">
        <f t="shared" si="174"/>
        <v>102082</v>
      </c>
    </row>
    <row r="2217" spans="1:13" x14ac:dyDescent="0.2">
      <c r="A2217">
        <v>113</v>
      </c>
      <c r="B2217">
        <v>72</v>
      </c>
      <c r="C2217">
        <v>185</v>
      </c>
      <c r="D2217" s="51" t="s">
        <v>70</v>
      </c>
      <c r="E2217">
        <f>VLOOKUP(M2217,'MASS - 2016'!$A$1:$G$3418,6,FALSE)</f>
        <v>-38319.800000000003</v>
      </c>
      <c r="F2217">
        <f>VLOOKUP(M2217,'MASS - 2016'!$A$1:$G$3418,7,FALSE)</f>
        <v>64.272999999999996</v>
      </c>
      <c r="G2217">
        <f t="shared" si="176"/>
        <v>-38319.800000000003</v>
      </c>
      <c r="H2217">
        <f t="shared" si="172"/>
        <v>184.95886200287862</v>
      </c>
      <c r="I2217">
        <f t="shared" si="173"/>
        <v>172.28808148499999</v>
      </c>
      <c r="J2217">
        <f t="shared" si="175"/>
        <v>172251.28948500002</v>
      </c>
      <c r="M2217">
        <f t="shared" si="174"/>
        <v>113072</v>
      </c>
    </row>
    <row r="2218" spans="1:13" x14ac:dyDescent="0.2">
      <c r="A2218">
        <v>112</v>
      </c>
      <c r="B2218">
        <v>73</v>
      </c>
      <c r="C2218">
        <v>185</v>
      </c>
      <c r="D2218" s="51" t="s">
        <v>71</v>
      </c>
      <c r="E2218">
        <f>VLOOKUP(M2218,'MASS - 2016'!$A$1:$G$3418,6,FALSE)</f>
        <v>-41394.292999999998</v>
      </c>
      <c r="F2218">
        <f>VLOOKUP(M2218,'MASS - 2016'!$A$1:$G$3418,7,FALSE)</f>
        <v>14.161</v>
      </c>
      <c r="G2218">
        <f t="shared" si="176"/>
        <v>-41394.292999999998</v>
      </c>
      <c r="H2218">
        <f t="shared" si="172"/>
        <v>184.95556139890408</v>
      </c>
      <c r="I2218">
        <f t="shared" si="173"/>
        <v>172.28500699200001</v>
      </c>
      <c r="J2218">
        <f t="shared" si="175"/>
        <v>172247.703992</v>
      </c>
      <c r="M2218">
        <f t="shared" si="174"/>
        <v>112073</v>
      </c>
    </row>
    <row r="2219" spans="1:13" x14ac:dyDescent="0.2">
      <c r="A2219">
        <v>111</v>
      </c>
      <c r="B2219">
        <v>74</v>
      </c>
      <c r="C2219">
        <v>185</v>
      </c>
      <c r="D2219" s="51" t="s">
        <v>72</v>
      </c>
      <c r="E2219">
        <f>VLOOKUP(M2219,'MASS - 2016'!$A$1:$G$3418,6,FALSE)</f>
        <v>-43387.792999999998</v>
      </c>
      <c r="F2219">
        <f>VLOOKUP(M2219,'MASS - 2016'!$A$1:$G$3418,7,FALSE)</f>
        <v>0.73299999999999998</v>
      </c>
      <c r="G2219">
        <f t="shared" si="176"/>
        <v>-43387.792999999998</v>
      </c>
      <c r="H2219">
        <f t="shared" si="172"/>
        <v>184.95342128864095</v>
      </c>
      <c r="I2219">
        <f t="shared" si="173"/>
        <v>172.28301349200001</v>
      </c>
      <c r="J2219">
        <f t="shared" si="175"/>
        <v>172245.19949199999</v>
      </c>
      <c r="M2219">
        <f t="shared" si="174"/>
        <v>111074</v>
      </c>
    </row>
    <row r="2220" spans="1:13" x14ac:dyDescent="0.2">
      <c r="A2220">
        <v>110</v>
      </c>
      <c r="B2220">
        <v>75</v>
      </c>
      <c r="C2220">
        <v>185</v>
      </c>
      <c r="D2220" s="51" t="s">
        <v>73</v>
      </c>
      <c r="E2220">
        <f>VLOOKUP(M2220,'MASS - 2016'!$A$1:$G$3418,6,FALSE)</f>
        <v>-43819.027000000002</v>
      </c>
      <c r="F2220">
        <f>VLOOKUP(M2220,'MASS - 2016'!$A$1:$G$3418,7,FALSE)</f>
        <v>0.81799999999999995</v>
      </c>
      <c r="G2220">
        <f t="shared" si="176"/>
        <v>-43819.027000000002</v>
      </c>
      <c r="H2220">
        <f t="shared" si="172"/>
        <v>184.95295833990292</v>
      </c>
      <c r="I2220">
        <f t="shared" si="173"/>
        <v>172.28258225799999</v>
      </c>
      <c r="J2220">
        <f t="shared" si="175"/>
        <v>172244.25725799997</v>
      </c>
      <c r="M2220">
        <f t="shared" si="174"/>
        <v>110075</v>
      </c>
    </row>
    <row r="2221" spans="1:13" x14ac:dyDescent="0.2">
      <c r="A2221">
        <v>109</v>
      </c>
      <c r="B2221">
        <v>76</v>
      </c>
      <c r="C2221">
        <v>185</v>
      </c>
      <c r="D2221" s="51" t="s">
        <v>74</v>
      </c>
      <c r="E2221">
        <f>VLOOKUP(M2221,'MASS - 2016'!$A$1:$G$3418,6,FALSE)</f>
        <v>-42805.88</v>
      </c>
      <c r="F2221">
        <f>VLOOKUP(M2221,'MASS - 2016'!$A$1:$G$3418,7,FALSE)</f>
        <v>0.83</v>
      </c>
      <c r="G2221">
        <f t="shared" si="176"/>
        <v>-42805.88</v>
      </c>
      <c r="H2221">
        <f t="shared" si="172"/>
        <v>184.95404599793792</v>
      </c>
      <c r="I2221">
        <f t="shared" si="173"/>
        <v>172.283595405</v>
      </c>
      <c r="J2221">
        <f t="shared" si="175"/>
        <v>172244.75940499999</v>
      </c>
      <c r="M2221">
        <f t="shared" si="174"/>
        <v>109076</v>
      </c>
    </row>
    <row r="2222" spans="1:13" x14ac:dyDescent="0.2">
      <c r="A2222">
        <v>108</v>
      </c>
      <c r="B2222">
        <v>77</v>
      </c>
      <c r="C2222">
        <v>185</v>
      </c>
      <c r="D2222" s="51" t="s">
        <v>75</v>
      </c>
      <c r="E2222">
        <f>VLOOKUP(M2222,'MASS - 2016'!$A$1:$G$3418,6,FALSE)</f>
        <v>-40335.553</v>
      </c>
      <c r="F2222">
        <f>VLOOKUP(M2222,'MASS - 2016'!$A$1:$G$3418,7,FALSE)</f>
        <v>27.945</v>
      </c>
      <c r="G2222">
        <f t="shared" si="176"/>
        <v>-40335.553</v>
      </c>
      <c r="H2222">
        <f t="shared" si="172"/>
        <v>184.9566980030375</v>
      </c>
      <c r="I2222">
        <f t="shared" si="173"/>
        <v>172.286065732</v>
      </c>
      <c r="J2222">
        <f t="shared" si="175"/>
        <v>172246.71873199998</v>
      </c>
      <c r="M2222">
        <f t="shared" si="174"/>
        <v>108077</v>
      </c>
    </row>
    <row r="2223" spans="1:13" x14ac:dyDescent="0.2">
      <c r="A2223">
        <v>107</v>
      </c>
      <c r="B2223">
        <v>78</v>
      </c>
      <c r="C2223">
        <v>185</v>
      </c>
      <c r="D2223" s="51" t="s">
        <v>76</v>
      </c>
      <c r="E2223">
        <f>VLOOKUP(M2223,'MASS - 2016'!$A$1:$G$3418,6,FALSE)</f>
        <v>-36688.14</v>
      </c>
      <c r="F2223">
        <f>VLOOKUP(M2223,'MASS - 2016'!$A$1:$G$3418,7,FALSE)</f>
        <v>25.832000000000001</v>
      </c>
      <c r="G2223">
        <f t="shared" si="176"/>
        <v>-36688.14</v>
      </c>
      <c r="H2223">
        <f t="shared" si="172"/>
        <v>184.96061366192652</v>
      </c>
      <c r="I2223">
        <f t="shared" si="173"/>
        <v>172.28971314500001</v>
      </c>
      <c r="J2223">
        <f t="shared" si="175"/>
        <v>172249.85514500001</v>
      </c>
      <c r="M2223">
        <f t="shared" si="174"/>
        <v>107078</v>
      </c>
    </row>
    <row r="2224" spans="1:13" x14ac:dyDescent="0.2">
      <c r="A2224">
        <v>106</v>
      </c>
      <c r="B2224">
        <v>79</v>
      </c>
      <c r="C2224">
        <v>185</v>
      </c>
      <c r="D2224" s="51" t="s">
        <v>77</v>
      </c>
      <c r="E2224">
        <f>VLOOKUP(M2224,'MASS - 2016'!$A$1:$G$3418,6,FALSE)</f>
        <v>-31858.143</v>
      </c>
      <c r="F2224">
        <f>VLOOKUP(M2224,'MASS - 2016'!$A$1:$G$3418,7,FALSE)</f>
        <v>2.6080000000000001</v>
      </c>
      <c r="G2224">
        <f t="shared" si="176"/>
        <v>-31858.143</v>
      </c>
      <c r="H2224">
        <f t="shared" si="172"/>
        <v>184.96579887695066</v>
      </c>
      <c r="I2224">
        <f t="shared" si="173"/>
        <v>172.29454314200001</v>
      </c>
      <c r="J2224">
        <f t="shared" si="175"/>
        <v>172254.174142</v>
      </c>
      <c r="M2224">
        <f t="shared" si="174"/>
        <v>106079</v>
      </c>
    </row>
    <row r="2225" spans="1:13" x14ac:dyDescent="0.2">
      <c r="A2225">
        <v>105</v>
      </c>
      <c r="B2225">
        <v>80</v>
      </c>
      <c r="C2225">
        <v>185</v>
      </c>
      <c r="D2225" s="51" t="s">
        <v>78</v>
      </c>
      <c r="E2225">
        <f>VLOOKUP(M2225,'MASS - 2016'!$A$1:$G$3418,6,FALSE)</f>
        <v>-26183.666000000001</v>
      </c>
      <c r="F2225">
        <f>VLOOKUP(M2225,'MASS - 2016'!$A$1:$G$3418,7,FALSE)</f>
        <v>13.638999999999999</v>
      </c>
      <c r="G2225">
        <f t="shared" si="176"/>
        <v>-26183.666000000001</v>
      </c>
      <c r="H2225">
        <f t="shared" si="172"/>
        <v>184.97189067853864</v>
      </c>
      <c r="I2225">
        <f t="shared" si="173"/>
        <v>172.30021761899999</v>
      </c>
      <c r="J2225">
        <f t="shared" si="175"/>
        <v>172259.337619</v>
      </c>
      <c r="M2225">
        <f t="shared" si="174"/>
        <v>105080</v>
      </c>
    </row>
    <row r="2226" spans="1:13" x14ac:dyDescent="0.2">
      <c r="A2226">
        <v>104</v>
      </c>
      <c r="B2226">
        <v>81</v>
      </c>
      <c r="C2226">
        <v>185</v>
      </c>
      <c r="D2226" s="51" t="s">
        <v>79</v>
      </c>
      <c r="E2226">
        <f>VLOOKUP(M2226,'MASS - 2016'!$A$1:$G$3418,6,FALSE)</f>
        <v>-19757.741000000002</v>
      </c>
      <c r="F2226">
        <f>VLOOKUP(M2226,'MASS - 2016'!$A$1:$G$3418,7,FALSE)</f>
        <v>20.673999999999999</v>
      </c>
      <c r="G2226">
        <f t="shared" si="176"/>
        <v>-19757.741000000002</v>
      </c>
      <c r="H2226">
        <f t="shared" si="172"/>
        <v>184.97878919273109</v>
      </c>
      <c r="I2226">
        <f t="shared" si="173"/>
        <v>172.306643544</v>
      </c>
      <c r="J2226">
        <f t="shared" si="175"/>
        <v>172265.25254399999</v>
      </c>
      <c r="M2226">
        <f t="shared" si="174"/>
        <v>104081</v>
      </c>
    </row>
    <row r="2227" spans="1:13" x14ac:dyDescent="0.2">
      <c r="A2227">
        <v>103</v>
      </c>
      <c r="B2227">
        <v>82</v>
      </c>
      <c r="C2227">
        <v>185</v>
      </c>
      <c r="D2227" s="51" t="s">
        <v>80</v>
      </c>
      <c r="E2227">
        <f>VLOOKUP(M2227,'MASS - 2016'!$A$1:$G$3418,6,FALSE)</f>
        <v>-11541.22</v>
      </c>
      <c r="F2227">
        <f>VLOOKUP(M2227,'MASS - 2016'!$A$1:$G$3418,7,FALSE)</f>
        <v>16.175000000000001</v>
      </c>
      <c r="G2227">
        <f t="shared" si="176"/>
        <v>-11541.22</v>
      </c>
      <c r="H2227">
        <f t="shared" si="172"/>
        <v>184.98760999078448</v>
      </c>
      <c r="I2227">
        <f t="shared" si="173"/>
        <v>172.314860065</v>
      </c>
      <c r="J2227">
        <f t="shared" si="175"/>
        <v>172272.95806500001</v>
      </c>
      <c r="M2227">
        <f t="shared" si="174"/>
        <v>103082</v>
      </c>
    </row>
    <row r="2228" spans="1:13" x14ac:dyDescent="0.2">
      <c r="A2228">
        <v>102</v>
      </c>
      <c r="B2228">
        <v>83</v>
      </c>
      <c r="C2228">
        <v>185</v>
      </c>
      <c r="D2228" s="51" t="s">
        <v>81</v>
      </c>
      <c r="E2228" t="str">
        <f>VLOOKUP(M2228,'MASS - 2016'!$A$1:$G$3418,6,FALSE)</f>
        <v>-2236#</v>
      </c>
      <c r="F2228" t="str">
        <f>VLOOKUP(M2228,'MASS - 2016'!$A$1:$G$3418,7,FALSE)</f>
        <v>81#</v>
      </c>
      <c r="G2228">
        <f t="shared" si="176"/>
        <v>-2236.0100000000002</v>
      </c>
      <c r="H2228">
        <f t="shared" si="172"/>
        <v>184.99759954454504</v>
      </c>
      <c r="I2228">
        <f t="shared" si="173"/>
        <v>172.32416527500001</v>
      </c>
      <c r="J2228">
        <f t="shared" si="175"/>
        <v>172281.75227500001</v>
      </c>
      <c r="M2228">
        <f t="shared" si="174"/>
        <v>102083</v>
      </c>
    </row>
    <row r="2229" spans="1:13" x14ac:dyDescent="0.2">
      <c r="A2229">
        <v>114</v>
      </c>
      <c r="B2229">
        <v>72</v>
      </c>
      <c r="C2229">
        <v>186</v>
      </c>
      <c r="D2229" s="51" t="s">
        <v>70</v>
      </c>
      <c r="E2229">
        <f>VLOOKUP(M2229,'MASS - 2016'!$A$1:$G$3418,6,FALSE)</f>
        <v>-36424.21</v>
      </c>
      <c r="F2229">
        <f>VLOOKUP(M2229,'MASS - 2016'!$A$1:$G$3418,7,FALSE)</f>
        <v>51.231999999999999</v>
      </c>
      <c r="G2229">
        <f t="shared" si="176"/>
        <v>-36424.21</v>
      </c>
      <c r="H2229">
        <f t="shared" si="172"/>
        <v>185.96089700243402</v>
      </c>
      <c r="I2229">
        <f t="shared" si="173"/>
        <v>173.22147113599999</v>
      </c>
      <c r="J2229">
        <f t="shared" si="175"/>
        <v>173184.67913599999</v>
      </c>
      <c r="M2229">
        <f t="shared" si="174"/>
        <v>114072</v>
      </c>
    </row>
    <row r="2230" spans="1:13" x14ac:dyDescent="0.2">
      <c r="A2230">
        <v>113</v>
      </c>
      <c r="B2230">
        <v>73</v>
      </c>
      <c r="C2230">
        <v>186</v>
      </c>
      <c r="D2230" s="51" t="s">
        <v>71</v>
      </c>
      <c r="E2230">
        <f>VLOOKUP(M2230,'MASS - 2016'!$A$1:$G$3418,6,FALSE)</f>
        <v>-38607.527999999998</v>
      </c>
      <c r="F2230">
        <f>VLOOKUP(M2230,'MASS - 2016'!$A$1:$G$3418,7,FALSE)</f>
        <v>60.012</v>
      </c>
      <c r="G2230">
        <f t="shared" si="176"/>
        <v>-38607.527999999998</v>
      </c>
      <c r="H2230">
        <f t="shared" si="172"/>
        <v>185.95855311416742</v>
      </c>
      <c r="I2230">
        <f t="shared" si="173"/>
        <v>173.219287818</v>
      </c>
      <c r="J2230">
        <f t="shared" si="175"/>
        <v>173181.984818</v>
      </c>
      <c r="M2230">
        <f t="shared" si="174"/>
        <v>113073</v>
      </c>
    </row>
    <row r="2231" spans="1:13" x14ac:dyDescent="0.2">
      <c r="A2231">
        <v>112</v>
      </c>
      <c r="B2231">
        <v>74</v>
      </c>
      <c r="C2231">
        <v>186</v>
      </c>
      <c r="D2231" s="51" t="s">
        <v>72</v>
      </c>
      <c r="E2231">
        <f>VLOOKUP(M2231,'MASS - 2016'!$A$1:$G$3418,6,FALSE)</f>
        <v>-42508.527999999998</v>
      </c>
      <c r="F2231">
        <f>VLOOKUP(M2231,'MASS - 2016'!$A$1:$G$3418,7,FALSE)</f>
        <v>1.212</v>
      </c>
      <c r="G2231">
        <f t="shared" si="176"/>
        <v>-42508.527999999998</v>
      </c>
      <c r="H2231">
        <f t="shared" si="172"/>
        <v>185.95436521843803</v>
      </c>
      <c r="I2231">
        <f t="shared" si="173"/>
        <v>173.21538681799998</v>
      </c>
      <c r="J2231">
        <f t="shared" si="175"/>
        <v>173177.57281799999</v>
      </c>
      <c r="M2231">
        <f t="shared" si="174"/>
        <v>112074</v>
      </c>
    </row>
    <row r="2232" spans="1:13" x14ac:dyDescent="0.2">
      <c r="A2232">
        <v>111</v>
      </c>
      <c r="B2232">
        <v>75</v>
      </c>
      <c r="C2232">
        <v>186</v>
      </c>
      <c r="D2232" s="51" t="s">
        <v>73</v>
      </c>
      <c r="E2232">
        <f>VLOOKUP(M2232,'MASS - 2016'!$A$1:$G$3418,6,FALSE)</f>
        <v>-41927.086000000003</v>
      </c>
      <c r="F2232">
        <f>VLOOKUP(M2232,'MASS - 2016'!$A$1:$G$3418,7,FALSE)</f>
        <v>0.82599999999999996</v>
      </c>
      <c r="G2232">
        <f t="shared" si="176"/>
        <v>-41927.086000000003</v>
      </c>
      <c r="H2232">
        <f t="shared" si="172"/>
        <v>185.95498942209576</v>
      </c>
      <c r="I2232">
        <f t="shared" si="173"/>
        <v>173.21596826000001</v>
      </c>
      <c r="J2232">
        <f t="shared" si="175"/>
        <v>173177.64326000001</v>
      </c>
      <c r="M2232">
        <f t="shared" si="174"/>
        <v>111075</v>
      </c>
    </row>
    <row r="2233" spans="1:13" x14ac:dyDescent="0.2">
      <c r="A2233">
        <v>110</v>
      </c>
      <c r="B2233">
        <v>76</v>
      </c>
      <c r="C2233">
        <v>186</v>
      </c>
      <c r="D2233" s="51" t="s">
        <v>74</v>
      </c>
      <c r="E2233">
        <f>VLOOKUP(M2233,'MASS - 2016'!$A$1:$G$3418,6,FALSE)</f>
        <v>-42999.942999999999</v>
      </c>
      <c r="F2233">
        <f>VLOOKUP(M2233,'MASS - 2016'!$A$1:$G$3418,7,FALSE)</f>
        <v>0.76100000000000001</v>
      </c>
      <c r="G2233">
        <f t="shared" si="176"/>
        <v>-42999.942999999999</v>
      </c>
      <c r="H2233">
        <f t="shared" si="172"/>
        <v>185.95383766273952</v>
      </c>
      <c r="I2233">
        <f t="shared" si="173"/>
        <v>173.21489540299999</v>
      </c>
      <c r="J2233">
        <f t="shared" si="175"/>
        <v>173176.05940299996</v>
      </c>
      <c r="M2233">
        <f t="shared" si="174"/>
        <v>110076</v>
      </c>
    </row>
    <row r="2234" spans="1:13" x14ac:dyDescent="0.2">
      <c r="A2234">
        <v>109</v>
      </c>
      <c r="B2234">
        <v>77</v>
      </c>
      <c r="C2234">
        <v>186</v>
      </c>
      <c r="D2234" s="51" t="s">
        <v>75</v>
      </c>
      <c r="E2234">
        <f>VLOOKUP(M2234,'MASS - 2016'!$A$1:$G$3418,6,FALSE)</f>
        <v>-39172.345999999998</v>
      </c>
      <c r="F2234">
        <f>VLOOKUP(M2234,'MASS - 2016'!$A$1:$G$3418,7,FALSE)</f>
        <v>16.526</v>
      </c>
      <c r="G2234">
        <f t="shared" si="176"/>
        <v>-39172.345999999998</v>
      </c>
      <c r="H2234">
        <f t="shared" si="172"/>
        <v>185.95794675710769</v>
      </c>
      <c r="I2234">
        <f t="shared" si="173"/>
        <v>173.21872300000001</v>
      </c>
      <c r="J2234">
        <f t="shared" si="175"/>
        <v>173179.37599999999</v>
      </c>
      <c r="M2234">
        <f t="shared" si="174"/>
        <v>109077</v>
      </c>
    </row>
    <row r="2235" spans="1:13" x14ac:dyDescent="0.2">
      <c r="A2235">
        <v>108</v>
      </c>
      <c r="B2235">
        <v>78</v>
      </c>
      <c r="C2235">
        <v>186</v>
      </c>
      <c r="D2235" s="51" t="s">
        <v>76</v>
      </c>
      <c r="E2235">
        <f>VLOOKUP(M2235,'MASS - 2016'!$A$1:$G$3418,6,FALSE)</f>
        <v>-37864.442999999999</v>
      </c>
      <c r="F2235">
        <f>VLOOKUP(M2235,'MASS - 2016'!$A$1:$G$3418,7,FALSE)</f>
        <v>21.745000000000001</v>
      </c>
      <c r="G2235">
        <f t="shared" si="176"/>
        <v>-37864.442999999999</v>
      </c>
      <c r="H2235">
        <f t="shared" si="172"/>
        <v>185.95935084872218</v>
      </c>
      <c r="I2235">
        <f t="shared" si="173"/>
        <v>173.22003090300001</v>
      </c>
      <c r="J2235">
        <f t="shared" si="175"/>
        <v>173180.172903</v>
      </c>
      <c r="M2235">
        <f t="shared" si="174"/>
        <v>108078</v>
      </c>
    </row>
    <row r="2236" spans="1:13" x14ac:dyDescent="0.2">
      <c r="A2236">
        <v>107</v>
      </c>
      <c r="B2236">
        <v>79</v>
      </c>
      <c r="C2236">
        <v>186</v>
      </c>
      <c r="D2236" s="51" t="s">
        <v>77</v>
      </c>
      <c r="E2236">
        <f>VLOOKUP(M2236,'MASS - 2016'!$A$1:$G$3418,6,FALSE)</f>
        <v>-31714.851999999999</v>
      </c>
      <c r="F2236">
        <f>VLOOKUP(M2236,'MASS - 2016'!$A$1:$G$3418,7,FALSE)</f>
        <v>20.966999999999999</v>
      </c>
      <c r="G2236">
        <f t="shared" si="176"/>
        <v>-31714.851999999999</v>
      </c>
      <c r="H2236">
        <f t="shared" si="172"/>
        <v>185.96595270616547</v>
      </c>
      <c r="I2236">
        <f t="shared" si="173"/>
        <v>173.226180494</v>
      </c>
      <c r="J2236">
        <f t="shared" si="175"/>
        <v>173185.81149399999</v>
      </c>
      <c r="M2236">
        <f t="shared" si="174"/>
        <v>107079</v>
      </c>
    </row>
    <row r="2237" spans="1:13" x14ac:dyDescent="0.2">
      <c r="A2237">
        <v>106</v>
      </c>
      <c r="B2237">
        <v>80</v>
      </c>
      <c r="C2237">
        <v>186</v>
      </c>
      <c r="D2237" s="51" t="s">
        <v>78</v>
      </c>
      <c r="E2237">
        <f>VLOOKUP(M2237,'MASS - 2016'!$A$1:$G$3418,6,FALSE)</f>
        <v>-28539.097000000002</v>
      </c>
      <c r="F2237">
        <f>VLOOKUP(M2237,'MASS - 2016'!$A$1:$G$3418,7,FALSE)</f>
        <v>11.65</v>
      </c>
      <c r="G2237">
        <f t="shared" si="176"/>
        <v>-28539.097000000002</v>
      </c>
      <c r="H2237">
        <f t="shared" si="172"/>
        <v>185.96936201936774</v>
      </c>
      <c r="I2237">
        <f t="shared" si="173"/>
        <v>173.22935624900001</v>
      </c>
      <c r="J2237">
        <f t="shared" si="175"/>
        <v>173188.476249</v>
      </c>
      <c r="M2237">
        <f t="shared" si="174"/>
        <v>106080</v>
      </c>
    </row>
    <row r="2238" spans="1:13" x14ac:dyDescent="0.2">
      <c r="A2238">
        <v>105</v>
      </c>
      <c r="B2238">
        <v>81</v>
      </c>
      <c r="C2238">
        <v>186</v>
      </c>
      <c r="D2238" s="51" t="s">
        <v>79</v>
      </c>
      <c r="E2238">
        <f>VLOOKUP(M2238,'MASS - 2016'!$A$1:$G$3418,6,FALSE)</f>
        <v>-19886.613000000001</v>
      </c>
      <c r="F2238">
        <f>VLOOKUP(M2238,'MASS - 2016'!$A$1:$G$3418,7,FALSE)</f>
        <v>22.356000000000002</v>
      </c>
      <c r="G2238">
        <f t="shared" si="176"/>
        <v>-19886.613000000001</v>
      </c>
      <c r="H2238">
        <f t="shared" si="172"/>
        <v>185.97865084294938</v>
      </c>
      <c r="I2238">
        <f t="shared" si="173"/>
        <v>173.23800873299999</v>
      </c>
      <c r="J2238">
        <f t="shared" si="175"/>
        <v>173196.61773299999</v>
      </c>
      <c r="M2238">
        <f t="shared" si="174"/>
        <v>105081</v>
      </c>
    </row>
    <row r="2239" spans="1:13" x14ac:dyDescent="0.2">
      <c r="A2239">
        <v>104</v>
      </c>
      <c r="B2239">
        <v>82</v>
      </c>
      <c r="C2239">
        <v>186</v>
      </c>
      <c r="D2239" s="51" t="s">
        <v>80</v>
      </c>
      <c r="E2239">
        <f>VLOOKUP(M2239,'MASS - 2016'!$A$1:$G$3418,6,FALSE)</f>
        <v>-14682.026</v>
      </c>
      <c r="F2239">
        <f>VLOOKUP(M2239,'MASS - 2016'!$A$1:$G$3418,7,FALSE)</f>
        <v>11.363</v>
      </c>
      <c r="G2239">
        <f t="shared" si="176"/>
        <v>-14682.026</v>
      </c>
      <c r="H2239">
        <f t="shared" si="172"/>
        <v>185.9842381968767</v>
      </c>
      <c r="I2239">
        <f t="shared" si="173"/>
        <v>173.24321332</v>
      </c>
      <c r="J2239">
        <f t="shared" si="175"/>
        <v>173201.31131999998</v>
      </c>
      <c r="M2239">
        <f t="shared" si="174"/>
        <v>104082</v>
      </c>
    </row>
    <row r="2240" spans="1:13" x14ac:dyDescent="0.2">
      <c r="A2240">
        <v>103</v>
      </c>
      <c r="B2240">
        <v>83</v>
      </c>
      <c r="C2240">
        <v>186</v>
      </c>
      <c r="D2240" s="51" t="s">
        <v>81</v>
      </c>
      <c r="E2240">
        <f>VLOOKUP(M2240,'MASS - 2016'!$A$1:$G$3418,6,FALSE)</f>
        <v>-3146.212</v>
      </c>
      <c r="F2240">
        <f>VLOOKUP(M2240,'MASS - 2016'!$A$1:$G$3418,7,FALSE)</f>
        <v>16.856999999999999</v>
      </c>
      <c r="G2240">
        <f t="shared" si="176"/>
        <v>-3146.212</v>
      </c>
      <c r="H2240">
        <f t="shared" si="172"/>
        <v>185.99662240251257</v>
      </c>
      <c r="I2240">
        <f t="shared" si="173"/>
        <v>173.25474913400001</v>
      </c>
      <c r="J2240">
        <f t="shared" si="175"/>
        <v>173212.33613400001</v>
      </c>
      <c r="M2240">
        <f t="shared" si="174"/>
        <v>103083</v>
      </c>
    </row>
    <row r="2241" spans="1:13" x14ac:dyDescent="0.2">
      <c r="A2241">
        <v>114</v>
      </c>
      <c r="B2241">
        <v>73</v>
      </c>
      <c r="C2241">
        <v>187</v>
      </c>
      <c r="D2241" s="51" t="s">
        <v>71</v>
      </c>
      <c r="E2241">
        <f>VLOOKUP(M2241,'MASS - 2016'!$A$1:$G$3418,6,FALSE)</f>
        <v>-36895.546000000002</v>
      </c>
      <c r="F2241">
        <f>VLOOKUP(M2241,'MASS - 2016'!$A$1:$G$3418,7,FALSE)</f>
        <v>55.89</v>
      </c>
      <c r="G2241">
        <f t="shared" si="176"/>
        <v>-36895.546000000002</v>
      </c>
      <c r="H2241">
        <f t="shared" si="172"/>
        <v>186.96039100242851</v>
      </c>
      <c r="I2241">
        <f t="shared" si="173"/>
        <v>174.15249386099998</v>
      </c>
      <c r="J2241">
        <f t="shared" si="175"/>
        <v>174115.19086099998</v>
      </c>
      <c r="M2241">
        <f t="shared" si="174"/>
        <v>114073</v>
      </c>
    </row>
    <row r="2242" spans="1:13" x14ac:dyDescent="0.2">
      <c r="A2242">
        <v>113</v>
      </c>
      <c r="B2242">
        <v>74</v>
      </c>
      <c r="C2242">
        <v>187</v>
      </c>
      <c r="D2242" s="51" t="s">
        <v>72</v>
      </c>
      <c r="E2242">
        <f>VLOOKUP(M2242,'MASS - 2016'!$A$1:$G$3418,6,FALSE)</f>
        <v>-39903.97</v>
      </c>
      <c r="F2242">
        <f>VLOOKUP(M2242,'MASS - 2016'!$A$1:$G$3418,7,FALSE)</f>
        <v>1.212</v>
      </c>
      <c r="G2242">
        <f t="shared" si="176"/>
        <v>-39903.97</v>
      </c>
      <c r="H2242">
        <f t="shared" si="172"/>
        <v>186.95716132644242</v>
      </c>
      <c r="I2242">
        <f t="shared" si="173"/>
        <v>174.14948543699998</v>
      </c>
      <c r="J2242">
        <f t="shared" si="175"/>
        <v>174111.67143699998</v>
      </c>
      <c r="M2242">
        <f t="shared" si="174"/>
        <v>113074</v>
      </c>
    </row>
    <row r="2243" spans="1:13" x14ac:dyDescent="0.2">
      <c r="A2243">
        <v>112</v>
      </c>
      <c r="B2243">
        <v>75</v>
      </c>
      <c r="C2243">
        <v>187</v>
      </c>
      <c r="D2243" s="51" t="s">
        <v>73</v>
      </c>
      <c r="E2243">
        <f>VLOOKUP(M2243,'MASS - 2016'!$A$1:$G$3418,6,FALSE)</f>
        <v>-41216.478000000003</v>
      </c>
      <c r="F2243">
        <f>VLOOKUP(M2243,'MASS - 2016'!$A$1:$G$3418,7,FALSE)</f>
        <v>0.73599999999999999</v>
      </c>
      <c r="G2243">
        <f t="shared" si="176"/>
        <v>-41216.478000000003</v>
      </c>
      <c r="H2243">
        <f t="shared" si="172"/>
        <v>186.95575229115713</v>
      </c>
      <c r="I2243">
        <f t="shared" si="173"/>
        <v>174.148172929</v>
      </c>
      <c r="J2243">
        <f t="shared" si="175"/>
        <v>174109.84792899998</v>
      </c>
      <c r="M2243">
        <f t="shared" si="174"/>
        <v>112075</v>
      </c>
    </row>
    <row r="2244" spans="1:13" x14ac:dyDescent="0.2">
      <c r="A2244">
        <v>111</v>
      </c>
      <c r="B2244">
        <v>76</v>
      </c>
      <c r="C2244">
        <v>187</v>
      </c>
      <c r="D2244" s="51" t="s">
        <v>74</v>
      </c>
      <c r="E2244">
        <f>VLOOKUP(M2244,'MASS - 2016'!$A$1:$G$3418,6,FALSE)</f>
        <v>-41218.945</v>
      </c>
      <c r="F2244">
        <f>VLOOKUP(M2244,'MASS - 2016'!$A$1:$G$3418,7,FALSE)</f>
        <v>0.73599999999999999</v>
      </c>
      <c r="G2244">
        <f t="shared" si="176"/>
        <v>-41218.945</v>
      </c>
      <c r="H2244">
        <f t="shared" si="172"/>
        <v>186.9557496427237</v>
      </c>
      <c r="I2244">
        <f t="shared" si="173"/>
        <v>174.148170462</v>
      </c>
      <c r="J2244">
        <f t="shared" si="175"/>
        <v>174109.334462</v>
      </c>
      <c r="M2244">
        <f t="shared" si="174"/>
        <v>111076</v>
      </c>
    </row>
    <row r="2245" spans="1:13" x14ac:dyDescent="0.2">
      <c r="A2245">
        <v>110</v>
      </c>
      <c r="B2245">
        <v>77</v>
      </c>
      <c r="C2245">
        <v>187</v>
      </c>
      <c r="D2245" s="51" t="s">
        <v>75</v>
      </c>
      <c r="E2245">
        <f>VLOOKUP(M2245,'MASS - 2016'!$A$1:$G$3418,6,FALSE)</f>
        <v>-39549.372000000003</v>
      </c>
      <c r="F2245">
        <f>VLOOKUP(M2245,'MASS - 2016'!$A$1:$G$3418,7,FALSE)</f>
        <v>27.945</v>
      </c>
      <c r="G2245">
        <f t="shared" si="176"/>
        <v>-39549.372000000003</v>
      </c>
      <c r="H2245">
        <f t="shared" si="172"/>
        <v>186.95754200305092</v>
      </c>
      <c r="I2245">
        <f t="shared" si="173"/>
        <v>174.14984003499998</v>
      </c>
      <c r="J2245">
        <f t="shared" si="175"/>
        <v>174110.49303499996</v>
      </c>
      <c r="M2245">
        <f t="shared" si="174"/>
        <v>110077</v>
      </c>
    </row>
    <row r="2246" spans="1:13" x14ac:dyDescent="0.2">
      <c r="A2246">
        <v>109</v>
      </c>
      <c r="B2246">
        <v>78</v>
      </c>
      <c r="C2246">
        <v>187</v>
      </c>
      <c r="D2246" s="51" t="s">
        <v>76</v>
      </c>
      <c r="E2246">
        <f>VLOOKUP(M2246,'MASS - 2016'!$A$1:$G$3418,6,FALSE)</f>
        <v>-36685.050000000003</v>
      </c>
      <c r="F2246">
        <f>VLOOKUP(M2246,'MASS - 2016'!$A$1:$G$3418,7,FALSE)</f>
        <v>24.047999999999998</v>
      </c>
      <c r="G2246">
        <f t="shared" si="176"/>
        <v>-36685.050000000003</v>
      </c>
      <c r="H2246">
        <f t="shared" si="172"/>
        <v>186.96061697917793</v>
      </c>
      <c r="I2246">
        <f t="shared" si="173"/>
        <v>174.152704357</v>
      </c>
      <c r="J2246">
        <f t="shared" si="175"/>
        <v>174112.846357</v>
      </c>
      <c r="M2246">
        <f t="shared" si="174"/>
        <v>109078</v>
      </c>
    </row>
    <row r="2247" spans="1:13" x14ac:dyDescent="0.2">
      <c r="A2247">
        <v>108</v>
      </c>
      <c r="B2247">
        <v>79</v>
      </c>
      <c r="C2247">
        <v>187</v>
      </c>
      <c r="D2247" s="51" t="s">
        <v>77</v>
      </c>
      <c r="E2247">
        <f>VLOOKUP(M2247,'MASS - 2016'!$A$1:$G$3418,6,FALSE)</f>
        <v>-33027.838000000003</v>
      </c>
      <c r="F2247">
        <f>VLOOKUP(M2247,'MASS - 2016'!$A$1:$G$3418,7,FALSE)</f>
        <v>22.308</v>
      </c>
      <c r="G2247">
        <f t="shared" si="176"/>
        <v>-33027.838000000003</v>
      </c>
      <c r="H2247">
        <f t="shared" si="172"/>
        <v>186.96454315772604</v>
      </c>
      <c r="I2247">
        <f t="shared" si="173"/>
        <v>174.15636156899998</v>
      </c>
      <c r="J2247">
        <f t="shared" si="175"/>
        <v>174115.99256899997</v>
      </c>
      <c r="M2247">
        <f t="shared" si="174"/>
        <v>108079</v>
      </c>
    </row>
    <row r="2248" spans="1:13" x14ac:dyDescent="0.2">
      <c r="A2248">
        <v>107</v>
      </c>
      <c r="B2248">
        <v>80</v>
      </c>
      <c r="C2248">
        <v>187</v>
      </c>
      <c r="D2248" s="51" t="s">
        <v>78</v>
      </c>
      <c r="E2248">
        <f>VLOOKUP(M2248,'MASS - 2016'!$A$1:$G$3418,6,FALSE)</f>
        <v>-28117.93</v>
      </c>
      <c r="F2248">
        <f>VLOOKUP(M2248,'MASS - 2016'!$A$1:$G$3418,7,FALSE)</f>
        <v>13.904999999999999</v>
      </c>
      <c r="G2248">
        <f t="shared" si="176"/>
        <v>-28117.93</v>
      </c>
      <c r="H2248">
        <f t="shared" si="172"/>
        <v>186.96981416073675</v>
      </c>
      <c r="I2248">
        <f t="shared" si="173"/>
        <v>174.16127147699999</v>
      </c>
      <c r="J2248">
        <f t="shared" si="175"/>
        <v>174120.39147699997</v>
      </c>
      <c r="M2248">
        <f t="shared" si="174"/>
        <v>107080</v>
      </c>
    </row>
    <row r="2249" spans="1:13" x14ac:dyDescent="0.2">
      <c r="A2249">
        <v>106</v>
      </c>
      <c r="B2249">
        <v>81</v>
      </c>
      <c r="C2249">
        <v>187</v>
      </c>
      <c r="D2249" s="51" t="s">
        <v>79</v>
      </c>
      <c r="E2249">
        <f>VLOOKUP(M2249,'MASS - 2016'!$A$1:$G$3418,6,FALSE)</f>
        <v>-22444.587</v>
      </c>
      <c r="F2249">
        <f>VLOOKUP(M2249,'MASS - 2016'!$A$1:$G$3418,7,FALSE)</f>
        <v>8.048</v>
      </c>
      <c r="G2249">
        <f t="shared" si="176"/>
        <v>-22444.587</v>
      </c>
      <c r="H2249">
        <f t="shared" ref="H2249:H2312" si="177">(C2249*$A$3+G2249/1000000)/$A$3</f>
        <v>186.97590474492569</v>
      </c>
      <c r="I2249">
        <f t="shared" ref="I2249:I2312" si="178">H2249*$A$3</f>
        <v>174.16694482</v>
      </c>
      <c r="J2249">
        <f t="shared" si="175"/>
        <v>174125.55382</v>
      </c>
      <c r="M2249">
        <f t="shared" ref="M2249:M2312" si="179">1000*A2249+B2249</f>
        <v>106081</v>
      </c>
    </row>
    <row r="2250" spans="1:13" x14ac:dyDescent="0.2">
      <c r="A2250">
        <v>105</v>
      </c>
      <c r="B2250">
        <v>82</v>
      </c>
      <c r="C2250">
        <v>187</v>
      </c>
      <c r="D2250" s="51" t="s">
        <v>80</v>
      </c>
      <c r="E2250">
        <f>VLOOKUP(M2250,'MASS - 2016'!$A$1:$G$3418,6,FALSE)</f>
        <v>-14986.959000000001</v>
      </c>
      <c r="F2250">
        <f>VLOOKUP(M2250,'MASS - 2016'!$A$1:$G$3418,7,FALSE)</f>
        <v>5.0940000000000003</v>
      </c>
      <c r="G2250">
        <f t="shared" si="176"/>
        <v>-14986.959000000001</v>
      </c>
      <c r="H2250">
        <f t="shared" si="177"/>
        <v>186.98391083783838</v>
      </c>
      <c r="I2250">
        <f t="shared" si="178"/>
        <v>174.174402448</v>
      </c>
      <c r="J2250">
        <f t="shared" si="175"/>
        <v>174132.50044800001</v>
      </c>
      <c r="M2250">
        <f t="shared" si="179"/>
        <v>105082</v>
      </c>
    </row>
    <row r="2251" spans="1:13" x14ac:dyDescent="0.2">
      <c r="A2251">
        <v>104</v>
      </c>
      <c r="B2251">
        <v>83</v>
      </c>
      <c r="C2251">
        <v>187</v>
      </c>
      <c r="D2251" s="51" t="s">
        <v>81</v>
      </c>
      <c r="E2251">
        <f>VLOOKUP(M2251,'MASS - 2016'!$A$1:$G$3418,6,FALSE)</f>
        <v>-6383.2709999999997</v>
      </c>
      <c r="F2251">
        <f>VLOOKUP(M2251,'MASS - 2016'!$A$1:$G$3418,7,FALSE)</f>
        <v>10.005000000000001</v>
      </c>
      <c r="G2251">
        <f t="shared" si="176"/>
        <v>-6383.2709999999997</v>
      </c>
      <c r="H2251">
        <f t="shared" si="177"/>
        <v>186.99314727675971</v>
      </c>
      <c r="I2251">
        <f t="shared" si="178"/>
        <v>174.18300613599999</v>
      </c>
      <c r="J2251">
        <f t="shared" si="175"/>
        <v>174140.59313599998</v>
      </c>
      <c r="M2251">
        <f t="shared" si="179"/>
        <v>104083</v>
      </c>
    </row>
    <row r="2252" spans="1:13" x14ac:dyDescent="0.2">
      <c r="A2252">
        <v>115</v>
      </c>
      <c r="B2252">
        <v>73</v>
      </c>
      <c r="C2252">
        <v>188</v>
      </c>
      <c r="D2252" s="51" t="s">
        <v>71</v>
      </c>
      <c r="E2252">
        <f>VLOOKUP(M2252,'MASS - 2016'!$A$1:$G$3418,6,FALSE)</f>
        <v>-33612.03</v>
      </c>
      <c r="F2252">
        <f>VLOOKUP(M2252,'MASS - 2016'!$A$1:$G$3418,7,FALSE)</f>
        <v>54.957999999999998</v>
      </c>
      <c r="G2252">
        <f t="shared" si="176"/>
        <v>-33612.03</v>
      </c>
      <c r="H2252">
        <f t="shared" si="177"/>
        <v>187.96391600182193</v>
      </c>
      <c r="I2252">
        <f t="shared" si="178"/>
        <v>175.08727143799999</v>
      </c>
      <c r="J2252">
        <f t="shared" ref="J2252:J2315" si="180">1000*I2252-B2252*0.511</f>
        <v>175049.96843799998</v>
      </c>
      <c r="M2252">
        <f t="shared" si="179"/>
        <v>115073</v>
      </c>
    </row>
    <row r="2253" spans="1:13" x14ac:dyDescent="0.2">
      <c r="A2253">
        <v>114</v>
      </c>
      <c r="B2253">
        <v>74</v>
      </c>
      <c r="C2253">
        <v>188</v>
      </c>
      <c r="D2253" s="51" t="s">
        <v>72</v>
      </c>
      <c r="E2253">
        <f>VLOOKUP(M2253,'MASS - 2016'!$A$1:$G$3418,6,FALSE)</f>
        <v>-38667.811000000002</v>
      </c>
      <c r="F2253">
        <f>VLOOKUP(M2253,'MASS - 2016'!$A$1:$G$3418,7,FALSE)</f>
        <v>3.089</v>
      </c>
      <c r="G2253">
        <f t="shared" si="176"/>
        <v>-38667.811000000002</v>
      </c>
      <c r="H2253">
        <f t="shared" si="177"/>
        <v>187.95848839770539</v>
      </c>
      <c r="I2253">
        <f t="shared" si="178"/>
        <v>175.08221565699998</v>
      </c>
      <c r="J2253">
        <f t="shared" si="180"/>
        <v>175044.40165699995</v>
      </c>
      <c r="M2253">
        <f t="shared" si="179"/>
        <v>114074</v>
      </c>
    </row>
    <row r="2254" spans="1:13" x14ac:dyDescent="0.2">
      <c r="A2254">
        <v>113</v>
      </c>
      <c r="B2254">
        <v>75</v>
      </c>
      <c r="C2254">
        <v>188</v>
      </c>
      <c r="D2254" s="51" t="s">
        <v>73</v>
      </c>
      <c r="E2254">
        <f>VLOOKUP(M2254,'MASS - 2016'!$A$1:$G$3418,6,FALSE)</f>
        <v>-39016.811000000002</v>
      </c>
      <c r="F2254">
        <f>VLOOKUP(M2254,'MASS - 2016'!$A$1:$G$3418,7,FALSE)</f>
        <v>0.73799999999999999</v>
      </c>
      <c r="G2254">
        <f t="shared" si="176"/>
        <v>-39016.811000000002</v>
      </c>
      <c r="H2254">
        <f t="shared" si="177"/>
        <v>187.95811373079704</v>
      </c>
      <c r="I2254">
        <f t="shared" si="178"/>
        <v>175.08186665699998</v>
      </c>
      <c r="J2254">
        <f t="shared" si="180"/>
        <v>175043.54165699997</v>
      </c>
      <c r="M2254">
        <f t="shared" si="179"/>
        <v>113075</v>
      </c>
    </row>
    <row r="2255" spans="1:13" x14ac:dyDescent="0.2">
      <c r="A2255">
        <v>112</v>
      </c>
      <c r="B2255">
        <v>76</v>
      </c>
      <c r="C2255">
        <v>188</v>
      </c>
      <c r="D2255" s="51" t="s">
        <v>74</v>
      </c>
      <c r="E2255">
        <f>VLOOKUP(M2255,'MASS - 2016'!$A$1:$G$3418,6,FALSE)</f>
        <v>-41137.233</v>
      </c>
      <c r="F2255">
        <f>VLOOKUP(M2255,'MASS - 2016'!$A$1:$G$3418,7,FALSE)</f>
        <v>0.73399999999999999</v>
      </c>
      <c r="G2255">
        <f t="shared" ref="G2255:G2318" si="181">IF(ISNUMBER(E2255),E2255,VALUE(SUBSTITUTE(E2255,"#",".01")))</f>
        <v>-41137.233</v>
      </c>
      <c r="H2255">
        <f t="shared" si="177"/>
        <v>187.95583736416327</v>
      </c>
      <c r="I2255">
        <f t="shared" si="178"/>
        <v>175.07974623499999</v>
      </c>
      <c r="J2255">
        <f t="shared" si="180"/>
        <v>175040.91023499999</v>
      </c>
      <c r="M2255">
        <f t="shared" si="179"/>
        <v>112076</v>
      </c>
    </row>
    <row r="2256" spans="1:13" x14ac:dyDescent="0.2">
      <c r="A2256">
        <v>111</v>
      </c>
      <c r="B2256">
        <v>77</v>
      </c>
      <c r="C2256">
        <v>188</v>
      </c>
      <c r="D2256" s="51" t="s">
        <v>75</v>
      </c>
      <c r="E2256">
        <f>VLOOKUP(M2256,'MASS - 2016'!$A$1:$G$3418,6,FALSE)</f>
        <v>-38344.906999999999</v>
      </c>
      <c r="F2256">
        <f>VLOOKUP(M2256,'MASS - 2016'!$A$1:$G$3418,7,FALSE)</f>
        <v>9.423</v>
      </c>
      <c r="G2256">
        <f t="shared" si="181"/>
        <v>-38344.906999999999</v>
      </c>
      <c r="H2256">
        <f t="shared" si="177"/>
        <v>187.95883504940562</v>
      </c>
      <c r="I2256">
        <f t="shared" si="178"/>
        <v>175.08253856099998</v>
      </c>
      <c r="J2256">
        <f t="shared" si="180"/>
        <v>175043.19156099996</v>
      </c>
      <c r="M2256">
        <f t="shared" si="179"/>
        <v>111077</v>
      </c>
    </row>
    <row r="2257" spans="1:13" x14ac:dyDescent="0.2">
      <c r="A2257">
        <v>110</v>
      </c>
      <c r="B2257">
        <v>78</v>
      </c>
      <c r="C2257">
        <v>188</v>
      </c>
      <c r="D2257" s="51" t="s">
        <v>76</v>
      </c>
      <c r="E2257">
        <f>VLOOKUP(M2257,'MASS - 2016'!$A$1:$G$3418,6,FALSE)</f>
        <v>-37820.928999999996</v>
      </c>
      <c r="F2257">
        <f>VLOOKUP(M2257,'MASS - 2016'!$A$1:$G$3418,7,FALSE)</f>
        <v>5.3040000000000003</v>
      </c>
      <c r="G2257">
        <f t="shared" si="181"/>
        <v>-37820.928999999996</v>
      </c>
      <c r="H2257">
        <f t="shared" si="177"/>
        <v>187.95939756292231</v>
      </c>
      <c r="I2257">
        <f t="shared" si="178"/>
        <v>175.083062539</v>
      </c>
      <c r="J2257">
        <f t="shared" si="180"/>
        <v>175043.204539</v>
      </c>
      <c r="M2257">
        <f t="shared" si="179"/>
        <v>110078</v>
      </c>
    </row>
    <row r="2258" spans="1:13" x14ac:dyDescent="0.2">
      <c r="A2258">
        <v>109</v>
      </c>
      <c r="B2258">
        <v>79</v>
      </c>
      <c r="C2258">
        <v>188</v>
      </c>
      <c r="D2258" s="51" t="s">
        <v>77</v>
      </c>
      <c r="E2258">
        <f>VLOOKUP(M2258,'MASS - 2016'!$A$1:$G$3418,6,FALSE)</f>
        <v>-32371.308000000001</v>
      </c>
      <c r="F2258">
        <f>VLOOKUP(M2258,'MASS - 2016'!$A$1:$G$3418,7,FALSE)</f>
        <v>2.7010000000000001</v>
      </c>
      <c r="G2258">
        <f t="shared" si="181"/>
        <v>-32371.308000000001</v>
      </c>
      <c r="H2258">
        <f t="shared" si="177"/>
        <v>187.96524797166688</v>
      </c>
      <c r="I2258">
        <f t="shared" si="178"/>
        <v>175.08851215999999</v>
      </c>
      <c r="J2258">
        <f t="shared" si="180"/>
        <v>175048.14315999998</v>
      </c>
      <c r="M2258">
        <f t="shared" si="179"/>
        <v>109079</v>
      </c>
    </row>
    <row r="2259" spans="1:13" x14ac:dyDescent="0.2">
      <c r="A2259">
        <v>108</v>
      </c>
      <c r="B2259">
        <v>80</v>
      </c>
      <c r="C2259">
        <v>188</v>
      </c>
      <c r="D2259" s="51" t="s">
        <v>78</v>
      </c>
      <c r="E2259">
        <f>VLOOKUP(M2259,'MASS - 2016'!$A$1:$G$3418,6,FALSE)</f>
        <v>-30201.914000000001</v>
      </c>
      <c r="F2259">
        <f>VLOOKUP(M2259,'MASS - 2016'!$A$1:$G$3418,7,FALSE)</f>
        <v>12.275</v>
      </c>
      <c r="G2259">
        <f t="shared" si="181"/>
        <v>-30201.914000000001</v>
      </c>
      <c r="H2259">
        <f t="shared" si="177"/>
        <v>187.96757691190476</v>
      </c>
      <c r="I2259">
        <f t="shared" si="178"/>
        <v>175.09068155399999</v>
      </c>
      <c r="J2259">
        <f t="shared" si="180"/>
        <v>175049.80155399998</v>
      </c>
      <c r="M2259">
        <f t="shared" si="179"/>
        <v>108080</v>
      </c>
    </row>
    <row r="2260" spans="1:13" x14ac:dyDescent="0.2">
      <c r="A2260">
        <v>107</v>
      </c>
      <c r="B2260">
        <v>81</v>
      </c>
      <c r="C2260">
        <v>188</v>
      </c>
      <c r="D2260" s="51" t="s">
        <v>79</v>
      </c>
      <c r="E2260">
        <f>VLOOKUP(M2260,'MASS - 2016'!$A$1:$G$3418,6,FALSE)</f>
        <v>-22336.400000000001</v>
      </c>
      <c r="F2260">
        <f>VLOOKUP(M2260,'MASS - 2016'!$A$1:$G$3418,7,FALSE)</f>
        <v>29.904</v>
      </c>
      <c r="G2260">
        <f t="shared" si="181"/>
        <v>-22336.400000000001</v>
      </c>
      <c r="H2260">
        <f t="shared" si="177"/>
        <v>187.97602088844664</v>
      </c>
      <c r="I2260">
        <f t="shared" si="178"/>
        <v>175.09854706799999</v>
      </c>
      <c r="J2260">
        <f t="shared" si="180"/>
        <v>175057.15606799998</v>
      </c>
      <c r="M2260">
        <f t="shared" si="179"/>
        <v>107081</v>
      </c>
    </row>
    <row r="2261" spans="1:13" x14ac:dyDescent="0.2">
      <c r="A2261">
        <v>106</v>
      </c>
      <c r="B2261">
        <v>82</v>
      </c>
      <c r="C2261">
        <v>188</v>
      </c>
      <c r="D2261" s="51" t="s">
        <v>80</v>
      </c>
      <c r="E2261">
        <f>VLOOKUP(M2261,'MASS - 2016'!$A$1:$G$3418,6,FALSE)</f>
        <v>-17815.202000000001</v>
      </c>
      <c r="F2261">
        <f>VLOOKUP(M2261,'MASS - 2016'!$A$1:$G$3418,7,FALSE)</f>
        <v>10.622</v>
      </c>
      <c r="G2261">
        <f t="shared" si="181"/>
        <v>-17815.202000000001</v>
      </c>
      <c r="H2261">
        <f t="shared" si="177"/>
        <v>187.98087459411079</v>
      </c>
      <c r="I2261">
        <f t="shared" si="178"/>
        <v>175.10306826599998</v>
      </c>
      <c r="J2261">
        <f t="shared" si="180"/>
        <v>175061.16626599999</v>
      </c>
      <c r="M2261">
        <f t="shared" si="179"/>
        <v>106082</v>
      </c>
    </row>
    <row r="2262" spans="1:13" x14ac:dyDescent="0.2">
      <c r="A2262">
        <v>105</v>
      </c>
      <c r="B2262">
        <v>83</v>
      </c>
      <c r="C2262">
        <v>188</v>
      </c>
      <c r="D2262" s="51" t="s">
        <v>81</v>
      </c>
      <c r="E2262">
        <f>VLOOKUP(M2262,'MASS - 2016'!$A$1:$G$3418,6,FALSE)</f>
        <v>-7194.6869999999999</v>
      </c>
      <c r="F2262">
        <f>VLOOKUP(M2262,'MASS - 2016'!$A$1:$G$3418,7,FALSE)</f>
        <v>11.186999999999999</v>
      </c>
      <c r="G2262">
        <f t="shared" si="181"/>
        <v>-7194.6869999999999</v>
      </c>
      <c r="H2262">
        <f t="shared" si="177"/>
        <v>187.99227618585962</v>
      </c>
      <c r="I2262">
        <f t="shared" si="178"/>
        <v>175.11368878099998</v>
      </c>
      <c r="J2262">
        <f t="shared" si="180"/>
        <v>175071.27578099997</v>
      </c>
      <c r="M2262">
        <f t="shared" si="179"/>
        <v>105083</v>
      </c>
    </row>
    <row r="2263" spans="1:13" x14ac:dyDescent="0.2">
      <c r="A2263">
        <v>115</v>
      </c>
      <c r="B2263">
        <v>74</v>
      </c>
      <c r="C2263">
        <v>189</v>
      </c>
      <c r="D2263" s="51" t="s">
        <v>72</v>
      </c>
      <c r="E2263">
        <f>VLOOKUP(M2263,'MASS - 2016'!$A$1:$G$3418,6,FALSE)</f>
        <v>-35617.536</v>
      </c>
      <c r="F2263">
        <f>VLOOKUP(M2263,'MASS - 2016'!$A$1:$G$3418,7,FALSE)</f>
        <v>40.054000000000002</v>
      </c>
      <c r="G2263">
        <f t="shared" si="181"/>
        <v>-35617.536</v>
      </c>
      <c r="H2263">
        <f t="shared" si="177"/>
        <v>188.96176300258773</v>
      </c>
      <c r="I2263">
        <f t="shared" si="178"/>
        <v>176.01675999299999</v>
      </c>
      <c r="J2263">
        <f t="shared" si="180"/>
        <v>175978.94599299997</v>
      </c>
      <c r="M2263">
        <f t="shared" si="179"/>
        <v>115074</v>
      </c>
    </row>
    <row r="2264" spans="1:13" x14ac:dyDescent="0.2">
      <c r="A2264">
        <v>114</v>
      </c>
      <c r="B2264">
        <v>75</v>
      </c>
      <c r="C2264">
        <v>189</v>
      </c>
      <c r="D2264" s="51" t="s">
        <v>73</v>
      </c>
      <c r="E2264">
        <f>VLOOKUP(M2264,'MASS - 2016'!$A$1:$G$3418,6,FALSE)</f>
        <v>-37979.042999999998</v>
      </c>
      <c r="F2264">
        <f>VLOOKUP(M2264,'MASS - 2016'!$A$1:$G$3418,7,FALSE)</f>
        <v>8.1910000000000007</v>
      </c>
      <c r="G2264">
        <f t="shared" si="181"/>
        <v>-37979.042999999998</v>
      </c>
      <c r="H2264">
        <f t="shared" si="177"/>
        <v>188.95922782056255</v>
      </c>
      <c r="I2264">
        <f t="shared" si="178"/>
        <v>176.01439848599998</v>
      </c>
      <c r="J2264">
        <f t="shared" si="180"/>
        <v>175976.07348599995</v>
      </c>
      <c r="M2264">
        <f t="shared" si="179"/>
        <v>114075</v>
      </c>
    </row>
    <row r="2265" spans="1:13" x14ac:dyDescent="0.2">
      <c r="A2265">
        <v>113</v>
      </c>
      <c r="B2265">
        <v>76</v>
      </c>
      <c r="C2265">
        <v>189</v>
      </c>
      <c r="D2265" s="51" t="s">
        <v>74</v>
      </c>
      <c r="E2265">
        <f>VLOOKUP(M2265,'MASS - 2016'!$A$1:$G$3418,6,FALSE)</f>
        <v>-38986.745000000003</v>
      </c>
      <c r="F2265">
        <f>VLOOKUP(M2265,'MASS - 2016'!$A$1:$G$3418,7,FALSE)</f>
        <v>0.66600000000000004</v>
      </c>
      <c r="G2265">
        <f t="shared" si="181"/>
        <v>-38986.745000000003</v>
      </c>
      <c r="H2265">
        <f t="shared" si="177"/>
        <v>188.95814600797547</v>
      </c>
      <c r="I2265">
        <f t="shared" si="178"/>
        <v>176.01339078399999</v>
      </c>
      <c r="J2265">
        <f t="shared" si="180"/>
        <v>175974.55478399998</v>
      </c>
      <c r="M2265">
        <f t="shared" si="179"/>
        <v>113076</v>
      </c>
    </row>
    <row r="2266" spans="1:13" x14ac:dyDescent="0.2">
      <c r="A2266">
        <v>112</v>
      </c>
      <c r="B2266">
        <v>77</v>
      </c>
      <c r="C2266">
        <v>189</v>
      </c>
      <c r="D2266" s="51" t="s">
        <v>75</v>
      </c>
      <c r="E2266">
        <f>VLOOKUP(M2266,'MASS - 2016'!$A$1:$G$3418,6,FALSE)</f>
        <v>-38449.586000000003</v>
      </c>
      <c r="F2266">
        <f>VLOOKUP(M2266,'MASS - 2016'!$A$1:$G$3418,7,FALSE)</f>
        <v>12.576000000000001</v>
      </c>
      <c r="G2266">
        <f t="shared" si="181"/>
        <v>-38449.586000000003</v>
      </c>
      <c r="H2266">
        <f t="shared" si="177"/>
        <v>188.95872267187752</v>
      </c>
      <c r="I2266">
        <f t="shared" si="178"/>
        <v>176.01392794299997</v>
      </c>
      <c r="J2266">
        <f t="shared" si="180"/>
        <v>175974.58094299995</v>
      </c>
      <c r="M2266">
        <f t="shared" si="179"/>
        <v>112077</v>
      </c>
    </row>
    <row r="2267" spans="1:13" x14ac:dyDescent="0.2">
      <c r="A2267">
        <v>111</v>
      </c>
      <c r="B2267">
        <v>78</v>
      </c>
      <c r="C2267">
        <v>189</v>
      </c>
      <c r="D2267" s="51" t="s">
        <v>76</v>
      </c>
      <c r="E2267">
        <f>VLOOKUP(M2267,'MASS - 2016'!$A$1:$G$3418,6,FALSE)</f>
        <v>-36469.347999999998</v>
      </c>
      <c r="F2267">
        <f>VLOOKUP(M2267,'MASS - 2016'!$A$1:$G$3418,7,FALSE)</f>
        <v>10.09</v>
      </c>
      <c r="G2267">
        <f t="shared" si="181"/>
        <v>-36469.347999999998</v>
      </c>
      <c r="H2267">
        <f t="shared" si="177"/>
        <v>188.96084854479818</v>
      </c>
      <c r="I2267">
        <f t="shared" si="178"/>
        <v>176.01590818099999</v>
      </c>
      <c r="J2267">
        <f t="shared" si="180"/>
        <v>175976.05018099997</v>
      </c>
      <c r="M2267">
        <f t="shared" si="179"/>
        <v>111078</v>
      </c>
    </row>
    <row r="2268" spans="1:13" x14ac:dyDescent="0.2">
      <c r="A2268">
        <v>110</v>
      </c>
      <c r="B2268">
        <v>79</v>
      </c>
      <c r="C2268">
        <v>189</v>
      </c>
      <c r="D2268" s="51" t="s">
        <v>77</v>
      </c>
      <c r="E2268">
        <f>VLOOKUP(M2268,'MASS - 2016'!$A$1:$G$3418,6,FALSE)</f>
        <v>-33581.955000000002</v>
      </c>
      <c r="F2268">
        <f>VLOOKUP(M2268,'MASS - 2016'!$A$1:$G$3418,7,FALSE)</f>
        <v>20.081</v>
      </c>
      <c r="G2268">
        <f t="shared" si="181"/>
        <v>-33581.955000000002</v>
      </c>
      <c r="H2268">
        <f t="shared" si="177"/>
        <v>188.96394828866224</v>
      </c>
      <c r="I2268">
        <f t="shared" si="178"/>
        <v>176.01879557399999</v>
      </c>
      <c r="J2268">
        <f t="shared" si="180"/>
        <v>175978.42657399998</v>
      </c>
      <c r="M2268">
        <f t="shared" si="179"/>
        <v>110079</v>
      </c>
    </row>
    <row r="2269" spans="1:13" x14ac:dyDescent="0.2">
      <c r="A2269">
        <v>109</v>
      </c>
      <c r="B2269">
        <v>80</v>
      </c>
      <c r="C2269">
        <v>189</v>
      </c>
      <c r="D2269" s="51" t="s">
        <v>78</v>
      </c>
      <c r="E2269">
        <f>VLOOKUP(M2269,'MASS - 2016'!$A$1:$G$3418,6,FALSE)</f>
        <v>-29626.401000000002</v>
      </c>
      <c r="F2269">
        <f>VLOOKUP(M2269,'MASS - 2016'!$A$1:$G$3418,7,FALSE)</f>
        <v>31.553000000000001</v>
      </c>
      <c r="G2269">
        <f t="shared" si="181"/>
        <v>-29626.401000000002</v>
      </c>
      <c r="H2269">
        <f t="shared" si="177"/>
        <v>188.96819475051916</v>
      </c>
      <c r="I2269">
        <f t="shared" si="178"/>
        <v>176.02275112799998</v>
      </c>
      <c r="J2269">
        <f t="shared" si="180"/>
        <v>175981.87112799997</v>
      </c>
      <c r="M2269">
        <f t="shared" si="179"/>
        <v>109080</v>
      </c>
    </row>
    <row r="2270" spans="1:13" x14ac:dyDescent="0.2">
      <c r="A2270">
        <v>108</v>
      </c>
      <c r="B2270">
        <v>81</v>
      </c>
      <c r="C2270">
        <v>189</v>
      </c>
      <c r="D2270" s="51" t="s">
        <v>79</v>
      </c>
      <c r="E2270">
        <f>VLOOKUP(M2270,'MASS - 2016'!$A$1:$G$3418,6,FALSE)</f>
        <v>-24616.1</v>
      </c>
      <c r="F2270">
        <f>VLOOKUP(M2270,'MASS - 2016'!$A$1:$G$3418,7,FALSE)</f>
        <v>8.3680000000000003</v>
      </c>
      <c r="G2270">
        <f t="shared" si="181"/>
        <v>-24616.1</v>
      </c>
      <c r="H2270">
        <f t="shared" si="177"/>
        <v>188.97357352984776</v>
      </c>
      <c r="I2270">
        <f t="shared" si="178"/>
        <v>176.02776142899998</v>
      </c>
      <c r="J2270">
        <f t="shared" si="180"/>
        <v>175986.37042899997</v>
      </c>
      <c r="M2270">
        <f t="shared" si="179"/>
        <v>108081</v>
      </c>
    </row>
    <row r="2271" spans="1:13" x14ac:dyDescent="0.2">
      <c r="A2271">
        <v>107</v>
      </c>
      <c r="B2271">
        <v>82</v>
      </c>
      <c r="C2271">
        <v>189</v>
      </c>
      <c r="D2271" s="51" t="s">
        <v>80</v>
      </c>
      <c r="E2271">
        <f>VLOOKUP(M2271,'MASS - 2016'!$A$1:$G$3418,6,FALSE)</f>
        <v>-17844.035</v>
      </c>
      <c r="F2271">
        <f>VLOOKUP(M2271,'MASS - 2016'!$A$1:$G$3418,7,FALSE)</f>
        <v>14.061999999999999</v>
      </c>
      <c r="G2271">
        <f t="shared" si="181"/>
        <v>-17844.035</v>
      </c>
      <c r="H2271">
        <f t="shared" si="177"/>
        <v>188.98084364061231</v>
      </c>
      <c r="I2271">
        <f t="shared" si="178"/>
        <v>176.03453349399999</v>
      </c>
      <c r="J2271">
        <f t="shared" si="180"/>
        <v>175992.63149399997</v>
      </c>
      <c r="M2271">
        <f t="shared" si="179"/>
        <v>107082</v>
      </c>
    </row>
    <row r="2272" spans="1:13" x14ac:dyDescent="0.2">
      <c r="A2272">
        <v>106</v>
      </c>
      <c r="B2272">
        <v>83</v>
      </c>
      <c r="C2272">
        <v>189</v>
      </c>
      <c r="D2272" s="51" t="s">
        <v>81</v>
      </c>
      <c r="E2272">
        <f>VLOOKUP(M2272,'MASS - 2016'!$A$1:$G$3418,6,FALSE)</f>
        <v>-10064.66</v>
      </c>
      <c r="F2272">
        <f>VLOOKUP(M2272,'MASS - 2016'!$A$1:$G$3418,7,FALSE)</f>
        <v>20.850999999999999</v>
      </c>
      <c r="G2272">
        <f t="shared" si="181"/>
        <v>-10064.66</v>
      </c>
      <c r="H2272">
        <f t="shared" si="177"/>
        <v>188.98919514313465</v>
      </c>
      <c r="I2272">
        <f t="shared" si="178"/>
        <v>176.04231286899997</v>
      </c>
      <c r="J2272">
        <f t="shared" si="180"/>
        <v>175999.89986899996</v>
      </c>
      <c r="M2272">
        <f t="shared" si="179"/>
        <v>106083</v>
      </c>
    </row>
    <row r="2273" spans="1:13" x14ac:dyDescent="0.2">
      <c r="A2273">
        <v>116</v>
      </c>
      <c r="B2273">
        <v>74</v>
      </c>
      <c r="C2273">
        <v>190</v>
      </c>
      <c r="D2273" s="51" t="s">
        <v>72</v>
      </c>
      <c r="E2273">
        <f>VLOOKUP(M2273,'MASS - 2016'!$A$1:$G$3418,6,FALSE)</f>
        <v>-34382.313000000002</v>
      </c>
      <c r="F2273">
        <f>VLOOKUP(M2273,'MASS - 2016'!$A$1:$G$3418,7,FALSE)</f>
        <v>39.725999999999999</v>
      </c>
      <c r="G2273">
        <f t="shared" si="181"/>
        <v>-34382.313000000002</v>
      </c>
      <c r="H2273">
        <f t="shared" si="177"/>
        <v>189.96308906901339</v>
      </c>
      <c r="I2273">
        <f t="shared" si="178"/>
        <v>176.949489277</v>
      </c>
      <c r="J2273">
        <f t="shared" si="180"/>
        <v>176911.67527699997</v>
      </c>
      <c r="M2273">
        <f t="shared" si="179"/>
        <v>116074</v>
      </c>
    </row>
    <row r="2274" spans="1:13" x14ac:dyDescent="0.2">
      <c r="A2274">
        <v>115</v>
      </c>
      <c r="B2274">
        <v>75</v>
      </c>
      <c r="C2274">
        <v>190</v>
      </c>
      <c r="D2274" s="51" t="s">
        <v>73</v>
      </c>
      <c r="E2274">
        <f>VLOOKUP(M2274,'MASS - 2016'!$A$1:$G$3418,6,FALSE)</f>
        <v>-35635.83</v>
      </c>
      <c r="F2274">
        <f>VLOOKUP(M2274,'MASS - 2016'!$A$1:$G$3418,7,FALSE)</f>
        <v>70.852000000000004</v>
      </c>
      <c r="G2274">
        <f t="shared" si="181"/>
        <v>-35635.83</v>
      </c>
      <c r="H2274">
        <f t="shared" si="177"/>
        <v>189.96174336317108</v>
      </c>
      <c r="I2274">
        <f t="shared" si="178"/>
        <v>176.94823576000002</v>
      </c>
      <c r="J2274">
        <f t="shared" si="180"/>
        <v>176909.91076</v>
      </c>
      <c r="M2274">
        <f t="shared" si="179"/>
        <v>115075</v>
      </c>
    </row>
    <row r="2275" spans="1:13" x14ac:dyDescent="0.2">
      <c r="A2275">
        <v>114</v>
      </c>
      <c r="B2275">
        <v>76</v>
      </c>
      <c r="C2275">
        <v>190</v>
      </c>
      <c r="D2275" s="51" t="s">
        <v>74</v>
      </c>
      <c r="E2275">
        <f>VLOOKUP(M2275,'MASS - 2016'!$A$1:$G$3418,6,FALSE)</f>
        <v>-38707.771000000001</v>
      </c>
      <c r="F2275">
        <f>VLOOKUP(M2275,'MASS - 2016'!$A$1:$G$3418,7,FALSE)</f>
        <v>0.65</v>
      </c>
      <c r="G2275">
        <f t="shared" si="181"/>
        <v>-38707.771000000001</v>
      </c>
      <c r="H2275">
        <f t="shared" si="177"/>
        <v>189.95844549888119</v>
      </c>
      <c r="I2275">
        <f t="shared" si="178"/>
        <v>176.94516381900002</v>
      </c>
      <c r="J2275">
        <f t="shared" si="180"/>
        <v>176906.327819</v>
      </c>
      <c r="M2275">
        <f t="shared" si="179"/>
        <v>114076</v>
      </c>
    </row>
    <row r="2276" spans="1:13" x14ac:dyDescent="0.2">
      <c r="A2276">
        <v>113</v>
      </c>
      <c r="B2276">
        <v>77</v>
      </c>
      <c r="C2276">
        <v>190</v>
      </c>
      <c r="D2276" s="51" t="s">
        <v>75</v>
      </c>
      <c r="E2276">
        <f>VLOOKUP(M2276,'MASS - 2016'!$A$1:$G$3418,6,FALSE)</f>
        <v>-36753.544000000002</v>
      </c>
      <c r="F2276">
        <f>VLOOKUP(M2276,'MASS - 2016'!$A$1:$G$3418,7,FALSE)</f>
        <v>1.37</v>
      </c>
      <c r="G2276">
        <f t="shared" si="181"/>
        <v>-36753.544000000002</v>
      </c>
      <c r="H2276">
        <f t="shared" si="177"/>
        <v>189.96054344784494</v>
      </c>
      <c r="I2276">
        <f t="shared" si="178"/>
        <v>176.94711804600001</v>
      </c>
      <c r="J2276">
        <f t="shared" si="180"/>
        <v>176907.77104600001</v>
      </c>
      <c r="M2276">
        <f t="shared" si="179"/>
        <v>113077</v>
      </c>
    </row>
    <row r="2277" spans="1:13" x14ac:dyDescent="0.2">
      <c r="A2277">
        <v>112</v>
      </c>
      <c r="B2277">
        <v>78</v>
      </c>
      <c r="C2277">
        <v>190</v>
      </c>
      <c r="D2277" s="51" t="s">
        <v>76</v>
      </c>
      <c r="E2277">
        <f>VLOOKUP(M2277,'MASS - 2016'!$A$1:$G$3418,6,FALSE)</f>
        <v>-37306.449999999997</v>
      </c>
      <c r="F2277">
        <f>VLOOKUP(M2277,'MASS - 2016'!$A$1:$G$3418,7,FALSE)</f>
        <v>0.65700000000000003</v>
      </c>
      <c r="G2277">
        <f t="shared" si="181"/>
        <v>-37306.449999999997</v>
      </c>
      <c r="H2277">
        <f t="shared" si="177"/>
        <v>189.9599498788431</v>
      </c>
      <c r="I2277">
        <f t="shared" si="178"/>
        <v>176.94656514000002</v>
      </c>
      <c r="J2277">
        <f t="shared" si="180"/>
        <v>176906.70714000001</v>
      </c>
      <c r="M2277">
        <f t="shared" si="179"/>
        <v>112078</v>
      </c>
    </row>
    <row r="2278" spans="1:13" x14ac:dyDescent="0.2">
      <c r="A2278">
        <v>111</v>
      </c>
      <c r="B2278">
        <v>79</v>
      </c>
      <c r="C2278">
        <v>190</v>
      </c>
      <c r="D2278" s="51" t="s">
        <v>77</v>
      </c>
      <c r="E2278">
        <f>VLOOKUP(M2278,'MASS - 2016'!$A$1:$G$3418,6,FALSE)</f>
        <v>-32833.533000000003</v>
      </c>
      <c r="F2278">
        <f>VLOOKUP(M2278,'MASS - 2016'!$A$1:$G$3418,7,FALSE)</f>
        <v>3.4470000000000001</v>
      </c>
      <c r="G2278">
        <f t="shared" si="181"/>
        <v>-32833.533000000003</v>
      </c>
      <c r="H2278">
        <f t="shared" si="177"/>
        <v>189.96475175272212</v>
      </c>
      <c r="I2278">
        <f t="shared" si="178"/>
        <v>176.95103805700001</v>
      </c>
      <c r="J2278">
        <f t="shared" si="180"/>
        <v>176910.66905699999</v>
      </c>
      <c r="M2278">
        <f t="shared" si="179"/>
        <v>111079</v>
      </c>
    </row>
    <row r="2279" spans="1:13" x14ac:dyDescent="0.2">
      <c r="A2279">
        <v>110</v>
      </c>
      <c r="B2279">
        <v>80</v>
      </c>
      <c r="C2279">
        <v>190</v>
      </c>
      <c r="D2279" s="51" t="s">
        <v>78</v>
      </c>
      <c r="E2279">
        <f>VLOOKUP(M2279,'MASS - 2016'!$A$1:$G$3418,6,FALSE)</f>
        <v>-31370.697</v>
      </c>
      <c r="F2279">
        <f>VLOOKUP(M2279,'MASS - 2016'!$A$1:$G$3418,7,FALSE)</f>
        <v>15.907</v>
      </c>
      <c r="G2279">
        <f t="shared" si="181"/>
        <v>-31370.697</v>
      </c>
      <c r="H2279">
        <f t="shared" si="177"/>
        <v>189.96632217175244</v>
      </c>
      <c r="I2279">
        <f t="shared" si="178"/>
        <v>176.95250089300001</v>
      </c>
      <c r="J2279">
        <f t="shared" si="180"/>
        <v>176911.62089300001</v>
      </c>
      <c r="M2279">
        <f t="shared" si="179"/>
        <v>110080</v>
      </c>
    </row>
    <row r="2280" spans="1:13" x14ac:dyDescent="0.2">
      <c r="A2280">
        <v>109</v>
      </c>
      <c r="B2280">
        <v>81</v>
      </c>
      <c r="C2280">
        <v>190</v>
      </c>
      <c r="D2280" s="51" t="s">
        <v>79</v>
      </c>
      <c r="E2280">
        <f>VLOOKUP(M2280,'MASS - 2016'!$A$1:$G$3418,6,FALSE)</f>
        <v>-24372.026999999998</v>
      </c>
      <c r="F2280">
        <f>VLOOKUP(M2280,'MASS - 2016'!$A$1:$G$3418,7,FALSE)</f>
        <v>7.9480000000000004</v>
      </c>
      <c r="G2280">
        <f t="shared" si="181"/>
        <v>-24372.026999999998</v>
      </c>
      <c r="H2280">
        <f t="shared" si="177"/>
        <v>189.9738355529891</v>
      </c>
      <c r="I2280">
        <f t="shared" si="178"/>
        <v>176.95949956300001</v>
      </c>
      <c r="J2280">
        <f t="shared" si="180"/>
        <v>176918.10856300002</v>
      </c>
      <c r="M2280">
        <f t="shared" si="179"/>
        <v>109081</v>
      </c>
    </row>
    <row r="2281" spans="1:13" x14ac:dyDescent="0.2">
      <c r="A2281">
        <v>108</v>
      </c>
      <c r="B2281">
        <v>82</v>
      </c>
      <c r="C2281">
        <v>190</v>
      </c>
      <c r="D2281" s="51" t="s">
        <v>80</v>
      </c>
      <c r="E2281">
        <f>VLOOKUP(M2281,'MASS - 2016'!$A$1:$G$3418,6,FALSE)</f>
        <v>-20416.645</v>
      </c>
      <c r="F2281">
        <f>VLOOKUP(M2281,'MASS - 2016'!$A$1:$G$3418,7,FALSE)</f>
        <v>12.513999999999999</v>
      </c>
      <c r="G2281">
        <f t="shared" si="181"/>
        <v>-20416.645</v>
      </c>
      <c r="H2281">
        <f t="shared" si="177"/>
        <v>189.97808183019643</v>
      </c>
      <c r="I2281">
        <f t="shared" si="178"/>
        <v>176.963454945</v>
      </c>
      <c r="J2281">
        <f t="shared" si="180"/>
        <v>176921.552945</v>
      </c>
      <c r="M2281">
        <f t="shared" si="179"/>
        <v>108082</v>
      </c>
    </row>
    <row r="2282" spans="1:13" x14ac:dyDescent="0.2">
      <c r="A2282">
        <v>107</v>
      </c>
      <c r="B2282">
        <v>83</v>
      </c>
      <c r="C2282">
        <v>190</v>
      </c>
      <c r="D2282" s="51" t="s">
        <v>81</v>
      </c>
      <c r="E2282">
        <f>VLOOKUP(M2282,'MASS - 2016'!$A$1:$G$3418,6,FALSE)</f>
        <v>-10599.579</v>
      </c>
      <c r="F2282">
        <f>VLOOKUP(M2282,'MASS - 2016'!$A$1:$G$3418,7,FALSE)</f>
        <v>22.562000000000001</v>
      </c>
      <c r="G2282">
        <f t="shared" si="181"/>
        <v>-10599.579</v>
      </c>
      <c r="H2282">
        <f t="shared" si="177"/>
        <v>189.98862088397149</v>
      </c>
      <c r="I2282">
        <f t="shared" si="178"/>
        <v>176.97327201100001</v>
      </c>
      <c r="J2282">
        <f t="shared" si="180"/>
        <v>176930.85901099999</v>
      </c>
      <c r="M2282">
        <f t="shared" si="179"/>
        <v>107083</v>
      </c>
    </row>
    <row r="2283" spans="1:13" x14ac:dyDescent="0.2">
      <c r="A2283">
        <v>106</v>
      </c>
      <c r="B2283">
        <v>84</v>
      </c>
      <c r="C2283">
        <v>190</v>
      </c>
      <c r="D2283" s="51" t="s">
        <v>82</v>
      </c>
      <c r="E2283">
        <f>VLOOKUP(M2283,'MASS - 2016'!$A$1:$G$3418,6,FALSE)</f>
        <v>-4563.8370000000004</v>
      </c>
      <c r="F2283">
        <f>VLOOKUP(M2283,'MASS - 2016'!$A$1:$G$3418,7,FALSE)</f>
        <v>13.465</v>
      </c>
      <c r="G2283">
        <f t="shared" si="181"/>
        <v>-4563.8370000000004</v>
      </c>
      <c r="H2283">
        <f t="shared" si="177"/>
        <v>189.99510051948684</v>
      </c>
      <c r="I2283">
        <f t="shared" si="178"/>
        <v>176.979307753</v>
      </c>
      <c r="J2283">
        <f t="shared" si="180"/>
        <v>176936.383753</v>
      </c>
      <c r="M2283">
        <f t="shared" si="179"/>
        <v>106084</v>
      </c>
    </row>
    <row r="2284" spans="1:13" x14ac:dyDescent="0.2">
      <c r="A2284">
        <v>116</v>
      </c>
      <c r="B2284">
        <v>75</v>
      </c>
      <c r="C2284">
        <v>191</v>
      </c>
      <c r="D2284" s="51" t="s">
        <v>73</v>
      </c>
      <c r="E2284">
        <f>VLOOKUP(M2284,'MASS - 2016'!$A$1:$G$3418,6,FALSE)</f>
        <v>-34350.296000000002</v>
      </c>
      <c r="F2284">
        <f>VLOOKUP(M2284,'MASS - 2016'!$A$1:$G$3418,7,FALSE)</f>
        <v>10.265000000000001</v>
      </c>
      <c r="G2284">
        <f t="shared" si="181"/>
        <v>-34350.296000000002</v>
      </c>
      <c r="H2284">
        <f t="shared" si="177"/>
        <v>190.96312344067644</v>
      </c>
      <c r="I2284">
        <f t="shared" si="178"/>
        <v>177.88101535499999</v>
      </c>
      <c r="J2284">
        <f t="shared" si="180"/>
        <v>177842.69035499997</v>
      </c>
      <c r="M2284">
        <f t="shared" si="179"/>
        <v>116075</v>
      </c>
    </row>
    <row r="2285" spans="1:13" x14ac:dyDescent="0.2">
      <c r="A2285">
        <v>115</v>
      </c>
      <c r="B2285">
        <v>76</v>
      </c>
      <c r="C2285">
        <v>191</v>
      </c>
      <c r="D2285" s="51" t="s">
        <v>74</v>
      </c>
      <c r="E2285">
        <f>VLOOKUP(M2285,'MASS - 2016'!$A$1:$G$3418,6,FALSE)</f>
        <v>-36395.184999999998</v>
      </c>
      <c r="F2285">
        <f>VLOOKUP(M2285,'MASS - 2016'!$A$1:$G$3418,7,FALSE)</f>
        <v>0.65900000000000003</v>
      </c>
      <c r="G2285">
        <f t="shared" si="181"/>
        <v>-36395.184999999998</v>
      </c>
      <c r="H2285">
        <f t="shared" si="177"/>
        <v>190.96092816205299</v>
      </c>
      <c r="I2285">
        <f t="shared" si="178"/>
        <v>177.878970466</v>
      </c>
      <c r="J2285">
        <f t="shared" si="180"/>
        <v>177840.13446599999</v>
      </c>
      <c r="M2285">
        <f t="shared" si="179"/>
        <v>115076</v>
      </c>
    </row>
    <row r="2286" spans="1:13" x14ac:dyDescent="0.2">
      <c r="A2286">
        <v>114</v>
      </c>
      <c r="B2286">
        <v>77</v>
      </c>
      <c r="C2286">
        <v>191</v>
      </c>
      <c r="D2286" s="51" t="s">
        <v>75</v>
      </c>
      <c r="E2286">
        <f>VLOOKUP(M2286,'MASS - 2016'!$A$1:$G$3418,6,FALSE)</f>
        <v>-36708.756000000001</v>
      </c>
      <c r="F2286">
        <f>VLOOKUP(M2286,'MASS - 2016'!$A$1:$G$3418,7,FALSE)</f>
        <v>1.3109999999999999</v>
      </c>
      <c r="G2286">
        <f t="shared" si="181"/>
        <v>-36708.756000000001</v>
      </c>
      <c r="H2286">
        <f t="shared" si="177"/>
        <v>190.96059152974033</v>
      </c>
      <c r="I2286">
        <f t="shared" si="178"/>
        <v>177.87865689500001</v>
      </c>
      <c r="J2286">
        <f t="shared" si="180"/>
        <v>177839.30989499998</v>
      </c>
      <c r="M2286">
        <f t="shared" si="179"/>
        <v>114077</v>
      </c>
    </row>
    <row r="2287" spans="1:13" x14ac:dyDescent="0.2">
      <c r="A2287">
        <v>113</v>
      </c>
      <c r="B2287">
        <v>78</v>
      </c>
      <c r="C2287">
        <v>191</v>
      </c>
      <c r="D2287" s="51" t="s">
        <v>76</v>
      </c>
      <c r="E2287">
        <f>VLOOKUP(M2287,'MASS - 2016'!$A$1:$G$3418,6,FALSE)</f>
        <v>-35698.237000000001</v>
      </c>
      <c r="F2287">
        <f>VLOOKUP(M2287,'MASS - 2016'!$A$1:$G$3418,7,FALSE)</f>
        <v>4.1269999999999998</v>
      </c>
      <c r="G2287">
        <f t="shared" si="181"/>
        <v>-35698.237000000001</v>
      </c>
      <c r="H2287">
        <f t="shared" si="177"/>
        <v>190.96167636650128</v>
      </c>
      <c r="I2287">
        <f t="shared" si="178"/>
        <v>177.87966741400001</v>
      </c>
      <c r="J2287">
        <f t="shared" si="180"/>
        <v>177839.80941400002</v>
      </c>
      <c r="M2287">
        <f t="shared" si="179"/>
        <v>113078</v>
      </c>
    </row>
    <row r="2288" spans="1:13" x14ac:dyDescent="0.2">
      <c r="A2288">
        <v>112</v>
      </c>
      <c r="B2288">
        <v>79</v>
      </c>
      <c r="C2288">
        <v>191</v>
      </c>
      <c r="D2288" s="51" t="s">
        <v>77</v>
      </c>
      <c r="E2288">
        <f>VLOOKUP(M2288,'MASS - 2016'!$A$1:$G$3418,6,FALSE)</f>
        <v>-33797.904000000002</v>
      </c>
      <c r="F2288">
        <f>VLOOKUP(M2288,'MASS - 2016'!$A$1:$G$3418,7,FALSE)</f>
        <v>4.9260000000000002</v>
      </c>
      <c r="G2288">
        <f t="shared" si="181"/>
        <v>-33797.904000000002</v>
      </c>
      <c r="H2288">
        <f t="shared" si="177"/>
        <v>190.96371645787659</v>
      </c>
      <c r="I2288">
        <f t="shared" si="178"/>
        <v>177.88156774699999</v>
      </c>
      <c r="J2288">
        <f t="shared" si="180"/>
        <v>177841.19874699999</v>
      </c>
      <c r="M2288">
        <f t="shared" si="179"/>
        <v>112079</v>
      </c>
    </row>
    <row r="2289" spans="1:13" x14ac:dyDescent="0.2">
      <c r="A2289">
        <v>111</v>
      </c>
      <c r="B2289">
        <v>80</v>
      </c>
      <c r="C2289">
        <v>191</v>
      </c>
      <c r="D2289" s="51" t="s">
        <v>78</v>
      </c>
      <c r="E2289">
        <f>VLOOKUP(M2289,'MASS - 2016'!$A$1:$G$3418,6,FALSE)</f>
        <v>-30591.896000000001</v>
      </c>
      <c r="F2289">
        <f>VLOOKUP(M2289,'MASS - 2016'!$A$1:$G$3418,7,FALSE)</f>
        <v>22.28</v>
      </c>
      <c r="G2289">
        <f t="shared" si="181"/>
        <v>-30591.896000000001</v>
      </c>
      <c r="H2289">
        <f t="shared" si="177"/>
        <v>190.96715824901003</v>
      </c>
      <c r="I2289">
        <f t="shared" si="178"/>
        <v>177.884773755</v>
      </c>
      <c r="J2289">
        <f t="shared" si="180"/>
        <v>177843.893755</v>
      </c>
      <c r="M2289">
        <f t="shared" si="179"/>
        <v>111080</v>
      </c>
    </row>
    <row r="2290" spans="1:13" x14ac:dyDescent="0.2">
      <c r="A2290">
        <v>110</v>
      </c>
      <c r="B2290">
        <v>81</v>
      </c>
      <c r="C2290">
        <v>191</v>
      </c>
      <c r="D2290" s="51" t="s">
        <v>79</v>
      </c>
      <c r="E2290">
        <f>VLOOKUP(M2290,'MASS - 2016'!$A$1:$G$3418,6,FALSE)</f>
        <v>-26282.945</v>
      </c>
      <c r="F2290">
        <f>VLOOKUP(M2290,'MASS - 2016'!$A$1:$G$3418,7,FALSE)</f>
        <v>7.3490000000000002</v>
      </c>
      <c r="G2290">
        <f t="shared" si="181"/>
        <v>-26282.945</v>
      </c>
      <c r="H2290">
        <f t="shared" si="177"/>
        <v>190.97178409814899</v>
      </c>
      <c r="I2290">
        <f t="shared" si="178"/>
        <v>177.88908270600001</v>
      </c>
      <c r="J2290">
        <f t="shared" si="180"/>
        <v>177847.69170600001</v>
      </c>
      <c r="M2290">
        <f t="shared" si="179"/>
        <v>110081</v>
      </c>
    </row>
    <row r="2291" spans="1:13" x14ac:dyDescent="0.2">
      <c r="A2291">
        <v>109</v>
      </c>
      <c r="B2291">
        <v>82</v>
      </c>
      <c r="C2291">
        <v>191</v>
      </c>
      <c r="D2291" s="51" t="s">
        <v>80</v>
      </c>
      <c r="E2291">
        <f>VLOOKUP(M2291,'MASS - 2016'!$A$1:$G$3418,6,FALSE)</f>
        <v>-20231.117999999999</v>
      </c>
      <c r="F2291">
        <f>VLOOKUP(M2291,'MASS - 2016'!$A$1:$G$3418,7,FALSE)</f>
        <v>37.26</v>
      </c>
      <c r="G2291">
        <f t="shared" si="181"/>
        <v>-20231.117999999999</v>
      </c>
      <c r="H2291">
        <f t="shared" si="177"/>
        <v>190.97828100162198</v>
      </c>
      <c r="I2291">
        <f t="shared" si="178"/>
        <v>177.895134533</v>
      </c>
      <c r="J2291">
        <f t="shared" si="180"/>
        <v>177853.232533</v>
      </c>
      <c r="M2291">
        <f t="shared" si="179"/>
        <v>109082</v>
      </c>
    </row>
    <row r="2292" spans="1:13" x14ac:dyDescent="0.2">
      <c r="A2292">
        <v>108</v>
      </c>
      <c r="B2292">
        <v>83</v>
      </c>
      <c r="C2292">
        <v>191</v>
      </c>
      <c r="D2292" s="51" t="s">
        <v>81</v>
      </c>
      <c r="E2292">
        <f>VLOOKUP(M2292,'MASS - 2016'!$A$1:$G$3418,6,FALSE)</f>
        <v>-13239.347</v>
      </c>
      <c r="F2292">
        <f>VLOOKUP(M2292,'MASS - 2016'!$A$1:$G$3418,7,FALSE)</f>
        <v>7.4870000000000001</v>
      </c>
      <c r="G2292">
        <f t="shared" si="181"/>
        <v>-13239.347</v>
      </c>
      <c r="H2292">
        <f t="shared" si="177"/>
        <v>190.98578697647758</v>
      </c>
      <c r="I2292">
        <f t="shared" si="178"/>
        <v>177.90212630400001</v>
      </c>
      <c r="J2292">
        <f t="shared" si="180"/>
        <v>177859.713304</v>
      </c>
      <c r="M2292">
        <f t="shared" si="179"/>
        <v>108083</v>
      </c>
    </row>
    <row r="2293" spans="1:13" x14ac:dyDescent="0.2">
      <c r="A2293">
        <v>107</v>
      </c>
      <c r="B2293">
        <v>84</v>
      </c>
      <c r="C2293">
        <v>191</v>
      </c>
      <c r="D2293" s="51" t="s">
        <v>82</v>
      </c>
      <c r="E2293">
        <f>VLOOKUP(M2293,'MASS - 2016'!$A$1:$G$3418,6,FALSE)</f>
        <v>-5068.7349999999997</v>
      </c>
      <c r="F2293">
        <f>VLOOKUP(M2293,'MASS - 2016'!$A$1:$G$3418,7,FALSE)</f>
        <v>7.1029999999999998</v>
      </c>
      <c r="G2293">
        <f t="shared" si="181"/>
        <v>-5068.7349999999997</v>
      </c>
      <c r="H2293">
        <f t="shared" si="177"/>
        <v>190.99455848919254</v>
      </c>
      <c r="I2293">
        <f t="shared" si="178"/>
        <v>177.91029691599999</v>
      </c>
      <c r="J2293">
        <f t="shared" si="180"/>
        <v>177867.37291599999</v>
      </c>
      <c r="M2293">
        <f t="shared" si="179"/>
        <v>107084</v>
      </c>
    </row>
    <row r="2294" spans="1:13" x14ac:dyDescent="0.2">
      <c r="A2294">
        <v>117</v>
      </c>
      <c r="B2294">
        <v>75</v>
      </c>
      <c r="C2294">
        <v>192</v>
      </c>
      <c r="D2294" s="51" t="s">
        <v>73</v>
      </c>
      <c r="E2294">
        <f>VLOOKUP(M2294,'MASS - 2016'!$A$1:$G$3418,6,FALSE)</f>
        <v>-31588.825000000001</v>
      </c>
      <c r="F2294">
        <f>VLOOKUP(M2294,'MASS - 2016'!$A$1:$G$3418,7,FALSE)</f>
        <v>70.793999999999997</v>
      </c>
      <c r="G2294">
        <f t="shared" si="181"/>
        <v>-31588.825000000001</v>
      </c>
      <c r="H2294">
        <f t="shared" si="177"/>
        <v>191.96608800171404</v>
      </c>
      <c r="I2294">
        <f t="shared" si="178"/>
        <v>178.815270887</v>
      </c>
      <c r="J2294">
        <f t="shared" si="180"/>
        <v>178776.94588699998</v>
      </c>
      <c r="M2294">
        <f t="shared" si="179"/>
        <v>117075</v>
      </c>
    </row>
    <row r="2295" spans="1:13" x14ac:dyDescent="0.2">
      <c r="A2295">
        <v>116</v>
      </c>
      <c r="B2295">
        <v>76</v>
      </c>
      <c r="C2295">
        <v>192</v>
      </c>
      <c r="D2295" s="51" t="s">
        <v>74</v>
      </c>
      <c r="E2295">
        <f>VLOOKUP(M2295,'MASS - 2016'!$A$1:$G$3418,6,FALSE)</f>
        <v>-35882.190999999999</v>
      </c>
      <c r="F2295">
        <f>VLOOKUP(M2295,'MASS - 2016'!$A$1:$G$3418,7,FALSE)</f>
        <v>2.3149999999999999</v>
      </c>
      <c r="G2295">
        <f t="shared" si="181"/>
        <v>-35882.190999999999</v>
      </c>
      <c r="H2295">
        <f t="shared" si="177"/>
        <v>191.96147888376069</v>
      </c>
      <c r="I2295">
        <f t="shared" si="178"/>
        <v>178.81097752099998</v>
      </c>
      <c r="J2295">
        <f t="shared" si="180"/>
        <v>178772.14152099998</v>
      </c>
      <c r="M2295">
        <f t="shared" si="179"/>
        <v>116076</v>
      </c>
    </row>
    <row r="2296" spans="1:13" x14ac:dyDescent="0.2">
      <c r="A2296">
        <v>115</v>
      </c>
      <c r="B2296">
        <v>77</v>
      </c>
      <c r="C2296">
        <v>192</v>
      </c>
      <c r="D2296" s="51" t="s">
        <v>75</v>
      </c>
      <c r="E2296">
        <f>VLOOKUP(M2296,'MASS - 2016'!$A$1:$G$3418,6,FALSE)</f>
        <v>-34835.561000000002</v>
      </c>
      <c r="F2296">
        <f>VLOOKUP(M2296,'MASS - 2016'!$A$1:$G$3418,7,FALSE)</f>
        <v>1.3140000000000001</v>
      </c>
      <c r="G2296">
        <f t="shared" si="181"/>
        <v>-34835.561000000002</v>
      </c>
      <c r="H2296">
        <f t="shared" si="177"/>
        <v>191.96260248727447</v>
      </c>
      <c r="I2296">
        <f t="shared" si="178"/>
        <v>178.812024151</v>
      </c>
      <c r="J2296">
        <f t="shared" si="180"/>
        <v>178772.67715099998</v>
      </c>
      <c r="M2296">
        <f t="shared" si="179"/>
        <v>115077</v>
      </c>
    </row>
    <row r="2297" spans="1:13" x14ac:dyDescent="0.2">
      <c r="A2297">
        <v>114</v>
      </c>
      <c r="B2297">
        <v>78</v>
      </c>
      <c r="C2297">
        <v>192</v>
      </c>
      <c r="D2297" s="51" t="s">
        <v>76</v>
      </c>
      <c r="E2297">
        <f>VLOOKUP(M2297,'MASS - 2016'!$A$1:$G$3418,6,FALSE)</f>
        <v>-36288.457000000002</v>
      </c>
      <c r="F2297">
        <f>VLOOKUP(M2297,'MASS - 2016'!$A$1:$G$3418,7,FALSE)</f>
        <v>2.57</v>
      </c>
      <c r="G2297">
        <f t="shared" si="181"/>
        <v>-36288.457000000002</v>
      </c>
      <c r="H2297">
        <f t="shared" si="177"/>
        <v>191.96104273927301</v>
      </c>
      <c r="I2297">
        <f t="shared" si="178"/>
        <v>178.81057125499999</v>
      </c>
      <c r="J2297">
        <f t="shared" si="180"/>
        <v>178770.71325499998</v>
      </c>
      <c r="M2297">
        <f t="shared" si="179"/>
        <v>114078</v>
      </c>
    </row>
    <row r="2298" spans="1:13" x14ac:dyDescent="0.2">
      <c r="A2298">
        <v>113</v>
      </c>
      <c r="B2298">
        <v>79</v>
      </c>
      <c r="C2298">
        <v>192</v>
      </c>
      <c r="D2298" s="51" t="s">
        <v>77</v>
      </c>
      <c r="E2298">
        <f>VLOOKUP(M2298,'MASS - 2016'!$A$1:$G$3418,6,FALSE)</f>
        <v>-32772.116000000002</v>
      </c>
      <c r="F2298">
        <f>VLOOKUP(M2298,'MASS - 2016'!$A$1:$G$3418,7,FALSE)</f>
        <v>15.827</v>
      </c>
      <c r="G2298">
        <f t="shared" si="181"/>
        <v>-32772.116000000002</v>
      </c>
      <c r="H2298">
        <f t="shared" si="177"/>
        <v>191.96481768658319</v>
      </c>
      <c r="I2298">
        <f t="shared" si="178"/>
        <v>178.81408759600001</v>
      </c>
      <c r="J2298">
        <f t="shared" si="180"/>
        <v>178773.71859599999</v>
      </c>
      <c r="M2298">
        <f t="shared" si="179"/>
        <v>113079</v>
      </c>
    </row>
    <row r="2299" spans="1:13" x14ac:dyDescent="0.2">
      <c r="A2299">
        <v>112</v>
      </c>
      <c r="B2299">
        <v>80</v>
      </c>
      <c r="C2299">
        <v>192</v>
      </c>
      <c r="D2299" s="51" t="s">
        <v>78</v>
      </c>
      <c r="E2299">
        <f>VLOOKUP(M2299,'MASS - 2016'!$A$1:$G$3418,6,FALSE)</f>
        <v>-32011.553</v>
      </c>
      <c r="F2299">
        <f>VLOOKUP(M2299,'MASS - 2016'!$A$1:$G$3418,7,FALSE)</f>
        <v>15.537000000000001</v>
      </c>
      <c r="G2299">
        <f t="shared" si="181"/>
        <v>-32011.553</v>
      </c>
      <c r="H2299">
        <f t="shared" si="177"/>
        <v>191.96563418454261</v>
      </c>
      <c r="I2299">
        <f t="shared" si="178"/>
        <v>178.81484815900001</v>
      </c>
      <c r="J2299">
        <f t="shared" si="180"/>
        <v>178773.96815900001</v>
      </c>
      <c r="M2299">
        <f t="shared" si="179"/>
        <v>112080</v>
      </c>
    </row>
    <row r="2300" spans="1:13" x14ac:dyDescent="0.2">
      <c r="A2300">
        <v>111</v>
      </c>
      <c r="B2300">
        <v>81</v>
      </c>
      <c r="C2300">
        <v>192</v>
      </c>
      <c r="D2300" s="51" t="s">
        <v>79</v>
      </c>
      <c r="E2300">
        <f>VLOOKUP(M2300,'MASS - 2016'!$A$1:$G$3418,6,FALSE)</f>
        <v>-25872.245999999999</v>
      </c>
      <c r="F2300">
        <f>VLOOKUP(M2300,'MASS - 2016'!$A$1:$G$3418,7,FALSE)</f>
        <v>31.670999999999999</v>
      </c>
      <c r="G2300">
        <f t="shared" si="181"/>
        <v>-25872.245999999999</v>
      </c>
      <c r="H2300">
        <f t="shared" si="177"/>
        <v>191.97222500165785</v>
      </c>
      <c r="I2300">
        <f t="shared" si="178"/>
        <v>178.82098746599999</v>
      </c>
      <c r="J2300">
        <f t="shared" si="180"/>
        <v>178779.59646599999</v>
      </c>
      <c r="M2300">
        <f t="shared" si="179"/>
        <v>111081</v>
      </c>
    </row>
    <row r="2301" spans="1:13" x14ac:dyDescent="0.2">
      <c r="A2301">
        <v>110</v>
      </c>
      <c r="B2301">
        <v>82</v>
      </c>
      <c r="C2301">
        <v>192</v>
      </c>
      <c r="D2301" s="51" t="s">
        <v>80</v>
      </c>
      <c r="E2301">
        <f>VLOOKUP(M2301,'MASS - 2016'!$A$1:$G$3418,6,FALSE)</f>
        <v>-22556.02</v>
      </c>
      <c r="F2301">
        <f>VLOOKUP(M2301,'MASS - 2016'!$A$1:$G$3418,7,FALSE)</f>
        <v>13.295</v>
      </c>
      <c r="G2301">
        <f t="shared" si="181"/>
        <v>-22556.02</v>
      </c>
      <c r="H2301">
        <f t="shared" si="177"/>
        <v>191.97578511668041</v>
      </c>
      <c r="I2301">
        <f t="shared" si="178"/>
        <v>178.824303692</v>
      </c>
      <c r="J2301">
        <f t="shared" si="180"/>
        <v>178782.40169199998</v>
      </c>
      <c r="M2301">
        <f t="shared" si="179"/>
        <v>110082</v>
      </c>
    </row>
    <row r="2302" spans="1:13" x14ac:dyDescent="0.2">
      <c r="A2302">
        <v>109</v>
      </c>
      <c r="B2302">
        <v>83</v>
      </c>
      <c r="C2302">
        <v>192</v>
      </c>
      <c r="D2302" s="51" t="s">
        <v>81</v>
      </c>
      <c r="E2302">
        <f>VLOOKUP(M2302,'MASS - 2016'!$A$1:$G$3418,6,FALSE)</f>
        <v>-13534.535</v>
      </c>
      <c r="F2302">
        <f>VLOOKUP(M2302,'MASS - 2016'!$A$1:$G$3418,7,FALSE)</f>
        <v>30.111999999999998</v>
      </c>
      <c r="G2302">
        <f t="shared" si="181"/>
        <v>-13534.535</v>
      </c>
      <c r="H2302">
        <f t="shared" si="177"/>
        <v>191.985470079127</v>
      </c>
      <c r="I2302">
        <f t="shared" si="178"/>
        <v>178.83332517700001</v>
      </c>
      <c r="J2302">
        <f t="shared" si="180"/>
        <v>178790.91217700002</v>
      </c>
      <c r="M2302">
        <f t="shared" si="179"/>
        <v>109083</v>
      </c>
    </row>
    <row r="2303" spans="1:13" x14ac:dyDescent="0.2">
      <c r="A2303">
        <v>108</v>
      </c>
      <c r="B2303">
        <v>84</v>
      </c>
      <c r="C2303">
        <v>192</v>
      </c>
      <c r="D2303" s="51" t="s">
        <v>82</v>
      </c>
      <c r="E2303">
        <f>VLOOKUP(M2303,'MASS - 2016'!$A$1:$G$3418,6,FALSE)</f>
        <v>-8070.6610000000001</v>
      </c>
      <c r="F2303">
        <f>VLOOKUP(M2303,'MASS - 2016'!$A$1:$G$3418,7,FALSE)</f>
        <v>11.11</v>
      </c>
      <c r="G2303">
        <f t="shared" si="181"/>
        <v>-8070.6610000000001</v>
      </c>
      <c r="H2303">
        <f t="shared" si="177"/>
        <v>191.99133578909635</v>
      </c>
      <c r="I2303">
        <f t="shared" si="178"/>
        <v>178.83878905099999</v>
      </c>
      <c r="J2303">
        <f t="shared" si="180"/>
        <v>178795.865051</v>
      </c>
      <c r="M2303">
        <f t="shared" si="179"/>
        <v>108084</v>
      </c>
    </row>
    <row r="2304" spans="1:13" x14ac:dyDescent="0.2">
      <c r="A2304">
        <v>117</v>
      </c>
      <c r="B2304">
        <v>76</v>
      </c>
      <c r="C2304">
        <v>193</v>
      </c>
      <c r="D2304" s="51" t="s">
        <v>74</v>
      </c>
      <c r="E2304">
        <f>VLOOKUP(M2304,'MASS - 2016'!$A$1:$G$3418,6,FALSE)</f>
        <v>-33394.288999999997</v>
      </c>
      <c r="F2304">
        <f>VLOOKUP(M2304,'MASS - 2016'!$A$1:$G$3418,7,FALSE)</f>
        <v>2.3210000000000002</v>
      </c>
      <c r="G2304">
        <f t="shared" si="181"/>
        <v>-33394.288999999997</v>
      </c>
      <c r="H2304">
        <f t="shared" si="177"/>
        <v>192.96414975639871</v>
      </c>
      <c r="I2304">
        <f t="shared" si="178"/>
        <v>179.74495948399999</v>
      </c>
      <c r="J2304">
        <f t="shared" si="180"/>
        <v>179706.12348399998</v>
      </c>
      <c r="M2304">
        <f t="shared" si="179"/>
        <v>117076</v>
      </c>
    </row>
    <row r="2305" spans="1:13" x14ac:dyDescent="0.2">
      <c r="A2305">
        <v>116</v>
      </c>
      <c r="B2305">
        <v>77</v>
      </c>
      <c r="C2305">
        <v>193</v>
      </c>
      <c r="D2305" s="51" t="s">
        <v>75</v>
      </c>
      <c r="E2305">
        <f>VLOOKUP(M2305,'MASS - 2016'!$A$1:$G$3418,6,FALSE)</f>
        <v>-34536.235000000001</v>
      </c>
      <c r="F2305">
        <f>VLOOKUP(M2305,'MASS - 2016'!$A$1:$G$3418,7,FALSE)</f>
        <v>1.3280000000000001</v>
      </c>
      <c r="G2305">
        <f t="shared" si="181"/>
        <v>-34536.235000000001</v>
      </c>
      <c r="H2305">
        <f t="shared" si="177"/>
        <v>192.96292382695074</v>
      </c>
      <c r="I2305">
        <f t="shared" si="178"/>
        <v>179.743817538</v>
      </c>
      <c r="J2305">
        <f t="shared" si="180"/>
        <v>179704.47053799999</v>
      </c>
      <c r="M2305">
        <f t="shared" si="179"/>
        <v>116077</v>
      </c>
    </row>
    <row r="2306" spans="1:13" x14ac:dyDescent="0.2">
      <c r="A2306">
        <v>115</v>
      </c>
      <c r="B2306">
        <v>78</v>
      </c>
      <c r="C2306">
        <v>193</v>
      </c>
      <c r="D2306" s="51" t="s">
        <v>76</v>
      </c>
      <c r="E2306">
        <f>VLOOKUP(M2306,'MASS - 2016'!$A$1:$G$3418,6,FALSE)</f>
        <v>-34479.608</v>
      </c>
      <c r="F2306">
        <f>VLOOKUP(M2306,'MASS - 2016'!$A$1:$G$3418,7,FALSE)</f>
        <v>1.359</v>
      </c>
      <c r="G2306">
        <f t="shared" si="181"/>
        <v>-34479.608</v>
      </c>
      <c r="H2306">
        <f t="shared" si="177"/>
        <v>192.9629846185353</v>
      </c>
      <c r="I2306">
        <f t="shared" si="178"/>
        <v>179.74387416499999</v>
      </c>
      <c r="J2306">
        <f t="shared" si="180"/>
        <v>179704.01616499998</v>
      </c>
      <c r="M2306">
        <f t="shared" si="179"/>
        <v>115078</v>
      </c>
    </row>
    <row r="2307" spans="1:13" x14ac:dyDescent="0.2">
      <c r="A2307">
        <v>114</v>
      </c>
      <c r="B2307">
        <v>79</v>
      </c>
      <c r="C2307">
        <v>193</v>
      </c>
      <c r="D2307" s="51" t="s">
        <v>77</v>
      </c>
      <c r="E2307">
        <f>VLOOKUP(M2307,'MASS - 2016'!$A$1:$G$3418,6,FALSE)</f>
        <v>-33404.821000000004</v>
      </c>
      <c r="F2307">
        <f>VLOOKUP(M2307,'MASS - 2016'!$A$1:$G$3418,7,FALSE)</f>
        <v>8.6739999999999995</v>
      </c>
      <c r="G2307">
        <f t="shared" si="181"/>
        <v>-33404.821000000004</v>
      </c>
      <c r="H2307">
        <f t="shared" si="177"/>
        <v>192.96413844983172</v>
      </c>
      <c r="I2307">
        <f t="shared" si="178"/>
        <v>179.74494895199999</v>
      </c>
      <c r="J2307">
        <f t="shared" si="180"/>
        <v>179704.57995199997</v>
      </c>
      <c r="M2307">
        <f t="shared" si="179"/>
        <v>114079</v>
      </c>
    </row>
    <row r="2308" spans="1:13" x14ac:dyDescent="0.2">
      <c r="A2308">
        <v>113</v>
      </c>
      <c r="B2308">
        <v>80</v>
      </c>
      <c r="C2308">
        <v>193</v>
      </c>
      <c r="D2308" s="51" t="s">
        <v>78</v>
      </c>
      <c r="E2308">
        <f>VLOOKUP(M2308,'MASS - 2016'!$A$1:$G$3418,6,FALSE)</f>
        <v>-31062.179</v>
      </c>
      <c r="F2308">
        <f>VLOOKUP(M2308,'MASS - 2016'!$A$1:$G$3418,7,FALSE)</f>
        <v>15.505000000000001</v>
      </c>
      <c r="G2308">
        <f t="shared" si="181"/>
        <v>-31062.179</v>
      </c>
      <c r="H2308">
        <f t="shared" si="177"/>
        <v>192.96665337944648</v>
      </c>
      <c r="I2308">
        <f t="shared" si="178"/>
        <v>179.74729159399999</v>
      </c>
      <c r="J2308">
        <f t="shared" si="180"/>
        <v>179706.41159399998</v>
      </c>
      <c r="M2308">
        <f t="shared" si="179"/>
        <v>113080</v>
      </c>
    </row>
    <row r="2309" spans="1:13" x14ac:dyDescent="0.2">
      <c r="A2309">
        <v>112</v>
      </c>
      <c r="B2309">
        <v>81</v>
      </c>
      <c r="C2309">
        <v>193</v>
      </c>
      <c r="D2309" s="51" t="s">
        <v>79</v>
      </c>
      <c r="E2309">
        <f>VLOOKUP(M2309,'MASS - 2016'!$A$1:$G$3418,6,FALSE)</f>
        <v>-27477.212</v>
      </c>
      <c r="F2309">
        <f>VLOOKUP(M2309,'MASS - 2016'!$A$1:$G$3418,7,FALSE)</f>
        <v>6.7069999999999999</v>
      </c>
      <c r="G2309">
        <f t="shared" si="181"/>
        <v>-27477.212</v>
      </c>
      <c r="H2309">
        <f t="shared" si="177"/>
        <v>192.97050199979751</v>
      </c>
      <c r="I2309">
        <f t="shared" si="178"/>
        <v>179.75087656099998</v>
      </c>
      <c r="J2309">
        <f t="shared" si="180"/>
        <v>179709.48556099998</v>
      </c>
      <c r="M2309">
        <f t="shared" si="179"/>
        <v>112081</v>
      </c>
    </row>
    <row r="2310" spans="1:13" x14ac:dyDescent="0.2">
      <c r="A2310">
        <v>111</v>
      </c>
      <c r="B2310">
        <v>82</v>
      </c>
      <c r="C2310">
        <v>193</v>
      </c>
      <c r="D2310" s="51" t="s">
        <v>80</v>
      </c>
      <c r="E2310">
        <f>VLOOKUP(M2310,'MASS - 2016'!$A$1:$G$3418,6,FALSE)</f>
        <v>-22194.49</v>
      </c>
      <c r="F2310">
        <f>VLOOKUP(M2310,'MASS - 2016'!$A$1:$G$3418,7,FALSE)</f>
        <v>49.576999999999998</v>
      </c>
      <c r="G2310">
        <f t="shared" si="181"/>
        <v>-22194.49</v>
      </c>
      <c r="H2310">
        <f t="shared" si="177"/>
        <v>192.97617323509698</v>
      </c>
      <c r="I2310">
        <f t="shared" si="178"/>
        <v>179.75615928299999</v>
      </c>
      <c r="J2310">
        <f t="shared" si="180"/>
        <v>179714.25728299998</v>
      </c>
      <c r="M2310">
        <f t="shared" si="179"/>
        <v>111082</v>
      </c>
    </row>
    <row r="2311" spans="1:13" x14ac:dyDescent="0.2">
      <c r="A2311">
        <v>110</v>
      </c>
      <c r="B2311">
        <v>83</v>
      </c>
      <c r="C2311">
        <v>193</v>
      </c>
      <c r="D2311" s="51" t="s">
        <v>81</v>
      </c>
      <c r="E2311">
        <f>VLOOKUP(M2311,'MASS - 2016'!$A$1:$G$3418,6,FALSE)</f>
        <v>-15884.558999999999</v>
      </c>
      <c r="F2311">
        <f>VLOOKUP(M2311,'MASS - 2016'!$A$1:$G$3418,7,FALSE)</f>
        <v>7.5759999999999996</v>
      </c>
      <c r="G2311">
        <f t="shared" si="181"/>
        <v>-15884.558999999999</v>
      </c>
      <c r="H2311">
        <f t="shared" si="177"/>
        <v>192.98294722460929</v>
      </c>
      <c r="I2311">
        <f t="shared" si="178"/>
        <v>179.76246921399999</v>
      </c>
      <c r="J2311">
        <f t="shared" si="180"/>
        <v>179720.05621399998</v>
      </c>
      <c r="M2311">
        <f t="shared" si="179"/>
        <v>110083</v>
      </c>
    </row>
    <row r="2312" spans="1:13" x14ac:dyDescent="0.2">
      <c r="A2312">
        <v>109</v>
      </c>
      <c r="B2312">
        <v>84</v>
      </c>
      <c r="C2312">
        <v>193</v>
      </c>
      <c r="D2312" s="51" t="s">
        <v>82</v>
      </c>
      <c r="E2312">
        <f>VLOOKUP(M2312,'MASS - 2016'!$A$1:$G$3418,6,FALSE)</f>
        <v>-8325.3179999999993</v>
      </c>
      <c r="F2312">
        <f>VLOOKUP(M2312,'MASS - 2016'!$A$1:$G$3418,7,FALSE)</f>
        <v>14.531000000000001</v>
      </c>
      <c r="G2312">
        <f t="shared" si="181"/>
        <v>-8325.3179999999993</v>
      </c>
      <c r="H2312">
        <f t="shared" si="177"/>
        <v>192.99106240356372</v>
      </c>
      <c r="I2312">
        <f t="shared" si="178"/>
        <v>179.77002845499999</v>
      </c>
      <c r="J2312">
        <f t="shared" si="180"/>
        <v>179727.10445499999</v>
      </c>
      <c r="M2312">
        <f t="shared" si="179"/>
        <v>109084</v>
      </c>
    </row>
    <row r="2313" spans="1:13" x14ac:dyDescent="0.2">
      <c r="A2313">
        <v>108</v>
      </c>
      <c r="B2313">
        <v>85</v>
      </c>
      <c r="C2313">
        <v>193</v>
      </c>
      <c r="D2313" s="51" t="s">
        <v>83</v>
      </c>
      <c r="E2313">
        <f>VLOOKUP(M2313,'MASS - 2016'!$A$1:$G$3418,6,FALSE)</f>
        <v>-67.319999999999993</v>
      </c>
      <c r="F2313">
        <f>VLOOKUP(M2313,'MASS - 2016'!$A$1:$G$3418,7,FALSE)</f>
        <v>21.632000000000001</v>
      </c>
      <c r="G2313">
        <f t="shared" si="181"/>
        <v>-67.319999999999993</v>
      </c>
      <c r="H2313">
        <f t="shared" ref="H2313:H2376" si="182">(C2313*$A$3+G2313/1000000)/$A$3</f>
        <v>192.99992772900782</v>
      </c>
      <c r="I2313">
        <f t="shared" ref="I2313:I2376" si="183">H2313*$A$3</f>
        <v>179.77828645299999</v>
      </c>
      <c r="J2313">
        <f t="shared" si="180"/>
        <v>179734.85145299998</v>
      </c>
      <c r="M2313">
        <f t="shared" ref="M2313:M2376" si="184">1000*A2313+B2313</f>
        <v>108085</v>
      </c>
    </row>
    <row r="2314" spans="1:13" x14ac:dyDescent="0.2">
      <c r="A2314">
        <v>118</v>
      </c>
      <c r="B2314">
        <v>76</v>
      </c>
      <c r="C2314">
        <v>194</v>
      </c>
      <c r="D2314" s="51" t="s">
        <v>74</v>
      </c>
      <c r="E2314">
        <f>VLOOKUP(M2314,'MASS - 2016'!$A$1:$G$3418,6,FALSE)</f>
        <v>-32435.108</v>
      </c>
      <c r="F2314">
        <f>VLOOKUP(M2314,'MASS - 2016'!$A$1:$G$3418,7,FALSE)</f>
        <v>2.403</v>
      </c>
      <c r="G2314">
        <f t="shared" si="181"/>
        <v>-32435.108</v>
      </c>
      <c r="H2314">
        <f t="shared" si="182"/>
        <v>193.9651794795501</v>
      </c>
      <c r="I2314">
        <f t="shared" si="183"/>
        <v>180.677412726</v>
      </c>
      <c r="J2314">
        <f t="shared" si="180"/>
        <v>180638.576726</v>
      </c>
      <c r="M2314">
        <f t="shared" si="184"/>
        <v>118076</v>
      </c>
    </row>
    <row r="2315" spans="1:13" x14ac:dyDescent="0.2">
      <c r="A2315">
        <v>117</v>
      </c>
      <c r="B2315">
        <v>77</v>
      </c>
      <c r="C2315">
        <v>194</v>
      </c>
      <c r="D2315" s="51" t="s">
        <v>75</v>
      </c>
      <c r="E2315">
        <f>VLOOKUP(M2315,'MASS - 2016'!$A$1:$G$3418,6,FALSE)</f>
        <v>-32531.707999999999</v>
      </c>
      <c r="F2315">
        <f>VLOOKUP(M2315,'MASS - 2016'!$A$1:$G$3418,7,FALSE)</f>
        <v>1.3320000000000001</v>
      </c>
      <c r="G2315">
        <f t="shared" si="181"/>
        <v>-32531.707999999999</v>
      </c>
      <c r="H2315">
        <f t="shared" si="182"/>
        <v>193.96507577518523</v>
      </c>
      <c r="I2315">
        <f t="shared" si="183"/>
        <v>180.67731612599999</v>
      </c>
      <c r="J2315">
        <f t="shared" si="180"/>
        <v>180637.96912599998</v>
      </c>
      <c r="M2315">
        <f t="shared" si="184"/>
        <v>117077</v>
      </c>
    </row>
    <row r="2316" spans="1:13" x14ac:dyDescent="0.2">
      <c r="A2316">
        <v>116</v>
      </c>
      <c r="B2316">
        <v>78</v>
      </c>
      <c r="C2316">
        <v>194</v>
      </c>
      <c r="D2316" s="51" t="s">
        <v>76</v>
      </c>
      <c r="E2316">
        <f>VLOOKUP(M2316,'MASS - 2016'!$A$1:$G$3418,6,FALSE)</f>
        <v>-34760.07</v>
      </c>
      <c r="F2316">
        <f>VLOOKUP(M2316,'MASS - 2016'!$A$1:$G$3418,7,FALSE)</f>
        <v>0.496</v>
      </c>
      <c r="G2316">
        <f t="shared" si="181"/>
        <v>-34760.07</v>
      </c>
      <c r="H2316">
        <f t="shared" si="182"/>
        <v>193.9626835301959</v>
      </c>
      <c r="I2316">
        <f t="shared" si="183"/>
        <v>180.67508776399998</v>
      </c>
      <c r="J2316">
        <f t="shared" ref="J2316:J2379" si="185">1000*I2316-B2316*0.511</f>
        <v>180635.22976399999</v>
      </c>
      <c r="M2316">
        <f t="shared" si="184"/>
        <v>116078</v>
      </c>
    </row>
    <row r="2317" spans="1:13" x14ac:dyDescent="0.2">
      <c r="A2317">
        <v>115</v>
      </c>
      <c r="B2317">
        <v>79</v>
      </c>
      <c r="C2317">
        <v>194</v>
      </c>
      <c r="D2317" s="51" t="s">
        <v>77</v>
      </c>
      <c r="E2317">
        <f>VLOOKUP(M2317,'MASS - 2016'!$A$1:$G$3418,6,FALSE)</f>
        <v>-32211.936000000002</v>
      </c>
      <c r="F2317">
        <f>VLOOKUP(M2317,'MASS - 2016'!$A$1:$G$3418,7,FALSE)</f>
        <v>2.1179999999999999</v>
      </c>
      <c r="G2317">
        <f t="shared" si="181"/>
        <v>-32211.936000000002</v>
      </c>
      <c r="H2317">
        <f t="shared" si="182"/>
        <v>193.96541906454516</v>
      </c>
      <c r="I2317">
        <f t="shared" si="183"/>
        <v>180.67763589799998</v>
      </c>
      <c r="J2317">
        <f t="shared" si="185"/>
        <v>180637.26689799997</v>
      </c>
      <c r="M2317">
        <f t="shared" si="184"/>
        <v>115079</v>
      </c>
    </row>
    <row r="2318" spans="1:13" x14ac:dyDescent="0.2">
      <c r="A2318">
        <v>114</v>
      </c>
      <c r="B2318">
        <v>80</v>
      </c>
      <c r="C2318">
        <v>194</v>
      </c>
      <c r="D2318" s="51" t="s">
        <v>78</v>
      </c>
      <c r="E2318">
        <f>VLOOKUP(M2318,'MASS - 2016'!$A$1:$G$3418,6,FALSE)</f>
        <v>-32183.945</v>
      </c>
      <c r="F2318">
        <f>VLOOKUP(M2318,'MASS - 2016'!$A$1:$G$3418,7,FALSE)</f>
        <v>2.8879999999999999</v>
      </c>
      <c r="G2318">
        <f t="shared" si="181"/>
        <v>-32183.945</v>
      </c>
      <c r="H2318">
        <f t="shared" si="182"/>
        <v>193.96544911411945</v>
      </c>
      <c r="I2318">
        <f t="shared" si="183"/>
        <v>180.67766388899997</v>
      </c>
      <c r="J2318">
        <f t="shared" si="185"/>
        <v>180636.78388899995</v>
      </c>
      <c r="M2318">
        <f t="shared" si="184"/>
        <v>114080</v>
      </c>
    </row>
    <row r="2319" spans="1:13" x14ac:dyDescent="0.2">
      <c r="A2319">
        <v>113</v>
      </c>
      <c r="B2319">
        <v>81</v>
      </c>
      <c r="C2319">
        <v>194</v>
      </c>
      <c r="D2319" s="51" t="s">
        <v>79</v>
      </c>
      <c r="E2319">
        <f>VLOOKUP(M2319,'MASS - 2016'!$A$1:$G$3418,6,FALSE)</f>
        <v>-26937.491000000002</v>
      </c>
      <c r="F2319">
        <f>VLOOKUP(M2319,'MASS - 2016'!$A$1:$G$3418,7,FALSE)</f>
        <v>13.972</v>
      </c>
      <c r="G2319">
        <f t="shared" ref="G2319:G2382" si="186">IF(ISNUMBER(E2319),E2319,VALUE(SUBSTITUTE(E2319,"#",".01")))</f>
        <v>-26937.491000000002</v>
      </c>
      <c r="H2319">
        <f t="shared" si="182"/>
        <v>193.97108141411971</v>
      </c>
      <c r="I2319">
        <f t="shared" si="183"/>
        <v>180.68291034299997</v>
      </c>
      <c r="J2319">
        <f t="shared" si="185"/>
        <v>180641.51934299996</v>
      </c>
      <c r="M2319">
        <f t="shared" si="184"/>
        <v>113081</v>
      </c>
    </row>
    <row r="2320" spans="1:13" x14ac:dyDescent="0.2">
      <c r="A2320">
        <v>112</v>
      </c>
      <c r="B2320">
        <v>82</v>
      </c>
      <c r="C2320">
        <v>194</v>
      </c>
      <c r="D2320" s="51" t="s">
        <v>80</v>
      </c>
      <c r="E2320">
        <f>VLOOKUP(M2320,'MASS - 2016'!$A$1:$G$3418,6,FALSE)</f>
        <v>-24207.94</v>
      </c>
      <c r="F2320">
        <f>VLOOKUP(M2320,'MASS - 2016'!$A$1:$G$3418,7,FALSE)</f>
        <v>17.434999999999999</v>
      </c>
      <c r="G2320">
        <f t="shared" si="186"/>
        <v>-24207.94</v>
      </c>
      <c r="H2320">
        <f t="shared" si="182"/>
        <v>193.97401170762805</v>
      </c>
      <c r="I2320">
        <f t="shared" si="183"/>
        <v>180.68563989399999</v>
      </c>
      <c r="J2320">
        <f t="shared" si="185"/>
        <v>180643.73789399999</v>
      </c>
      <c r="M2320">
        <f t="shared" si="184"/>
        <v>112082</v>
      </c>
    </row>
    <row r="2321" spans="1:13" x14ac:dyDescent="0.2">
      <c r="A2321">
        <v>111</v>
      </c>
      <c r="B2321">
        <v>83</v>
      </c>
      <c r="C2321">
        <v>194</v>
      </c>
      <c r="D2321" s="51" t="s">
        <v>81</v>
      </c>
      <c r="E2321">
        <f>VLOOKUP(M2321,'MASS - 2016'!$A$1:$G$3418,6,FALSE)</f>
        <v>-16028.811</v>
      </c>
      <c r="F2321">
        <f>VLOOKUP(M2321,'MASS - 2016'!$A$1:$G$3418,7,FALSE)</f>
        <v>6.1779999999999999</v>
      </c>
      <c r="G2321">
        <f t="shared" si="186"/>
        <v>-16028.811</v>
      </c>
      <c r="H2321">
        <f t="shared" si="182"/>
        <v>193.98279236371854</v>
      </c>
      <c r="I2321">
        <f t="shared" si="183"/>
        <v>180.69381902299997</v>
      </c>
      <c r="J2321">
        <f t="shared" si="185"/>
        <v>180651.40602299999</v>
      </c>
      <c r="M2321">
        <f t="shared" si="184"/>
        <v>111083</v>
      </c>
    </row>
    <row r="2322" spans="1:13" x14ac:dyDescent="0.2">
      <c r="A2322">
        <v>110</v>
      </c>
      <c r="B2322">
        <v>84</v>
      </c>
      <c r="C2322">
        <v>194</v>
      </c>
      <c r="D2322" s="51" t="s">
        <v>82</v>
      </c>
      <c r="E2322">
        <f>VLOOKUP(M2322,'MASS - 2016'!$A$1:$G$3418,6,FALSE)</f>
        <v>-11004.655000000001</v>
      </c>
      <c r="F2322">
        <f>VLOOKUP(M2322,'MASS - 2016'!$A$1:$G$3418,7,FALSE)</f>
        <v>12.911</v>
      </c>
      <c r="G2322">
        <f t="shared" si="186"/>
        <v>-11004.655000000001</v>
      </c>
      <c r="H2322">
        <f t="shared" si="182"/>
        <v>193.98818601700134</v>
      </c>
      <c r="I2322">
        <f t="shared" si="183"/>
        <v>180.69884317899999</v>
      </c>
      <c r="J2322">
        <f t="shared" si="185"/>
        <v>180655.91917899999</v>
      </c>
      <c r="M2322">
        <f t="shared" si="184"/>
        <v>110084</v>
      </c>
    </row>
    <row r="2323" spans="1:13" x14ac:dyDescent="0.2">
      <c r="A2323">
        <v>109</v>
      </c>
      <c r="B2323">
        <v>85</v>
      </c>
      <c r="C2323">
        <v>194</v>
      </c>
      <c r="D2323" s="51" t="s">
        <v>83</v>
      </c>
      <c r="E2323">
        <f>VLOOKUP(M2323,'MASS - 2016'!$A$1:$G$3418,6,FALSE)</f>
        <v>-720.16300000000001</v>
      </c>
      <c r="F2323">
        <f>VLOOKUP(M2323,'MASS - 2016'!$A$1:$G$3418,7,FALSE)</f>
        <v>24.931000000000001</v>
      </c>
      <c r="G2323">
        <f t="shared" si="186"/>
        <v>-720.16300000000001</v>
      </c>
      <c r="H2323">
        <f t="shared" si="182"/>
        <v>193.99922687322425</v>
      </c>
      <c r="I2323">
        <f t="shared" si="183"/>
        <v>180.70912767099998</v>
      </c>
      <c r="J2323">
        <f t="shared" si="185"/>
        <v>180665.69267099997</v>
      </c>
      <c r="M2323">
        <f t="shared" si="184"/>
        <v>109085</v>
      </c>
    </row>
    <row r="2324" spans="1:13" x14ac:dyDescent="0.2">
      <c r="A2324">
        <v>119</v>
      </c>
      <c r="B2324">
        <v>76</v>
      </c>
      <c r="C2324">
        <v>195</v>
      </c>
      <c r="D2324" s="51" t="s">
        <v>74</v>
      </c>
      <c r="E2324">
        <f>VLOOKUP(M2324,'MASS - 2016'!$A$1:$G$3418,6,FALSE)</f>
        <v>-29511.593000000001</v>
      </c>
      <c r="F2324">
        <f>VLOOKUP(M2324,'MASS - 2016'!$A$1:$G$3418,7,FALSE)</f>
        <v>55.89</v>
      </c>
      <c r="G2324">
        <f t="shared" si="186"/>
        <v>-29511.593000000001</v>
      </c>
      <c r="H2324">
        <f t="shared" si="182"/>
        <v>194.968318001976</v>
      </c>
      <c r="I2324">
        <f t="shared" si="183"/>
        <v>181.61183030200002</v>
      </c>
      <c r="J2324">
        <f t="shared" si="185"/>
        <v>181572.99430200001</v>
      </c>
      <c r="M2324">
        <f t="shared" si="184"/>
        <v>119076</v>
      </c>
    </row>
    <row r="2325" spans="1:13" x14ac:dyDescent="0.2">
      <c r="A2325">
        <v>118</v>
      </c>
      <c r="B2325">
        <v>77</v>
      </c>
      <c r="C2325">
        <v>195</v>
      </c>
      <c r="D2325" s="51" t="s">
        <v>75</v>
      </c>
      <c r="E2325">
        <f>VLOOKUP(M2325,'MASS - 2016'!$A$1:$G$3418,6,FALSE)</f>
        <v>-31692.251</v>
      </c>
      <c r="F2325">
        <f>VLOOKUP(M2325,'MASS - 2016'!$A$1:$G$3418,7,FALSE)</f>
        <v>1.333</v>
      </c>
      <c r="G2325">
        <f t="shared" si="186"/>
        <v>-31692.251</v>
      </c>
      <c r="H2325">
        <f t="shared" si="182"/>
        <v>194.96597696933679</v>
      </c>
      <c r="I2325">
        <f t="shared" si="183"/>
        <v>181.609649644</v>
      </c>
      <c r="J2325">
        <f t="shared" si="185"/>
        <v>181570.30264399998</v>
      </c>
      <c r="M2325">
        <f t="shared" si="184"/>
        <v>118077</v>
      </c>
    </row>
    <row r="2326" spans="1:13" x14ac:dyDescent="0.2">
      <c r="A2326">
        <v>117</v>
      </c>
      <c r="B2326">
        <v>78</v>
      </c>
      <c r="C2326">
        <v>195</v>
      </c>
      <c r="D2326" s="51" t="s">
        <v>76</v>
      </c>
      <c r="E2326">
        <f>VLOOKUP(M2326,'MASS - 2016'!$A$1:$G$3418,6,FALSE)</f>
        <v>-32793.849000000002</v>
      </c>
      <c r="F2326">
        <f>VLOOKUP(M2326,'MASS - 2016'!$A$1:$G$3418,7,FALSE)</f>
        <v>0.503</v>
      </c>
      <c r="G2326">
        <f t="shared" si="186"/>
        <v>-32793.849000000002</v>
      </c>
      <c r="H2326">
        <f t="shared" si="182"/>
        <v>194.96479435524819</v>
      </c>
      <c r="I2326">
        <f t="shared" si="183"/>
        <v>181.60854804600001</v>
      </c>
      <c r="J2326">
        <f t="shared" si="185"/>
        <v>181568.690046</v>
      </c>
      <c r="M2326">
        <f t="shared" si="184"/>
        <v>117078</v>
      </c>
    </row>
    <row r="2327" spans="1:13" x14ac:dyDescent="0.2">
      <c r="A2327">
        <v>116</v>
      </c>
      <c r="B2327">
        <v>79</v>
      </c>
      <c r="C2327">
        <v>195</v>
      </c>
      <c r="D2327" s="51" t="s">
        <v>77</v>
      </c>
      <c r="E2327">
        <f>VLOOKUP(M2327,'MASS - 2016'!$A$1:$G$3418,6,FALSE)</f>
        <v>-32567.030999999999</v>
      </c>
      <c r="F2327">
        <f>VLOOKUP(M2327,'MASS - 2016'!$A$1:$G$3418,7,FALSE)</f>
        <v>1.119</v>
      </c>
      <c r="G2327">
        <f t="shared" si="186"/>
        <v>-32567.030999999999</v>
      </c>
      <c r="H2327">
        <f t="shared" si="182"/>
        <v>194.9650378543852</v>
      </c>
      <c r="I2327">
        <f t="shared" si="183"/>
        <v>181.608774864</v>
      </c>
      <c r="J2327">
        <f t="shared" si="185"/>
        <v>181568.405864</v>
      </c>
      <c r="M2327">
        <f t="shared" si="184"/>
        <v>116079</v>
      </c>
    </row>
    <row r="2328" spans="1:13" x14ac:dyDescent="0.2">
      <c r="A2328">
        <v>115</v>
      </c>
      <c r="B2328">
        <v>80</v>
      </c>
      <c r="C2328">
        <v>195</v>
      </c>
      <c r="D2328" s="51" t="s">
        <v>78</v>
      </c>
      <c r="E2328">
        <f>VLOOKUP(M2328,'MASS - 2016'!$A$1:$G$3418,6,FALSE)</f>
        <v>-31013.393</v>
      </c>
      <c r="F2328">
        <f>VLOOKUP(M2328,'MASS - 2016'!$A$1:$G$3418,7,FALSE)</f>
        <v>23.141999999999999</v>
      </c>
      <c r="G2328">
        <f t="shared" si="186"/>
        <v>-31013.393</v>
      </c>
      <c r="H2328">
        <f t="shared" si="182"/>
        <v>194.96670575337143</v>
      </c>
      <c r="I2328">
        <f t="shared" si="183"/>
        <v>181.61032850200002</v>
      </c>
      <c r="J2328">
        <f t="shared" si="185"/>
        <v>181569.44850200001</v>
      </c>
      <c r="M2328">
        <f t="shared" si="184"/>
        <v>115080</v>
      </c>
    </row>
    <row r="2329" spans="1:13" x14ac:dyDescent="0.2">
      <c r="A2329">
        <v>114</v>
      </c>
      <c r="B2329">
        <v>81</v>
      </c>
      <c r="C2329">
        <v>195</v>
      </c>
      <c r="D2329" s="51" t="s">
        <v>79</v>
      </c>
      <c r="E2329">
        <f>VLOOKUP(M2329,'MASS - 2016'!$A$1:$G$3418,6,FALSE)</f>
        <v>-28155.248</v>
      </c>
      <c r="F2329">
        <f>VLOOKUP(M2329,'MASS - 2016'!$A$1:$G$3418,7,FALSE)</f>
        <v>11.093</v>
      </c>
      <c r="G2329">
        <f t="shared" si="186"/>
        <v>-28155.248</v>
      </c>
      <c r="H2329">
        <f t="shared" si="182"/>
        <v>194.96977409821619</v>
      </c>
      <c r="I2329">
        <f t="shared" si="183"/>
        <v>181.61318664700002</v>
      </c>
      <c r="J2329">
        <f t="shared" si="185"/>
        <v>181571.79564700002</v>
      </c>
      <c r="M2329">
        <f t="shared" si="184"/>
        <v>114081</v>
      </c>
    </row>
    <row r="2330" spans="1:13" x14ac:dyDescent="0.2">
      <c r="A2330">
        <v>113</v>
      </c>
      <c r="B2330">
        <v>82</v>
      </c>
      <c r="C2330">
        <v>195</v>
      </c>
      <c r="D2330" s="51" t="s">
        <v>80</v>
      </c>
      <c r="E2330">
        <f>VLOOKUP(M2330,'MASS - 2016'!$A$1:$G$3418,6,FALSE)</f>
        <v>-23707.692999999999</v>
      </c>
      <c r="F2330">
        <f>VLOOKUP(M2330,'MASS - 2016'!$A$1:$G$3418,7,FALSE)</f>
        <v>17.96</v>
      </c>
      <c r="G2330">
        <f t="shared" si="186"/>
        <v>-23707.692999999999</v>
      </c>
      <c r="H2330">
        <f t="shared" si="182"/>
        <v>194.97454874486849</v>
      </c>
      <c r="I2330">
        <f t="shared" si="183"/>
        <v>181.617634202</v>
      </c>
      <c r="J2330">
        <f t="shared" si="185"/>
        <v>181575.73220200001</v>
      </c>
      <c r="M2330">
        <f t="shared" si="184"/>
        <v>113082</v>
      </c>
    </row>
    <row r="2331" spans="1:13" x14ac:dyDescent="0.2">
      <c r="A2331">
        <v>112</v>
      </c>
      <c r="B2331">
        <v>83</v>
      </c>
      <c r="C2331">
        <v>195</v>
      </c>
      <c r="D2331" s="51" t="s">
        <v>81</v>
      </c>
      <c r="E2331">
        <f>VLOOKUP(M2331,'MASS - 2016'!$A$1:$G$3418,6,FALSE)</f>
        <v>-18025.561000000002</v>
      </c>
      <c r="F2331">
        <f>VLOOKUP(M2331,'MASS - 2016'!$A$1:$G$3418,7,FALSE)</f>
        <v>5.2869999999999999</v>
      </c>
      <c r="G2331">
        <f t="shared" si="186"/>
        <v>-18025.561000000002</v>
      </c>
      <c r="H2331">
        <f t="shared" si="182"/>
        <v>194.98064876443695</v>
      </c>
      <c r="I2331">
        <f t="shared" si="183"/>
        <v>181.62331633400001</v>
      </c>
      <c r="J2331">
        <f t="shared" si="185"/>
        <v>181580.903334</v>
      </c>
      <c r="M2331">
        <f t="shared" si="184"/>
        <v>112083</v>
      </c>
    </row>
    <row r="2332" spans="1:13" x14ac:dyDescent="0.2">
      <c r="A2332">
        <v>111</v>
      </c>
      <c r="B2332">
        <v>84</v>
      </c>
      <c r="C2332">
        <v>195</v>
      </c>
      <c r="D2332" s="51" t="s">
        <v>82</v>
      </c>
      <c r="E2332">
        <f>VLOOKUP(M2332,'MASS - 2016'!$A$1:$G$3418,6,FALSE)</f>
        <v>-11056.259</v>
      </c>
      <c r="F2332">
        <f>VLOOKUP(M2332,'MASS - 2016'!$A$1:$G$3418,7,FALSE)</f>
        <v>37.363999999999997</v>
      </c>
      <c r="G2332">
        <f t="shared" si="186"/>
        <v>-11056.259</v>
      </c>
      <c r="H2332">
        <f t="shared" si="182"/>
        <v>194.98813061782906</v>
      </c>
      <c r="I2332">
        <f t="shared" si="183"/>
        <v>181.63028563600002</v>
      </c>
      <c r="J2332">
        <f t="shared" si="185"/>
        <v>181587.36163600002</v>
      </c>
      <c r="M2332">
        <f t="shared" si="184"/>
        <v>111084</v>
      </c>
    </row>
    <row r="2333" spans="1:13" x14ac:dyDescent="0.2">
      <c r="A2333">
        <v>110</v>
      </c>
      <c r="B2333">
        <v>85</v>
      </c>
      <c r="C2333">
        <v>195</v>
      </c>
      <c r="D2333" s="51" t="s">
        <v>83</v>
      </c>
      <c r="E2333">
        <f>VLOOKUP(M2333,'MASS - 2016'!$A$1:$G$3418,6,FALSE)</f>
        <v>-3470.2950000000001</v>
      </c>
      <c r="F2333">
        <f>VLOOKUP(M2333,'MASS - 2016'!$A$1:$G$3418,7,FALSE)</f>
        <v>9.5730000000000004</v>
      </c>
      <c r="G2333">
        <f t="shared" si="186"/>
        <v>-3470.2950000000001</v>
      </c>
      <c r="H2333">
        <f t="shared" si="182"/>
        <v>194.99627448510378</v>
      </c>
      <c r="I2333">
        <f t="shared" si="183"/>
        <v>181.63787160000001</v>
      </c>
      <c r="J2333">
        <f t="shared" si="185"/>
        <v>181594.43660000002</v>
      </c>
      <c r="M2333">
        <f t="shared" si="184"/>
        <v>110085</v>
      </c>
    </row>
    <row r="2334" spans="1:13" x14ac:dyDescent="0.2">
      <c r="A2334">
        <v>120</v>
      </c>
      <c r="B2334">
        <v>76</v>
      </c>
      <c r="C2334">
        <v>196</v>
      </c>
      <c r="D2334" s="51" t="s">
        <v>74</v>
      </c>
      <c r="E2334">
        <f>VLOOKUP(M2334,'MASS - 2016'!$A$1:$G$3418,6,FALSE)</f>
        <v>-28277.105</v>
      </c>
      <c r="F2334">
        <f>VLOOKUP(M2334,'MASS - 2016'!$A$1:$G$3418,7,FALSE)</f>
        <v>40.055</v>
      </c>
      <c r="G2334">
        <f t="shared" si="186"/>
        <v>-28277.105</v>
      </c>
      <c r="H2334">
        <f t="shared" si="182"/>
        <v>195.96964327934668</v>
      </c>
      <c r="I2334">
        <f t="shared" si="183"/>
        <v>182.54455885100001</v>
      </c>
      <c r="J2334">
        <f t="shared" si="185"/>
        <v>182505.722851</v>
      </c>
      <c r="M2334">
        <f t="shared" si="184"/>
        <v>120076</v>
      </c>
    </row>
    <row r="2335" spans="1:13" x14ac:dyDescent="0.2">
      <c r="A2335">
        <v>119</v>
      </c>
      <c r="B2335">
        <v>77</v>
      </c>
      <c r="C2335">
        <v>196</v>
      </c>
      <c r="D2335" s="51" t="s">
        <v>75</v>
      </c>
      <c r="E2335">
        <f>VLOOKUP(M2335,'MASS - 2016'!$A$1:$G$3418,6,FALSE)</f>
        <v>-29435.492999999999</v>
      </c>
      <c r="F2335">
        <f>VLOOKUP(M2335,'MASS - 2016'!$A$1:$G$3418,7,FALSE)</f>
        <v>38.414000000000001</v>
      </c>
      <c r="G2335">
        <f t="shared" si="186"/>
        <v>-29435.492999999999</v>
      </c>
      <c r="H2335">
        <f t="shared" si="182"/>
        <v>195.9683996986858</v>
      </c>
      <c r="I2335">
        <f t="shared" si="183"/>
        <v>182.54340046300001</v>
      </c>
      <c r="J2335">
        <f t="shared" si="185"/>
        <v>182504.05346299999</v>
      </c>
      <c r="M2335">
        <f t="shared" si="184"/>
        <v>119077</v>
      </c>
    </row>
    <row r="2336" spans="1:13" x14ac:dyDescent="0.2">
      <c r="A2336">
        <v>118</v>
      </c>
      <c r="B2336">
        <v>78</v>
      </c>
      <c r="C2336">
        <v>196</v>
      </c>
      <c r="D2336" s="51" t="s">
        <v>76</v>
      </c>
      <c r="E2336">
        <f>VLOOKUP(M2336,'MASS - 2016'!$A$1:$G$3418,6,FALSE)</f>
        <v>-32644.51</v>
      </c>
      <c r="F2336">
        <f>VLOOKUP(M2336,'MASS - 2016'!$A$1:$G$3418,7,FALSE)</f>
        <v>0.51</v>
      </c>
      <c r="G2336">
        <f t="shared" si="186"/>
        <v>-32644.51</v>
      </c>
      <c r="H2336">
        <f t="shared" si="182"/>
        <v>195.96495467725799</v>
      </c>
      <c r="I2336">
        <f t="shared" si="183"/>
        <v>182.54019144599999</v>
      </c>
      <c r="J2336">
        <f t="shared" si="185"/>
        <v>182500.33344599998</v>
      </c>
      <c r="M2336">
        <f t="shared" si="184"/>
        <v>118078</v>
      </c>
    </row>
    <row r="2337" spans="1:13" x14ac:dyDescent="0.2">
      <c r="A2337">
        <v>117</v>
      </c>
      <c r="B2337">
        <v>79</v>
      </c>
      <c r="C2337">
        <v>196</v>
      </c>
      <c r="D2337" s="51" t="s">
        <v>77</v>
      </c>
      <c r="E2337">
        <f>VLOOKUP(M2337,'MASS - 2016'!$A$1:$G$3418,6,FALSE)</f>
        <v>-31138.705999999998</v>
      </c>
      <c r="F2337">
        <f>VLOOKUP(M2337,'MASS - 2016'!$A$1:$G$3418,7,FALSE)</f>
        <v>2.9620000000000002</v>
      </c>
      <c r="G2337">
        <f t="shared" si="186"/>
        <v>-31138.705999999998</v>
      </c>
      <c r="H2337">
        <f t="shared" si="182"/>
        <v>195.96657122433334</v>
      </c>
      <c r="I2337">
        <f t="shared" si="183"/>
        <v>182.54169725</v>
      </c>
      <c r="J2337">
        <f t="shared" si="185"/>
        <v>182501.32824999999</v>
      </c>
      <c r="M2337">
        <f t="shared" si="184"/>
        <v>117079</v>
      </c>
    </row>
    <row r="2338" spans="1:13" x14ac:dyDescent="0.2">
      <c r="A2338">
        <v>116</v>
      </c>
      <c r="B2338">
        <v>80</v>
      </c>
      <c r="C2338">
        <v>196</v>
      </c>
      <c r="D2338" s="51" t="s">
        <v>78</v>
      </c>
      <c r="E2338">
        <f>VLOOKUP(M2338,'MASS - 2016'!$A$1:$G$3418,6,FALSE)</f>
        <v>-31825.940999999999</v>
      </c>
      <c r="F2338">
        <f>VLOOKUP(M2338,'MASS - 2016'!$A$1:$G$3418,7,FALSE)</f>
        <v>2.9460000000000002</v>
      </c>
      <c r="G2338">
        <f t="shared" si="186"/>
        <v>-31825.940999999999</v>
      </c>
      <c r="H2338">
        <f t="shared" si="182"/>
        <v>195.96583344721938</v>
      </c>
      <c r="I2338">
        <f t="shared" si="183"/>
        <v>182.54101001500001</v>
      </c>
      <c r="J2338">
        <f t="shared" si="185"/>
        <v>182500.130015</v>
      </c>
      <c r="M2338">
        <f t="shared" si="184"/>
        <v>116080</v>
      </c>
    </row>
    <row r="2339" spans="1:13" x14ac:dyDescent="0.2">
      <c r="A2339">
        <v>115</v>
      </c>
      <c r="B2339">
        <v>81</v>
      </c>
      <c r="C2339">
        <v>196</v>
      </c>
      <c r="D2339" s="51" t="s">
        <v>79</v>
      </c>
      <c r="E2339">
        <f>VLOOKUP(M2339,'MASS - 2016'!$A$1:$G$3418,6,FALSE)</f>
        <v>-27496.592000000001</v>
      </c>
      <c r="F2339">
        <f>VLOOKUP(M2339,'MASS - 2016'!$A$1:$G$3418,7,FALSE)</f>
        <v>12.109</v>
      </c>
      <c r="G2339">
        <f t="shared" si="186"/>
        <v>-27496.592000000001</v>
      </c>
      <c r="H2339">
        <f t="shared" si="182"/>
        <v>195.97048119451188</v>
      </c>
      <c r="I2339">
        <f t="shared" si="183"/>
        <v>182.545339364</v>
      </c>
      <c r="J2339">
        <f t="shared" si="185"/>
        <v>182503.94836400001</v>
      </c>
      <c r="M2339">
        <f t="shared" si="184"/>
        <v>115081</v>
      </c>
    </row>
    <row r="2340" spans="1:13" x14ac:dyDescent="0.2">
      <c r="A2340">
        <v>114</v>
      </c>
      <c r="B2340">
        <v>82</v>
      </c>
      <c r="C2340">
        <v>196</v>
      </c>
      <c r="D2340" s="51" t="s">
        <v>80</v>
      </c>
      <c r="E2340">
        <f>VLOOKUP(M2340,'MASS - 2016'!$A$1:$G$3418,6,FALSE)</f>
        <v>-25348.312000000002</v>
      </c>
      <c r="F2340">
        <f>VLOOKUP(M2340,'MASS - 2016'!$A$1:$G$3418,7,FALSE)</f>
        <v>7.71</v>
      </c>
      <c r="G2340">
        <f t="shared" si="186"/>
        <v>-25348.312000000002</v>
      </c>
      <c r="H2340">
        <f t="shared" si="182"/>
        <v>195.97278746793856</v>
      </c>
      <c r="I2340">
        <f t="shared" si="183"/>
        <v>182.547487644</v>
      </c>
      <c r="J2340">
        <f t="shared" si="185"/>
        <v>182505.58564400001</v>
      </c>
      <c r="M2340">
        <f t="shared" si="184"/>
        <v>114082</v>
      </c>
    </row>
    <row r="2341" spans="1:13" x14ac:dyDescent="0.2">
      <c r="A2341">
        <v>113</v>
      </c>
      <c r="B2341">
        <v>83</v>
      </c>
      <c r="C2341">
        <v>196</v>
      </c>
      <c r="D2341" s="51" t="s">
        <v>81</v>
      </c>
      <c r="E2341">
        <f>VLOOKUP(M2341,'MASS - 2016'!$A$1:$G$3418,6,FALSE)</f>
        <v>-18009.030999999999</v>
      </c>
      <c r="F2341">
        <f>VLOOKUP(M2341,'MASS - 2016'!$A$1:$G$3418,7,FALSE)</f>
        <v>24.428000000000001</v>
      </c>
      <c r="G2341">
        <f t="shared" si="186"/>
        <v>-18009.030999999999</v>
      </c>
      <c r="H2341">
        <f t="shared" si="182"/>
        <v>195.98066651012175</v>
      </c>
      <c r="I2341">
        <f t="shared" si="183"/>
        <v>182.55482692500001</v>
      </c>
      <c r="J2341">
        <f t="shared" si="185"/>
        <v>182512.413925</v>
      </c>
      <c r="M2341">
        <f t="shared" si="184"/>
        <v>113083</v>
      </c>
    </row>
    <row r="2342" spans="1:13" x14ac:dyDescent="0.2">
      <c r="A2342">
        <v>112</v>
      </c>
      <c r="B2342">
        <v>84</v>
      </c>
      <c r="C2342">
        <v>196</v>
      </c>
      <c r="D2342" s="51" t="s">
        <v>82</v>
      </c>
      <c r="E2342">
        <f>VLOOKUP(M2342,'MASS - 2016'!$A$1:$G$3418,6,FALSE)</f>
        <v>-13473.041999999999</v>
      </c>
      <c r="F2342">
        <f>VLOOKUP(M2342,'MASS - 2016'!$A$1:$G$3418,7,FALSE)</f>
        <v>13.512</v>
      </c>
      <c r="G2342">
        <f t="shared" si="186"/>
        <v>-13473.041999999999</v>
      </c>
      <c r="H2342">
        <f t="shared" si="182"/>
        <v>195.98553609457744</v>
      </c>
      <c r="I2342">
        <f t="shared" si="183"/>
        <v>182.55936291400002</v>
      </c>
      <c r="J2342">
        <f t="shared" si="185"/>
        <v>182516.43891400003</v>
      </c>
      <c r="M2342">
        <f t="shared" si="184"/>
        <v>112084</v>
      </c>
    </row>
    <row r="2343" spans="1:13" x14ac:dyDescent="0.2">
      <c r="A2343">
        <v>111</v>
      </c>
      <c r="B2343">
        <v>85</v>
      </c>
      <c r="C2343">
        <v>196</v>
      </c>
      <c r="D2343" s="51" t="s">
        <v>83</v>
      </c>
      <c r="E2343">
        <f>VLOOKUP(M2343,'MASS - 2016'!$A$1:$G$3418,6,FALSE)</f>
        <v>-3914.6770000000001</v>
      </c>
      <c r="F2343">
        <f>VLOOKUP(M2343,'MASS - 2016'!$A$1:$G$3418,7,FALSE)</f>
        <v>30.283999999999999</v>
      </c>
      <c r="G2343">
        <f t="shared" si="186"/>
        <v>-3914.6770000000001</v>
      </c>
      <c r="H2343">
        <f t="shared" si="182"/>
        <v>195.99579742140727</v>
      </c>
      <c r="I2343">
        <f t="shared" si="183"/>
        <v>182.56892127899999</v>
      </c>
      <c r="J2343">
        <f t="shared" si="185"/>
        <v>182525.486279</v>
      </c>
      <c r="M2343">
        <f t="shared" si="184"/>
        <v>111085</v>
      </c>
    </row>
    <row r="2344" spans="1:13" x14ac:dyDescent="0.2">
      <c r="A2344">
        <v>110</v>
      </c>
      <c r="B2344">
        <v>86</v>
      </c>
      <c r="C2344">
        <v>196</v>
      </c>
      <c r="D2344" s="51" t="s">
        <v>84</v>
      </c>
      <c r="E2344">
        <f>VLOOKUP(M2344,'MASS - 2016'!$A$1:$G$3418,6,FALSE)</f>
        <v>1970.991</v>
      </c>
      <c r="F2344">
        <f>VLOOKUP(M2344,'MASS - 2016'!$A$1:$G$3418,7,FALSE)</f>
        <v>14.417</v>
      </c>
      <c r="G2344">
        <f t="shared" si="186"/>
        <v>1970.991</v>
      </c>
      <c r="H2344">
        <f t="shared" si="182"/>
        <v>196.00211594585789</v>
      </c>
      <c r="I2344">
        <f t="shared" si="183"/>
        <v>182.57480694700001</v>
      </c>
      <c r="J2344">
        <f t="shared" si="185"/>
        <v>182530.86094700001</v>
      </c>
      <c r="M2344">
        <f t="shared" si="184"/>
        <v>110086</v>
      </c>
    </row>
    <row r="2345" spans="1:13" x14ac:dyDescent="0.2">
      <c r="A2345">
        <v>120</v>
      </c>
      <c r="B2345">
        <v>77</v>
      </c>
      <c r="C2345">
        <v>197</v>
      </c>
      <c r="D2345" s="51" t="s">
        <v>75</v>
      </c>
      <c r="E2345">
        <f>VLOOKUP(M2345,'MASS - 2016'!$A$1:$G$3418,6,FALSE)</f>
        <v>-28264.105</v>
      </c>
      <c r="F2345">
        <f>VLOOKUP(M2345,'MASS - 2016'!$A$1:$G$3418,7,FALSE)</f>
        <v>20.11</v>
      </c>
      <c r="G2345">
        <f t="shared" si="186"/>
        <v>-28264.105</v>
      </c>
      <c r="H2345">
        <f t="shared" si="182"/>
        <v>196.96965723542064</v>
      </c>
      <c r="I2345">
        <f t="shared" si="183"/>
        <v>183.476065912</v>
      </c>
      <c r="J2345">
        <f t="shared" si="185"/>
        <v>183436.71891199998</v>
      </c>
      <c r="M2345">
        <f t="shared" si="184"/>
        <v>120077</v>
      </c>
    </row>
    <row r="2346" spans="1:13" x14ac:dyDescent="0.2">
      <c r="A2346">
        <v>119</v>
      </c>
      <c r="B2346">
        <v>78</v>
      </c>
      <c r="C2346">
        <v>197</v>
      </c>
      <c r="D2346" s="51" t="s">
        <v>76</v>
      </c>
      <c r="E2346">
        <f>VLOOKUP(M2346,'MASS - 2016'!$A$1:$G$3418,6,FALSE)</f>
        <v>-30419.75</v>
      </c>
      <c r="F2346">
        <f>VLOOKUP(M2346,'MASS - 2016'!$A$1:$G$3418,7,FALSE)</f>
        <v>0.53600000000000003</v>
      </c>
      <c r="G2346">
        <f t="shared" si="186"/>
        <v>-30419.75</v>
      </c>
      <c r="H2346">
        <f t="shared" si="182"/>
        <v>196.9673430553413</v>
      </c>
      <c r="I2346">
        <f t="shared" si="183"/>
        <v>183.47391026700001</v>
      </c>
      <c r="J2346">
        <f t="shared" si="185"/>
        <v>183434.05226699999</v>
      </c>
      <c r="M2346">
        <f t="shared" si="184"/>
        <v>119078</v>
      </c>
    </row>
    <row r="2347" spans="1:13" x14ac:dyDescent="0.2">
      <c r="A2347">
        <v>118</v>
      </c>
      <c r="B2347">
        <v>79</v>
      </c>
      <c r="C2347">
        <v>197</v>
      </c>
      <c r="D2347" s="51" t="s">
        <v>77</v>
      </c>
      <c r="E2347">
        <f>VLOOKUP(M2347,'MASS - 2016'!$A$1:$G$3418,6,FALSE)</f>
        <v>-31139.738000000001</v>
      </c>
      <c r="F2347">
        <f>VLOOKUP(M2347,'MASS - 2016'!$A$1:$G$3418,7,FALSE)</f>
        <v>0.54200000000000004</v>
      </c>
      <c r="G2347">
        <f t="shared" si="186"/>
        <v>-31139.738000000001</v>
      </c>
      <c r="H2347">
        <f t="shared" si="182"/>
        <v>196.96657011643578</v>
      </c>
      <c r="I2347">
        <f t="shared" si="183"/>
        <v>183.47319027899999</v>
      </c>
      <c r="J2347">
        <f t="shared" si="185"/>
        <v>183432.821279</v>
      </c>
      <c r="M2347">
        <f t="shared" si="184"/>
        <v>118079</v>
      </c>
    </row>
    <row r="2348" spans="1:13" x14ac:dyDescent="0.2">
      <c r="A2348">
        <v>117</v>
      </c>
      <c r="B2348">
        <v>80</v>
      </c>
      <c r="C2348">
        <v>197</v>
      </c>
      <c r="D2348" s="51" t="s">
        <v>78</v>
      </c>
      <c r="E2348">
        <f>VLOOKUP(M2348,'MASS - 2016'!$A$1:$G$3418,6,FALSE)</f>
        <v>-30540.228999999999</v>
      </c>
      <c r="F2348">
        <f>VLOOKUP(M2348,'MASS - 2016'!$A$1:$G$3418,7,FALSE)</f>
        <v>3.2069999999999999</v>
      </c>
      <c r="G2348">
        <f t="shared" si="186"/>
        <v>-30540.228999999999</v>
      </c>
      <c r="H2348">
        <f t="shared" si="182"/>
        <v>196.96721371581563</v>
      </c>
      <c r="I2348">
        <f t="shared" si="183"/>
        <v>183.473789788</v>
      </c>
      <c r="J2348">
        <f t="shared" si="185"/>
        <v>183432.90978799999</v>
      </c>
      <c r="M2348">
        <f t="shared" si="184"/>
        <v>117080</v>
      </c>
    </row>
    <row r="2349" spans="1:13" x14ac:dyDescent="0.2">
      <c r="A2349">
        <v>116</v>
      </c>
      <c r="B2349">
        <v>81</v>
      </c>
      <c r="C2349">
        <v>197</v>
      </c>
      <c r="D2349" s="51" t="s">
        <v>79</v>
      </c>
      <c r="E2349">
        <f>VLOOKUP(M2349,'MASS - 2016'!$A$1:$G$3418,6,FALSE)</f>
        <v>-28341.649000000001</v>
      </c>
      <c r="F2349">
        <f>VLOOKUP(M2349,'MASS - 2016'!$A$1:$G$3418,7,FALSE)</f>
        <v>16.324999999999999</v>
      </c>
      <c r="G2349">
        <f t="shared" si="186"/>
        <v>-28341.649000000001</v>
      </c>
      <c r="H2349">
        <f t="shared" si="182"/>
        <v>196.96957398851308</v>
      </c>
      <c r="I2349">
        <f t="shared" si="183"/>
        <v>183.475988368</v>
      </c>
      <c r="J2349">
        <f t="shared" si="185"/>
        <v>183434.59736799999</v>
      </c>
      <c r="M2349">
        <f t="shared" si="184"/>
        <v>116081</v>
      </c>
    </row>
    <row r="2350" spans="1:13" x14ac:dyDescent="0.2">
      <c r="A2350">
        <v>115</v>
      </c>
      <c r="B2350">
        <v>82</v>
      </c>
      <c r="C2350">
        <v>197</v>
      </c>
      <c r="D2350" s="51" t="s">
        <v>80</v>
      </c>
      <c r="E2350">
        <f>VLOOKUP(M2350,'MASS - 2016'!$A$1:$G$3418,6,FALSE)</f>
        <v>-24745.401000000002</v>
      </c>
      <c r="F2350">
        <f>VLOOKUP(M2350,'MASS - 2016'!$A$1:$G$3418,7,FALSE)</f>
        <v>4.8040000000000003</v>
      </c>
      <c r="G2350">
        <f t="shared" si="186"/>
        <v>-24745.401000000002</v>
      </c>
      <c r="H2350">
        <f t="shared" si="182"/>
        <v>196.97343471951564</v>
      </c>
      <c r="I2350">
        <f t="shared" si="183"/>
        <v>183.47958461600001</v>
      </c>
      <c r="J2350">
        <f t="shared" si="185"/>
        <v>183437.68261600001</v>
      </c>
      <c r="M2350">
        <f t="shared" si="184"/>
        <v>115082</v>
      </c>
    </row>
    <row r="2351" spans="1:13" x14ac:dyDescent="0.2">
      <c r="A2351">
        <v>114</v>
      </c>
      <c r="B2351">
        <v>83</v>
      </c>
      <c r="C2351">
        <v>197</v>
      </c>
      <c r="D2351" s="51" t="s">
        <v>81</v>
      </c>
      <c r="E2351">
        <f>VLOOKUP(M2351,'MASS - 2016'!$A$1:$G$3418,6,FALSE)</f>
        <v>-19687.190999999999</v>
      </c>
      <c r="F2351">
        <f>VLOOKUP(M2351,'MASS - 2016'!$A$1:$G$3418,7,FALSE)</f>
        <v>8.3330000000000002</v>
      </c>
      <c r="G2351">
        <f t="shared" si="186"/>
        <v>-19687.190999999999</v>
      </c>
      <c r="H2351">
        <f t="shared" si="182"/>
        <v>196.97886493127089</v>
      </c>
      <c r="I2351">
        <f t="shared" si="183"/>
        <v>183.484642826</v>
      </c>
      <c r="J2351">
        <f t="shared" si="185"/>
        <v>183442.229826</v>
      </c>
      <c r="M2351">
        <f t="shared" si="184"/>
        <v>114083</v>
      </c>
    </row>
    <row r="2352" spans="1:13" x14ac:dyDescent="0.2">
      <c r="A2352">
        <v>113</v>
      </c>
      <c r="B2352">
        <v>84</v>
      </c>
      <c r="C2352">
        <v>197</v>
      </c>
      <c r="D2352" s="51" t="s">
        <v>82</v>
      </c>
      <c r="E2352">
        <f>VLOOKUP(M2352,'MASS - 2016'!$A$1:$G$3418,6,FALSE)</f>
        <v>-13357.99</v>
      </c>
      <c r="F2352">
        <f>VLOOKUP(M2352,'MASS - 2016'!$A$1:$G$3418,7,FALSE)</f>
        <v>49.679000000000002</v>
      </c>
      <c r="G2352">
        <f t="shared" si="186"/>
        <v>-13357.99</v>
      </c>
      <c r="H2352">
        <f t="shared" si="182"/>
        <v>196.98565960797896</v>
      </c>
      <c r="I2352">
        <f t="shared" si="183"/>
        <v>183.490972027</v>
      </c>
      <c r="J2352">
        <f t="shared" si="185"/>
        <v>183448.04802700001</v>
      </c>
      <c r="M2352">
        <f t="shared" si="184"/>
        <v>113084</v>
      </c>
    </row>
    <row r="2353" spans="1:13" x14ac:dyDescent="0.2">
      <c r="A2353">
        <v>112</v>
      </c>
      <c r="B2353">
        <v>85</v>
      </c>
      <c r="C2353">
        <v>197</v>
      </c>
      <c r="D2353" s="51" t="s">
        <v>83</v>
      </c>
      <c r="E2353">
        <f>VLOOKUP(M2353,'MASS - 2016'!$A$1:$G$3418,6,FALSE)</f>
        <v>-6355.25</v>
      </c>
      <c r="F2353">
        <f>VLOOKUP(M2353,'MASS - 2016'!$A$1:$G$3418,7,FALSE)</f>
        <v>7.9829999999999997</v>
      </c>
      <c r="G2353">
        <f t="shared" si="186"/>
        <v>-6355.25</v>
      </c>
      <c r="H2353">
        <f t="shared" si="182"/>
        <v>196.99317735854035</v>
      </c>
      <c r="I2353">
        <f t="shared" si="183"/>
        <v>183.49797476699999</v>
      </c>
      <c r="J2353">
        <f t="shared" si="185"/>
        <v>183454.53976699998</v>
      </c>
      <c r="M2353">
        <f t="shared" si="184"/>
        <v>112085</v>
      </c>
    </row>
    <row r="2354" spans="1:13" x14ac:dyDescent="0.2">
      <c r="A2354">
        <v>111</v>
      </c>
      <c r="B2354">
        <v>86</v>
      </c>
      <c r="C2354">
        <v>197</v>
      </c>
      <c r="D2354" s="51" t="s">
        <v>84</v>
      </c>
      <c r="E2354">
        <f>VLOOKUP(M2354,'MASS - 2016'!$A$1:$G$3418,6,FALSE)</f>
        <v>1510.3530000000001</v>
      </c>
      <c r="F2354">
        <f>VLOOKUP(M2354,'MASS - 2016'!$A$1:$G$3418,7,FALSE)</f>
        <v>16.193000000000001</v>
      </c>
      <c r="G2354">
        <f t="shared" si="186"/>
        <v>1510.3530000000001</v>
      </c>
      <c r="H2354">
        <f t="shared" si="182"/>
        <v>197.00162143062767</v>
      </c>
      <c r="I2354">
        <f t="shared" si="183"/>
        <v>183.50584036999999</v>
      </c>
      <c r="J2354">
        <f t="shared" si="185"/>
        <v>183461.89436999999</v>
      </c>
      <c r="M2354">
        <f t="shared" si="184"/>
        <v>111086</v>
      </c>
    </row>
    <row r="2355" spans="1:13" x14ac:dyDescent="0.2">
      <c r="A2355">
        <v>121</v>
      </c>
      <c r="B2355">
        <v>77</v>
      </c>
      <c r="C2355">
        <v>198</v>
      </c>
      <c r="D2355" s="51" t="s">
        <v>75</v>
      </c>
      <c r="E2355" t="str">
        <f>VLOOKUP(M2355,'MASS - 2016'!$A$1:$G$3418,6,FALSE)</f>
        <v>-25821#</v>
      </c>
      <c r="F2355" t="str">
        <f>VLOOKUP(M2355,'MASS - 2016'!$A$1:$G$3418,7,FALSE)</f>
        <v>196#</v>
      </c>
      <c r="G2355">
        <f t="shared" si="186"/>
        <v>-25821.01</v>
      </c>
      <c r="H2355">
        <f t="shared" si="182"/>
        <v>197.97228000576592</v>
      </c>
      <c r="I2355">
        <f t="shared" si="183"/>
        <v>184.41000306800001</v>
      </c>
      <c r="J2355">
        <f t="shared" si="185"/>
        <v>184370.65606800001</v>
      </c>
      <c r="M2355">
        <f t="shared" si="184"/>
        <v>121077</v>
      </c>
    </row>
    <row r="2356" spans="1:13" x14ac:dyDescent="0.2">
      <c r="A2356">
        <v>120</v>
      </c>
      <c r="B2356">
        <v>78</v>
      </c>
      <c r="C2356">
        <v>198</v>
      </c>
      <c r="D2356" s="51" t="s">
        <v>76</v>
      </c>
      <c r="E2356">
        <f>VLOOKUP(M2356,'MASS - 2016'!$A$1:$G$3418,6,FALSE)</f>
        <v>-29903.999</v>
      </c>
      <c r="F2356">
        <f>VLOOKUP(M2356,'MASS - 2016'!$A$1:$G$3418,7,FALSE)</f>
        <v>2.1</v>
      </c>
      <c r="G2356">
        <f t="shared" si="186"/>
        <v>-29903.999</v>
      </c>
      <c r="H2356">
        <f t="shared" si="182"/>
        <v>197.96789673681022</v>
      </c>
      <c r="I2356">
        <f t="shared" si="183"/>
        <v>184.405920079</v>
      </c>
      <c r="J2356">
        <f t="shared" si="185"/>
        <v>184366.062079</v>
      </c>
      <c r="M2356">
        <f t="shared" si="184"/>
        <v>120078</v>
      </c>
    </row>
    <row r="2357" spans="1:13" x14ac:dyDescent="0.2">
      <c r="A2357">
        <v>119</v>
      </c>
      <c r="B2357">
        <v>79</v>
      </c>
      <c r="C2357">
        <v>198</v>
      </c>
      <c r="D2357" s="51" t="s">
        <v>77</v>
      </c>
      <c r="E2357">
        <f>VLOOKUP(M2357,'MASS - 2016'!$A$1:$G$3418,6,FALSE)</f>
        <v>-29580.780999999999</v>
      </c>
      <c r="F2357">
        <f>VLOOKUP(M2357,'MASS - 2016'!$A$1:$G$3418,7,FALSE)</f>
        <v>0.54</v>
      </c>
      <c r="G2357">
        <f t="shared" si="186"/>
        <v>-29580.780999999999</v>
      </c>
      <c r="H2357">
        <f t="shared" si="182"/>
        <v>197.96824372560332</v>
      </c>
      <c r="I2357">
        <f t="shared" si="183"/>
        <v>184.406243297</v>
      </c>
      <c r="J2357">
        <f t="shared" si="185"/>
        <v>184365.874297</v>
      </c>
      <c r="M2357">
        <f t="shared" si="184"/>
        <v>119079</v>
      </c>
    </row>
    <row r="2358" spans="1:13" x14ac:dyDescent="0.2">
      <c r="A2358">
        <v>118</v>
      </c>
      <c r="B2358">
        <v>80</v>
      </c>
      <c r="C2358">
        <v>198</v>
      </c>
      <c r="D2358" s="51" t="s">
        <v>78</v>
      </c>
      <c r="E2358">
        <f>VLOOKUP(M2358,'MASS - 2016'!$A$1:$G$3418,6,FALSE)</f>
        <v>-30954.31</v>
      </c>
      <c r="F2358">
        <f>VLOOKUP(M2358,'MASS - 2016'!$A$1:$G$3418,7,FALSE)</f>
        <v>0.45800000000000002</v>
      </c>
      <c r="G2358">
        <f t="shared" si="186"/>
        <v>-30954.31</v>
      </c>
      <c r="H2358">
        <f t="shared" si="182"/>
        <v>197.96676918158042</v>
      </c>
      <c r="I2358">
        <f t="shared" si="183"/>
        <v>184.404869768</v>
      </c>
      <c r="J2358">
        <f t="shared" si="185"/>
        <v>184363.989768</v>
      </c>
      <c r="M2358">
        <f t="shared" si="184"/>
        <v>118080</v>
      </c>
    </row>
    <row r="2359" spans="1:13" x14ac:dyDescent="0.2">
      <c r="A2359">
        <v>117</v>
      </c>
      <c r="B2359">
        <v>81</v>
      </c>
      <c r="C2359">
        <v>198</v>
      </c>
      <c r="D2359" s="51" t="s">
        <v>79</v>
      </c>
      <c r="E2359">
        <f>VLOOKUP(M2359,'MASS - 2016'!$A$1:$G$3418,6,FALSE)</f>
        <v>-27528.745999999999</v>
      </c>
      <c r="F2359">
        <f>VLOOKUP(M2359,'MASS - 2016'!$A$1:$G$3418,7,FALSE)</f>
        <v>7.5449999999999999</v>
      </c>
      <c r="G2359">
        <f t="shared" si="186"/>
        <v>-27528.745999999999</v>
      </c>
      <c r="H2359">
        <f t="shared" si="182"/>
        <v>197.97044667577327</v>
      </c>
      <c r="I2359">
        <f t="shared" si="183"/>
        <v>184.40829533199999</v>
      </c>
      <c r="J2359">
        <f t="shared" si="185"/>
        <v>184366.90433200001</v>
      </c>
      <c r="M2359">
        <f t="shared" si="184"/>
        <v>117081</v>
      </c>
    </row>
    <row r="2360" spans="1:13" x14ac:dyDescent="0.2">
      <c r="A2360">
        <v>116</v>
      </c>
      <c r="B2360">
        <v>82</v>
      </c>
      <c r="C2360">
        <v>198</v>
      </c>
      <c r="D2360" s="51" t="s">
        <v>80</v>
      </c>
      <c r="E2360">
        <f>VLOOKUP(M2360,'MASS - 2016'!$A$1:$G$3418,6,FALSE)</f>
        <v>-26067.489000000001</v>
      </c>
      <c r="F2360">
        <f>VLOOKUP(M2360,'MASS - 2016'!$A$1:$G$3418,7,FALSE)</f>
        <v>8.75</v>
      </c>
      <c r="G2360">
        <f t="shared" si="186"/>
        <v>-26067.489000000001</v>
      </c>
      <c r="H2360">
        <f t="shared" si="182"/>
        <v>197.97201539967733</v>
      </c>
      <c r="I2360">
        <f t="shared" si="183"/>
        <v>184.40975658899998</v>
      </c>
      <c r="J2360">
        <f t="shared" si="185"/>
        <v>184367.854589</v>
      </c>
      <c r="M2360">
        <f t="shared" si="184"/>
        <v>116082</v>
      </c>
    </row>
    <row r="2361" spans="1:13" x14ac:dyDescent="0.2">
      <c r="A2361">
        <v>115</v>
      </c>
      <c r="B2361">
        <v>83</v>
      </c>
      <c r="C2361">
        <v>198</v>
      </c>
      <c r="D2361" s="51" t="s">
        <v>81</v>
      </c>
      <c r="E2361">
        <f>VLOOKUP(M2361,'MASS - 2016'!$A$1:$G$3418,6,FALSE)</f>
        <v>-19369.486000000001</v>
      </c>
      <c r="F2361">
        <f>VLOOKUP(M2361,'MASS - 2016'!$A$1:$G$3418,7,FALSE)</f>
        <v>27.945</v>
      </c>
      <c r="G2361">
        <f t="shared" si="186"/>
        <v>-19369.486000000001</v>
      </c>
      <c r="H2361">
        <f t="shared" si="182"/>
        <v>197.9792060016151</v>
      </c>
      <c r="I2361">
        <f t="shared" si="183"/>
        <v>184.41645459200001</v>
      </c>
      <c r="J2361">
        <f t="shared" si="185"/>
        <v>184374.04159199999</v>
      </c>
      <c r="M2361">
        <f t="shared" si="184"/>
        <v>115083</v>
      </c>
    </row>
    <row r="2362" spans="1:13" x14ac:dyDescent="0.2">
      <c r="A2362">
        <v>114</v>
      </c>
      <c r="B2362">
        <v>84</v>
      </c>
      <c r="C2362">
        <v>198</v>
      </c>
      <c r="D2362" s="51" t="s">
        <v>82</v>
      </c>
      <c r="E2362">
        <f>VLOOKUP(M2362,'MASS - 2016'!$A$1:$G$3418,6,FALSE)</f>
        <v>-15473.352000000001</v>
      </c>
      <c r="F2362">
        <f>VLOOKUP(M2362,'MASS - 2016'!$A$1:$G$3418,7,FALSE)</f>
        <v>17.423999999999999</v>
      </c>
      <c r="G2362">
        <f t="shared" si="186"/>
        <v>-15473.352000000001</v>
      </c>
      <c r="H2362">
        <f t="shared" si="182"/>
        <v>197.98338867347863</v>
      </c>
      <c r="I2362">
        <f t="shared" si="183"/>
        <v>184.42035072600001</v>
      </c>
      <c r="J2362">
        <f t="shared" si="185"/>
        <v>184377.42672600001</v>
      </c>
      <c r="M2362">
        <f t="shared" si="184"/>
        <v>114084</v>
      </c>
    </row>
    <row r="2363" spans="1:13" x14ac:dyDescent="0.2">
      <c r="A2363">
        <v>113</v>
      </c>
      <c r="B2363">
        <v>85</v>
      </c>
      <c r="C2363">
        <v>198</v>
      </c>
      <c r="D2363" s="51" t="s">
        <v>83</v>
      </c>
      <c r="E2363">
        <f>VLOOKUP(M2363,'MASS - 2016'!$A$1:$G$3418,6,FALSE)</f>
        <v>-6714.5129999999999</v>
      </c>
      <c r="F2363">
        <f>VLOOKUP(M2363,'MASS - 2016'!$A$1:$G$3418,7,FALSE)</f>
        <v>5.8680000000000003</v>
      </c>
      <c r="G2363">
        <f t="shared" si="186"/>
        <v>-6714.5129999999999</v>
      </c>
      <c r="H2363">
        <f t="shared" si="182"/>
        <v>197.99279167384836</v>
      </c>
      <c r="I2363">
        <f t="shared" si="183"/>
        <v>184.429109565</v>
      </c>
      <c r="J2363">
        <f t="shared" si="185"/>
        <v>184385.67456499999</v>
      </c>
      <c r="M2363">
        <f t="shared" si="184"/>
        <v>113085</v>
      </c>
    </row>
    <row r="2364" spans="1:13" x14ac:dyDescent="0.2">
      <c r="A2364">
        <v>112</v>
      </c>
      <c r="B2364">
        <v>86</v>
      </c>
      <c r="C2364">
        <v>198</v>
      </c>
      <c r="D2364" s="51" t="s">
        <v>84</v>
      </c>
      <c r="E2364">
        <f>VLOOKUP(M2364,'MASS - 2016'!$A$1:$G$3418,6,FALSE)</f>
        <v>-1230.3579999999999</v>
      </c>
      <c r="F2364">
        <f>VLOOKUP(M2364,'MASS - 2016'!$A$1:$G$3418,7,FALSE)</f>
        <v>13.42</v>
      </c>
      <c r="G2364">
        <f t="shared" si="186"/>
        <v>-1230.3579999999999</v>
      </c>
      <c r="H2364">
        <f t="shared" si="182"/>
        <v>197.99867915636665</v>
      </c>
      <c r="I2364">
        <f t="shared" si="183"/>
        <v>184.43459372000001</v>
      </c>
      <c r="J2364">
        <f t="shared" si="185"/>
        <v>184390.64772000001</v>
      </c>
      <c r="M2364">
        <f t="shared" si="184"/>
        <v>112086</v>
      </c>
    </row>
    <row r="2365" spans="1:13" x14ac:dyDescent="0.2">
      <c r="A2365">
        <v>122</v>
      </c>
      <c r="B2365">
        <v>77</v>
      </c>
      <c r="C2365">
        <v>199</v>
      </c>
      <c r="D2365" s="51" t="s">
        <v>75</v>
      </c>
      <c r="E2365">
        <f>VLOOKUP(M2365,'MASS - 2016'!$A$1:$G$3418,6,FALSE)</f>
        <v>-24398.514999999999</v>
      </c>
      <c r="F2365">
        <f>VLOOKUP(M2365,'MASS - 2016'!$A$1:$G$3418,7,FALSE)</f>
        <v>41.054000000000002</v>
      </c>
      <c r="G2365">
        <f t="shared" si="186"/>
        <v>-24398.514999999999</v>
      </c>
      <c r="H2365">
        <f t="shared" si="182"/>
        <v>198.97380711695166</v>
      </c>
      <c r="I2365">
        <f t="shared" si="183"/>
        <v>185.34291962399999</v>
      </c>
      <c r="J2365">
        <f t="shared" si="185"/>
        <v>185303.57262399999</v>
      </c>
      <c r="M2365">
        <f t="shared" si="184"/>
        <v>122077</v>
      </c>
    </row>
    <row r="2366" spans="1:13" x14ac:dyDescent="0.2">
      <c r="A2366">
        <v>121</v>
      </c>
      <c r="B2366">
        <v>78</v>
      </c>
      <c r="C2366">
        <v>199</v>
      </c>
      <c r="D2366" s="51" t="s">
        <v>76</v>
      </c>
      <c r="E2366">
        <f>VLOOKUP(M2366,'MASS - 2016'!$A$1:$G$3418,6,FALSE)</f>
        <v>-27388.682000000001</v>
      </c>
      <c r="F2366">
        <f>VLOOKUP(M2366,'MASS - 2016'!$A$1:$G$3418,7,FALSE)</f>
        <v>2.1589999999999998</v>
      </c>
      <c r="G2366">
        <f t="shared" si="186"/>
        <v>-27388.682000000001</v>
      </c>
      <c r="H2366">
        <f t="shared" si="182"/>
        <v>198.97059704066109</v>
      </c>
      <c r="I2366">
        <f t="shared" si="183"/>
        <v>185.33992945699998</v>
      </c>
      <c r="J2366">
        <f t="shared" si="185"/>
        <v>185300.07145699998</v>
      </c>
      <c r="M2366">
        <f t="shared" si="184"/>
        <v>121078</v>
      </c>
    </row>
    <row r="2367" spans="1:13" x14ac:dyDescent="0.2">
      <c r="A2367">
        <v>120</v>
      </c>
      <c r="B2367">
        <v>79</v>
      </c>
      <c r="C2367">
        <v>199</v>
      </c>
      <c r="D2367" s="51" t="s">
        <v>77</v>
      </c>
      <c r="E2367">
        <f>VLOOKUP(M2367,'MASS - 2016'!$A$1:$G$3418,6,FALSE)</f>
        <v>-29093.741000000002</v>
      </c>
      <c r="F2367">
        <f>VLOOKUP(M2367,'MASS - 2016'!$A$1:$G$3418,7,FALSE)</f>
        <v>0.54200000000000004</v>
      </c>
      <c r="G2367">
        <f t="shared" si="186"/>
        <v>-29093.741000000002</v>
      </c>
      <c r="H2367">
        <f t="shared" si="182"/>
        <v>198.96876658454616</v>
      </c>
      <c r="I2367">
        <f t="shared" si="183"/>
        <v>185.33822439799999</v>
      </c>
      <c r="J2367">
        <f t="shared" si="185"/>
        <v>185297.85539799999</v>
      </c>
      <c r="M2367">
        <f t="shared" si="184"/>
        <v>120079</v>
      </c>
    </row>
    <row r="2368" spans="1:13" x14ac:dyDescent="0.2">
      <c r="A2368">
        <v>119</v>
      </c>
      <c r="B2368">
        <v>80</v>
      </c>
      <c r="C2368">
        <v>199</v>
      </c>
      <c r="D2368" s="51" t="s">
        <v>78</v>
      </c>
      <c r="E2368">
        <f>VLOOKUP(M2368,'MASS - 2016'!$A$1:$G$3418,6,FALSE)</f>
        <v>-29546.067999999999</v>
      </c>
      <c r="F2368">
        <f>VLOOKUP(M2368,'MASS - 2016'!$A$1:$G$3418,7,FALSE)</f>
        <v>0.52600000000000002</v>
      </c>
      <c r="G2368">
        <f t="shared" si="186"/>
        <v>-29546.067999999999</v>
      </c>
      <c r="H2368">
        <f t="shared" si="182"/>
        <v>198.96828099154138</v>
      </c>
      <c r="I2368">
        <f t="shared" si="183"/>
        <v>185.33777207099999</v>
      </c>
      <c r="J2368">
        <f t="shared" si="185"/>
        <v>185296.89207099998</v>
      </c>
      <c r="M2368">
        <f t="shared" si="184"/>
        <v>119080</v>
      </c>
    </row>
    <row r="2369" spans="1:13" x14ac:dyDescent="0.2">
      <c r="A2369">
        <v>118</v>
      </c>
      <c r="B2369">
        <v>81</v>
      </c>
      <c r="C2369">
        <v>199</v>
      </c>
      <c r="D2369" s="51" t="s">
        <v>79</v>
      </c>
      <c r="E2369">
        <f>VLOOKUP(M2369,'MASS - 2016'!$A$1:$G$3418,6,FALSE)</f>
        <v>-28059.394</v>
      </c>
      <c r="F2369">
        <f>VLOOKUP(M2369,'MASS - 2016'!$A$1:$G$3418,7,FALSE)</f>
        <v>27.945</v>
      </c>
      <c r="G2369">
        <f t="shared" si="186"/>
        <v>-28059.394</v>
      </c>
      <c r="H2369">
        <f t="shared" si="182"/>
        <v>198.96987700171712</v>
      </c>
      <c r="I2369">
        <f t="shared" si="183"/>
        <v>185.339258745</v>
      </c>
      <c r="J2369">
        <f t="shared" si="185"/>
        <v>185297.867745</v>
      </c>
      <c r="M2369">
        <f t="shared" si="184"/>
        <v>118081</v>
      </c>
    </row>
    <row r="2370" spans="1:13" x14ac:dyDescent="0.2">
      <c r="A2370">
        <v>117</v>
      </c>
      <c r="B2370">
        <v>82</v>
      </c>
      <c r="C2370">
        <v>199</v>
      </c>
      <c r="D2370" s="51" t="s">
        <v>80</v>
      </c>
      <c r="E2370">
        <f>VLOOKUP(M2370,'MASS - 2016'!$A$1:$G$3418,6,FALSE)</f>
        <v>-25231.804</v>
      </c>
      <c r="F2370">
        <f>VLOOKUP(M2370,'MASS - 2016'!$A$1:$G$3418,7,FALSE)</f>
        <v>9.9960000000000004</v>
      </c>
      <c r="G2370">
        <f t="shared" si="186"/>
        <v>-25231.804</v>
      </c>
      <c r="H2370">
        <f t="shared" si="182"/>
        <v>198.97291254442041</v>
      </c>
      <c r="I2370">
        <f t="shared" si="183"/>
        <v>185.342086335</v>
      </c>
      <c r="J2370">
        <f t="shared" si="185"/>
        <v>185300.184335</v>
      </c>
      <c r="M2370">
        <f t="shared" si="184"/>
        <v>117082</v>
      </c>
    </row>
    <row r="2371" spans="1:13" x14ac:dyDescent="0.2">
      <c r="A2371">
        <v>116</v>
      </c>
      <c r="B2371">
        <v>83</v>
      </c>
      <c r="C2371">
        <v>199</v>
      </c>
      <c r="D2371" s="51" t="s">
        <v>81</v>
      </c>
      <c r="E2371">
        <f>VLOOKUP(M2371,'MASS - 2016'!$A$1:$G$3418,6,FALSE)</f>
        <v>-20797.565999999999</v>
      </c>
      <c r="F2371">
        <f>VLOOKUP(M2371,'MASS - 2016'!$A$1:$G$3418,7,FALSE)</f>
        <v>10.568</v>
      </c>
      <c r="G2371">
        <f t="shared" si="186"/>
        <v>-20797.565999999999</v>
      </c>
      <c r="H2371">
        <f t="shared" si="182"/>
        <v>198.97767289468527</v>
      </c>
      <c r="I2371">
        <f t="shared" si="183"/>
        <v>185.34652057299999</v>
      </c>
      <c r="J2371">
        <f t="shared" si="185"/>
        <v>185304.10757299999</v>
      </c>
      <c r="M2371">
        <f t="shared" si="184"/>
        <v>116083</v>
      </c>
    </row>
    <row r="2372" spans="1:13" x14ac:dyDescent="0.2">
      <c r="A2372">
        <v>115</v>
      </c>
      <c r="B2372">
        <v>84</v>
      </c>
      <c r="C2372">
        <v>199</v>
      </c>
      <c r="D2372" s="51" t="s">
        <v>82</v>
      </c>
      <c r="E2372">
        <f>VLOOKUP(M2372,'MASS - 2016'!$A$1:$G$3418,6,FALSE)</f>
        <v>-15208.483</v>
      </c>
      <c r="F2372">
        <f>VLOOKUP(M2372,'MASS - 2016'!$A$1:$G$3418,7,FALSE)</f>
        <v>18.059999999999999</v>
      </c>
      <c r="G2372">
        <f t="shared" si="186"/>
        <v>-15208.483</v>
      </c>
      <c r="H2372">
        <f t="shared" si="182"/>
        <v>198.98367302204409</v>
      </c>
      <c r="I2372">
        <f t="shared" si="183"/>
        <v>185.35210965599998</v>
      </c>
      <c r="J2372">
        <f t="shared" si="185"/>
        <v>185309.18565599999</v>
      </c>
      <c r="M2372">
        <f t="shared" si="184"/>
        <v>115084</v>
      </c>
    </row>
    <row r="2373" spans="1:13" x14ac:dyDescent="0.2">
      <c r="A2373">
        <v>114</v>
      </c>
      <c r="B2373">
        <v>85</v>
      </c>
      <c r="C2373">
        <v>199</v>
      </c>
      <c r="D2373" s="51" t="s">
        <v>83</v>
      </c>
      <c r="E2373">
        <f>VLOOKUP(M2373,'MASS - 2016'!$A$1:$G$3418,6,FALSE)</f>
        <v>-8823.3719999999994</v>
      </c>
      <c r="F2373">
        <f>VLOOKUP(M2373,'MASS - 2016'!$A$1:$G$3418,7,FALSE)</f>
        <v>5.3840000000000003</v>
      </c>
      <c r="G2373">
        <f t="shared" si="186"/>
        <v>-8823.3719999999994</v>
      </c>
      <c r="H2373">
        <f t="shared" si="182"/>
        <v>198.99052772060563</v>
      </c>
      <c r="I2373">
        <f t="shared" si="183"/>
        <v>185.358494767</v>
      </c>
      <c r="J2373">
        <f t="shared" si="185"/>
        <v>185315.059767</v>
      </c>
      <c r="M2373">
        <f t="shared" si="184"/>
        <v>114085</v>
      </c>
    </row>
    <row r="2374" spans="1:13" x14ac:dyDescent="0.2">
      <c r="A2374">
        <v>113</v>
      </c>
      <c r="B2374">
        <v>86</v>
      </c>
      <c r="C2374">
        <v>199</v>
      </c>
      <c r="D2374" s="51" t="s">
        <v>84</v>
      </c>
      <c r="E2374">
        <f>VLOOKUP(M2374,'MASS - 2016'!$A$1:$G$3418,6,FALSE)</f>
        <v>-1499.451</v>
      </c>
      <c r="F2374">
        <f>VLOOKUP(M2374,'MASS - 2016'!$A$1:$G$3418,7,FALSE)</f>
        <v>37.588000000000001</v>
      </c>
      <c r="G2374">
        <f t="shared" si="186"/>
        <v>-1499.451</v>
      </c>
      <c r="H2374">
        <f t="shared" si="182"/>
        <v>198.99839027315065</v>
      </c>
      <c r="I2374">
        <f t="shared" si="183"/>
        <v>185.36581868799999</v>
      </c>
      <c r="J2374">
        <f t="shared" si="185"/>
        <v>185321.872688</v>
      </c>
      <c r="M2374">
        <f t="shared" si="184"/>
        <v>113086</v>
      </c>
    </row>
    <row r="2375" spans="1:13" x14ac:dyDescent="0.2">
      <c r="A2375">
        <v>122</v>
      </c>
      <c r="B2375">
        <v>78</v>
      </c>
      <c r="C2375">
        <v>200</v>
      </c>
      <c r="D2375" s="51" t="s">
        <v>76</v>
      </c>
      <c r="E2375">
        <f>VLOOKUP(M2375,'MASS - 2016'!$A$1:$G$3418,6,FALSE)</f>
        <v>-26599.16</v>
      </c>
      <c r="F2375">
        <f>VLOOKUP(M2375,'MASS - 2016'!$A$1:$G$3418,7,FALSE)</f>
        <v>20.11</v>
      </c>
      <c r="G2375">
        <f t="shared" si="186"/>
        <v>-26599.16</v>
      </c>
      <c r="H2375">
        <f t="shared" si="182"/>
        <v>199.97144462738555</v>
      </c>
      <c r="I2375">
        <f t="shared" si="183"/>
        <v>186.27221304</v>
      </c>
      <c r="J2375">
        <f t="shared" si="185"/>
        <v>186232.35503999999</v>
      </c>
      <c r="M2375">
        <f t="shared" si="184"/>
        <v>122078</v>
      </c>
    </row>
    <row r="2376" spans="1:13" x14ac:dyDescent="0.2">
      <c r="A2376">
        <v>121</v>
      </c>
      <c r="B2376">
        <v>79</v>
      </c>
      <c r="C2376">
        <v>200</v>
      </c>
      <c r="D2376" s="51" t="s">
        <v>77</v>
      </c>
      <c r="E2376">
        <f>VLOOKUP(M2376,'MASS - 2016'!$A$1:$G$3418,6,FALSE)</f>
        <v>-27240.092000000001</v>
      </c>
      <c r="F2376">
        <f>VLOOKUP(M2376,'MASS - 2016'!$A$1:$G$3418,7,FALSE)</f>
        <v>26.716999999999999</v>
      </c>
      <c r="G2376">
        <f t="shared" si="186"/>
        <v>-27240.092000000001</v>
      </c>
      <c r="H2376">
        <f t="shared" si="182"/>
        <v>199.97075655858634</v>
      </c>
      <c r="I2376">
        <f t="shared" si="183"/>
        <v>186.27157210799999</v>
      </c>
      <c r="J2376">
        <f t="shared" si="185"/>
        <v>186231.20310799999</v>
      </c>
      <c r="M2376">
        <f t="shared" si="184"/>
        <v>121079</v>
      </c>
    </row>
    <row r="2377" spans="1:13" x14ac:dyDescent="0.2">
      <c r="A2377">
        <v>120</v>
      </c>
      <c r="B2377">
        <v>80</v>
      </c>
      <c r="C2377">
        <v>200</v>
      </c>
      <c r="D2377" s="51" t="s">
        <v>78</v>
      </c>
      <c r="E2377">
        <f>VLOOKUP(M2377,'MASS - 2016'!$A$1:$G$3418,6,FALSE)</f>
        <v>-29503.27</v>
      </c>
      <c r="F2377">
        <f>VLOOKUP(M2377,'MASS - 2016'!$A$1:$G$3418,7,FALSE)</f>
        <v>0.52900000000000003</v>
      </c>
      <c r="G2377">
        <f t="shared" si="186"/>
        <v>-29503.27</v>
      </c>
      <c r="H2377">
        <f t="shared" ref="H2377:H2440" si="187">(C2377*$A$3+G2377/1000000)/$A$3</f>
        <v>199.96832693708393</v>
      </c>
      <c r="I2377">
        <f t="shared" ref="I2377:I2440" si="188">H2377*$A$3</f>
        <v>186.26930892999999</v>
      </c>
      <c r="J2377">
        <f t="shared" si="185"/>
        <v>186228.42892999999</v>
      </c>
      <c r="M2377">
        <f t="shared" ref="M2377:M2440" si="189">1000*A2377+B2377</f>
        <v>120080</v>
      </c>
    </row>
    <row r="2378" spans="1:13" x14ac:dyDescent="0.2">
      <c r="A2378">
        <v>119</v>
      </c>
      <c r="B2378">
        <v>81</v>
      </c>
      <c r="C2378">
        <v>200</v>
      </c>
      <c r="D2378" s="51" t="s">
        <v>79</v>
      </c>
      <c r="E2378">
        <f>VLOOKUP(M2378,'MASS - 2016'!$A$1:$G$3418,6,FALSE)</f>
        <v>-27047.23</v>
      </c>
      <c r="F2378">
        <f>VLOOKUP(M2378,'MASS - 2016'!$A$1:$G$3418,7,FALSE)</f>
        <v>5.7590000000000003</v>
      </c>
      <c r="G2378">
        <f t="shared" si="186"/>
        <v>-27047.23</v>
      </c>
      <c r="H2378">
        <f t="shared" si="187"/>
        <v>199.97096360445823</v>
      </c>
      <c r="I2378">
        <f t="shared" si="188"/>
        <v>186.27176496999999</v>
      </c>
      <c r="J2378">
        <f t="shared" si="185"/>
        <v>186230.37396999999</v>
      </c>
      <c r="M2378">
        <f t="shared" si="189"/>
        <v>119081</v>
      </c>
    </row>
    <row r="2379" spans="1:13" x14ac:dyDescent="0.2">
      <c r="A2379">
        <v>118</v>
      </c>
      <c r="B2379">
        <v>82</v>
      </c>
      <c r="C2379">
        <v>200</v>
      </c>
      <c r="D2379" s="51" t="s">
        <v>80</v>
      </c>
      <c r="E2379">
        <f>VLOOKUP(M2379,'MASS - 2016'!$A$1:$G$3418,6,FALSE)</f>
        <v>-26251.054</v>
      </c>
      <c r="F2379">
        <f>VLOOKUP(M2379,'MASS - 2016'!$A$1:$G$3418,7,FALSE)</f>
        <v>10.927</v>
      </c>
      <c r="G2379">
        <f t="shared" si="186"/>
        <v>-26251.054</v>
      </c>
      <c r="H2379">
        <f t="shared" si="187"/>
        <v>199.97181833454545</v>
      </c>
      <c r="I2379">
        <f t="shared" si="188"/>
        <v>186.27256114599999</v>
      </c>
      <c r="J2379">
        <f t="shared" si="185"/>
        <v>186230.65914599999</v>
      </c>
      <c r="M2379">
        <f t="shared" si="189"/>
        <v>118082</v>
      </c>
    </row>
    <row r="2380" spans="1:13" x14ac:dyDescent="0.2">
      <c r="A2380">
        <v>117</v>
      </c>
      <c r="B2380">
        <v>83</v>
      </c>
      <c r="C2380">
        <v>200</v>
      </c>
      <c r="D2380" s="51" t="s">
        <v>81</v>
      </c>
      <c r="E2380">
        <f>VLOOKUP(M2380,'MASS - 2016'!$A$1:$G$3418,6,FALSE)</f>
        <v>-20370.755000000001</v>
      </c>
      <c r="F2380">
        <f>VLOOKUP(M2380,'MASS - 2016'!$A$1:$G$3418,7,FALSE)</f>
        <v>22.321000000000002</v>
      </c>
      <c r="G2380">
        <f t="shared" si="186"/>
        <v>-20370.755000000001</v>
      </c>
      <c r="H2380">
        <f t="shared" si="187"/>
        <v>199.97813109513748</v>
      </c>
      <c r="I2380">
        <f t="shared" si="188"/>
        <v>186.278441445</v>
      </c>
      <c r="J2380">
        <f t="shared" ref="J2380:J2443" si="190">1000*I2380-B2380*0.511</f>
        <v>186236.028445</v>
      </c>
      <c r="M2380">
        <f t="shared" si="189"/>
        <v>117083</v>
      </c>
    </row>
    <row r="2381" spans="1:13" x14ac:dyDescent="0.2">
      <c r="A2381">
        <v>116</v>
      </c>
      <c r="B2381">
        <v>84</v>
      </c>
      <c r="C2381">
        <v>200</v>
      </c>
      <c r="D2381" s="51" t="s">
        <v>82</v>
      </c>
      <c r="E2381">
        <f>VLOOKUP(M2381,'MASS - 2016'!$A$1:$G$3418,6,FALSE)</f>
        <v>-16941.760999999999</v>
      </c>
      <c r="F2381">
        <f>VLOOKUP(M2381,'MASS - 2016'!$A$1:$G$3418,7,FALSE)</f>
        <v>7.5789999999999997</v>
      </c>
      <c r="G2381">
        <f t="shared" si="186"/>
        <v>-16941.760999999999</v>
      </c>
      <c r="H2381">
        <f t="shared" si="187"/>
        <v>199.98181227158676</v>
      </c>
      <c r="I2381">
        <f t="shared" si="188"/>
        <v>186.28187043899999</v>
      </c>
      <c r="J2381">
        <f t="shared" si="190"/>
        <v>186238.94643899999</v>
      </c>
      <c r="M2381">
        <f t="shared" si="189"/>
        <v>116084</v>
      </c>
    </row>
    <row r="2382" spans="1:13" x14ac:dyDescent="0.2">
      <c r="A2382">
        <v>115</v>
      </c>
      <c r="B2382">
        <v>85</v>
      </c>
      <c r="C2382">
        <v>200</v>
      </c>
      <c r="D2382" s="51" t="s">
        <v>83</v>
      </c>
      <c r="E2382">
        <f>VLOOKUP(M2382,'MASS - 2016'!$A$1:$G$3418,6,FALSE)</f>
        <v>-8987.8919999999998</v>
      </c>
      <c r="F2382">
        <f>VLOOKUP(M2382,'MASS - 2016'!$A$1:$G$3418,7,FALSE)</f>
        <v>24.465</v>
      </c>
      <c r="G2382">
        <f t="shared" si="186"/>
        <v>-8987.8919999999998</v>
      </c>
      <c r="H2382">
        <f t="shared" si="187"/>
        <v>199.99035110112206</v>
      </c>
      <c r="I2382">
        <f t="shared" si="188"/>
        <v>186.28982430799999</v>
      </c>
      <c r="J2382">
        <f t="shared" si="190"/>
        <v>186246.38930799998</v>
      </c>
      <c r="M2382">
        <f t="shared" si="189"/>
        <v>115085</v>
      </c>
    </row>
    <row r="2383" spans="1:13" x14ac:dyDescent="0.2">
      <c r="A2383">
        <v>114</v>
      </c>
      <c r="B2383">
        <v>86</v>
      </c>
      <c r="C2383">
        <v>200</v>
      </c>
      <c r="D2383" s="51" t="s">
        <v>84</v>
      </c>
      <c r="E2383">
        <f>VLOOKUP(M2383,'MASS - 2016'!$A$1:$G$3418,6,FALSE)</f>
        <v>-4004.7649999999999</v>
      </c>
      <c r="F2383">
        <f>VLOOKUP(M2383,'MASS - 2016'!$A$1:$G$3418,7,FALSE)</f>
        <v>13.680999999999999</v>
      </c>
      <c r="G2383">
        <f t="shared" ref="G2383:G2446" si="191">IF(ISNUMBER(E2383),E2383,VALUE(SUBSTITUTE(E2383,"#",".01")))</f>
        <v>-4004.7649999999999</v>
      </c>
      <c r="H2383">
        <f t="shared" si="187"/>
        <v>199.9957007079619</v>
      </c>
      <c r="I2383">
        <f t="shared" si="188"/>
        <v>186.294807435</v>
      </c>
      <c r="J2383">
        <f t="shared" si="190"/>
        <v>186250.861435</v>
      </c>
      <c r="M2383">
        <f t="shared" si="189"/>
        <v>114086</v>
      </c>
    </row>
    <row r="2384" spans="1:13" x14ac:dyDescent="0.2">
      <c r="A2384">
        <v>113</v>
      </c>
      <c r="B2384">
        <v>87</v>
      </c>
      <c r="C2384">
        <v>200</v>
      </c>
      <c r="D2384" s="51" t="s">
        <v>85</v>
      </c>
      <c r="E2384">
        <f>VLOOKUP(M2384,'MASS - 2016'!$A$1:$G$3418,6,FALSE)</f>
        <v>6132.4979999999996</v>
      </c>
      <c r="F2384">
        <f>VLOOKUP(M2384,'MASS - 2016'!$A$1:$G$3418,7,FALSE)</f>
        <v>30.611000000000001</v>
      </c>
      <c r="G2384">
        <f t="shared" si="191"/>
        <v>6132.4979999999996</v>
      </c>
      <c r="H2384">
        <f t="shared" si="187"/>
        <v>200.00658350735313</v>
      </c>
      <c r="I2384">
        <f t="shared" si="188"/>
        <v>186.30494469799999</v>
      </c>
      <c r="J2384">
        <f t="shared" si="190"/>
        <v>186260.48769799998</v>
      </c>
      <c r="M2384">
        <f t="shared" si="189"/>
        <v>113087</v>
      </c>
    </row>
    <row r="2385" spans="1:13" x14ac:dyDescent="0.2">
      <c r="A2385">
        <v>123</v>
      </c>
      <c r="B2385">
        <v>78</v>
      </c>
      <c r="C2385">
        <v>201</v>
      </c>
      <c r="D2385" s="51" t="s">
        <v>76</v>
      </c>
      <c r="E2385">
        <f>VLOOKUP(M2385,'MASS - 2016'!$A$1:$G$3418,6,FALSE)</f>
        <v>-23740.714</v>
      </c>
      <c r="F2385">
        <f>VLOOKUP(M2385,'MASS - 2016'!$A$1:$G$3418,7,FALSE)</f>
        <v>50.103000000000002</v>
      </c>
      <c r="G2385">
        <f t="shared" si="191"/>
        <v>-23740.714</v>
      </c>
      <c r="H2385">
        <f t="shared" si="187"/>
        <v>200.9745132953671</v>
      </c>
      <c r="I2385">
        <f t="shared" si="188"/>
        <v>187.206565547</v>
      </c>
      <c r="J2385">
        <f t="shared" si="190"/>
        <v>187166.707547</v>
      </c>
      <c r="M2385">
        <f t="shared" si="189"/>
        <v>123078</v>
      </c>
    </row>
    <row r="2386" spans="1:13" x14ac:dyDescent="0.2">
      <c r="A2386">
        <v>122</v>
      </c>
      <c r="B2386">
        <v>79</v>
      </c>
      <c r="C2386">
        <v>201</v>
      </c>
      <c r="D2386" s="51" t="s">
        <v>77</v>
      </c>
      <c r="E2386">
        <f>VLOOKUP(M2386,'MASS - 2016'!$A$1:$G$3418,6,FALSE)</f>
        <v>-26400.714</v>
      </c>
      <c r="F2386">
        <f>VLOOKUP(M2386,'MASS - 2016'!$A$1:$G$3418,7,FALSE)</f>
        <v>3.218</v>
      </c>
      <c r="G2386">
        <f t="shared" si="191"/>
        <v>-26400.714</v>
      </c>
      <c r="H2386">
        <f t="shared" si="187"/>
        <v>200.97165766792796</v>
      </c>
      <c r="I2386">
        <f t="shared" si="188"/>
        <v>187.20390554700001</v>
      </c>
      <c r="J2386">
        <f t="shared" si="190"/>
        <v>187163.536547</v>
      </c>
      <c r="M2386">
        <f t="shared" si="189"/>
        <v>122079</v>
      </c>
    </row>
    <row r="2387" spans="1:13" x14ac:dyDescent="0.2">
      <c r="A2387">
        <v>121</v>
      </c>
      <c r="B2387">
        <v>80</v>
      </c>
      <c r="C2387">
        <v>201</v>
      </c>
      <c r="D2387" s="51" t="s">
        <v>78</v>
      </c>
      <c r="E2387">
        <f>VLOOKUP(M2387,'MASS - 2016'!$A$1:$G$3418,6,FALSE)</f>
        <v>-27662.542000000001</v>
      </c>
      <c r="F2387">
        <f>VLOOKUP(M2387,'MASS - 2016'!$A$1:$G$3418,7,FALSE)</f>
        <v>0.71099999999999997</v>
      </c>
      <c r="G2387">
        <f t="shared" si="191"/>
        <v>-27662.542000000001</v>
      </c>
      <c r="H2387">
        <f t="shared" si="187"/>
        <v>200.9703030398602</v>
      </c>
      <c r="I2387">
        <f t="shared" si="188"/>
        <v>187.20264371900001</v>
      </c>
      <c r="J2387">
        <f t="shared" si="190"/>
        <v>187161.76371900001</v>
      </c>
      <c r="M2387">
        <f t="shared" si="189"/>
        <v>121080</v>
      </c>
    </row>
    <row r="2388" spans="1:13" x14ac:dyDescent="0.2">
      <c r="A2388">
        <v>120</v>
      </c>
      <c r="B2388">
        <v>81</v>
      </c>
      <c r="C2388">
        <v>201</v>
      </c>
      <c r="D2388" s="51" t="s">
        <v>79</v>
      </c>
      <c r="E2388">
        <f>VLOOKUP(M2388,'MASS - 2016'!$A$1:$G$3418,6,FALSE)</f>
        <v>-27180.838</v>
      </c>
      <c r="F2388">
        <f>VLOOKUP(M2388,'MASS - 2016'!$A$1:$G$3418,7,FALSE)</f>
        <v>14.185</v>
      </c>
      <c r="G2388">
        <f t="shared" si="191"/>
        <v>-27180.838</v>
      </c>
      <c r="H2388">
        <f t="shared" si="187"/>
        <v>200.97082017037147</v>
      </c>
      <c r="I2388">
        <f t="shared" si="188"/>
        <v>187.20312542300002</v>
      </c>
      <c r="J2388">
        <f t="shared" si="190"/>
        <v>187161.73442300002</v>
      </c>
      <c r="M2388">
        <f t="shared" si="189"/>
        <v>120081</v>
      </c>
    </row>
    <row r="2389" spans="1:13" x14ac:dyDescent="0.2">
      <c r="A2389">
        <v>119</v>
      </c>
      <c r="B2389">
        <v>82</v>
      </c>
      <c r="C2389">
        <v>201</v>
      </c>
      <c r="D2389" s="51" t="s">
        <v>80</v>
      </c>
      <c r="E2389">
        <f>VLOOKUP(M2389,'MASS - 2016'!$A$1:$G$3418,6,FALSE)</f>
        <v>-25271.036</v>
      </c>
      <c r="F2389">
        <f>VLOOKUP(M2389,'MASS - 2016'!$A$1:$G$3418,7,FALSE)</f>
        <v>13.747</v>
      </c>
      <c r="G2389">
        <f t="shared" si="191"/>
        <v>-25271.036</v>
      </c>
      <c r="H2389">
        <f t="shared" si="187"/>
        <v>200.97287042713631</v>
      </c>
      <c r="I2389">
        <f t="shared" si="188"/>
        <v>187.20503522500002</v>
      </c>
      <c r="J2389">
        <f t="shared" si="190"/>
        <v>187163.13322500003</v>
      </c>
      <c r="M2389">
        <f t="shared" si="189"/>
        <v>119082</v>
      </c>
    </row>
    <row r="2390" spans="1:13" x14ac:dyDescent="0.2">
      <c r="A2390">
        <v>118</v>
      </c>
      <c r="B2390">
        <v>83</v>
      </c>
      <c r="C2390">
        <v>201</v>
      </c>
      <c r="D2390" s="51" t="s">
        <v>81</v>
      </c>
      <c r="E2390">
        <f>VLOOKUP(M2390,'MASS - 2016'!$A$1:$G$3418,6,FALSE)</f>
        <v>-21416.433000000001</v>
      </c>
      <c r="F2390">
        <f>VLOOKUP(M2390,'MASS - 2016'!$A$1:$G$3418,7,FALSE)</f>
        <v>15.183</v>
      </c>
      <c r="G2390">
        <f t="shared" si="191"/>
        <v>-21416.433000000001</v>
      </c>
      <c r="H2390">
        <f t="shared" si="187"/>
        <v>200.97700851363774</v>
      </c>
      <c r="I2390">
        <f t="shared" si="188"/>
        <v>187.208889828</v>
      </c>
      <c r="J2390">
        <f t="shared" si="190"/>
        <v>187166.47682799998</v>
      </c>
      <c r="M2390">
        <f t="shared" si="189"/>
        <v>118083</v>
      </c>
    </row>
    <row r="2391" spans="1:13" x14ac:dyDescent="0.2">
      <c r="A2391">
        <v>117</v>
      </c>
      <c r="B2391">
        <v>84</v>
      </c>
      <c r="C2391">
        <v>201</v>
      </c>
      <c r="D2391" s="51" t="s">
        <v>82</v>
      </c>
      <c r="E2391">
        <f>VLOOKUP(M2391,'MASS - 2016'!$A$1:$G$3418,6,FALSE)</f>
        <v>-16521.185000000001</v>
      </c>
      <c r="F2391">
        <f>VLOOKUP(M2391,'MASS - 2016'!$A$1:$G$3418,7,FALSE)</f>
        <v>4.9420000000000002</v>
      </c>
      <c r="G2391">
        <f t="shared" si="191"/>
        <v>-16521.185000000001</v>
      </c>
      <c r="H2391">
        <f t="shared" si="187"/>
        <v>200.98226377849124</v>
      </c>
      <c r="I2391">
        <f t="shared" si="188"/>
        <v>187.21378507600002</v>
      </c>
      <c r="J2391">
        <f t="shared" si="190"/>
        <v>187170.86107600003</v>
      </c>
      <c r="M2391">
        <f t="shared" si="189"/>
        <v>117084</v>
      </c>
    </row>
    <row r="2392" spans="1:13" x14ac:dyDescent="0.2">
      <c r="A2392">
        <v>116</v>
      </c>
      <c r="B2392">
        <v>85</v>
      </c>
      <c r="C2392">
        <v>201</v>
      </c>
      <c r="D2392" s="51" t="s">
        <v>83</v>
      </c>
      <c r="E2392">
        <f>VLOOKUP(M2392,'MASS - 2016'!$A$1:$G$3418,6,FALSE)</f>
        <v>-10789.438</v>
      </c>
      <c r="F2392">
        <f>VLOOKUP(M2392,'MASS - 2016'!$A$1:$G$3418,7,FALSE)</f>
        <v>8.1839999999999993</v>
      </c>
      <c r="G2392">
        <f t="shared" si="191"/>
        <v>-10789.438</v>
      </c>
      <c r="H2392">
        <f t="shared" si="187"/>
        <v>200.9884170619527</v>
      </c>
      <c r="I2392">
        <f t="shared" si="188"/>
        <v>187.21951682300002</v>
      </c>
      <c r="J2392">
        <f t="shared" si="190"/>
        <v>187176.08182300001</v>
      </c>
      <c r="M2392">
        <f t="shared" si="189"/>
        <v>116085</v>
      </c>
    </row>
    <row r="2393" spans="1:13" x14ac:dyDescent="0.2">
      <c r="A2393">
        <v>115</v>
      </c>
      <c r="B2393">
        <v>86</v>
      </c>
      <c r="C2393">
        <v>201</v>
      </c>
      <c r="D2393" s="51" t="s">
        <v>84</v>
      </c>
      <c r="E2393">
        <f>VLOOKUP(M2393,'MASS - 2016'!$A$1:$G$3418,6,FALSE)</f>
        <v>-4072.3240000000001</v>
      </c>
      <c r="F2393">
        <f>VLOOKUP(M2393,'MASS - 2016'!$A$1:$G$3418,7,FALSE)</f>
        <v>49.731999999999999</v>
      </c>
      <c r="G2393">
        <f t="shared" si="191"/>
        <v>-4072.3240000000001</v>
      </c>
      <c r="H2393">
        <f t="shared" si="187"/>
        <v>200.99562818039269</v>
      </c>
      <c r="I2393">
        <f t="shared" si="188"/>
        <v>187.22623393700002</v>
      </c>
      <c r="J2393">
        <f t="shared" si="190"/>
        <v>187182.28793700002</v>
      </c>
      <c r="M2393">
        <f t="shared" si="189"/>
        <v>115086</v>
      </c>
    </row>
    <row r="2394" spans="1:13" x14ac:dyDescent="0.2">
      <c r="A2394">
        <v>114</v>
      </c>
      <c r="B2394">
        <v>87</v>
      </c>
      <c r="C2394">
        <v>201</v>
      </c>
      <c r="D2394" s="51" t="s">
        <v>85</v>
      </c>
      <c r="E2394">
        <f>VLOOKUP(M2394,'MASS - 2016'!$A$1:$G$3418,6,FALSE)</f>
        <v>3588.5770000000002</v>
      </c>
      <c r="F2394">
        <f>VLOOKUP(M2394,'MASS - 2016'!$A$1:$G$3418,7,FALSE)</f>
        <v>9.08</v>
      </c>
      <c r="G2394">
        <f t="shared" si="191"/>
        <v>3588.5770000000002</v>
      </c>
      <c r="H2394">
        <f t="shared" si="187"/>
        <v>201.00385249584539</v>
      </c>
      <c r="I2394">
        <f t="shared" si="188"/>
        <v>187.233894838</v>
      </c>
      <c r="J2394">
        <f t="shared" si="190"/>
        <v>187189.43783800001</v>
      </c>
      <c r="M2394">
        <f t="shared" si="189"/>
        <v>114087</v>
      </c>
    </row>
    <row r="2395" spans="1:13" x14ac:dyDescent="0.2">
      <c r="A2395">
        <v>124</v>
      </c>
      <c r="B2395">
        <v>78</v>
      </c>
      <c r="C2395">
        <v>202</v>
      </c>
      <c r="D2395" s="51" t="s">
        <v>76</v>
      </c>
      <c r="E2395">
        <f>VLOOKUP(M2395,'MASS - 2016'!$A$1:$G$3418,6,FALSE)</f>
        <v>-22692.125</v>
      </c>
      <c r="F2395">
        <f>VLOOKUP(M2395,'MASS - 2016'!$A$1:$G$3418,7,FALSE)</f>
        <v>25.15</v>
      </c>
      <c r="G2395">
        <f t="shared" si="191"/>
        <v>-22692.125</v>
      </c>
      <c r="H2395">
        <f t="shared" si="187"/>
        <v>201.97563900195388</v>
      </c>
      <c r="I2395">
        <f t="shared" si="188"/>
        <v>188.13910819700001</v>
      </c>
      <c r="J2395">
        <f t="shared" si="190"/>
        <v>188099.25019700002</v>
      </c>
      <c r="M2395">
        <f t="shared" si="189"/>
        <v>124078</v>
      </c>
    </row>
    <row r="2396" spans="1:13" x14ac:dyDescent="0.2">
      <c r="A2396">
        <v>123</v>
      </c>
      <c r="B2396">
        <v>79</v>
      </c>
      <c r="C2396">
        <v>202</v>
      </c>
      <c r="D2396" s="51" t="s">
        <v>77</v>
      </c>
      <c r="E2396">
        <f>VLOOKUP(M2396,'MASS - 2016'!$A$1:$G$3418,6,FALSE)</f>
        <v>-24352.978999999999</v>
      </c>
      <c r="F2396">
        <f>VLOOKUP(M2396,'MASS - 2016'!$A$1:$G$3418,7,FALSE)</f>
        <v>23.286999999999999</v>
      </c>
      <c r="G2396">
        <f t="shared" si="191"/>
        <v>-24352.978999999999</v>
      </c>
      <c r="H2396">
        <f t="shared" si="187"/>
        <v>201.97385600185805</v>
      </c>
      <c r="I2396">
        <f t="shared" si="188"/>
        <v>188.13744734299999</v>
      </c>
      <c r="J2396">
        <f t="shared" si="190"/>
        <v>188097.07834299997</v>
      </c>
      <c r="M2396">
        <f t="shared" si="189"/>
        <v>123079</v>
      </c>
    </row>
    <row r="2397" spans="1:13" x14ac:dyDescent="0.2">
      <c r="A2397">
        <v>122</v>
      </c>
      <c r="B2397">
        <v>80</v>
      </c>
      <c r="C2397">
        <v>202</v>
      </c>
      <c r="D2397" s="51" t="s">
        <v>78</v>
      </c>
      <c r="E2397">
        <f>VLOOKUP(M2397,'MASS - 2016'!$A$1:$G$3418,6,FALSE)</f>
        <v>-27345.324000000001</v>
      </c>
      <c r="F2397">
        <f>VLOOKUP(M2397,'MASS - 2016'!$A$1:$G$3418,7,FALSE)</f>
        <v>0.70499999999999996</v>
      </c>
      <c r="G2397">
        <f t="shared" si="191"/>
        <v>-27345.324000000001</v>
      </c>
      <c r="H2397">
        <f t="shared" si="187"/>
        <v>201.97064358738837</v>
      </c>
      <c r="I2397">
        <f t="shared" si="188"/>
        <v>188.134454998</v>
      </c>
      <c r="J2397">
        <f t="shared" si="190"/>
        <v>188093.574998</v>
      </c>
      <c r="M2397">
        <f t="shared" si="189"/>
        <v>122080</v>
      </c>
    </row>
    <row r="2398" spans="1:13" x14ac:dyDescent="0.2">
      <c r="A2398">
        <v>121</v>
      </c>
      <c r="B2398">
        <v>81</v>
      </c>
      <c r="C2398">
        <v>202</v>
      </c>
      <c r="D2398" s="51" t="s">
        <v>79</v>
      </c>
      <c r="E2398">
        <f>VLOOKUP(M2398,'MASS - 2016'!$A$1:$G$3418,6,FALSE)</f>
        <v>-25980.216</v>
      </c>
      <c r="F2398">
        <f>VLOOKUP(M2398,'MASS - 2016'!$A$1:$G$3418,7,FALSE)</f>
        <v>1.6060000000000001</v>
      </c>
      <c r="G2398">
        <f t="shared" si="191"/>
        <v>-25980.216</v>
      </c>
      <c r="H2398">
        <f t="shared" si="187"/>
        <v>201.97210909109597</v>
      </c>
      <c r="I2398">
        <f t="shared" si="188"/>
        <v>188.13582010600001</v>
      </c>
      <c r="J2398">
        <f t="shared" si="190"/>
        <v>188094.429106</v>
      </c>
      <c r="M2398">
        <f t="shared" si="189"/>
        <v>121081</v>
      </c>
    </row>
    <row r="2399" spans="1:13" x14ac:dyDescent="0.2">
      <c r="A2399">
        <v>120</v>
      </c>
      <c r="B2399">
        <v>82</v>
      </c>
      <c r="C2399">
        <v>202</v>
      </c>
      <c r="D2399" s="51" t="s">
        <v>80</v>
      </c>
      <c r="E2399">
        <f>VLOOKUP(M2399,'MASS - 2016'!$A$1:$G$3418,6,FALSE)</f>
        <v>-25940.614000000001</v>
      </c>
      <c r="F2399">
        <f>VLOOKUP(M2399,'MASS - 2016'!$A$1:$G$3418,7,FALSE)</f>
        <v>3.7959999999999998</v>
      </c>
      <c r="G2399">
        <f t="shared" si="191"/>
        <v>-25940.614000000001</v>
      </c>
      <c r="H2399">
        <f t="shared" si="187"/>
        <v>201.97215160559139</v>
      </c>
      <c r="I2399">
        <f t="shared" si="188"/>
        <v>188.135859708</v>
      </c>
      <c r="J2399">
        <f t="shared" si="190"/>
        <v>188093.957708</v>
      </c>
      <c r="M2399">
        <f t="shared" si="189"/>
        <v>120082</v>
      </c>
    </row>
    <row r="2400" spans="1:13" x14ac:dyDescent="0.2">
      <c r="A2400">
        <v>119</v>
      </c>
      <c r="B2400">
        <v>83</v>
      </c>
      <c r="C2400">
        <v>202</v>
      </c>
      <c r="D2400" s="51" t="s">
        <v>81</v>
      </c>
      <c r="E2400">
        <f>VLOOKUP(M2400,'MASS - 2016'!$A$1:$G$3418,6,FALSE)</f>
        <v>-20741.484</v>
      </c>
      <c r="F2400">
        <f>VLOOKUP(M2400,'MASS - 2016'!$A$1:$G$3418,7,FALSE)</f>
        <v>15.396000000000001</v>
      </c>
      <c r="G2400">
        <f t="shared" si="191"/>
        <v>-20741.484</v>
      </c>
      <c r="H2400">
        <f t="shared" si="187"/>
        <v>201.97773310118828</v>
      </c>
      <c r="I2400">
        <f t="shared" si="188"/>
        <v>188.14105883799999</v>
      </c>
      <c r="J2400">
        <f t="shared" si="190"/>
        <v>188098.645838</v>
      </c>
      <c r="M2400">
        <f t="shared" si="189"/>
        <v>119083</v>
      </c>
    </row>
    <row r="2401" spans="1:13" x14ac:dyDescent="0.2">
      <c r="A2401">
        <v>118</v>
      </c>
      <c r="B2401">
        <v>84</v>
      </c>
      <c r="C2401">
        <v>202</v>
      </c>
      <c r="D2401" s="51" t="s">
        <v>82</v>
      </c>
      <c r="E2401">
        <f>VLOOKUP(M2401,'MASS - 2016'!$A$1:$G$3418,6,FALSE)</f>
        <v>-17941.616000000002</v>
      </c>
      <c r="F2401">
        <f>VLOOKUP(M2401,'MASS - 2016'!$A$1:$G$3418,7,FALSE)</f>
        <v>8.67</v>
      </c>
      <c r="G2401">
        <f t="shared" si="191"/>
        <v>-17941.616000000002</v>
      </c>
      <c r="H2401">
        <f t="shared" si="187"/>
        <v>201.98073888310063</v>
      </c>
      <c r="I2401">
        <f t="shared" si="188"/>
        <v>188.143858706</v>
      </c>
      <c r="J2401">
        <f t="shared" si="190"/>
        <v>188100.934706</v>
      </c>
      <c r="M2401">
        <f t="shared" si="189"/>
        <v>118084</v>
      </c>
    </row>
    <row r="2402" spans="1:13" x14ac:dyDescent="0.2">
      <c r="A2402">
        <v>117</v>
      </c>
      <c r="B2402">
        <v>85</v>
      </c>
      <c r="C2402">
        <v>202</v>
      </c>
      <c r="D2402" s="51" t="s">
        <v>83</v>
      </c>
      <c r="E2402">
        <f>VLOOKUP(M2402,'MASS - 2016'!$A$1:$G$3418,6,FALSE)</f>
        <v>-10590.732</v>
      </c>
      <c r="F2402">
        <f>VLOOKUP(M2402,'MASS - 2016'!$A$1:$G$3418,7,FALSE)</f>
        <v>27.977</v>
      </c>
      <c r="G2402">
        <f t="shared" si="191"/>
        <v>-10590.732</v>
      </c>
      <c r="H2402">
        <f t="shared" si="187"/>
        <v>201.98863038161659</v>
      </c>
      <c r="I2402">
        <f t="shared" si="188"/>
        <v>188.15120959000001</v>
      </c>
      <c r="J2402">
        <f t="shared" si="190"/>
        <v>188107.77459000002</v>
      </c>
      <c r="M2402">
        <f t="shared" si="189"/>
        <v>117085</v>
      </c>
    </row>
    <row r="2403" spans="1:13" x14ac:dyDescent="0.2">
      <c r="A2403">
        <v>116</v>
      </c>
      <c r="B2403">
        <v>86</v>
      </c>
      <c r="C2403">
        <v>202</v>
      </c>
      <c r="D2403" s="51" t="s">
        <v>84</v>
      </c>
      <c r="E2403">
        <f>VLOOKUP(M2403,'MASS - 2016'!$A$1:$G$3418,6,FALSE)</f>
        <v>-6274.6350000000002</v>
      </c>
      <c r="F2403">
        <f>VLOOKUP(M2403,'MASS - 2016'!$A$1:$G$3418,7,FALSE)</f>
        <v>17.52</v>
      </c>
      <c r="G2403">
        <f t="shared" si="191"/>
        <v>-6274.6350000000002</v>
      </c>
      <c r="H2403">
        <f t="shared" si="187"/>
        <v>201.993263902302</v>
      </c>
      <c r="I2403">
        <f t="shared" si="188"/>
        <v>188.15552568699999</v>
      </c>
      <c r="J2403">
        <f t="shared" si="190"/>
        <v>188111.57968699999</v>
      </c>
      <c r="M2403">
        <f t="shared" si="189"/>
        <v>116086</v>
      </c>
    </row>
    <row r="2404" spans="1:13" x14ac:dyDescent="0.2">
      <c r="A2404">
        <v>115</v>
      </c>
      <c r="B2404">
        <v>87</v>
      </c>
      <c r="C2404">
        <v>202</v>
      </c>
      <c r="D2404" s="51" t="s">
        <v>85</v>
      </c>
      <c r="E2404">
        <f>VLOOKUP(M2404,'MASS - 2016'!$A$1:$G$3418,6,FALSE)</f>
        <v>3096.2370000000001</v>
      </c>
      <c r="F2404">
        <f>VLOOKUP(M2404,'MASS - 2016'!$A$1:$G$3418,7,FALSE)</f>
        <v>7.04</v>
      </c>
      <c r="G2404">
        <f t="shared" si="191"/>
        <v>3096.2370000000001</v>
      </c>
      <c r="H2404">
        <f t="shared" si="187"/>
        <v>202.00332394711853</v>
      </c>
      <c r="I2404">
        <f t="shared" si="188"/>
        <v>188.164896559</v>
      </c>
      <c r="J2404">
        <f t="shared" si="190"/>
        <v>188120.43955899999</v>
      </c>
      <c r="M2404">
        <f t="shared" si="189"/>
        <v>115087</v>
      </c>
    </row>
    <row r="2405" spans="1:13" x14ac:dyDescent="0.2">
      <c r="A2405">
        <v>124</v>
      </c>
      <c r="B2405">
        <v>79</v>
      </c>
      <c r="C2405">
        <v>203</v>
      </c>
      <c r="D2405" s="51" t="s">
        <v>77</v>
      </c>
      <c r="E2405">
        <f>VLOOKUP(M2405,'MASS - 2016'!$A$1:$G$3418,6,FALSE)</f>
        <v>-23143.436000000002</v>
      </c>
      <c r="F2405">
        <f>VLOOKUP(M2405,'MASS - 2016'!$A$1:$G$3418,7,FALSE)</f>
        <v>3.0830000000000002</v>
      </c>
      <c r="G2405">
        <f t="shared" si="191"/>
        <v>-23143.436000000002</v>
      </c>
      <c r="H2405">
        <f t="shared" si="187"/>
        <v>202.97515449966997</v>
      </c>
      <c r="I2405">
        <f t="shared" si="188"/>
        <v>189.070150947</v>
      </c>
      <c r="J2405">
        <f t="shared" si="190"/>
        <v>189029.78194700001</v>
      </c>
      <c r="M2405">
        <f t="shared" si="189"/>
        <v>124079</v>
      </c>
    </row>
    <row r="2406" spans="1:13" x14ac:dyDescent="0.2">
      <c r="A2406">
        <v>123</v>
      </c>
      <c r="B2406">
        <v>80</v>
      </c>
      <c r="C2406">
        <v>203</v>
      </c>
      <c r="D2406" s="51" t="s">
        <v>78</v>
      </c>
      <c r="E2406">
        <f>VLOOKUP(M2406,'MASS - 2016'!$A$1:$G$3418,6,FALSE)</f>
        <v>-25269.264999999999</v>
      </c>
      <c r="F2406">
        <f>VLOOKUP(M2406,'MASS - 2016'!$A$1:$G$3418,7,FALSE)</f>
        <v>1.627</v>
      </c>
      <c r="G2406">
        <f t="shared" si="191"/>
        <v>-25269.264999999999</v>
      </c>
      <c r="H2406">
        <f t="shared" si="187"/>
        <v>202.972872328383</v>
      </c>
      <c r="I2406">
        <f t="shared" si="188"/>
        <v>189.06802511800001</v>
      </c>
      <c r="J2406">
        <f t="shared" si="190"/>
        <v>189027.14511800001</v>
      </c>
      <c r="M2406">
        <f t="shared" si="189"/>
        <v>123080</v>
      </c>
    </row>
    <row r="2407" spans="1:13" x14ac:dyDescent="0.2">
      <c r="A2407">
        <v>122</v>
      </c>
      <c r="B2407">
        <v>81</v>
      </c>
      <c r="C2407">
        <v>203</v>
      </c>
      <c r="D2407" s="51" t="s">
        <v>79</v>
      </c>
      <c r="E2407">
        <f>VLOOKUP(M2407,'MASS - 2016'!$A$1:$G$3418,6,FALSE)</f>
        <v>-25761.377</v>
      </c>
      <c r="F2407">
        <f>VLOOKUP(M2407,'MASS - 2016'!$A$1:$G$3418,7,FALSE)</f>
        <v>1.1659999999999999</v>
      </c>
      <c r="G2407">
        <f t="shared" si="191"/>
        <v>-25761.377</v>
      </c>
      <c r="H2407">
        <f t="shared" si="187"/>
        <v>202.97234402442422</v>
      </c>
      <c r="I2407">
        <f t="shared" si="188"/>
        <v>189.06753300599999</v>
      </c>
      <c r="J2407">
        <f t="shared" si="190"/>
        <v>189026.14200599998</v>
      </c>
      <c r="M2407">
        <f t="shared" si="189"/>
        <v>122081</v>
      </c>
    </row>
    <row r="2408" spans="1:13" x14ac:dyDescent="0.2">
      <c r="A2408">
        <v>121</v>
      </c>
      <c r="B2408">
        <v>82</v>
      </c>
      <c r="C2408">
        <v>203</v>
      </c>
      <c r="D2408" s="51" t="s">
        <v>80</v>
      </c>
      <c r="E2408">
        <f>VLOOKUP(M2408,'MASS - 2016'!$A$1:$G$3418,6,FALSE)</f>
        <v>-24786.557000000001</v>
      </c>
      <c r="F2408">
        <f>VLOOKUP(M2408,'MASS - 2016'!$A$1:$G$3418,7,FALSE)</f>
        <v>6.5540000000000003</v>
      </c>
      <c r="G2408">
        <f t="shared" si="191"/>
        <v>-24786.557000000001</v>
      </c>
      <c r="H2408">
        <f t="shared" si="187"/>
        <v>202.97339053673258</v>
      </c>
      <c r="I2408">
        <f t="shared" si="188"/>
        <v>189.068507826</v>
      </c>
      <c r="J2408">
        <f t="shared" si="190"/>
        <v>189026.60582600001</v>
      </c>
      <c r="M2408">
        <f t="shared" si="189"/>
        <v>121082</v>
      </c>
    </row>
    <row r="2409" spans="1:13" x14ac:dyDescent="0.2">
      <c r="A2409">
        <v>120</v>
      </c>
      <c r="B2409">
        <v>83</v>
      </c>
      <c r="C2409">
        <v>203</v>
      </c>
      <c r="D2409" s="51" t="s">
        <v>81</v>
      </c>
      <c r="E2409">
        <f>VLOOKUP(M2409,'MASS - 2016'!$A$1:$G$3418,6,FALSE)</f>
        <v>-21524.827000000001</v>
      </c>
      <c r="F2409">
        <f>VLOOKUP(M2409,'MASS - 2016'!$A$1:$G$3418,7,FALSE)</f>
        <v>12.778</v>
      </c>
      <c r="G2409">
        <f t="shared" si="191"/>
        <v>-21524.827000000001</v>
      </c>
      <c r="H2409">
        <f t="shared" si="187"/>
        <v>202.97689214789315</v>
      </c>
      <c r="I2409">
        <f t="shared" si="188"/>
        <v>189.07176955599999</v>
      </c>
      <c r="J2409">
        <f t="shared" si="190"/>
        <v>189029.35655599998</v>
      </c>
      <c r="M2409">
        <f t="shared" si="189"/>
        <v>120083</v>
      </c>
    </row>
    <row r="2410" spans="1:13" x14ac:dyDescent="0.2">
      <c r="A2410">
        <v>119</v>
      </c>
      <c r="B2410">
        <v>84</v>
      </c>
      <c r="C2410">
        <v>203</v>
      </c>
      <c r="D2410" s="51" t="s">
        <v>82</v>
      </c>
      <c r="E2410">
        <f>VLOOKUP(M2410,'MASS - 2016'!$A$1:$G$3418,6,FALSE)</f>
        <v>-17310.888999999999</v>
      </c>
      <c r="F2410">
        <f>VLOOKUP(M2410,'MASS - 2016'!$A$1:$G$3418,7,FALSE)</f>
        <v>8.6549999999999994</v>
      </c>
      <c r="G2410">
        <f t="shared" si="191"/>
        <v>-17310.888999999999</v>
      </c>
      <c r="H2410">
        <f t="shared" si="187"/>
        <v>202.98141599638177</v>
      </c>
      <c r="I2410">
        <f t="shared" si="188"/>
        <v>189.07598349400001</v>
      </c>
      <c r="J2410">
        <f t="shared" si="190"/>
        <v>189033.05949400002</v>
      </c>
      <c r="M2410">
        <f t="shared" si="189"/>
        <v>119084</v>
      </c>
    </row>
    <row r="2411" spans="1:13" x14ac:dyDescent="0.2">
      <c r="A2411">
        <v>118</v>
      </c>
      <c r="B2411">
        <v>85</v>
      </c>
      <c r="C2411">
        <v>203</v>
      </c>
      <c r="D2411" s="51" t="s">
        <v>83</v>
      </c>
      <c r="E2411">
        <f>VLOOKUP(M2411,'MASS - 2016'!$A$1:$G$3418,6,FALSE)</f>
        <v>-12162.557000000001</v>
      </c>
      <c r="F2411">
        <f>VLOOKUP(M2411,'MASS - 2016'!$A$1:$G$3418,7,FALSE)</f>
        <v>10.576000000000001</v>
      </c>
      <c r="G2411">
        <f t="shared" si="191"/>
        <v>-12162.557000000001</v>
      </c>
      <c r="H2411">
        <f t="shared" si="187"/>
        <v>202.98694295808289</v>
      </c>
      <c r="I2411">
        <f t="shared" si="188"/>
        <v>189.08113182599999</v>
      </c>
      <c r="J2411">
        <f t="shared" si="190"/>
        <v>189037.696826</v>
      </c>
      <c r="M2411">
        <f t="shared" si="189"/>
        <v>118085</v>
      </c>
    </row>
    <row r="2412" spans="1:13" x14ac:dyDescent="0.2">
      <c r="A2412">
        <v>117</v>
      </c>
      <c r="B2412">
        <v>86</v>
      </c>
      <c r="C2412">
        <v>203</v>
      </c>
      <c r="D2412" s="51" t="s">
        <v>84</v>
      </c>
      <c r="E2412">
        <f>VLOOKUP(M2412,'MASS - 2016'!$A$1:$G$3418,6,FALSE)</f>
        <v>-6153.6989999999996</v>
      </c>
      <c r="F2412">
        <f>VLOOKUP(M2412,'MASS - 2016'!$A$1:$G$3418,7,FALSE)</f>
        <v>18.178999999999998</v>
      </c>
      <c r="G2412">
        <f t="shared" si="191"/>
        <v>-6153.6989999999996</v>
      </c>
      <c r="H2412">
        <f t="shared" si="187"/>
        <v>202.99339373243734</v>
      </c>
      <c r="I2412">
        <f t="shared" si="188"/>
        <v>189.08714068399999</v>
      </c>
      <c r="J2412">
        <f t="shared" si="190"/>
        <v>189043.19468399999</v>
      </c>
      <c r="M2412">
        <f t="shared" si="189"/>
        <v>117086</v>
      </c>
    </row>
    <row r="2413" spans="1:13" x14ac:dyDescent="0.2">
      <c r="A2413">
        <v>116</v>
      </c>
      <c r="B2413">
        <v>87</v>
      </c>
      <c r="C2413">
        <v>203</v>
      </c>
      <c r="D2413" s="51" t="s">
        <v>85</v>
      </c>
      <c r="E2413">
        <f>VLOOKUP(M2413,'MASS - 2016'!$A$1:$G$3418,6,FALSE)</f>
        <v>876.41700000000003</v>
      </c>
      <c r="F2413">
        <f>VLOOKUP(M2413,'MASS - 2016'!$A$1:$G$3418,7,FALSE)</f>
        <v>6.2320000000000002</v>
      </c>
      <c r="G2413">
        <f t="shared" si="191"/>
        <v>876.41700000000003</v>
      </c>
      <c r="H2413">
        <f t="shared" si="187"/>
        <v>203.00094087234336</v>
      </c>
      <c r="I2413">
        <f t="shared" si="188"/>
        <v>189.0941708</v>
      </c>
      <c r="J2413">
        <f t="shared" si="190"/>
        <v>189049.7138</v>
      </c>
      <c r="M2413">
        <f t="shared" si="189"/>
        <v>116087</v>
      </c>
    </row>
    <row r="2414" spans="1:13" x14ac:dyDescent="0.2">
      <c r="A2414">
        <v>115</v>
      </c>
      <c r="B2414">
        <v>88</v>
      </c>
      <c r="C2414">
        <v>203</v>
      </c>
      <c r="D2414" s="51" t="s">
        <v>86</v>
      </c>
      <c r="E2414">
        <f>VLOOKUP(M2414,'MASS - 2016'!$A$1:$G$3418,6,FALSE)</f>
        <v>8661.7260000000006</v>
      </c>
      <c r="F2414">
        <f>VLOOKUP(M2414,'MASS - 2016'!$A$1:$G$3418,7,FALSE)</f>
        <v>38.124000000000002</v>
      </c>
      <c r="G2414">
        <f t="shared" si="191"/>
        <v>8661.7260000000006</v>
      </c>
      <c r="H2414">
        <f t="shared" si="187"/>
        <v>203.00929874527671</v>
      </c>
      <c r="I2414">
        <f t="shared" si="188"/>
        <v>189.10195610900001</v>
      </c>
      <c r="J2414">
        <f t="shared" si="190"/>
        <v>189056.98810900003</v>
      </c>
      <c r="M2414">
        <f t="shared" si="189"/>
        <v>115088</v>
      </c>
    </row>
    <row r="2415" spans="1:13" x14ac:dyDescent="0.2">
      <c r="A2415">
        <v>125</v>
      </c>
      <c r="B2415">
        <v>79</v>
      </c>
      <c r="C2415">
        <v>204</v>
      </c>
      <c r="D2415" s="51" t="s">
        <v>77</v>
      </c>
      <c r="E2415" t="str">
        <f>VLOOKUP(M2415,'MASS - 2016'!$A$1:$G$3418,6,FALSE)</f>
        <v>-20650#</v>
      </c>
      <c r="F2415" t="str">
        <f>VLOOKUP(M2415,'MASS - 2016'!$A$1:$G$3418,7,FALSE)</f>
        <v>200#</v>
      </c>
      <c r="G2415">
        <f t="shared" si="191"/>
        <v>-20650.009999999998</v>
      </c>
      <c r="H2415">
        <f t="shared" si="187"/>
        <v>203.97783130256587</v>
      </c>
      <c r="I2415">
        <f t="shared" si="188"/>
        <v>190.004138434</v>
      </c>
      <c r="J2415">
        <f t="shared" si="190"/>
        <v>189963.76943399999</v>
      </c>
      <c r="M2415">
        <f t="shared" si="189"/>
        <v>125079</v>
      </c>
    </row>
    <row r="2416" spans="1:13" x14ac:dyDescent="0.2">
      <c r="A2416">
        <v>124</v>
      </c>
      <c r="B2416">
        <v>80</v>
      </c>
      <c r="C2416">
        <v>204</v>
      </c>
      <c r="D2416" s="51" t="s">
        <v>78</v>
      </c>
      <c r="E2416">
        <f>VLOOKUP(M2416,'MASS - 2016'!$A$1:$G$3418,6,FALSE)</f>
        <v>-24690.145</v>
      </c>
      <c r="F2416">
        <f>VLOOKUP(M2416,'MASS - 2016'!$A$1:$G$3418,7,FALSE)</f>
        <v>0.498</v>
      </c>
      <c r="G2416">
        <f t="shared" si="191"/>
        <v>-24690.145</v>
      </c>
      <c r="H2416">
        <f t="shared" si="187"/>
        <v>203.97349403927117</v>
      </c>
      <c r="I2416">
        <f t="shared" si="188"/>
        <v>190.000098299</v>
      </c>
      <c r="J2416">
        <f t="shared" si="190"/>
        <v>189959.218299</v>
      </c>
      <c r="M2416">
        <f t="shared" si="189"/>
        <v>124080</v>
      </c>
    </row>
    <row r="2417" spans="1:13" x14ac:dyDescent="0.2">
      <c r="A2417">
        <v>123</v>
      </c>
      <c r="B2417">
        <v>81</v>
      </c>
      <c r="C2417">
        <v>204</v>
      </c>
      <c r="D2417" s="51" t="s">
        <v>79</v>
      </c>
      <c r="E2417">
        <f>VLOOKUP(M2417,'MASS - 2016'!$A$1:$G$3418,6,FALSE)</f>
        <v>-24346.145</v>
      </c>
      <c r="F2417">
        <f>VLOOKUP(M2417,'MASS - 2016'!$A$1:$G$3418,7,FALSE)</f>
        <v>1.1519999999999999</v>
      </c>
      <c r="G2417">
        <f t="shared" si="191"/>
        <v>-24346.145</v>
      </c>
      <c r="H2417">
        <f t="shared" si="187"/>
        <v>203.97386333845878</v>
      </c>
      <c r="I2417">
        <f t="shared" si="188"/>
        <v>190.00044229899999</v>
      </c>
      <c r="J2417">
        <f t="shared" si="190"/>
        <v>189959.05129899998</v>
      </c>
      <c r="M2417">
        <f t="shared" si="189"/>
        <v>123081</v>
      </c>
    </row>
    <row r="2418" spans="1:13" x14ac:dyDescent="0.2">
      <c r="A2418">
        <v>122</v>
      </c>
      <c r="B2418">
        <v>82</v>
      </c>
      <c r="C2418">
        <v>204</v>
      </c>
      <c r="D2418" s="51" t="s">
        <v>80</v>
      </c>
      <c r="E2418">
        <f>VLOOKUP(M2418,'MASS - 2016'!$A$1:$G$3418,6,FALSE)</f>
        <v>-25109.892</v>
      </c>
      <c r="F2418">
        <f>VLOOKUP(M2418,'MASS - 2016'!$A$1:$G$3418,7,FALSE)</f>
        <v>1.1459999999999999</v>
      </c>
      <c r="G2418">
        <f t="shared" si="191"/>
        <v>-25109.892</v>
      </c>
      <c r="H2418">
        <f t="shared" si="187"/>
        <v>203.97304342233483</v>
      </c>
      <c r="I2418">
        <f t="shared" si="188"/>
        <v>189.99967855200001</v>
      </c>
      <c r="J2418">
        <f t="shared" si="190"/>
        <v>189957.776552</v>
      </c>
      <c r="M2418">
        <f t="shared" si="189"/>
        <v>122082</v>
      </c>
    </row>
    <row r="2419" spans="1:13" x14ac:dyDescent="0.2">
      <c r="A2419">
        <v>121</v>
      </c>
      <c r="B2419">
        <v>83</v>
      </c>
      <c r="C2419">
        <v>204</v>
      </c>
      <c r="D2419" s="51" t="s">
        <v>81</v>
      </c>
      <c r="E2419">
        <f>VLOOKUP(M2419,'MASS - 2016'!$A$1:$G$3418,6,FALSE)</f>
        <v>-20645.896000000001</v>
      </c>
      <c r="F2419">
        <f>VLOOKUP(M2419,'MASS - 2016'!$A$1:$G$3418,7,FALSE)</f>
        <v>9.18</v>
      </c>
      <c r="G2419">
        <f t="shared" si="191"/>
        <v>-20645.896000000001</v>
      </c>
      <c r="H2419">
        <f t="shared" si="187"/>
        <v>203.97783571912652</v>
      </c>
      <c r="I2419">
        <f t="shared" si="188"/>
        <v>190.004142548</v>
      </c>
      <c r="J2419">
        <f t="shared" si="190"/>
        <v>189961.729548</v>
      </c>
      <c r="M2419">
        <f t="shared" si="189"/>
        <v>121083</v>
      </c>
    </row>
    <row r="2420" spans="1:13" x14ac:dyDescent="0.2">
      <c r="A2420">
        <v>120</v>
      </c>
      <c r="B2420">
        <v>84</v>
      </c>
      <c r="C2420">
        <v>204</v>
      </c>
      <c r="D2420" s="51" t="s">
        <v>82</v>
      </c>
      <c r="E2420">
        <f>VLOOKUP(M2420,'MASS - 2016'!$A$1:$G$3418,6,FALSE)</f>
        <v>-18341.243999999999</v>
      </c>
      <c r="F2420">
        <f>VLOOKUP(M2420,'MASS - 2016'!$A$1:$G$3418,7,FALSE)</f>
        <v>11.013</v>
      </c>
      <c r="G2420">
        <f t="shared" si="191"/>
        <v>-18341.243999999999</v>
      </c>
      <c r="H2420">
        <f t="shared" si="187"/>
        <v>203.98030986479901</v>
      </c>
      <c r="I2420">
        <f t="shared" si="188"/>
        <v>190.0064472</v>
      </c>
      <c r="J2420">
        <f t="shared" si="190"/>
        <v>189963.5232</v>
      </c>
      <c r="M2420">
        <f t="shared" si="189"/>
        <v>120084</v>
      </c>
    </row>
    <row r="2421" spans="1:13" x14ac:dyDescent="0.2">
      <c r="A2421">
        <v>119</v>
      </c>
      <c r="B2421">
        <v>85</v>
      </c>
      <c r="C2421">
        <v>204</v>
      </c>
      <c r="D2421" s="51" t="s">
        <v>83</v>
      </c>
      <c r="E2421">
        <f>VLOOKUP(M2421,'MASS - 2016'!$A$1:$G$3418,6,FALSE)</f>
        <v>-11875.433000000001</v>
      </c>
      <c r="F2421">
        <f>VLOOKUP(M2421,'MASS - 2016'!$A$1:$G$3418,7,FALSE)</f>
        <v>22.288</v>
      </c>
      <c r="G2421">
        <f t="shared" si="191"/>
        <v>-11875.433000000001</v>
      </c>
      <c r="H2421">
        <f t="shared" si="187"/>
        <v>203.98725119837346</v>
      </c>
      <c r="I2421">
        <f t="shared" si="188"/>
        <v>190.01291301099999</v>
      </c>
      <c r="J2421">
        <f t="shared" si="190"/>
        <v>189969.478011</v>
      </c>
      <c r="M2421">
        <f t="shared" si="189"/>
        <v>119085</v>
      </c>
    </row>
    <row r="2422" spans="1:13" x14ac:dyDescent="0.2">
      <c r="A2422">
        <v>118</v>
      </c>
      <c r="B2422">
        <v>86</v>
      </c>
      <c r="C2422">
        <v>204</v>
      </c>
      <c r="D2422" s="51" t="s">
        <v>84</v>
      </c>
      <c r="E2422">
        <f>VLOOKUP(M2422,'MASS - 2016'!$A$1:$G$3418,6,FALSE)</f>
        <v>-7970.1930000000002</v>
      </c>
      <c r="F2422">
        <f>VLOOKUP(M2422,'MASS - 2016'!$A$1:$G$3418,7,FALSE)</f>
        <v>7.444</v>
      </c>
      <c r="G2422">
        <f t="shared" si="191"/>
        <v>-7970.1930000000002</v>
      </c>
      <c r="H2422">
        <f t="shared" si="187"/>
        <v>203.99144364593002</v>
      </c>
      <c r="I2422">
        <f t="shared" si="188"/>
        <v>190.01681825099999</v>
      </c>
      <c r="J2422">
        <f t="shared" si="190"/>
        <v>189972.87225099999</v>
      </c>
      <c r="M2422">
        <f t="shared" si="189"/>
        <v>118086</v>
      </c>
    </row>
    <row r="2423" spans="1:13" x14ac:dyDescent="0.2">
      <c r="A2423">
        <v>117</v>
      </c>
      <c r="B2423">
        <v>87</v>
      </c>
      <c r="C2423">
        <v>204</v>
      </c>
      <c r="D2423" s="51" t="s">
        <v>85</v>
      </c>
      <c r="E2423">
        <f>VLOOKUP(M2423,'MASS - 2016'!$A$1:$G$3418,6,FALSE)</f>
        <v>607.30999999999995</v>
      </c>
      <c r="F2423">
        <f>VLOOKUP(M2423,'MASS - 2016'!$A$1:$G$3418,7,FALSE)</f>
        <v>24.581</v>
      </c>
      <c r="G2423">
        <f t="shared" si="191"/>
        <v>607.30999999999995</v>
      </c>
      <c r="H2423">
        <f t="shared" si="187"/>
        <v>204.00065197409776</v>
      </c>
      <c r="I2423">
        <f t="shared" si="188"/>
        <v>190.02539575399999</v>
      </c>
      <c r="J2423">
        <f t="shared" si="190"/>
        <v>189980.938754</v>
      </c>
      <c r="M2423">
        <f t="shared" si="189"/>
        <v>117087</v>
      </c>
    </row>
    <row r="2424" spans="1:13" x14ac:dyDescent="0.2">
      <c r="A2424">
        <v>116</v>
      </c>
      <c r="B2424">
        <v>88</v>
      </c>
      <c r="C2424">
        <v>204</v>
      </c>
      <c r="D2424" s="51" t="s">
        <v>86</v>
      </c>
      <c r="E2424">
        <f>VLOOKUP(M2424,'MASS - 2016'!$A$1:$G$3418,6,FALSE)</f>
        <v>6056.7870000000003</v>
      </c>
      <c r="F2424">
        <f>VLOOKUP(M2424,'MASS - 2016'!$A$1:$G$3418,7,FALSE)</f>
        <v>15.273</v>
      </c>
      <c r="G2424">
        <f t="shared" si="191"/>
        <v>6056.7870000000003</v>
      </c>
      <c r="H2424">
        <f t="shared" si="187"/>
        <v>204.006502228252</v>
      </c>
      <c r="I2424">
        <f t="shared" si="188"/>
        <v>190.030845231</v>
      </c>
      <c r="J2424">
        <f t="shared" si="190"/>
        <v>189985.87723100002</v>
      </c>
      <c r="M2424">
        <f t="shared" si="189"/>
        <v>116088</v>
      </c>
    </row>
    <row r="2425" spans="1:13" x14ac:dyDescent="0.2">
      <c r="A2425">
        <v>126</v>
      </c>
      <c r="B2425">
        <v>79</v>
      </c>
      <c r="C2425">
        <v>205</v>
      </c>
      <c r="D2425" s="51" t="s">
        <v>77</v>
      </c>
      <c r="E2425" t="str">
        <f>VLOOKUP(M2425,'MASS - 2016'!$A$1:$G$3418,6,FALSE)</f>
        <v>-18770#</v>
      </c>
      <c r="F2425" t="str">
        <f>VLOOKUP(M2425,'MASS - 2016'!$A$1:$G$3418,7,FALSE)</f>
        <v>196#</v>
      </c>
      <c r="G2425">
        <f t="shared" si="191"/>
        <v>-18770.009999999998</v>
      </c>
      <c r="H2425">
        <f t="shared" si="187"/>
        <v>204.97984956556797</v>
      </c>
      <c r="I2425">
        <f t="shared" si="188"/>
        <v>190.93751249499999</v>
      </c>
      <c r="J2425">
        <f t="shared" si="190"/>
        <v>190897.143495</v>
      </c>
      <c r="M2425">
        <f t="shared" si="189"/>
        <v>126079</v>
      </c>
    </row>
    <row r="2426" spans="1:13" x14ac:dyDescent="0.2">
      <c r="A2426">
        <v>125</v>
      </c>
      <c r="B2426">
        <v>80</v>
      </c>
      <c r="C2426">
        <v>205</v>
      </c>
      <c r="D2426" s="51" t="s">
        <v>78</v>
      </c>
      <c r="E2426">
        <f>VLOOKUP(M2426,'MASS - 2016'!$A$1:$G$3418,6,FALSE)</f>
        <v>-22287.74</v>
      </c>
      <c r="F2426">
        <f>VLOOKUP(M2426,'MASS - 2016'!$A$1:$G$3418,7,FALSE)</f>
        <v>3.6539999999999999</v>
      </c>
      <c r="G2426">
        <f t="shared" si="191"/>
        <v>-22287.74</v>
      </c>
      <c r="H2426">
        <f t="shared" si="187"/>
        <v>204.976073127105</v>
      </c>
      <c r="I2426">
        <f t="shared" si="188"/>
        <v>190.93399476499999</v>
      </c>
      <c r="J2426">
        <f t="shared" si="190"/>
        <v>190893.11476499998</v>
      </c>
      <c r="M2426">
        <f t="shared" si="189"/>
        <v>125080</v>
      </c>
    </row>
    <row r="2427" spans="1:13" x14ac:dyDescent="0.2">
      <c r="A2427">
        <v>124</v>
      </c>
      <c r="B2427">
        <v>81</v>
      </c>
      <c r="C2427">
        <v>205</v>
      </c>
      <c r="D2427" s="51" t="s">
        <v>79</v>
      </c>
      <c r="E2427">
        <f>VLOOKUP(M2427,'MASS - 2016'!$A$1:$G$3418,6,FALSE)</f>
        <v>-23820.874</v>
      </c>
      <c r="F2427">
        <f>VLOOKUP(M2427,'MASS - 2016'!$A$1:$G$3418,7,FALSE)</f>
        <v>1.2370000000000001</v>
      </c>
      <c r="G2427">
        <f t="shared" si="191"/>
        <v>-23820.874</v>
      </c>
      <c r="H2427">
        <f t="shared" si="187"/>
        <v>204.97442724006802</v>
      </c>
      <c r="I2427">
        <f t="shared" si="188"/>
        <v>190.932461631</v>
      </c>
      <c r="J2427">
        <f t="shared" si="190"/>
        <v>190891.07063099998</v>
      </c>
      <c r="M2427">
        <f t="shared" si="189"/>
        <v>124081</v>
      </c>
    </row>
    <row r="2428" spans="1:13" x14ac:dyDescent="0.2">
      <c r="A2428">
        <v>123</v>
      </c>
      <c r="B2428">
        <v>82</v>
      </c>
      <c r="C2428">
        <v>205</v>
      </c>
      <c r="D2428" s="51" t="s">
        <v>80</v>
      </c>
      <c r="E2428">
        <f>VLOOKUP(M2428,'MASS - 2016'!$A$1:$G$3418,6,FALSE)</f>
        <v>-23770.239000000001</v>
      </c>
      <c r="F2428">
        <f>VLOOKUP(M2428,'MASS - 2016'!$A$1:$G$3418,7,FALSE)</f>
        <v>1.1439999999999999</v>
      </c>
      <c r="G2428">
        <f t="shared" si="191"/>
        <v>-23770.239000000001</v>
      </c>
      <c r="H2428">
        <f t="shared" si="187"/>
        <v>204.9744815989761</v>
      </c>
      <c r="I2428">
        <f t="shared" si="188"/>
        <v>190.932512266</v>
      </c>
      <c r="J2428">
        <f t="shared" si="190"/>
        <v>190890.610266</v>
      </c>
      <c r="M2428">
        <f t="shared" si="189"/>
        <v>123082</v>
      </c>
    </row>
    <row r="2429" spans="1:13" x14ac:dyDescent="0.2">
      <c r="A2429">
        <v>122</v>
      </c>
      <c r="B2429">
        <v>83</v>
      </c>
      <c r="C2429">
        <v>205</v>
      </c>
      <c r="D2429" s="51" t="s">
        <v>81</v>
      </c>
      <c r="E2429">
        <f>VLOOKUP(M2429,'MASS - 2016'!$A$1:$G$3418,6,FALSE)</f>
        <v>-21064.504000000001</v>
      </c>
      <c r="F2429">
        <f>VLOOKUP(M2429,'MASS - 2016'!$A$1:$G$3418,7,FALSE)</f>
        <v>5.1109999999999998</v>
      </c>
      <c r="G2429">
        <f t="shared" si="191"/>
        <v>-21064.504000000001</v>
      </c>
      <c r="H2429">
        <f t="shared" si="187"/>
        <v>204.97738632495691</v>
      </c>
      <c r="I2429">
        <f t="shared" si="188"/>
        <v>190.93521800099998</v>
      </c>
      <c r="J2429">
        <f t="shared" si="190"/>
        <v>190892.80500099997</v>
      </c>
      <c r="M2429">
        <f t="shared" si="189"/>
        <v>122083</v>
      </c>
    </row>
    <row r="2430" spans="1:13" x14ac:dyDescent="0.2">
      <c r="A2430">
        <v>121</v>
      </c>
      <c r="B2430">
        <v>84</v>
      </c>
      <c r="C2430">
        <v>205</v>
      </c>
      <c r="D2430" s="51" t="s">
        <v>82</v>
      </c>
      <c r="E2430">
        <f>VLOOKUP(M2430,'MASS - 2016'!$A$1:$G$3418,6,FALSE)</f>
        <v>-17521.398000000001</v>
      </c>
      <c r="F2430">
        <f>VLOOKUP(M2430,'MASS - 2016'!$A$1:$G$3418,7,FALSE)</f>
        <v>10.058999999999999</v>
      </c>
      <c r="G2430">
        <f t="shared" si="191"/>
        <v>-17521.398000000001</v>
      </c>
      <c r="H2430">
        <f t="shared" si="187"/>
        <v>204.98119000567624</v>
      </c>
      <c r="I2430">
        <f t="shared" si="188"/>
        <v>190.93876110699998</v>
      </c>
      <c r="J2430">
        <f t="shared" si="190"/>
        <v>190895.83710699997</v>
      </c>
      <c r="M2430">
        <f t="shared" si="189"/>
        <v>121084</v>
      </c>
    </row>
    <row r="2431" spans="1:13" x14ac:dyDescent="0.2">
      <c r="A2431">
        <v>120</v>
      </c>
      <c r="B2431">
        <v>85</v>
      </c>
      <c r="C2431">
        <v>205</v>
      </c>
      <c r="D2431" s="51" t="s">
        <v>83</v>
      </c>
      <c r="E2431">
        <f>VLOOKUP(M2431,'MASS - 2016'!$A$1:$G$3418,6,FALSE)</f>
        <v>-12971.946</v>
      </c>
      <c r="F2431">
        <f>VLOOKUP(M2431,'MASS - 2016'!$A$1:$G$3418,7,FALSE)</f>
        <v>15.085000000000001</v>
      </c>
      <c r="G2431">
        <f t="shared" si="191"/>
        <v>-12971.946</v>
      </c>
      <c r="H2431">
        <f t="shared" si="187"/>
        <v>204.98607404325685</v>
      </c>
      <c r="I2431">
        <f t="shared" si="188"/>
        <v>190.943310559</v>
      </c>
      <c r="J2431">
        <f t="shared" si="190"/>
        <v>190899.87555900001</v>
      </c>
      <c r="M2431">
        <f t="shared" si="189"/>
        <v>120085</v>
      </c>
    </row>
    <row r="2432" spans="1:13" x14ac:dyDescent="0.2">
      <c r="A2432">
        <v>119</v>
      </c>
      <c r="B2432">
        <v>86</v>
      </c>
      <c r="C2432">
        <v>205</v>
      </c>
      <c r="D2432" s="51" t="s">
        <v>84</v>
      </c>
      <c r="E2432">
        <f>VLOOKUP(M2432,'MASS - 2016'!$A$1:$G$3418,6,FALSE)</f>
        <v>-7709.7860000000001</v>
      </c>
      <c r="F2432">
        <f>VLOOKUP(M2432,'MASS - 2016'!$A$1:$G$3418,7,FALSE)</f>
        <v>5.08</v>
      </c>
      <c r="G2432">
        <f t="shared" si="191"/>
        <v>-7709.7860000000001</v>
      </c>
      <c r="H2432">
        <f t="shared" si="187"/>
        <v>204.9917232043415</v>
      </c>
      <c r="I2432">
        <f t="shared" si="188"/>
        <v>190.948572719</v>
      </c>
      <c r="J2432">
        <f t="shared" si="190"/>
        <v>190904.62671899999</v>
      </c>
      <c r="M2432">
        <f t="shared" si="189"/>
        <v>119086</v>
      </c>
    </row>
    <row r="2433" spans="1:13" x14ac:dyDescent="0.2">
      <c r="A2433">
        <v>118</v>
      </c>
      <c r="B2433">
        <v>87</v>
      </c>
      <c r="C2433">
        <v>205</v>
      </c>
      <c r="D2433" s="51" t="s">
        <v>85</v>
      </c>
      <c r="E2433">
        <f>VLOOKUP(M2433,'MASS - 2016'!$A$1:$G$3418,6,FALSE)</f>
        <v>-1309.8130000000001</v>
      </c>
      <c r="F2433">
        <f>VLOOKUP(M2433,'MASS - 2016'!$A$1:$G$3418,7,FALSE)</f>
        <v>7.8239999999999998</v>
      </c>
      <c r="G2433">
        <f t="shared" si="191"/>
        <v>-1309.8130000000001</v>
      </c>
      <c r="H2433">
        <f t="shared" si="187"/>
        <v>204.99859385791618</v>
      </c>
      <c r="I2433">
        <f t="shared" si="188"/>
        <v>190.95497269199998</v>
      </c>
      <c r="J2433">
        <f t="shared" si="190"/>
        <v>190910.51569199999</v>
      </c>
      <c r="M2433">
        <f t="shared" si="189"/>
        <v>118087</v>
      </c>
    </row>
    <row r="2434" spans="1:13" x14ac:dyDescent="0.2">
      <c r="A2434">
        <v>117</v>
      </c>
      <c r="B2434">
        <v>88</v>
      </c>
      <c r="C2434">
        <v>205</v>
      </c>
      <c r="D2434" s="51" t="s">
        <v>86</v>
      </c>
      <c r="E2434">
        <f>VLOOKUP(M2434,'MASS - 2016'!$A$1:$G$3418,6,FALSE)</f>
        <v>5838.991</v>
      </c>
      <c r="F2434">
        <f>VLOOKUP(M2434,'MASS - 2016'!$A$1:$G$3418,7,FALSE)</f>
        <v>70.521000000000001</v>
      </c>
      <c r="G2434">
        <f t="shared" si="191"/>
        <v>5838.991</v>
      </c>
      <c r="H2434">
        <f t="shared" si="187"/>
        <v>205.00626841463028</v>
      </c>
      <c r="I2434">
        <f t="shared" si="188"/>
        <v>190.96212149599998</v>
      </c>
      <c r="J2434">
        <f t="shared" si="190"/>
        <v>190917.15349599998</v>
      </c>
      <c r="M2434">
        <f t="shared" si="189"/>
        <v>117088</v>
      </c>
    </row>
    <row r="2435" spans="1:13" x14ac:dyDescent="0.2">
      <c r="A2435">
        <v>126</v>
      </c>
      <c r="B2435">
        <v>80</v>
      </c>
      <c r="C2435">
        <v>206</v>
      </c>
      <c r="D2435" s="51" t="s">
        <v>78</v>
      </c>
      <c r="E2435">
        <f>VLOOKUP(M2435,'MASS - 2016'!$A$1:$G$3418,6,FALSE)</f>
        <v>-20945.800999999999</v>
      </c>
      <c r="F2435">
        <f>VLOOKUP(M2435,'MASS - 2016'!$A$1:$G$3418,7,FALSE)</f>
        <v>20.440000000000001</v>
      </c>
      <c r="G2435">
        <f t="shared" si="191"/>
        <v>-20945.800999999999</v>
      </c>
      <c r="H2435">
        <f t="shared" si="187"/>
        <v>205.97751375786817</v>
      </c>
      <c r="I2435">
        <f t="shared" si="188"/>
        <v>191.86683076499997</v>
      </c>
      <c r="J2435">
        <f t="shared" si="190"/>
        <v>191825.95076499996</v>
      </c>
      <c r="M2435">
        <f t="shared" si="189"/>
        <v>126080</v>
      </c>
    </row>
    <row r="2436" spans="1:13" x14ac:dyDescent="0.2">
      <c r="A2436">
        <v>125</v>
      </c>
      <c r="B2436">
        <v>81</v>
      </c>
      <c r="C2436">
        <v>206</v>
      </c>
      <c r="D2436" s="51" t="s">
        <v>79</v>
      </c>
      <c r="E2436">
        <f>VLOOKUP(M2436,'MASS - 2016'!$A$1:$G$3418,6,FALSE)</f>
        <v>-22253.366999999998</v>
      </c>
      <c r="F2436">
        <f>VLOOKUP(M2436,'MASS - 2016'!$A$1:$G$3418,7,FALSE)</f>
        <v>1.284</v>
      </c>
      <c r="G2436">
        <f t="shared" si="191"/>
        <v>-22253.366999999998</v>
      </c>
      <c r="H2436">
        <f t="shared" si="187"/>
        <v>205.97611002803805</v>
      </c>
      <c r="I2436">
        <f t="shared" si="188"/>
        <v>191.86552319899999</v>
      </c>
      <c r="J2436">
        <f t="shared" si="190"/>
        <v>191824.13219899999</v>
      </c>
      <c r="M2436">
        <f t="shared" si="189"/>
        <v>125081</v>
      </c>
    </row>
    <row r="2437" spans="1:13" x14ac:dyDescent="0.2">
      <c r="A2437">
        <v>124</v>
      </c>
      <c r="B2437">
        <v>82</v>
      </c>
      <c r="C2437">
        <v>206</v>
      </c>
      <c r="D2437" s="51" t="s">
        <v>80</v>
      </c>
      <c r="E2437">
        <f>VLOOKUP(M2437,'MASS - 2016'!$A$1:$G$3418,6,FALSE)</f>
        <v>-23785.583999999999</v>
      </c>
      <c r="F2437">
        <f>VLOOKUP(M2437,'MASS - 2016'!$A$1:$G$3418,7,FALSE)</f>
        <v>1.1439999999999999</v>
      </c>
      <c r="G2437">
        <f t="shared" si="191"/>
        <v>-23785.583999999999</v>
      </c>
      <c r="H2437">
        <f t="shared" si="187"/>
        <v>205.9744651254411</v>
      </c>
      <c r="I2437">
        <f t="shared" si="188"/>
        <v>191.86399098199999</v>
      </c>
      <c r="J2437">
        <f t="shared" si="190"/>
        <v>191822.08898199999</v>
      </c>
      <c r="M2437">
        <f t="shared" si="189"/>
        <v>124082</v>
      </c>
    </row>
    <row r="2438" spans="1:13" x14ac:dyDescent="0.2">
      <c r="A2438">
        <v>123</v>
      </c>
      <c r="B2438">
        <v>83</v>
      </c>
      <c r="C2438">
        <v>206</v>
      </c>
      <c r="D2438" s="51" t="s">
        <v>81</v>
      </c>
      <c r="E2438">
        <f>VLOOKUP(M2438,'MASS - 2016'!$A$1:$G$3418,6,FALSE)</f>
        <v>-20028.277999999998</v>
      </c>
      <c r="F2438">
        <f>VLOOKUP(M2438,'MASS - 2016'!$A$1:$G$3418,7,FALSE)</f>
        <v>7.6319999999999997</v>
      </c>
      <c r="G2438">
        <f t="shared" si="191"/>
        <v>-20028.277999999998</v>
      </c>
      <c r="H2438">
        <f t="shared" si="187"/>
        <v>205.97849875931735</v>
      </c>
      <c r="I2438">
        <f t="shared" si="188"/>
        <v>191.86774828799997</v>
      </c>
      <c r="J2438">
        <f t="shared" si="190"/>
        <v>191825.33528799997</v>
      </c>
      <c r="M2438">
        <f t="shared" si="189"/>
        <v>123083</v>
      </c>
    </row>
    <row r="2439" spans="1:13" x14ac:dyDescent="0.2">
      <c r="A2439">
        <v>122</v>
      </c>
      <c r="B2439">
        <v>84</v>
      </c>
      <c r="C2439">
        <v>206</v>
      </c>
      <c r="D2439" s="51" t="s">
        <v>82</v>
      </c>
      <c r="E2439">
        <f>VLOOKUP(M2439,'MASS - 2016'!$A$1:$G$3418,6,FALSE)</f>
        <v>-18188.673999999999</v>
      </c>
      <c r="F2439">
        <f>VLOOKUP(M2439,'MASS - 2016'!$A$1:$G$3418,7,FALSE)</f>
        <v>4.0119999999999996</v>
      </c>
      <c r="G2439">
        <f t="shared" si="191"/>
        <v>-18188.673999999999</v>
      </c>
      <c r="H2439">
        <f t="shared" si="187"/>
        <v>205.98047365542999</v>
      </c>
      <c r="I2439">
        <f t="shared" si="188"/>
        <v>191.869587892</v>
      </c>
      <c r="J2439">
        <f t="shared" si="190"/>
        <v>191826.66389200001</v>
      </c>
      <c r="M2439">
        <f t="shared" si="189"/>
        <v>122084</v>
      </c>
    </row>
    <row r="2440" spans="1:13" x14ac:dyDescent="0.2">
      <c r="A2440">
        <v>121</v>
      </c>
      <c r="B2440">
        <v>85</v>
      </c>
      <c r="C2440">
        <v>206</v>
      </c>
      <c r="D2440" s="51" t="s">
        <v>83</v>
      </c>
      <c r="E2440">
        <f>VLOOKUP(M2440,'MASS - 2016'!$A$1:$G$3418,6,FALSE)</f>
        <v>-12429.718000000001</v>
      </c>
      <c r="F2440">
        <f>VLOOKUP(M2440,'MASS - 2016'!$A$1:$G$3418,7,FALSE)</f>
        <v>15.055999999999999</v>
      </c>
      <c r="G2440">
        <f t="shared" si="191"/>
        <v>-12429.718000000001</v>
      </c>
      <c r="H2440">
        <f t="shared" si="187"/>
        <v>205.98665614895424</v>
      </c>
      <c r="I2440">
        <f t="shared" si="188"/>
        <v>191.87534684799999</v>
      </c>
      <c r="J2440">
        <f t="shared" si="190"/>
        <v>191831.91184799999</v>
      </c>
      <c r="M2440">
        <f t="shared" si="189"/>
        <v>121085</v>
      </c>
    </row>
    <row r="2441" spans="1:13" x14ac:dyDescent="0.2">
      <c r="A2441">
        <v>120</v>
      </c>
      <c r="B2441">
        <v>86</v>
      </c>
      <c r="C2441">
        <v>206</v>
      </c>
      <c r="D2441" s="51" t="s">
        <v>84</v>
      </c>
      <c r="E2441">
        <f>VLOOKUP(M2441,'MASS - 2016'!$A$1:$G$3418,6,FALSE)</f>
        <v>-9132.9650000000001</v>
      </c>
      <c r="F2441">
        <f>VLOOKUP(M2441,'MASS - 2016'!$A$1:$G$3418,7,FALSE)</f>
        <v>8.5909999999999993</v>
      </c>
      <c r="G2441">
        <f t="shared" si="191"/>
        <v>-9132.9650000000001</v>
      </c>
      <c r="H2441">
        <f t="shared" ref="H2441:H2504" si="192">(C2441*$A$3+G2441/1000000)/$A$3</f>
        <v>205.99019535885157</v>
      </c>
      <c r="I2441">
        <f t="shared" ref="I2441:I2504" si="193">H2441*$A$3</f>
        <v>191.87864360099999</v>
      </c>
      <c r="J2441">
        <f t="shared" si="190"/>
        <v>191834.69760099999</v>
      </c>
      <c r="M2441">
        <f t="shared" ref="M2441:M2504" si="194">1000*A2441+B2441</f>
        <v>120086</v>
      </c>
    </row>
    <row r="2442" spans="1:13" x14ac:dyDescent="0.2">
      <c r="A2442">
        <v>119</v>
      </c>
      <c r="B2442">
        <v>87</v>
      </c>
      <c r="C2442">
        <v>206</v>
      </c>
      <c r="D2442" s="51" t="s">
        <v>85</v>
      </c>
      <c r="E2442">
        <f>VLOOKUP(M2442,'MASS - 2016'!$A$1:$G$3418,6,FALSE)</f>
        <v>-1242.4159999999999</v>
      </c>
      <c r="F2442">
        <f>VLOOKUP(M2442,'MASS - 2016'!$A$1:$G$3418,7,FALSE)</f>
        <v>28.195</v>
      </c>
      <c r="G2442">
        <f t="shared" si="191"/>
        <v>-1242.4159999999999</v>
      </c>
      <c r="H2442">
        <f t="shared" si="192"/>
        <v>205.99866621157125</v>
      </c>
      <c r="I2442">
        <f t="shared" si="193"/>
        <v>191.88653414999999</v>
      </c>
      <c r="J2442">
        <f t="shared" si="190"/>
        <v>191842.07715</v>
      </c>
      <c r="M2442">
        <f t="shared" si="194"/>
        <v>119087</v>
      </c>
    </row>
    <row r="2443" spans="1:13" x14ac:dyDescent="0.2">
      <c r="A2443">
        <v>118</v>
      </c>
      <c r="B2443">
        <v>88</v>
      </c>
      <c r="C2443">
        <v>206</v>
      </c>
      <c r="D2443" s="51" t="s">
        <v>86</v>
      </c>
      <c r="E2443">
        <f>VLOOKUP(M2443,'MASS - 2016'!$A$1:$G$3418,6,FALSE)</f>
        <v>3565.5390000000002</v>
      </c>
      <c r="F2443">
        <f>VLOOKUP(M2443,'MASS - 2016'!$A$1:$G$3418,7,FALSE)</f>
        <v>18.007999999999999</v>
      </c>
      <c r="G2443">
        <f t="shared" si="191"/>
        <v>3565.5390000000002</v>
      </c>
      <c r="H2443">
        <f t="shared" si="192"/>
        <v>206.00382776353524</v>
      </c>
      <c r="I2443">
        <f t="shared" si="193"/>
        <v>191.89134210499998</v>
      </c>
      <c r="J2443">
        <f t="shared" si="190"/>
        <v>191846.374105</v>
      </c>
      <c r="M2443">
        <f t="shared" si="194"/>
        <v>118088</v>
      </c>
    </row>
    <row r="2444" spans="1:13" x14ac:dyDescent="0.2">
      <c r="A2444">
        <v>127</v>
      </c>
      <c r="B2444">
        <v>80</v>
      </c>
      <c r="C2444">
        <v>207</v>
      </c>
      <c r="D2444" s="51" t="s">
        <v>78</v>
      </c>
      <c r="E2444">
        <f>VLOOKUP(M2444,'MASS - 2016'!$A$1:$G$3418,6,FALSE)</f>
        <v>-16487.444</v>
      </c>
      <c r="F2444">
        <f>VLOOKUP(M2444,'MASS - 2016'!$A$1:$G$3418,7,FALSE)</f>
        <v>29.808</v>
      </c>
      <c r="G2444">
        <f t="shared" si="191"/>
        <v>-16487.444</v>
      </c>
      <c r="H2444">
        <f t="shared" si="192"/>
        <v>206.98230000094441</v>
      </c>
      <c r="I2444">
        <f t="shared" si="193"/>
        <v>192.802783183</v>
      </c>
      <c r="J2444">
        <f t="shared" ref="J2444:J2507" si="195">1000*I2444-B2444*0.511</f>
        <v>192761.90318299999</v>
      </c>
      <c r="M2444">
        <f t="shared" si="194"/>
        <v>127080</v>
      </c>
    </row>
    <row r="2445" spans="1:13" x14ac:dyDescent="0.2">
      <c r="A2445">
        <v>126</v>
      </c>
      <c r="B2445">
        <v>81</v>
      </c>
      <c r="C2445">
        <v>207</v>
      </c>
      <c r="D2445" s="51" t="s">
        <v>79</v>
      </c>
      <c r="E2445">
        <f>VLOOKUP(M2445,'MASS - 2016'!$A$1:$G$3418,6,FALSE)</f>
        <v>-21034.451000000001</v>
      </c>
      <c r="F2445">
        <f>VLOOKUP(M2445,'MASS - 2016'!$A$1:$G$3418,7,FALSE)</f>
        <v>5.4390000000000001</v>
      </c>
      <c r="G2445">
        <f t="shared" si="191"/>
        <v>-21034.451000000001</v>
      </c>
      <c r="H2445">
        <f t="shared" si="192"/>
        <v>206.97741858817929</v>
      </c>
      <c r="I2445">
        <f t="shared" si="193"/>
        <v>192.79823617600002</v>
      </c>
      <c r="J2445">
        <f t="shared" si="195"/>
        <v>192756.845176</v>
      </c>
      <c r="M2445">
        <f t="shared" si="194"/>
        <v>126081</v>
      </c>
    </row>
    <row r="2446" spans="1:13" x14ac:dyDescent="0.2">
      <c r="A2446">
        <v>125</v>
      </c>
      <c r="B2446">
        <v>82</v>
      </c>
      <c r="C2446">
        <v>207</v>
      </c>
      <c r="D2446" s="51" t="s">
        <v>80</v>
      </c>
      <c r="E2446">
        <f>VLOOKUP(M2446,'MASS - 2016'!$A$1:$G$3418,6,FALSE)</f>
        <v>-22452.046999999999</v>
      </c>
      <c r="F2446">
        <f>VLOOKUP(M2446,'MASS - 2016'!$A$1:$G$3418,7,FALSE)</f>
        <v>1.147</v>
      </c>
      <c r="G2446">
        <f t="shared" si="191"/>
        <v>-22452.046999999999</v>
      </c>
      <c r="H2446">
        <f t="shared" si="192"/>
        <v>206.97589673628633</v>
      </c>
      <c r="I2446">
        <f t="shared" si="193"/>
        <v>192.79681858000001</v>
      </c>
      <c r="J2446">
        <f t="shared" si="195"/>
        <v>192754.91658000002</v>
      </c>
      <c r="M2446">
        <f t="shared" si="194"/>
        <v>125082</v>
      </c>
    </row>
    <row r="2447" spans="1:13" x14ac:dyDescent="0.2">
      <c r="A2447">
        <v>124</v>
      </c>
      <c r="B2447">
        <v>83</v>
      </c>
      <c r="C2447">
        <v>207</v>
      </c>
      <c r="D2447" s="51" t="s">
        <v>81</v>
      </c>
      <c r="E2447">
        <f>VLOOKUP(M2447,'MASS - 2016'!$A$1:$G$3418,6,FALSE)</f>
        <v>-20054.627</v>
      </c>
      <c r="F2447">
        <f>VLOOKUP(M2447,'MASS - 2016'!$A$1:$G$3418,7,FALSE)</f>
        <v>2.3969999999999998</v>
      </c>
      <c r="G2447">
        <f t="shared" ref="G2447:G2510" si="196">IF(ISNUMBER(E2447),E2447,VALUE(SUBSTITUTE(E2447,"#",".01")))</f>
        <v>-20054.627</v>
      </c>
      <c r="H2447">
        <f t="shared" si="192"/>
        <v>206.97847047250258</v>
      </c>
      <c r="I2447">
        <f t="shared" si="193"/>
        <v>192.799216</v>
      </c>
      <c r="J2447">
        <f t="shared" si="195"/>
        <v>192756.80300000001</v>
      </c>
      <c r="M2447">
        <f t="shared" si="194"/>
        <v>124083</v>
      </c>
    </row>
    <row r="2448" spans="1:13" x14ac:dyDescent="0.2">
      <c r="A2448">
        <v>123</v>
      </c>
      <c r="B2448">
        <v>84</v>
      </c>
      <c r="C2448">
        <v>207</v>
      </c>
      <c r="D2448" s="51" t="s">
        <v>82</v>
      </c>
      <c r="E2448">
        <f>VLOOKUP(M2448,'MASS - 2016'!$A$1:$G$3418,6,FALSE)</f>
        <v>-17145.775000000001</v>
      </c>
      <c r="F2448">
        <f>VLOOKUP(M2448,'MASS - 2016'!$A$1:$G$3418,7,FALSE)</f>
        <v>6.6589999999999998</v>
      </c>
      <c r="G2448">
        <f t="shared" si="196"/>
        <v>-17145.775000000001</v>
      </c>
      <c r="H2448">
        <f t="shared" si="192"/>
        <v>206.98159325355056</v>
      </c>
      <c r="I2448">
        <f t="shared" si="193"/>
        <v>192.80212485200002</v>
      </c>
      <c r="J2448">
        <f t="shared" si="195"/>
        <v>192759.20085200001</v>
      </c>
      <c r="M2448">
        <f t="shared" si="194"/>
        <v>123084</v>
      </c>
    </row>
    <row r="2449" spans="1:13" x14ac:dyDescent="0.2">
      <c r="A2449">
        <v>122</v>
      </c>
      <c r="B2449">
        <v>85</v>
      </c>
      <c r="C2449">
        <v>207</v>
      </c>
      <c r="D2449" s="51" t="s">
        <v>83</v>
      </c>
      <c r="E2449">
        <f>VLOOKUP(M2449,'MASS - 2016'!$A$1:$G$3418,6,FALSE)</f>
        <v>-13227.415999999999</v>
      </c>
      <c r="F2449">
        <f>VLOOKUP(M2449,'MASS - 2016'!$A$1:$G$3418,7,FALSE)</f>
        <v>12.406000000000001</v>
      </c>
      <c r="G2449">
        <f t="shared" si="196"/>
        <v>-13227.415999999999</v>
      </c>
      <c r="H2449">
        <f t="shared" si="192"/>
        <v>206.98579978493282</v>
      </c>
      <c r="I2449">
        <f t="shared" si="193"/>
        <v>192.806043211</v>
      </c>
      <c r="J2449">
        <f t="shared" si="195"/>
        <v>192762.60821100001</v>
      </c>
      <c r="M2449">
        <f t="shared" si="194"/>
        <v>122085</v>
      </c>
    </row>
    <row r="2450" spans="1:13" x14ac:dyDescent="0.2">
      <c r="A2450">
        <v>121</v>
      </c>
      <c r="B2450">
        <v>86</v>
      </c>
      <c r="C2450">
        <v>207</v>
      </c>
      <c r="D2450" s="51" t="s">
        <v>84</v>
      </c>
      <c r="E2450">
        <f>VLOOKUP(M2450,'MASS - 2016'!$A$1:$G$3418,6,FALSE)</f>
        <v>-8634.7620000000006</v>
      </c>
      <c r="F2450">
        <f>VLOOKUP(M2450,'MASS - 2016'!$A$1:$G$3418,7,FALSE)</f>
        <v>8.4969999999999999</v>
      </c>
      <c r="G2450">
        <f t="shared" si="196"/>
        <v>-8634.7620000000006</v>
      </c>
      <c r="H2450">
        <f t="shared" si="192"/>
        <v>206.99073020176775</v>
      </c>
      <c r="I2450">
        <f t="shared" si="193"/>
        <v>192.81063586499999</v>
      </c>
      <c r="J2450">
        <f t="shared" si="195"/>
        <v>192766.68986499999</v>
      </c>
      <c r="M2450">
        <f t="shared" si="194"/>
        <v>121086</v>
      </c>
    </row>
    <row r="2451" spans="1:13" x14ac:dyDescent="0.2">
      <c r="A2451">
        <v>120</v>
      </c>
      <c r="B2451">
        <v>87</v>
      </c>
      <c r="C2451">
        <v>207</v>
      </c>
      <c r="D2451" s="51" t="s">
        <v>85</v>
      </c>
      <c r="E2451">
        <f>VLOOKUP(M2451,'MASS - 2016'!$A$1:$G$3418,6,FALSE)</f>
        <v>-2844.3409999999999</v>
      </c>
      <c r="F2451">
        <f>VLOOKUP(M2451,'MASS - 2016'!$A$1:$G$3418,7,FALSE)</f>
        <v>17.504999999999999</v>
      </c>
      <c r="G2451">
        <f t="shared" si="196"/>
        <v>-2844.3409999999999</v>
      </c>
      <c r="H2451">
        <f t="shared" si="192"/>
        <v>206.99694647435868</v>
      </c>
      <c r="I2451">
        <f t="shared" si="193"/>
        <v>192.816426286</v>
      </c>
      <c r="J2451">
        <f t="shared" si="195"/>
        <v>192771.96928600001</v>
      </c>
      <c r="M2451">
        <f t="shared" si="194"/>
        <v>120087</v>
      </c>
    </row>
    <row r="2452" spans="1:13" x14ac:dyDescent="0.2">
      <c r="A2452">
        <v>119</v>
      </c>
      <c r="B2452">
        <v>88</v>
      </c>
      <c r="C2452">
        <v>207</v>
      </c>
      <c r="D2452" s="51" t="s">
        <v>86</v>
      </c>
      <c r="E2452">
        <f>VLOOKUP(M2452,'MASS - 2016'!$A$1:$G$3418,6,FALSE)</f>
        <v>3544.4850000000001</v>
      </c>
      <c r="F2452">
        <f>VLOOKUP(M2452,'MASS - 2016'!$A$1:$G$3418,7,FALSE)</f>
        <v>53.201999999999998</v>
      </c>
      <c r="G2452">
        <f t="shared" si="196"/>
        <v>3544.4850000000001</v>
      </c>
      <c r="H2452">
        <f t="shared" si="192"/>
        <v>207.00380516113671</v>
      </c>
      <c r="I2452">
        <f t="shared" si="193"/>
        <v>192.822815112</v>
      </c>
      <c r="J2452">
        <f t="shared" si="195"/>
        <v>192777.84711200002</v>
      </c>
      <c r="M2452">
        <f t="shared" si="194"/>
        <v>119088</v>
      </c>
    </row>
    <row r="2453" spans="1:13" x14ac:dyDescent="0.2">
      <c r="A2453">
        <v>118</v>
      </c>
      <c r="B2453">
        <v>89</v>
      </c>
      <c r="C2453">
        <v>207</v>
      </c>
      <c r="D2453" s="51" t="s">
        <v>87</v>
      </c>
      <c r="E2453">
        <f>VLOOKUP(M2453,'MASS - 2016'!$A$1:$G$3418,6,FALSE)</f>
        <v>11146.233</v>
      </c>
      <c r="F2453">
        <f>VLOOKUP(M2453,'MASS - 2016'!$A$1:$G$3418,7,FALSE)</f>
        <v>50.387</v>
      </c>
      <c r="G2453">
        <f t="shared" si="196"/>
        <v>11146.233</v>
      </c>
      <c r="H2453">
        <f t="shared" si="192"/>
        <v>207.01196597323235</v>
      </c>
      <c r="I2453">
        <f t="shared" si="193"/>
        <v>192.83041686000001</v>
      </c>
      <c r="J2453">
        <f t="shared" si="195"/>
        <v>192784.93786000003</v>
      </c>
      <c r="M2453">
        <f t="shared" si="194"/>
        <v>118089</v>
      </c>
    </row>
    <row r="2454" spans="1:13" x14ac:dyDescent="0.2">
      <c r="A2454">
        <v>128</v>
      </c>
      <c r="B2454">
        <v>80</v>
      </c>
      <c r="C2454">
        <v>208</v>
      </c>
      <c r="D2454" s="51" t="s">
        <v>78</v>
      </c>
      <c r="E2454">
        <f>VLOOKUP(M2454,'MASS - 2016'!$A$1:$G$3418,6,FALSE)</f>
        <v>-13265.406000000001</v>
      </c>
      <c r="F2454">
        <f>VLOOKUP(M2454,'MASS - 2016'!$A$1:$G$3418,7,FALSE)</f>
        <v>30.739000000000001</v>
      </c>
      <c r="G2454">
        <f t="shared" si="196"/>
        <v>-13265.406000000001</v>
      </c>
      <c r="H2454">
        <f t="shared" si="192"/>
        <v>207.98575900099058</v>
      </c>
      <c r="I2454">
        <f t="shared" si="193"/>
        <v>193.73749928200002</v>
      </c>
      <c r="J2454">
        <f t="shared" si="195"/>
        <v>193696.619282</v>
      </c>
      <c r="M2454">
        <f t="shared" si="194"/>
        <v>128080</v>
      </c>
    </row>
    <row r="2455" spans="1:13" x14ac:dyDescent="0.2">
      <c r="A2455">
        <v>127</v>
      </c>
      <c r="B2455">
        <v>81</v>
      </c>
      <c r="C2455">
        <v>208</v>
      </c>
      <c r="D2455" s="51" t="s">
        <v>79</v>
      </c>
      <c r="E2455">
        <f>VLOOKUP(M2455,'MASS - 2016'!$A$1:$G$3418,6,FALSE)</f>
        <v>-16750.132000000001</v>
      </c>
      <c r="F2455">
        <f>VLOOKUP(M2455,'MASS - 2016'!$A$1:$G$3418,7,FALSE)</f>
        <v>1.8540000000000001</v>
      </c>
      <c r="G2455">
        <f t="shared" si="196"/>
        <v>-16750.132000000001</v>
      </c>
      <c r="H2455">
        <f t="shared" si="192"/>
        <v>207.98201799377873</v>
      </c>
      <c r="I2455">
        <f t="shared" si="193"/>
        <v>193.73401455600001</v>
      </c>
      <c r="J2455">
        <f t="shared" si="195"/>
        <v>193692.62355600001</v>
      </c>
      <c r="M2455">
        <f t="shared" si="194"/>
        <v>127081</v>
      </c>
    </row>
    <row r="2456" spans="1:13" x14ac:dyDescent="0.2">
      <c r="A2456">
        <v>126</v>
      </c>
      <c r="B2456">
        <v>82</v>
      </c>
      <c r="C2456">
        <v>208</v>
      </c>
      <c r="D2456" s="51" t="s">
        <v>80</v>
      </c>
      <c r="E2456">
        <f>VLOOKUP(M2456,'MASS - 2016'!$A$1:$G$3418,6,FALSE)</f>
        <v>-21748.598000000002</v>
      </c>
      <c r="F2456">
        <f>VLOOKUP(M2456,'MASS - 2016'!$A$1:$G$3418,7,FALSE)</f>
        <v>1.1479999999999999</v>
      </c>
      <c r="G2456">
        <f t="shared" si="196"/>
        <v>-21748.598000000002</v>
      </c>
      <c r="H2456">
        <f t="shared" si="192"/>
        <v>207.97665191984515</v>
      </c>
      <c r="I2456">
        <f t="shared" si="193"/>
        <v>193.72901609000002</v>
      </c>
      <c r="J2456">
        <f t="shared" si="195"/>
        <v>193687.11409000002</v>
      </c>
      <c r="M2456">
        <f t="shared" si="194"/>
        <v>126082</v>
      </c>
    </row>
    <row r="2457" spans="1:13" x14ac:dyDescent="0.2">
      <c r="A2457">
        <v>125</v>
      </c>
      <c r="B2457">
        <v>83</v>
      </c>
      <c r="C2457">
        <v>208</v>
      </c>
      <c r="D2457" s="51" t="s">
        <v>81</v>
      </c>
      <c r="E2457">
        <f>VLOOKUP(M2457,'MASS - 2016'!$A$1:$G$3418,6,FALSE)</f>
        <v>-18870.223000000002</v>
      </c>
      <c r="F2457">
        <f>VLOOKUP(M2457,'MASS - 2016'!$A$1:$G$3418,7,FALSE)</f>
        <v>2.3039999999999998</v>
      </c>
      <c r="G2457">
        <f t="shared" si="196"/>
        <v>-18870.223000000002</v>
      </c>
      <c r="H2457">
        <f t="shared" si="192"/>
        <v>207.97974198248809</v>
      </c>
      <c r="I2457">
        <f t="shared" si="193"/>
        <v>193.73189446500001</v>
      </c>
      <c r="J2457">
        <f t="shared" si="195"/>
        <v>193689.48146500002</v>
      </c>
      <c r="M2457">
        <f t="shared" si="194"/>
        <v>125083</v>
      </c>
    </row>
    <row r="2458" spans="1:13" x14ac:dyDescent="0.2">
      <c r="A2458">
        <v>124</v>
      </c>
      <c r="B2458">
        <v>84</v>
      </c>
      <c r="C2458">
        <v>208</v>
      </c>
      <c r="D2458" s="51" t="s">
        <v>82</v>
      </c>
      <c r="E2458">
        <f>VLOOKUP(M2458,'MASS - 2016'!$A$1:$G$3418,6,FALSE)</f>
        <v>-17469.596000000001</v>
      </c>
      <c r="F2458">
        <f>VLOOKUP(M2458,'MASS - 2016'!$A$1:$G$3418,7,FALSE)</f>
        <v>1.7370000000000001</v>
      </c>
      <c r="G2458">
        <f t="shared" si="196"/>
        <v>-17469.596000000001</v>
      </c>
      <c r="H2458">
        <f t="shared" si="192"/>
        <v>207.98124561741034</v>
      </c>
      <c r="I2458">
        <f t="shared" si="193"/>
        <v>193.73329509199999</v>
      </c>
      <c r="J2458">
        <f t="shared" si="195"/>
        <v>193690.37109199999</v>
      </c>
      <c r="M2458">
        <f t="shared" si="194"/>
        <v>124084</v>
      </c>
    </row>
    <row r="2459" spans="1:13" x14ac:dyDescent="0.2">
      <c r="A2459">
        <v>123</v>
      </c>
      <c r="B2459">
        <v>85</v>
      </c>
      <c r="C2459">
        <v>208</v>
      </c>
      <c r="D2459" s="51" t="s">
        <v>83</v>
      </c>
      <c r="E2459">
        <f>VLOOKUP(M2459,'MASS - 2016'!$A$1:$G$3418,6,FALSE)</f>
        <v>-12469.870999999999</v>
      </c>
      <c r="F2459">
        <f>VLOOKUP(M2459,'MASS - 2016'!$A$1:$G$3418,7,FALSE)</f>
        <v>8.9209999999999994</v>
      </c>
      <c r="G2459">
        <f t="shared" si="196"/>
        <v>-12469.870999999999</v>
      </c>
      <c r="H2459">
        <f t="shared" si="192"/>
        <v>207.98661304293597</v>
      </c>
      <c r="I2459">
        <f t="shared" si="193"/>
        <v>193.738294817</v>
      </c>
      <c r="J2459">
        <f t="shared" si="195"/>
        <v>193694.85981699999</v>
      </c>
      <c r="M2459">
        <f t="shared" si="194"/>
        <v>123085</v>
      </c>
    </row>
    <row r="2460" spans="1:13" x14ac:dyDescent="0.2">
      <c r="A2460">
        <v>122</v>
      </c>
      <c r="B2460">
        <v>86</v>
      </c>
      <c r="C2460">
        <v>208</v>
      </c>
      <c r="D2460" s="51" t="s">
        <v>84</v>
      </c>
      <c r="E2460">
        <f>VLOOKUP(M2460,'MASS - 2016'!$A$1:$G$3418,6,FALSE)</f>
        <v>-9655.5910000000003</v>
      </c>
      <c r="F2460">
        <f>VLOOKUP(M2460,'MASS - 2016'!$A$1:$G$3418,7,FALSE)</f>
        <v>11.138</v>
      </c>
      <c r="G2460">
        <f t="shared" si="196"/>
        <v>-9655.5910000000003</v>
      </c>
      <c r="H2460">
        <f t="shared" si="192"/>
        <v>207.98963429676658</v>
      </c>
      <c r="I2460">
        <f t="shared" si="193"/>
        <v>193.74110909699999</v>
      </c>
      <c r="J2460">
        <f t="shared" si="195"/>
        <v>193697.16309699998</v>
      </c>
      <c r="M2460">
        <f t="shared" si="194"/>
        <v>122086</v>
      </c>
    </row>
    <row r="2461" spans="1:13" x14ac:dyDescent="0.2">
      <c r="A2461">
        <v>121</v>
      </c>
      <c r="B2461">
        <v>87</v>
      </c>
      <c r="C2461">
        <v>208</v>
      </c>
      <c r="D2461" s="51" t="s">
        <v>85</v>
      </c>
      <c r="E2461">
        <f>VLOOKUP(M2461,'MASS - 2016'!$A$1:$G$3418,6,FALSE)</f>
        <v>-2665.9189999999999</v>
      </c>
      <c r="F2461">
        <f>VLOOKUP(M2461,'MASS - 2016'!$A$1:$G$3418,7,FALSE)</f>
        <v>11.834</v>
      </c>
      <c r="G2461">
        <f t="shared" si="196"/>
        <v>-2665.9189999999999</v>
      </c>
      <c r="H2461">
        <f t="shared" si="192"/>
        <v>207.99713801825303</v>
      </c>
      <c r="I2461">
        <f t="shared" si="193"/>
        <v>193.74809876899999</v>
      </c>
      <c r="J2461">
        <f t="shared" si="195"/>
        <v>193703.64176900001</v>
      </c>
      <c r="M2461">
        <f t="shared" si="194"/>
        <v>121087</v>
      </c>
    </row>
    <row r="2462" spans="1:13" x14ac:dyDescent="0.2">
      <c r="A2462">
        <v>120</v>
      </c>
      <c r="B2462">
        <v>88</v>
      </c>
      <c r="C2462">
        <v>208</v>
      </c>
      <c r="D2462" s="51" t="s">
        <v>86</v>
      </c>
      <c r="E2462">
        <f>VLOOKUP(M2462,'MASS - 2016'!$A$1:$G$3418,6,FALSE)</f>
        <v>1727.856</v>
      </c>
      <c r="F2462">
        <f>VLOOKUP(M2462,'MASS - 2016'!$A$1:$G$3418,7,FALSE)</f>
        <v>9.0229999999999997</v>
      </c>
      <c r="G2462">
        <f t="shared" si="196"/>
        <v>1727.856</v>
      </c>
      <c r="H2462">
        <f t="shared" si="192"/>
        <v>208.00185492970095</v>
      </c>
      <c r="I2462">
        <f t="shared" si="193"/>
        <v>193.75249254400001</v>
      </c>
      <c r="J2462">
        <f t="shared" si="195"/>
        <v>193707.52454400001</v>
      </c>
      <c r="M2462">
        <f t="shared" si="194"/>
        <v>120088</v>
      </c>
    </row>
    <row r="2463" spans="1:13" x14ac:dyDescent="0.2">
      <c r="A2463">
        <v>119</v>
      </c>
      <c r="B2463">
        <v>89</v>
      </c>
      <c r="C2463">
        <v>208</v>
      </c>
      <c r="D2463" s="51" t="s">
        <v>87</v>
      </c>
      <c r="E2463">
        <f>VLOOKUP(M2463,'MASS - 2016'!$A$1:$G$3418,6,FALSE)</f>
        <v>10753.235000000001</v>
      </c>
      <c r="F2463">
        <f>VLOOKUP(M2463,'MASS - 2016'!$A$1:$G$3418,7,FALSE)</f>
        <v>55.716000000000001</v>
      </c>
      <c r="G2463">
        <f t="shared" si="196"/>
        <v>10753.235000000001</v>
      </c>
      <c r="H2463">
        <f t="shared" si="192"/>
        <v>208.01154407252847</v>
      </c>
      <c r="I2463">
        <f t="shared" si="193"/>
        <v>193.76151792300001</v>
      </c>
      <c r="J2463">
        <f t="shared" si="195"/>
        <v>193716.03892300001</v>
      </c>
      <c r="M2463">
        <f t="shared" si="194"/>
        <v>119089</v>
      </c>
    </row>
    <row r="2464" spans="1:13" x14ac:dyDescent="0.2">
      <c r="A2464">
        <v>128</v>
      </c>
      <c r="B2464">
        <v>81</v>
      </c>
      <c r="C2464">
        <v>209</v>
      </c>
      <c r="D2464" s="51" t="s">
        <v>79</v>
      </c>
      <c r="E2464">
        <f>VLOOKUP(M2464,'MASS - 2016'!$A$1:$G$3418,6,FALSE)</f>
        <v>-13644.757</v>
      </c>
      <c r="F2464">
        <f>VLOOKUP(M2464,'MASS - 2016'!$A$1:$G$3418,7,FALSE)</f>
        <v>6.11</v>
      </c>
      <c r="G2464">
        <f t="shared" si="196"/>
        <v>-13644.757</v>
      </c>
      <c r="H2464">
        <f t="shared" si="192"/>
        <v>208.98535175094369</v>
      </c>
      <c r="I2464">
        <f t="shared" si="193"/>
        <v>194.66861399199999</v>
      </c>
      <c r="J2464">
        <f t="shared" si="195"/>
        <v>194627.222992</v>
      </c>
      <c r="M2464">
        <f t="shared" si="194"/>
        <v>128081</v>
      </c>
    </row>
    <row r="2465" spans="1:13" x14ac:dyDescent="0.2">
      <c r="A2465">
        <v>127</v>
      </c>
      <c r="B2465">
        <v>82</v>
      </c>
      <c r="C2465">
        <v>209</v>
      </c>
      <c r="D2465" s="51" t="s">
        <v>80</v>
      </c>
      <c r="E2465">
        <f>VLOOKUP(M2465,'MASS - 2016'!$A$1:$G$3418,6,FALSE)</f>
        <v>-17614.646000000001</v>
      </c>
      <c r="F2465">
        <f>VLOOKUP(M2465,'MASS - 2016'!$A$1:$G$3418,7,FALSE)</f>
        <v>1.7470000000000001</v>
      </c>
      <c r="G2465">
        <f t="shared" si="196"/>
        <v>-17614.646000000001</v>
      </c>
      <c r="H2465">
        <f t="shared" si="192"/>
        <v>208.98108989983137</v>
      </c>
      <c r="I2465">
        <f t="shared" si="193"/>
        <v>194.664644103</v>
      </c>
      <c r="J2465">
        <f t="shared" si="195"/>
        <v>194622.742103</v>
      </c>
      <c r="M2465">
        <f t="shared" si="194"/>
        <v>127082</v>
      </c>
    </row>
    <row r="2466" spans="1:13" x14ac:dyDescent="0.2">
      <c r="A2466">
        <v>126</v>
      </c>
      <c r="B2466">
        <v>83</v>
      </c>
      <c r="C2466">
        <v>209</v>
      </c>
      <c r="D2466" s="51" t="s">
        <v>81</v>
      </c>
      <c r="E2466">
        <f>VLOOKUP(M2466,'MASS - 2016'!$A$1:$G$3418,6,FALSE)</f>
        <v>-18258.662</v>
      </c>
      <c r="F2466">
        <f>VLOOKUP(M2466,'MASS - 2016'!$A$1:$G$3418,7,FALSE)</f>
        <v>1.3640000000000001</v>
      </c>
      <c r="G2466">
        <f t="shared" si="196"/>
        <v>-18258.662</v>
      </c>
      <c r="H2466">
        <f t="shared" si="192"/>
        <v>208.98039852022202</v>
      </c>
      <c r="I2466">
        <f t="shared" si="193"/>
        <v>194.66400008700001</v>
      </c>
      <c r="J2466">
        <f t="shared" si="195"/>
        <v>194621.58708699999</v>
      </c>
      <c r="M2466">
        <f t="shared" si="194"/>
        <v>126083</v>
      </c>
    </row>
    <row r="2467" spans="1:13" x14ac:dyDescent="0.2">
      <c r="A2467">
        <v>125</v>
      </c>
      <c r="B2467">
        <v>84</v>
      </c>
      <c r="C2467">
        <v>209</v>
      </c>
      <c r="D2467" s="51" t="s">
        <v>82</v>
      </c>
      <c r="E2467">
        <f>VLOOKUP(M2467,'MASS - 2016'!$A$1:$G$3418,6,FALSE)</f>
        <v>-16366.092000000001</v>
      </c>
      <c r="F2467">
        <f>VLOOKUP(M2467,'MASS - 2016'!$A$1:$G$3418,7,FALSE)</f>
        <v>1.778</v>
      </c>
      <c r="G2467">
        <f t="shared" si="196"/>
        <v>-16366.092000000001</v>
      </c>
      <c r="H2467">
        <f t="shared" si="192"/>
        <v>208.9824302776741</v>
      </c>
      <c r="I2467">
        <f t="shared" si="193"/>
        <v>194.665892657</v>
      </c>
      <c r="J2467">
        <f t="shared" si="195"/>
        <v>194622.96865699999</v>
      </c>
      <c r="M2467">
        <f t="shared" si="194"/>
        <v>125084</v>
      </c>
    </row>
    <row r="2468" spans="1:13" x14ac:dyDescent="0.2">
      <c r="A2468">
        <v>124</v>
      </c>
      <c r="B2468">
        <v>85</v>
      </c>
      <c r="C2468">
        <v>209</v>
      </c>
      <c r="D2468" s="51" t="s">
        <v>83</v>
      </c>
      <c r="E2468">
        <f>VLOOKUP(M2468,'MASS - 2016'!$A$1:$G$3418,6,FALSE)</f>
        <v>-12882.612999999999</v>
      </c>
      <c r="F2468">
        <f>VLOOKUP(M2468,'MASS - 2016'!$A$1:$G$3418,7,FALSE)</f>
        <v>5.1020000000000003</v>
      </c>
      <c r="G2468">
        <f t="shared" si="196"/>
        <v>-12882.612999999999</v>
      </c>
      <c r="H2468">
        <f t="shared" si="192"/>
        <v>208.9861699461764</v>
      </c>
      <c r="I2468">
        <f t="shared" si="193"/>
        <v>194.66937613600001</v>
      </c>
      <c r="J2468">
        <f t="shared" si="195"/>
        <v>194625.94113600001</v>
      </c>
      <c r="M2468">
        <f t="shared" si="194"/>
        <v>124085</v>
      </c>
    </row>
    <row r="2469" spans="1:13" x14ac:dyDescent="0.2">
      <c r="A2469">
        <v>123</v>
      </c>
      <c r="B2469">
        <v>86</v>
      </c>
      <c r="C2469">
        <v>209</v>
      </c>
      <c r="D2469" s="51" t="s">
        <v>84</v>
      </c>
      <c r="E2469">
        <f>VLOOKUP(M2469,'MASS - 2016'!$A$1:$G$3418,6,FALSE)</f>
        <v>-8941.0490000000009</v>
      </c>
      <c r="F2469">
        <f>VLOOKUP(M2469,'MASS - 2016'!$A$1:$G$3418,7,FALSE)</f>
        <v>9.9600000000000009</v>
      </c>
      <c r="G2469">
        <f t="shared" si="196"/>
        <v>-8941.0490000000009</v>
      </c>
      <c r="H2469">
        <f t="shared" si="192"/>
        <v>208.99040138915069</v>
      </c>
      <c r="I2469">
        <f t="shared" si="193"/>
        <v>194.67331770000001</v>
      </c>
      <c r="J2469">
        <f t="shared" si="195"/>
        <v>194629.37170000002</v>
      </c>
      <c r="M2469">
        <f t="shared" si="194"/>
        <v>123086</v>
      </c>
    </row>
    <row r="2470" spans="1:13" x14ac:dyDescent="0.2">
      <c r="A2470">
        <v>122</v>
      </c>
      <c r="B2470">
        <v>87</v>
      </c>
      <c r="C2470">
        <v>209</v>
      </c>
      <c r="D2470" s="51" t="s">
        <v>85</v>
      </c>
      <c r="E2470">
        <f>VLOOKUP(M2470,'MASS - 2016'!$A$1:$G$3418,6,FALSE)</f>
        <v>-3769.5720000000001</v>
      </c>
      <c r="F2470">
        <f>VLOOKUP(M2470,'MASS - 2016'!$A$1:$G$3418,7,FALSE)</f>
        <v>14.648</v>
      </c>
      <c r="G2470">
        <f t="shared" si="196"/>
        <v>-3769.5720000000001</v>
      </c>
      <c r="H2470">
        <f t="shared" si="192"/>
        <v>208.99595319803117</v>
      </c>
      <c r="I2470">
        <f t="shared" si="193"/>
        <v>194.67848917699999</v>
      </c>
      <c r="J2470">
        <f t="shared" si="195"/>
        <v>194634.03217699999</v>
      </c>
      <c r="M2470">
        <f t="shared" si="194"/>
        <v>122087</v>
      </c>
    </row>
    <row r="2471" spans="1:13" x14ac:dyDescent="0.2">
      <c r="A2471">
        <v>121</v>
      </c>
      <c r="B2471">
        <v>88</v>
      </c>
      <c r="C2471">
        <v>209</v>
      </c>
      <c r="D2471" s="51" t="s">
        <v>86</v>
      </c>
      <c r="E2471">
        <f>VLOOKUP(M2471,'MASS - 2016'!$A$1:$G$3418,6,FALSE)</f>
        <v>1858.2190000000001</v>
      </c>
      <c r="F2471">
        <f>VLOOKUP(M2471,'MASS - 2016'!$A$1:$G$3418,7,FALSE)</f>
        <v>5.7469999999999999</v>
      </c>
      <c r="G2471">
        <f t="shared" si="196"/>
        <v>1858.2190000000001</v>
      </c>
      <c r="H2471">
        <f t="shared" si="192"/>
        <v>209.001994880137</v>
      </c>
      <c r="I2471">
        <f t="shared" si="193"/>
        <v>194.68411696800001</v>
      </c>
      <c r="J2471">
        <f t="shared" si="195"/>
        <v>194639.14896800002</v>
      </c>
      <c r="M2471">
        <f t="shared" si="194"/>
        <v>121088</v>
      </c>
    </row>
    <row r="2472" spans="1:13" x14ac:dyDescent="0.2">
      <c r="A2472">
        <v>120</v>
      </c>
      <c r="B2472">
        <v>89</v>
      </c>
      <c r="C2472">
        <v>209</v>
      </c>
      <c r="D2472" s="51" t="s">
        <v>87</v>
      </c>
      <c r="E2472">
        <f>VLOOKUP(M2472,'MASS - 2016'!$A$1:$G$3418,6,FALSE)</f>
        <v>8843.8089999999993</v>
      </c>
      <c r="F2472">
        <f>VLOOKUP(M2472,'MASS - 2016'!$A$1:$G$3418,7,FALSE)</f>
        <v>50.607999999999997</v>
      </c>
      <c r="G2472">
        <f t="shared" si="196"/>
        <v>8843.8089999999993</v>
      </c>
      <c r="H2472">
        <f t="shared" si="192"/>
        <v>209.00949421941618</v>
      </c>
      <c r="I2472">
        <f t="shared" si="193"/>
        <v>194.69110255800001</v>
      </c>
      <c r="J2472">
        <f t="shared" si="195"/>
        <v>194645.62355800002</v>
      </c>
      <c r="M2472">
        <f t="shared" si="194"/>
        <v>120089</v>
      </c>
    </row>
    <row r="2473" spans="1:13" x14ac:dyDescent="0.2">
      <c r="A2473">
        <v>129</v>
      </c>
      <c r="B2473">
        <v>81</v>
      </c>
      <c r="C2473">
        <v>210</v>
      </c>
      <c r="D2473" s="51" t="s">
        <v>79</v>
      </c>
      <c r="E2473">
        <f>VLOOKUP(M2473,'MASS - 2016'!$A$1:$G$3418,6,FALSE)</f>
        <v>-9246.9689999999991</v>
      </c>
      <c r="F2473">
        <f>VLOOKUP(M2473,'MASS - 2016'!$A$1:$G$3418,7,FALSE)</f>
        <v>11.603999999999999</v>
      </c>
      <c r="G2473">
        <f t="shared" si="196"/>
        <v>-9246.9689999999991</v>
      </c>
      <c r="H2473">
        <f t="shared" si="192"/>
        <v>209.99007297052427</v>
      </c>
      <c r="I2473">
        <f t="shared" si="193"/>
        <v>195.60450584099999</v>
      </c>
      <c r="J2473">
        <f t="shared" si="195"/>
        <v>195563.114841</v>
      </c>
      <c r="M2473">
        <f t="shared" si="194"/>
        <v>129081</v>
      </c>
    </row>
    <row r="2474" spans="1:13" x14ac:dyDescent="0.2">
      <c r="A2474">
        <v>128</v>
      </c>
      <c r="B2474">
        <v>82</v>
      </c>
      <c r="C2474">
        <v>210</v>
      </c>
      <c r="D2474" s="51" t="s">
        <v>80</v>
      </c>
      <c r="E2474">
        <f>VLOOKUP(M2474,'MASS - 2016'!$A$1:$G$3418,6,FALSE)</f>
        <v>-14728.502</v>
      </c>
      <c r="F2474">
        <f>VLOOKUP(M2474,'MASS - 2016'!$A$1:$G$3418,7,FALSE)</f>
        <v>1.4470000000000001</v>
      </c>
      <c r="G2474">
        <f t="shared" si="196"/>
        <v>-14728.502</v>
      </c>
      <c r="H2474">
        <f t="shared" si="192"/>
        <v>209.98418830283879</v>
      </c>
      <c r="I2474">
        <f t="shared" si="193"/>
        <v>195.599024308</v>
      </c>
      <c r="J2474">
        <f t="shared" si="195"/>
        <v>195557.12230799999</v>
      </c>
      <c r="M2474">
        <f t="shared" si="194"/>
        <v>128082</v>
      </c>
    </row>
    <row r="2475" spans="1:13" x14ac:dyDescent="0.2">
      <c r="A2475">
        <v>127</v>
      </c>
      <c r="B2475">
        <v>83</v>
      </c>
      <c r="C2475">
        <v>210</v>
      </c>
      <c r="D2475" s="51" t="s">
        <v>81</v>
      </c>
      <c r="E2475">
        <f>VLOOKUP(M2475,'MASS - 2016'!$A$1:$G$3418,6,FALSE)</f>
        <v>-14791.978999999999</v>
      </c>
      <c r="F2475">
        <f>VLOOKUP(M2475,'MASS - 2016'!$A$1:$G$3418,7,FALSE)</f>
        <v>1.363</v>
      </c>
      <c r="G2475">
        <f t="shared" si="196"/>
        <v>-14791.978999999999</v>
      </c>
      <c r="H2475">
        <f t="shared" si="192"/>
        <v>209.98412015747678</v>
      </c>
      <c r="I2475">
        <f t="shared" si="193"/>
        <v>195.598960831</v>
      </c>
      <c r="J2475">
        <f t="shared" si="195"/>
        <v>195556.547831</v>
      </c>
      <c r="M2475">
        <f t="shared" si="194"/>
        <v>127083</v>
      </c>
    </row>
    <row r="2476" spans="1:13" x14ac:dyDescent="0.2">
      <c r="A2476">
        <v>126</v>
      </c>
      <c r="B2476">
        <v>84</v>
      </c>
      <c r="C2476">
        <v>210</v>
      </c>
      <c r="D2476" s="51" t="s">
        <v>82</v>
      </c>
      <c r="E2476">
        <f>VLOOKUP(M2476,'MASS - 2016'!$A$1:$G$3418,6,FALSE)</f>
        <v>-15953.137000000001</v>
      </c>
      <c r="F2476">
        <f>VLOOKUP(M2476,'MASS - 2016'!$A$1:$G$3418,7,FALSE)</f>
        <v>1.1459999999999999</v>
      </c>
      <c r="G2476">
        <f t="shared" si="196"/>
        <v>-15953.137000000001</v>
      </c>
      <c r="H2476">
        <f t="shared" si="192"/>
        <v>209.98287360309857</v>
      </c>
      <c r="I2476">
        <f t="shared" si="193"/>
        <v>195.597799673</v>
      </c>
      <c r="J2476">
        <f t="shared" si="195"/>
        <v>195554.875673</v>
      </c>
      <c r="M2476">
        <f t="shared" si="194"/>
        <v>126084</v>
      </c>
    </row>
    <row r="2477" spans="1:13" x14ac:dyDescent="0.2">
      <c r="A2477">
        <v>125</v>
      </c>
      <c r="B2477">
        <v>85</v>
      </c>
      <c r="C2477">
        <v>210</v>
      </c>
      <c r="D2477" s="51" t="s">
        <v>83</v>
      </c>
      <c r="E2477">
        <f>VLOOKUP(M2477,'MASS - 2016'!$A$1:$G$3418,6,FALSE)</f>
        <v>-11972.177</v>
      </c>
      <c r="F2477">
        <f>VLOOKUP(M2477,'MASS - 2016'!$A$1:$G$3418,7,FALSE)</f>
        <v>7.6950000000000003</v>
      </c>
      <c r="G2477">
        <f t="shared" si="196"/>
        <v>-11972.177</v>
      </c>
      <c r="H2477">
        <f t="shared" si="192"/>
        <v>209.98714733941821</v>
      </c>
      <c r="I2477">
        <f t="shared" si="193"/>
        <v>195.601780633</v>
      </c>
      <c r="J2477">
        <f t="shared" si="195"/>
        <v>195558.34563300002</v>
      </c>
      <c r="M2477">
        <f t="shared" si="194"/>
        <v>125085</v>
      </c>
    </row>
    <row r="2478" spans="1:13" x14ac:dyDescent="0.2">
      <c r="A2478">
        <v>124</v>
      </c>
      <c r="B2478">
        <v>86</v>
      </c>
      <c r="C2478">
        <v>210</v>
      </c>
      <c r="D2478" s="51" t="s">
        <v>84</v>
      </c>
      <c r="E2478">
        <f>VLOOKUP(M2478,'MASS - 2016'!$A$1:$G$3418,6,FALSE)</f>
        <v>-9604.77</v>
      </c>
      <c r="F2478">
        <f>VLOOKUP(M2478,'MASS - 2016'!$A$1:$G$3418,7,FALSE)</f>
        <v>4.5570000000000004</v>
      </c>
      <c r="G2478">
        <f t="shared" si="196"/>
        <v>-9604.77</v>
      </c>
      <c r="H2478">
        <f t="shared" si="192"/>
        <v>209.98968885535385</v>
      </c>
      <c r="I2478">
        <f t="shared" si="193"/>
        <v>195.60414803999998</v>
      </c>
      <c r="J2478">
        <f t="shared" si="195"/>
        <v>195560.20203999997</v>
      </c>
      <c r="M2478">
        <f t="shared" si="194"/>
        <v>124086</v>
      </c>
    </row>
    <row r="2479" spans="1:13" x14ac:dyDescent="0.2">
      <c r="A2479">
        <v>123</v>
      </c>
      <c r="B2479">
        <v>87</v>
      </c>
      <c r="C2479">
        <v>210</v>
      </c>
      <c r="D2479" s="51" t="s">
        <v>85</v>
      </c>
      <c r="E2479">
        <f>VLOOKUP(M2479,'MASS - 2016'!$A$1:$G$3418,6,FALSE)</f>
        <v>-3333.2049999999999</v>
      </c>
      <c r="F2479">
        <f>VLOOKUP(M2479,'MASS - 2016'!$A$1:$G$3418,7,FALSE)</f>
        <v>15.154</v>
      </c>
      <c r="G2479">
        <f t="shared" si="196"/>
        <v>-3333.2049999999999</v>
      </c>
      <c r="H2479">
        <f t="shared" si="192"/>
        <v>209.99642165727133</v>
      </c>
      <c r="I2479">
        <f t="shared" si="193"/>
        <v>195.610419605</v>
      </c>
      <c r="J2479">
        <f t="shared" si="195"/>
        <v>195565.96260500001</v>
      </c>
      <c r="M2479">
        <f t="shared" si="194"/>
        <v>123087</v>
      </c>
    </row>
    <row r="2480" spans="1:13" x14ac:dyDescent="0.2">
      <c r="A2480">
        <v>122</v>
      </c>
      <c r="B2480">
        <v>88</v>
      </c>
      <c r="C2480">
        <v>210</v>
      </c>
      <c r="D2480" s="51" t="s">
        <v>86</v>
      </c>
      <c r="E2480">
        <f>VLOOKUP(M2480,'MASS - 2016'!$A$1:$G$3418,6,FALSE)</f>
        <v>442.79199999999997</v>
      </c>
      <c r="F2480">
        <f>VLOOKUP(M2480,'MASS - 2016'!$A$1:$G$3418,7,FALSE)</f>
        <v>9.1929999999999996</v>
      </c>
      <c r="G2480">
        <f t="shared" si="196"/>
        <v>442.79199999999997</v>
      </c>
      <c r="H2480">
        <f t="shared" si="192"/>
        <v>210.00047535676129</v>
      </c>
      <c r="I2480">
        <f t="shared" si="193"/>
        <v>195.614195602</v>
      </c>
      <c r="J2480">
        <f t="shared" si="195"/>
        <v>195569.227602</v>
      </c>
      <c r="M2480">
        <f t="shared" si="194"/>
        <v>122088</v>
      </c>
    </row>
    <row r="2481" spans="1:13" x14ac:dyDescent="0.2">
      <c r="A2481">
        <v>121</v>
      </c>
      <c r="B2481">
        <v>89</v>
      </c>
      <c r="C2481">
        <v>210</v>
      </c>
      <c r="D2481" s="51" t="s">
        <v>87</v>
      </c>
      <c r="E2481">
        <f>VLOOKUP(M2481,'MASS - 2016'!$A$1:$G$3418,6,FALSE)</f>
        <v>8789.6990000000005</v>
      </c>
      <c r="F2481">
        <f>VLOOKUP(M2481,'MASS - 2016'!$A$1:$G$3418,7,FALSE)</f>
        <v>57.402000000000001</v>
      </c>
      <c r="G2481">
        <f t="shared" si="196"/>
        <v>8789.6990000000005</v>
      </c>
      <c r="H2481">
        <f t="shared" si="192"/>
        <v>210.00943612994223</v>
      </c>
      <c r="I2481">
        <f t="shared" si="193"/>
        <v>195.622542509</v>
      </c>
      <c r="J2481">
        <f t="shared" si="195"/>
        <v>195577.063509</v>
      </c>
      <c r="M2481">
        <f t="shared" si="194"/>
        <v>121089</v>
      </c>
    </row>
    <row r="2482" spans="1:13" x14ac:dyDescent="0.2">
      <c r="A2482">
        <v>120</v>
      </c>
      <c r="B2482">
        <v>90</v>
      </c>
      <c r="C2482">
        <v>210</v>
      </c>
      <c r="D2482" s="51" t="s">
        <v>88</v>
      </c>
      <c r="E2482">
        <f>VLOOKUP(M2482,'MASS - 2016'!$A$1:$G$3418,6,FALSE)</f>
        <v>14059.446</v>
      </c>
      <c r="F2482">
        <f>VLOOKUP(M2482,'MASS - 2016'!$A$1:$G$3418,7,FALSE)</f>
        <v>18.908999999999999</v>
      </c>
      <c r="G2482">
        <f t="shared" si="196"/>
        <v>14059.446</v>
      </c>
      <c r="H2482">
        <f t="shared" si="192"/>
        <v>210.01509343600637</v>
      </c>
      <c r="I2482">
        <f t="shared" si="193"/>
        <v>195.627812256</v>
      </c>
      <c r="J2482">
        <f t="shared" si="195"/>
        <v>195581.82225600001</v>
      </c>
      <c r="M2482">
        <f t="shared" si="194"/>
        <v>120090</v>
      </c>
    </row>
    <row r="2483" spans="1:13" x14ac:dyDescent="0.2">
      <c r="A2483">
        <v>129</v>
      </c>
      <c r="B2483">
        <v>82</v>
      </c>
      <c r="C2483">
        <v>211</v>
      </c>
      <c r="D2483" s="51" t="s">
        <v>80</v>
      </c>
      <c r="E2483">
        <f>VLOOKUP(M2483,'MASS - 2016'!$A$1:$G$3418,6,FALSE)</f>
        <v>-10492.948</v>
      </c>
      <c r="F2483">
        <f>VLOOKUP(M2483,'MASS - 2016'!$A$1:$G$3418,7,FALSE)</f>
        <v>2.2610000000000001</v>
      </c>
      <c r="G2483">
        <f t="shared" si="196"/>
        <v>-10492.948</v>
      </c>
      <c r="H2483">
        <f t="shared" si="192"/>
        <v>210.98873535705772</v>
      </c>
      <c r="I2483">
        <f t="shared" si="193"/>
        <v>196.53475392299998</v>
      </c>
      <c r="J2483">
        <f t="shared" si="195"/>
        <v>196492.85192299998</v>
      </c>
      <c r="M2483">
        <f t="shared" si="194"/>
        <v>129082</v>
      </c>
    </row>
    <row r="2484" spans="1:13" x14ac:dyDescent="0.2">
      <c r="A2484">
        <v>128</v>
      </c>
      <c r="B2484">
        <v>83</v>
      </c>
      <c r="C2484">
        <v>211</v>
      </c>
      <c r="D2484" s="51" t="s">
        <v>81</v>
      </c>
      <c r="E2484">
        <f>VLOOKUP(M2484,'MASS - 2016'!$A$1:$G$3418,6,FALSE)</f>
        <v>-11859.130999999999</v>
      </c>
      <c r="F2484">
        <f>VLOOKUP(M2484,'MASS - 2016'!$A$1:$G$3418,7,FALSE)</f>
        <v>5.4420000000000002</v>
      </c>
      <c r="G2484">
        <f t="shared" si="196"/>
        <v>-11859.130999999999</v>
      </c>
      <c r="H2484">
        <f t="shared" si="192"/>
        <v>210.98726869929018</v>
      </c>
      <c r="I2484">
        <f t="shared" si="193"/>
        <v>196.53338773999999</v>
      </c>
      <c r="J2484">
        <f t="shared" si="195"/>
        <v>196490.97474000001</v>
      </c>
      <c r="M2484">
        <f t="shared" si="194"/>
        <v>128083</v>
      </c>
    </row>
    <row r="2485" spans="1:13" x14ac:dyDescent="0.2">
      <c r="A2485">
        <v>127</v>
      </c>
      <c r="B2485">
        <v>84</v>
      </c>
      <c r="C2485">
        <v>211</v>
      </c>
      <c r="D2485" s="51" t="s">
        <v>82</v>
      </c>
      <c r="E2485">
        <f>VLOOKUP(M2485,'MASS - 2016'!$A$1:$G$3418,6,FALSE)</f>
        <v>-12432.571</v>
      </c>
      <c r="F2485">
        <f>VLOOKUP(M2485,'MASS - 2016'!$A$1:$G$3418,7,FALSE)</f>
        <v>1.2549999999999999</v>
      </c>
      <c r="G2485">
        <f t="shared" si="196"/>
        <v>-12432.571</v>
      </c>
      <c r="H2485">
        <f t="shared" si="192"/>
        <v>210.98665308613275</v>
      </c>
      <c r="I2485">
        <f t="shared" si="193"/>
        <v>196.53281429999998</v>
      </c>
      <c r="J2485">
        <f t="shared" si="195"/>
        <v>196489.8903</v>
      </c>
      <c r="M2485">
        <f t="shared" si="194"/>
        <v>127084</v>
      </c>
    </row>
    <row r="2486" spans="1:13" x14ac:dyDescent="0.2">
      <c r="A2486">
        <v>126</v>
      </c>
      <c r="B2486">
        <v>85</v>
      </c>
      <c r="C2486">
        <v>211</v>
      </c>
      <c r="D2486" s="51" t="s">
        <v>83</v>
      </c>
      <c r="E2486">
        <f>VLOOKUP(M2486,'MASS - 2016'!$A$1:$G$3418,6,FALSE)</f>
        <v>-11647.263999999999</v>
      </c>
      <c r="F2486">
        <f>VLOOKUP(M2486,'MASS - 2016'!$A$1:$G$3418,7,FALSE)</f>
        <v>2.7290000000000001</v>
      </c>
      <c r="G2486">
        <f t="shared" si="196"/>
        <v>-11647.263999999999</v>
      </c>
      <c r="H2486">
        <f t="shared" si="192"/>
        <v>210.9874961478686</v>
      </c>
      <c r="I2486">
        <f t="shared" si="193"/>
        <v>196.53359960699999</v>
      </c>
      <c r="J2486">
        <f t="shared" si="195"/>
        <v>196490.16460699998</v>
      </c>
      <c r="M2486">
        <f t="shared" si="194"/>
        <v>126085</v>
      </c>
    </row>
    <row r="2487" spans="1:13" x14ac:dyDescent="0.2">
      <c r="A2487">
        <v>125</v>
      </c>
      <c r="B2487">
        <v>86</v>
      </c>
      <c r="C2487">
        <v>211</v>
      </c>
      <c r="D2487" s="51" t="s">
        <v>84</v>
      </c>
      <c r="E2487">
        <f>VLOOKUP(M2487,'MASS - 2016'!$A$1:$G$3418,6,FALSE)</f>
        <v>-8755.4040000000005</v>
      </c>
      <c r="F2487">
        <f>VLOOKUP(M2487,'MASS - 2016'!$A$1:$G$3418,7,FALSE)</f>
        <v>6.8129999999999997</v>
      </c>
      <c r="G2487">
        <f t="shared" si="196"/>
        <v>-8755.4040000000005</v>
      </c>
      <c r="H2487">
        <f t="shared" si="192"/>
        <v>210.99060068725441</v>
      </c>
      <c r="I2487">
        <f t="shared" si="193"/>
        <v>196.53649146699999</v>
      </c>
      <c r="J2487">
        <f t="shared" si="195"/>
        <v>196492.54546699999</v>
      </c>
      <c r="M2487">
        <f t="shared" si="194"/>
        <v>125086</v>
      </c>
    </row>
    <row r="2488" spans="1:13" x14ac:dyDescent="0.2">
      <c r="A2488">
        <v>124</v>
      </c>
      <c r="B2488">
        <v>87</v>
      </c>
      <c r="C2488">
        <v>211</v>
      </c>
      <c r="D2488" s="51" t="s">
        <v>85</v>
      </c>
      <c r="E2488">
        <f>VLOOKUP(M2488,'MASS - 2016'!$A$1:$G$3418,6,FALSE)</f>
        <v>-4140.2489999999998</v>
      </c>
      <c r="F2488">
        <f>VLOOKUP(M2488,'MASS - 2016'!$A$1:$G$3418,7,FALSE)</f>
        <v>11.991</v>
      </c>
      <c r="G2488">
        <f t="shared" si="196"/>
        <v>-4140.2489999999998</v>
      </c>
      <c r="H2488">
        <f t="shared" si="192"/>
        <v>210.99555525990627</v>
      </c>
      <c r="I2488">
        <f t="shared" si="193"/>
        <v>196.541106622</v>
      </c>
      <c r="J2488">
        <f t="shared" si="195"/>
        <v>196496.649622</v>
      </c>
      <c r="M2488">
        <f t="shared" si="194"/>
        <v>124087</v>
      </c>
    </row>
    <row r="2489" spans="1:13" x14ac:dyDescent="0.2">
      <c r="A2489">
        <v>123</v>
      </c>
      <c r="B2489">
        <v>88</v>
      </c>
      <c r="C2489">
        <v>211</v>
      </c>
      <c r="D2489" s="51" t="s">
        <v>86</v>
      </c>
      <c r="E2489">
        <f>VLOOKUP(M2489,'MASS - 2016'!$A$1:$G$3418,6,FALSE)</f>
        <v>832.02300000000002</v>
      </c>
      <c r="F2489">
        <f>VLOOKUP(M2489,'MASS - 2016'!$A$1:$G$3418,7,FALSE)</f>
        <v>7.9180000000000001</v>
      </c>
      <c r="G2489">
        <f t="shared" si="196"/>
        <v>832.02300000000002</v>
      </c>
      <c r="H2489">
        <f t="shared" si="192"/>
        <v>211.00089321342435</v>
      </c>
      <c r="I2489">
        <f t="shared" si="193"/>
        <v>196.54607889399998</v>
      </c>
      <c r="J2489">
        <f t="shared" si="195"/>
        <v>196501.11089399998</v>
      </c>
      <c r="M2489">
        <f t="shared" si="194"/>
        <v>123088</v>
      </c>
    </row>
    <row r="2490" spans="1:13" x14ac:dyDescent="0.2">
      <c r="A2490">
        <v>122</v>
      </c>
      <c r="B2490">
        <v>89</v>
      </c>
      <c r="C2490">
        <v>211</v>
      </c>
      <c r="D2490" s="51" t="s">
        <v>87</v>
      </c>
      <c r="E2490">
        <f>VLOOKUP(M2490,'MASS - 2016'!$A$1:$G$3418,6,FALSE)</f>
        <v>7202.2139999999999</v>
      </c>
      <c r="F2490">
        <f>VLOOKUP(M2490,'MASS - 2016'!$A$1:$G$3418,7,FALSE)</f>
        <v>52.975999999999999</v>
      </c>
      <c r="G2490">
        <f t="shared" si="196"/>
        <v>7202.2139999999999</v>
      </c>
      <c r="H2490">
        <f t="shared" si="192"/>
        <v>211.00773189470715</v>
      </c>
      <c r="I2490">
        <f t="shared" si="193"/>
        <v>196.55244908499998</v>
      </c>
      <c r="J2490">
        <f t="shared" si="195"/>
        <v>196506.97008499998</v>
      </c>
      <c r="M2490">
        <f t="shared" si="194"/>
        <v>122089</v>
      </c>
    </row>
    <row r="2491" spans="1:13" x14ac:dyDescent="0.2">
      <c r="A2491">
        <v>121</v>
      </c>
      <c r="B2491">
        <v>90</v>
      </c>
      <c r="C2491">
        <v>211</v>
      </c>
      <c r="D2491" s="51" t="s">
        <v>88</v>
      </c>
      <c r="E2491">
        <f>VLOOKUP(M2491,'MASS - 2016'!$A$1:$G$3418,6,FALSE)</f>
        <v>13910.171</v>
      </c>
      <c r="F2491">
        <f>VLOOKUP(M2491,'MASS - 2016'!$A$1:$G$3418,7,FALSE)</f>
        <v>73.010000000000005</v>
      </c>
      <c r="G2491">
        <f t="shared" si="196"/>
        <v>13910.171</v>
      </c>
      <c r="H2491">
        <f t="shared" si="192"/>
        <v>211.01493318270334</v>
      </c>
      <c r="I2491">
        <f t="shared" si="193"/>
        <v>196.55915704199998</v>
      </c>
      <c r="J2491">
        <f t="shared" si="195"/>
        <v>196513.16704199999</v>
      </c>
      <c r="M2491">
        <f t="shared" si="194"/>
        <v>121090</v>
      </c>
    </row>
    <row r="2492" spans="1:13" x14ac:dyDescent="0.2">
      <c r="A2492">
        <v>130</v>
      </c>
      <c r="B2492">
        <v>82</v>
      </c>
      <c r="C2492">
        <v>212</v>
      </c>
      <c r="D2492" s="51" t="s">
        <v>80</v>
      </c>
      <c r="E2492">
        <f>VLOOKUP(M2492,'MASS - 2016'!$A$1:$G$3418,6,FALSE)</f>
        <v>-7548.85</v>
      </c>
      <c r="F2492">
        <f>VLOOKUP(M2492,'MASS - 2016'!$A$1:$G$3418,7,FALSE)</f>
        <v>1.8420000000000001</v>
      </c>
      <c r="G2492">
        <f t="shared" si="196"/>
        <v>-7548.85</v>
      </c>
      <c r="H2492">
        <f t="shared" si="192"/>
        <v>211.99189597624283</v>
      </c>
      <c r="I2492">
        <f t="shared" si="193"/>
        <v>197.46919208199998</v>
      </c>
      <c r="J2492">
        <f t="shared" si="195"/>
        <v>197427.29008199996</v>
      </c>
      <c r="M2492">
        <f t="shared" si="194"/>
        <v>130082</v>
      </c>
    </row>
    <row r="2493" spans="1:13" x14ac:dyDescent="0.2">
      <c r="A2493">
        <v>129</v>
      </c>
      <c r="B2493">
        <v>83</v>
      </c>
      <c r="C2493">
        <v>212</v>
      </c>
      <c r="D2493" s="51" t="s">
        <v>81</v>
      </c>
      <c r="E2493">
        <f>VLOOKUP(M2493,'MASS - 2016'!$A$1:$G$3418,6,FALSE)</f>
        <v>-8117.9539999999997</v>
      </c>
      <c r="F2493">
        <f>VLOOKUP(M2493,'MASS - 2016'!$A$1:$G$3418,7,FALSE)</f>
        <v>1.8540000000000001</v>
      </c>
      <c r="G2493">
        <f t="shared" si="196"/>
        <v>-8117.9539999999997</v>
      </c>
      <c r="H2493">
        <f t="shared" si="192"/>
        <v>211.99128501797284</v>
      </c>
      <c r="I2493">
        <f t="shared" si="193"/>
        <v>197.46862297799998</v>
      </c>
      <c r="J2493">
        <f t="shared" si="195"/>
        <v>197426.20997799997</v>
      </c>
      <c r="M2493">
        <f t="shared" si="194"/>
        <v>129083</v>
      </c>
    </row>
    <row r="2494" spans="1:13" x14ac:dyDescent="0.2">
      <c r="A2494">
        <v>128</v>
      </c>
      <c r="B2494">
        <v>84</v>
      </c>
      <c r="C2494">
        <v>212</v>
      </c>
      <c r="D2494" s="51" t="s">
        <v>82</v>
      </c>
      <c r="E2494">
        <f>VLOOKUP(M2494,'MASS - 2016'!$A$1:$G$3418,6,FALSE)</f>
        <v>-10369.486999999999</v>
      </c>
      <c r="F2494">
        <f>VLOOKUP(M2494,'MASS - 2016'!$A$1:$G$3418,7,FALSE)</f>
        <v>1.1519999999999999</v>
      </c>
      <c r="G2494">
        <f t="shared" si="196"/>
        <v>-10369.486999999999</v>
      </c>
      <c r="H2494">
        <f t="shared" si="192"/>
        <v>211.98886789789205</v>
      </c>
      <c r="I2494">
        <f t="shared" si="193"/>
        <v>197.46637144499999</v>
      </c>
      <c r="J2494">
        <f t="shared" si="195"/>
        <v>197423.447445</v>
      </c>
      <c r="M2494">
        <f t="shared" si="194"/>
        <v>128084</v>
      </c>
    </row>
    <row r="2495" spans="1:13" x14ac:dyDescent="0.2">
      <c r="A2495">
        <v>127</v>
      </c>
      <c r="B2495">
        <v>85</v>
      </c>
      <c r="C2495">
        <v>212</v>
      </c>
      <c r="D2495" s="51" t="s">
        <v>83</v>
      </c>
      <c r="E2495">
        <f>VLOOKUP(M2495,'MASS - 2016'!$A$1:$G$3418,6,FALSE)</f>
        <v>-8628.2209999999995</v>
      </c>
      <c r="F2495">
        <f>VLOOKUP(M2495,'MASS - 2016'!$A$1:$G$3418,7,FALSE)</f>
        <v>2.3839999999999999</v>
      </c>
      <c r="G2495">
        <f t="shared" si="196"/>
        <v>-8628.2209999999995</v>
      </c>
      <c r="H2495">
        <f t="shared" si="192"/>
        <v>211.99073722382002</v>
      </c>
      <c r="I2495">
        <f t="shared" si="193"/>
        <v>197.46811271099997</v>
      </c>
      <c r="J2495">
        <f t="shared" si="195"/>
        <v>197424.67771099997</v>
      </c>
      <c r="M2495">
        <f t="shared" si="194"/>
        <v>127085</v>
      </c>
    </row>
    <row r="2496" spans="1:13" x14ac:dyDescent="0.2">
      <c r="A2496">
        <v>126</v>
      </c>
      <c r="B2496">
        <v>86</v>
      </c>
      <c r="C2496">
        <v>212</v>
      </c>
      <c r="D2496" s="51" t="s">
        <v>84</v>
      </c>
      <c r="E2496">
        <f>VLOOKUP(M2496,'MASS - 2016'!$A$1:$G$3418,6,FALSE)</f>
        <v>-8659.6080000000002</v>
      </c>
      <c r="F2496">
        <f>VLOOKUP(M2496,'MASS - 2016'!$A$1:$G$3418,7,FALSE)</f>
        <v>3.145</v>
      </c>
      <c r="G2496">
        <f t="shared" si="196"/>
        <v>-8659.6080000000002</v>
      </c>
      <c r="H2496">
        <f t="shared" si="192"/>
        <v>211.9907035284898</v>
      </c>
      <c r="I2496">
        <f t="shared" si="193"/>
        <v>197.468081324</v>
      </c>
      <c r="J2496">
        <f t="shared" si="195"/>
        <v>197424.135324</v>
      </c>
      <c r="M2496">
        <f t="shared" si="194"/>
        <v>126086</v>
      </c>
    </row>
    <row r="2497" spans="1:13" x14ac:dyDescent="0.2">
      <c r="A2497">
        <v>125</v>
      </c>
      <c r="B2497">
        <v>87</v>
      </c>
      <c r="C2497">
        <v>212</v>
      </c>
      <c r="D2497" s="51" t="s">
        <v>85</v>
      </c>
      <c r="E2497">
        <f>VLOOKUP(M2497,'MASS - 2016'!$A$1:$G$3418,6,FALSE)</f>
        <v>-3515.9679999999998</v>
      </c>
      <c r="F2497">
        <f>VLOOKUP(M2497,'MASS - 2016'!$A$1:$G$3418,7,FALSE)</f>
        <v>8.7750000000000004</v>
      </c>
      <c r="G2497">
        <f t="shared" si="196"/>
        <v>-3515.9679999999998</v>
      </c>
      <c r="H2497">
        <f t="shared" si="192"/>
        <v>211.99622545312181</v>
      </c>
      <c r="I2497">
        <f t="shared" si="193"/>
        <v>197.473224964</v>
      </c>
      <c r="J2497">
        <f t="shared" si="195"/>
        <v>197428.767964</v>
      </c>
      <c r="M2497">
        <f t="shared" si="194"/>
        <v>125087</v>
      </c>
    </row>
    <row r="2498" spans="1:13" x14ac:dyDescent="0.2">
      <c r="A2498">
        <v>124</v>
      </c>
      <c r="B2498">
        <v>88</v>
      </c>
      <c r="C2498">
        <v>212</v>
      </c>
      <c r="D2498" s="51" t="s">
        <v>86</v>
      </c>
      <c r="E2498">
        <f>VLOOKUP(M2498,'MASS - 2016'!$A$1:$G$3418,6,FALSE)</f>
        <v>-198.96799999999999</v>
      </c>
      <c r="F2498">
        <f>VLOOKUP(M2498,'MASS - 2016'!$A$1:$G$3418,7,FALSE)</f>
        <v>11.263</v>
      </c>
      <c r="G2498">
        <f t="shared" si="196"/>
        <v>-198.96799999999999</v>
      </c>
      <c r="H2498">
        <f t="shared" si="192"/>
        <v>211.99978639906752</v>
      </c>
      <c r="I2498">
        <f t="shared" si="193"/>
        <v>197.47654196399998</v>
      </c>
      <c r="J2498">
        <f t="shared" si="195"/>
        <v>197431.57396399998</v>
      </c>
      <c r="M2498">
        <f t="shared" si="194"/>
        <v>124088</v>
      </c>
    </row>
    <row r="2499" spans="1:13" x14ac:dyDescent="0.2">
      <c r="A2499">
        <v>123</v>
      </c>
      <c r="B2499">
        <v>89</v>
      </c>
      <c r="C2499">
        <v>212</v>
      </c>
      <c r="D2499" s="51" t="s">
        <v>87</v>
      </c>
      <c r="E2499">
        <f>VLOOKUP(M2499,'MASS - 2016'!$A$1:$G$3418,6,FALSE)</f>
        <v>7277.2979999999998</v>
      </c>
      <c r="F2499">
        <f>VLOOKUP(M2499,'MASS - 2016'!$A$1:$G$3418,7,FALSE)</f>
        <v>51.381</v>
      </c>
      <c r="G2499">
        <f t="shared" si="196"/>
        <v>7277.2979999999998</v>
      </c>
      <c r="H2499">
        <f t="shared" si="192"/>
        <v>212.0078125006961</v>
      </c>
      <c r="I2499">
        <f t="shared" si="193"/>
        <v>197.48401822999998</v>
      </c>
      <c r="J2499">
        <f t="shared" si="195"/>
        <v>197438.53922999999</v>
      </c>
      <c r="M2499">
        <f t="shared" si="194"/>
        <v>123089</v>
      </c>
    </row>
    <row r="2500" spans="1:13" x14ac:dyDescent="0.2">
      <c r="A2500">
        <v>122</v>
      </c>
      <c r="B2500">
        <v>90</v>
      </c>
      <c r="C2500">
        <v>212</v>
      </c>
      <c r="D2500" s="51" t="s">
        <v>88</v>
      </c>
      <c r="E2500">
        <f>VLOOKUP(M2500,'MASS - 2016'!$A$1:$G$3418,6,FALSE)</f>
        <v>12110.808000000001</v>
      </c>
      <c r="F2500">
        <f>VLOOKUP(M2500,'MASS - 2016'!$A$1:$G$3418,7,FALSE)</f>
        <v>10.109</v>
      </c>
      <c r="G2500">
        <f t="shared" si="196"/>
        <v>12110.808000000001</v>
      </c>
      <c r="H2500">
        <f t="shared" si="192"/>
        <v>212.01300148708086</v>
      </c>
      <c r="I2500">
        <f t="shared" si="193"/>
        <v>197.48885173999997</v>
      </c>
      <c r="J2500">
        <f t="shared" si="195"/>
        <v>197442.86173999999</v>
      </c>
      <c r="M2500">
        <f t="shared" si="194"/>
        <v>122090</v>
      </c>
    </row>
    <row r="2501" spans="1:13" x14ac:dyDescent="0.2">
      <c r="A2501">
        <v>131</v>
      </c>
      <c r="B2501">
        <v>82</v>
      </c>
      <c r="C2501">
        <v>213</v>
      </c>
      <c r="D2501" s="51" t="s">
        <v>80</v>
      </c>
      <c r="E2501">
        <f>VLOOKUP(M2501,'MASS - 2016'!$A$1:$G$3418,6,FALSE)</f>
        <v>-3203.5320000000002</v>
      </c>
      <c r="F2501">
        <f>VLOOKUP(M2501,'MASS - 2016'!$A$1:$G$3418,7,FALSE)</f>
        <v>6.9539999999999997</v>
      </c>
      <c r="G2501">
        <f t="shared" si="196"/>
        <v>-3203.5320000000002</v>
      </c>
      <c r="H2501">
        <f t="shared" si="192"/>
        <v>212.99656086696191</v>
      </c>
      <c r="I2501">
        <f t="shared" si="193"/>
        <v>198.40503146100002</v>
      </c>
      <c r="J2501">
        <f t="shared" si="195"/>
        <v>198363.12946100003</v>
      </c>
      <c r="M2501">
        <f t="shared" si="194"/>
        <v>131082</v>
      </c>
    </row>
    <row r="2502" spans="1:13" x14ac:dyDescent="0.2">
      <c r="A2502">
        <v>130</v>
      </c>
      <c r="B2502">
        <v>83</v>
      </c>
      <c r="C2502">
        <v>213</v>
      </c>
      <c r="D2502" s="51" t="s">
        <v>81</v>
      </c>
      <c r="E2502">
        <f>VLOOKUP(M2502,'MASS - 2016'!$A$1:$G$3418,6,FALSE)</f>
        <v>-5231.6350000000002</v>
      </c>
      <c r="F2502">
        <f>VLOOKUP(M2502,'MASS - 2016'!$A$1:$G$3418,7,FALSE)</f>
        <v>5.0819999999999999</v>
      </c>
      <c r="G2502">
        <f t="shared" si="196"/>
        <v>-5231.6350000000002</v>
      </c>
      <c r="H2502">
        <f t="shared" si="192"/>
        <v>212.99438360885051</v>
      </c>
      <c r="I2502">
        <f t="shared" si="193"/>
        <v>198.40300335800001</v>
      </c>
      <c r="J2502">
        <f t="shared" si="195"/>
        <v>198360.59035800002</v>
      </c>
      <c r="M2502">
        <f t="shared" si="194"/>
        <v>130083</v>
      </c>
    </row>
    <row r="2503" spans="1:13" x14ac:dyDescent="0.2">
      <c r="A2503">
        <v>129</v>
      </c>
      <c r="B2503">
        <v>84</v>
      </c>
      <c r="C2503">
        <v>213</v>
      </c>
      <c r="D2503" s="51" t="s">
        <v>82</v>
      </c>
      <c r="E2503">
        <f>VLOOKUP(M2503,'MASS - 2016'!$A$1:$G$3418,6,FALSE)</f>
        <v>-6653.5839999999998</v>
      </c>
      <c r="F2503">
        <f>VLOOKUP(M2503,'MASS - 2016'!$A$1:$G$3418,7,FALSE)</f>
        <v>3.0529999999999999</v>
      </c>
      <c r="G2503">
        <f t="shared" si="196"/>
        <v>-6653.5839999999998</v>
      </c>
      <c r="H2503">
        <f t="shared" si="192"/>
        <v>212.9928570838199</v>
      </c>
      <c r="I2503">
        <f t="shared" si="193"/>
        <v>198.40158140900002</v>
      </c>
      <c r="J2503">
        <f t="shared" si="195"/>
        <v>198358.65740900001</v>
      </c>
      <c r="M2503">
        <f t="shared" si="194"/>
        <v>129084</v>
      </c>
    </row>
    <row r="2504" spans="1:13" x14ac:dyDescent="0.2">
      <c r="A2504">
        <v>128</v>
      </c>
      <c r="B2504">
        <v>85</v>
      </c>
      <c r="C2504">
        <v>213</v>
      </c>
      <c r="D2504" s="51" t="s">
        <v>83</v>
      </c>
      <c r="E2504">
        <f>VLOOKUP(M2504,'MASS - 2016'!$A$1:$G$3418,6,FALSE)</f>
        <v>-6579.5950000000003</v>
      </c>
      <c r="F2504">
        <f>VLOOKUP(M2504,'MASS - 2016'!$A$1:$G$3418,7,FALSE)</f>
        <v>4.8979999999999997</v>
      </c>
      <c r="G2504">
        <f t="shared" si="196"/>
        <v>-6579.5950000000003</v>
      </c>
      <c r="H2504">
        <f t="shared" si="192"/>
        <v>212.992936514278</v>
      </c>
      <c r="I2504">
        <f t="shared" si="193"/>
        <v>198.401655398</v>
      </c>
      <c r="J2504">
        <f t="shared" si="195"/>
        <v>198358.220398</v>
      </c>
      <c r="M2504">
        <f t="shared" si="194"/>
        <v>128085</v>
      </c>
    </row>
    <row r="2505" spans="1:13" x14ac:dyDescent="0.2">
      <c r="A2505">
        <v>127</v>
      </c>
      <c r="B2505">
        <v>86</v>
      </c>
      <c r="C2505">
        <v>213</v>
      </c>
      <c r="D2505" s="51" t="s">
        <v>84</v>
      </c>
      <c r="E2505">
        <f>VLOOKUP(M2505,'MASS - 2016'!$A$1:$G$3418,6,FALSE)</f>
        <v>-5696.0259999999998</v>
      </c>
      <c r="F2505">
        <f>VLOOKUP(M2505,'MASS - 2016'!$A$1:$G$3418,7,FALSE)</f>
        <v>3.37</v>
      </c>
      <c r="G2505">
        <f t="shared" si="196"/>
        <v>-5696.0259999999998</v>
      </c>
      <c r="H2505">
        <f t="shared" ref="H2505:H2568" si="197">(C2505*$A$3+G2505/1000000)/$A$3</f>
        <v>212.99388506460912</v>
      </c>
      <c r="I2505">
        <f t="shared" ref="I2505:I2568" si="198">H2505*$A$3</f>
        <v>198.402538967</v>
      </c>
      <c r="J2505">
        <f t="shared" si="195"/>
        <v>198358.592967</v>
      </c>
      <c r="M2505">
        <f t="shared" ref="M2505:M2568" si="199">1000*A2505+B2505</f>
        <v>127086</v>
      </c>
    </row>
    <row r="2506" spans="1:13" x14ac:dyDescent="0.2">
      <c r="A2506">
        <v>126</v>
      </c>
      <c r="B2506">
        <v>87</v>
      </c>
      <c r="C2506">
        <v>213</v>
      </c>
      <c r="D2506" s="51" t="s">
        <v>85</v>
      </c>
      <c r="E2506">
        <f>VLOOKUP(M2506,'MASS - 2016'!$A$1:$G$3418,6,FALSE)</f>
        <v>-3552.848</v>
      </c>
      <c r="F2506">
        <f>VLOOKUP(M2506,'MASS - 2016'!$A$1:$G$3418,7,FALSE)</f>
        <v>5.0910000000000002</v>
      </c>
      <c r="G2506">
        <f t="shared" si="196"/>
        <v>-3552.848</v>
      </c>
      <c r="H2506">
        <f t="shared" si="197"/>
        <v>212.99618586081357</v>
      </c>
      <c r="I2506">
        <f t="shared" si="198"/>
        <v>198.40468214500001</v>
      </c>
      <c r="J2506">
        <f t="shared" si="195"/>
        <v>198360.225145</v>
      </c>
      <c r="M2506">
        <f t="shared" si="199"/>
        <v>126087</v>
      </c>
    </row>
    <row r="2507" spans="1:13" x14ac:dyDescent="0.2">
      <c r="A2507">
        <v>125</v>
      </c>
      <c r="B2507">
        <v>88</v>
      </c>
      <c r="C2507">
        <v>213</v>
      </c>
      <c r="D2507" s="51" t="s">
        <v>86</v>
      </c>
      <c r="E2507">
        <f>VLOOKUP(M2507,'MASS - 2016'!$A$1:$G$3418,6,FALSE)</f>
        <v>345.55700000000002</v>
      </c>
      <c r="F2507">
        <f>VLOOKUP(M2507,'MASS - 2016'!$A$1:$G$3418,7,FALSE)</f>
        <v>9.8179999999999996</v>
      </c>
      <c r="G2507">
        <f t="shared" si="196"/>
        <v>345.55700000000002</v>
      </c>
      <c r="H2507">
        <f t="shared" si="197"/>
        <v>213.00037097069588</v>
      </c>
      <c r="I2507">
        <f t="shared" si="198"/>
        <v>198.40858055000001</v>
      </c>
      <c r="J2507">
        <f t="shared" si="195"/>
        <v>198363.61255000002</v>
      </c>
      <c r="M2507">
        <f t="shared" si="199"/>
        <v>125088</v>
      </c>
    </row>
    <row r="2508" spans="1:13" x14ac:dyDescent="0.2">
      <c r="A2508">
        <v>124</v>
      </c>
      <c r="B2508">
        <v>89</v>
      </c>
      <c r="C2508">
        <v>213</v>
      </c>
      <c r="D2508" s="51" t="s">
        <v>87</v>
      </c>
      <c r="E2508">
        <f>VLOOKUP(M2508,'MASS - 2016'!$A$1:$G$3418,6,FALSE)</f>
        <v>6154.692</v>
      </c>
      <c r="F2508">
        <f>VLOOKUP(M2508,'MASS - 2016'!$A$1:$G$3418,7,FALSE)</f>
        <v>15.272</v>
      </c>
      <c r="G2508">
        <f t="shared" si="196"/>
        <v>6154.692</v>
      </c>
      <c r="H2508">
        <f t="shared" si="197"/>
        <v>213.006607333592</v>
      </c>
      <c r="I2508">
        <f t="shared" si="198"/>
        <v>198.414389685</v>
      </c>
      <c r="J2508">
        <f t="shared" ref="J2508:J2571" si="200">1000*I2508-B2508*0.511</f>
        <v>198368.91068500001</v>
      </c>
      <c r="M2508">
        <f t="shared" si="199"/>
        <v>124089</v>
      </c>
    </row>
    <row r="2509" spans="1:13" x14ac:dyDescent="0.2">
      <c r="A2509">
        <v>123</v>
      </c>
      <c r="B2509">
        <v>90</v>
      </c>
      <c r="C2509">
        <v>213</v>
      </c>
      <c r="D2509" s="51" t="s">
        <v>88</v>
      </c>
      <c r="E2509">
        <f>VLOOKUP(M2509,'MASS - 2016'!$A$1:$G$3418,6,FALSE)</f>
        <v>12120.085999999999</v>
      </c>
      <c r="F2509">
        <f>VLOOKUP(M2509,'MASS - 2016'!$A$1:$G$3418,7,FALSE)</f>
        <v>9.2170000000000005</v>
      </c>
      <c r="G2509">
        <f t="shared" si="196"/>
        <v>12120.085999999999</v>
      </c>
      <c r="H2509">
        <f t="shared" si="197"/>
        <v>213.01301144742351</v>
      </c>
      <c r="I2509">
        <f t="shared" si="198"/>
        <v>198.42035507900002</v>
      </c>
      <c r="J2509">
        <f t="shared" si="200"/>
        <v>198374.36507900004</v>
      </c>
      <c r="M2509">
        <f t="shared" si="199"/>
        <v>123090</v>
      </c>
    </row>
    <row r="2510" spans="1:13" x14ac:dyDescent="0.2">
      <c r="A2510">
        <v>122</v>
      </c>
      <c r="B2510">
        <v>91</v>
      </c>
      <c r="C2510">
        <v>213</v>
      </c>
      <c r="D2510" s="51" t="s">
        <v>89</v>
      </c>
      <c r="E2510">
        <f>VLOOKUP(M2510,'MASS - 2016'!$A$1:$G$3418,6,FALSE)</f>
        <v>19662.625</v>
      </c>
      <c r="F2510">
        <f>VLOOKUP(M2510,'MASS - 2016'!$A$1:$G$3418,7,FALSE)</f>
        <v>71.141999999999996</v>
      </c>
      <c r="G2510">
        <f t="shared" si="196"/>
        <v>19662.625</v>
      </c>
      <c r="H2510">
        <f t="shared" si="197"/>
        <v>213.02110869604354</v>
      </c>
      <c r="I2510">
        <f t="shared" si="198"/>
        <v>198.427897618</v>
      </c>
      <c r="J2510">
        <f t="shared" si="200"/>
        <v>198381.39661800003</v>
      </c>
      <c r="M2510">
        <f t="shared" si="199"/>
        <v>122091</v>
      </c>
    </row>
    <row r="2511" spans="1:13" x14ac:dyDescent="0.2">
      <c r="A2511">
        <v>132</v>
      </c>
      <c r="B2511">
        <v>82</v>
      </c>
      <c r="C2511">
        <v>214</v>
      </c>
      <c r="D2511" s="51" t="s">
        <v>80</v>
      </c>
      <c r="E2511">
        <f>VLOOKUP(M2511,'MASS - 2016'!$A$1:$G$3418,6,FALSE)</f>
        <v>-182.76900000000001</v>
      </c>
      <c r="F2511">
        <f>VLOOKUP(M2511,'MASS - 2016'!$A$1:$G$3418,7,FALSE)</f>
        <v>1.9750000000000001</v>
      </c>
      <c r="G2511">
        <f t="shared" ref="G2511:G2574" si="201">IF(ISNUMBER(E2511),E2511,VALUE(SUBSTITUTE(E2511,"#",".01")))</f>
        <v>-182.76900000000001</v>
      </c>
      <c r="H2511">
        <f t="shared" si="197"/>
        <v>213.99980378940924</v>
      </c>
      <c r="I2511">
        <f t="shared" si="198"/>
        <v>199.33954628500001</v>
      </c>
      <c r="J2511">
        <f t="shared" si="200"/>
        <v>199297.64428500002</v>
      </c>
      <c r="M2511">
        <f t="shared" si="199"/>
        <v>132082</v>
      </c>
    </row>
    <row r="2512" spans="1:13" x14ac:dyDescent="0.2">
      <c r="A2512">
        <v>131</v>
      </c>
      <c r="B2512">
        <v>83</v>
      </c>
      <c r="C2512">
        <v>214</v>
      </c>
      <c r="D2512" s="51" t="s">
        <v>81</v>
      </c>
      <c r="E2512">
        <f>VLOOKUP(M2512,'MASS - 2016'!$A$1:$G$3418,6,FALSE)</f>
        <v>-1200.7529999999999</v>
      </c>
      <c r="F2512">
        <f>VLOOKUP(M2512,'MASS - 2016'!$A$1:$G$3418,7,FALSE)</f>
        <v>11.209</v>
      </c>
      <c r="G2512">
        <f t="shared" si="201"/>
        <v>-1200.7529999999999</v>
      </c>
      <c r="H2512">
        <f t="shared" si="197"/>
        <v>213.99871093864118</v>
      </c>
      <c r="I2512">
        <f t="shared" si="198"/>
        <v>199.338528301</v>
      </c>
      <c r="J2512">
        <f t="shared" si="200"/>
        <v>199296.11530099998</v>
      </c>
      <c r="M2512">
        <f t="shared" si="199"/>
        <v>131083</v>
      </c>
    </row>
    <row r="2513" spans="1:13" x14ac:dyDescent="0.2">
      <c r="A2513">
        <v>130</v>
      </c>
      <c r="B2513">
        <v>84</v>
      </c>
      <c r="C2513">
        <v>214</v>
      </c>
      <c r="D2513" s="51" t="s">
        <v>82</v>
      </c>
      <c r="E2513">
        <f>VLOOKUP(M2513,'MASS - 2016'!$A$1:$G$3418,6,FALSE)</f>
        <v>-4470.0460000000003</v>
      </c>
      <c r="F2513">
        <f>VLOOKUP(M2513,'MASS - 2016'!$A$1:$G$3418,7,FALSE)</f>
        <v>1.4490000000000001</v>
      </c>
      <c r="G2513">
        <f t="shared" si="201"/>
        <v>-4470.0460000000003</v>
      </c>
      <c r="H2513">
        <f t="shared" si="197"/>
        <v>213.99520120826622</v>
      </c>
      <c r="I2513">
        <f t="shared" si="198"/>
        <v>199.33525900800001</v>
      </c>
      <c r="J2513">
        <f t="shared" si="200"/>
        <v>199292.33500800002</v>
      </c>
      <c r="M2513">
        <f t="shared" si="199"/>
        <v>130084</v>
      </c>
    </row>
    <row r="2514" spans="1:13" x14ac:dyDescent="0.2">
      <c r="A2514">
        <v>129</v>
      </c>
      <c r="B2514">
        <v>85</v>
      </c>
      <c r="C2514">
        <v>214</v>
      </c>
      <c r="D2514" s="51" t="s">
        <v>83</v>
      </c>
      <c r="E2514">
        <f>VLOOKUP(M2514,'MASS - 2016'!$A$1:$G$3418,6,FALSE)</f>
        <v>-3379.8310000000001</v>
      </c>
      <c r="F2514">
        <f>VLOOKUP(M2514,'MASS - 2016'!$A$1:$G$3418,7,FALSE)</f>
        <v>4.298</v>
      </c>
      <c r="G2514">
        <f t="shared" si="201"/>
        <v>-3379.8310000000001</v>
      </c>
      <c r="H2514">
        <f t="shared" si="197"/>
        <v>213.99637160220178</v>
      </c>
      <c r="I2514">
        <f t="shared" si="198"/>
        <v>199.33634922300001</v>
      </c>
      <c r="J2514">
        <f t="shared" si="200"/>
        <v>199292.91422300003</v>
      </c>
      <c r="M2514">
        <f t="shared" si="199"/>
        <v>129085</v>
      </c>
    </row>
    <row r="2515" spans="1:13" x14ac:dyDescent="0.2">
      <c r="A2515">
        <v>128</v>
      </c>
      <c r="B2515">
        <v>86</v>
      </c>
      <c r="C2515">
        <v>214</v>
      </c>
      <c r="D2515" s="51" t="s">
        <v>84</v>
      </c>
      <c r="E2515">
        <f>VLOOKUP(M2515,'MASS - 2016'!$A$1:$G$3418,6,FALSE)</f>
        <v>-4319.7420000000002</v>
      </c>
      <c r="F2515">
        <f>VLOOKUP(M2515,'MASS - 2016'!$A$1:$G$3418,7,FALSE)</f>
        <v>9.1869999999999994</v>
      </c>
      <c r="G2515">
        <f t="shared" si="201"/>
        <v>-4319.7420000000002</v>
      </c>
      <c r="H2515">
        <f t="shared" si="197"/>
        <v>213.99536256624614</v>
      </c>
      <c r="I2515">
        <f t="shared" si="198"/>
        <v>199.335409312</v>
      </c>
      <c r="J2515">
        <f t="shared" si="200"/>
        <v>199291.46331200001</v>
      </c>
      <c r="M2515">
        <f t="shared" si="199"/>
        <v>128086</v>
      </c>
    </row>
    <row r="2516" spans="1:13" x14ac:dyDescent="0.2">
      <c r="A2516">
        <v>127</v>
      </c>
      <c r="B2516">
        <v>87</v>
      </c>
      <c r="C2516">
        <v>214</v>
      </c>
      <c r="D2516" s="51" t="s">
        <v>85</v>
      </c>
      <c r="E2516">
        <f>VLOOKUP(M2516,'MASS - 2016'!$A$1:$G$3418,6,FALSE)</f>
        <v>-958.70699999999999</v>
      </c>
      <c r="F2516">
        <f>VLOOKUP(M2516,'MASS - 2016'!$A$1:$G$3418,7,FALSE)</f>
        <v>8.6340000000000003</v>
      </c>
      <c r="G2516">
        <f t="shared" si="201"/>
        <v>-958.70699999999999</v>
      </c>
      <c r="H2516">
        <f t="shared" si="197"/>
        <v>213.99897078570854</v>
      </c>
      <c r="I2516">
        <f t="shared" si="198"/>
        <v>199.33877034700001</v>
      </c>
      <c r="J2516">
        <f t="shared" si="200"/>
        <v>199294.31334700002</v>
      </c>
      <c r="M2516">
        <f t="shared" si="199"/>
        <v>127087</v>
      </c>
    </row>
    <row r="2517" spans="1:13" x14ac:dyDescent="0.2">
      <c r="A2517">
        <v>126</v>
      </c>
      <c r="B2517">
        <v>88</v>
      </c>
      <c r="C2517">
        <v>214</v>
      </c>
      <c r="D2517" s="51" t="s">
        <v>86</v>
      </c>
      <c r="E2517">
        <f>VLOOKUP(M2517,'MASS - 2016'!$A$1:$G$3418,6,FALSE)</f>
        <v>92.733999999999995</v>
      </c>
      <c r="F2517">
        <f>VLOOKUP(M2517,'MASS - 2016'!$A$1:$G$3418,7,FALSE)</f>
        <v>5.25</v>
      </c>
      <c r="G2517">
        <f t="shared" si="201"/>
        <v>92.733999999999995</v>
      </c>
      <c r="H2517">
        <f t="shared" si="197"/>
        <v>214.0000995540432</v>
      </c>
      <c r="I2517">
        <f t="shared" si="198"/>
        <v>199.33982178799999</v>
      </c>
      <c r="J2517">
        <f t="shared" si="200"/>
        <v>199294.85378800001</v>
      </c>
      <c r="M2517">
        <f t="shared" si="199"/>
        <v>126088</v>
      </c>
    </row>
    <row r="2518" spans="1:13" x14ac:dyDescent="0.2">
      <c r="A2518">
        <v>125</v>
      </c>
      <c r="B2518">
        <v>89</v>
      </c>
      <c r="C2518">
        <v>214</v>
      </c>
      <c r="D2518" s="51" t="s">
        <v>87</v>
      </c>
      <c r="E2518">
        <f>VLOOKUP(M2518,'MASS - 2016'!$A$1:$G$3418,6,FALSE)</f>
        <v>6443.8540000000003</v>
      </c>
      <c r="F2518">
        <f>VLOOKUP(M2518,'MASS - 2016'!$A$1:$G$3418,7,FALSE)</f>
        <v>15.36</v>
      </c>
      <c r="G2518">
        <f t="shared" si="201"/>
        <v>6443.8540000000003</v>
      </c>
      <c r="H2518">
        <f t="shared" si="197"/>
        <v>214.00691776176552</v>
      </c>
      <c r="I2518">
        <f t="shared" si="198"/>
        <v>199.346172908</v>
      </c>
      <c r="J2518">
        <f t="shared" si="200"/>
        <v>199300.69390800002</v>
      </c>
      <c r="M2518">
        <f t="shared" si="199"/>
        <v>125089</v>
      </c>
    </row>
    <row r="2519" spans="1:13" x14ac:dyDescent="0.2">
      <c r="A2519">
        <v>124</v>
      </c>
      <c r="B2519">
        <v>90</v>
      </c>
      <c r="C2519">
        <v>214</v>
      </c>
      <c r="D2519" s="51" t="s">
        <v>88</v>
      </c>
      <c r="E2519">
        <f>VLOOKUP(M2519,'MASS - 2016'!$A$1:$G$3418,6,FALSE)</f>
        <v>10694.885</v>
      </c>
      <c r="F2519">
        <f>VLOOKUP(M2519,'MASS - 2016'!$A$1:$G$3418,7,FALSE)</f>
        <v>10.661</v>
      </c>
      <c r="G2519">
        <f t="shared" si="201"/>
        <v>10694.885</v>
      </c>
      <c r="H2519">
        <f t="shared" si="197"/>
        <v>214.01148143122728</v>
      </c>
      <c r="I2519">
        <f t="shared" si="198"/>
        <v>199.350423939</v>
      </c>
      <c r="J2519">
        <f t="shared" si="200"/>
        <v>199304.43393900001</v>
      </c>
      <c r="M2519">
        <f t="shared" si="199"/>
        <v>124090</v>
      </c>
    </row>
    <row r="2520" spans="1:13" x14ac:dyDescent="0.2">
      <c r="A2520">
        <v>123</v>
      </c>
      <c r="B2520">
        <v>91</v>
      </c>
      <c r="C2520">
        <v>214</v>
      </c>
      <c r="D2520" s="51" t="s">
        <v>89</v>
      </c>
      <c r="E2520">
        <f>VLOOKUP(M2520,'MASS - 2016'!$A$1:$G$3418,6,FALSE)</f>
        <v>19485.514999999999</v>
      </c>
      <c r="F2520">
        <f>VLOOKUP(M2520,'MASS - 2016'!$A$1:$G$3418,7,FALSE)</f>
        <v>76.125</v>
      </c>
      <c r="G2520">
        <f t="shared" si="201"/>
        <v>19485.514999999999</v>
      </c>
      <c r="H2520">
        <f t="shared" si="197"/>
        <v>214.02091856063913</v>
      </c>
      <c r="I2520">
        <f t="shared" si="198"/>
        <v>199.35921456900002</v>
      </c>
      <c r="J2520">
        <f t="shared" si="200"/>
        <v>199312.71356900001</v>
      </c>
      <c r="M2520">
        <f t="shared" si="199"/>
        <v>123091</v>
      </c>
    </row>
    <row r="2521" spans="1:13" x14ac:dyDescent="0.2">
      <c r="A2521">
        <v>132</v>
      </c>
      <c r="B2521">
        <v>83</v>
      </c>
      <c r="C2521">
        <v>215</v>
      </c>
      <c r="D2521" s="51" t="s">
        <v>81</v>
      </c>
      <c r="E2521">
        <f>VLOOKUP(M2521,'MASS - 2016'!$A$1:$G$3418,6,FALSE)</f>
        <v>1629.3219999999999</v>
      </c>
      <c r="F2521">
        <f>VLOOKUP(M2521,'MASS - 2016'!$A$1:$G$3418,7,FALSE)</f>
        <v>5.6239999999999997</v>
      </c>
      <c r="G2521">
        <f t="shared" si="201"/>
        <v>1629.3219999999999</v>
      </c>
      <c r="H2521">
        <f t="shared" si="197"/>
        <v>215.00174914910167</v>
      </c>
      <c r="I2521">
        <f t="shared" si="198"/>
        <v>200.27285243700001</v>
      </c>
      <c r="J2521">
        <f t="shared" si="200"/>
        <v>200230.43943700002</v>
      </c>
      <c r="M2521">
        <f t="shared" si="199"/>
        <v>132083</v>
      </c>
    </row>
    <row r="2522" spans="1:13" x14ac:dyDescent="0.2">
      <c r="A2522">
        <v>131</v>
      </c>
      <c r="B2522">
        <v>84</v>
      </c>
      <c r="C2522">
        <v>215</v>
      </c>
      <c r="D2522" s="51" t="s">
        <v>82</v>
      </c>
      <c r="E2522">
        <f>VLOOKUP(M2522,'MASS - 2016'!$A$1:$G$3418,6,FALSE)</f>
        <v>-541.70600000000002</v>
      </c>
      <c r="F2522">
        <f>VLOOKUP(M2522,'MASS - 2016'!$A$1:$G$3418,7,FALSE)</f>
        <v>2.121</v>
      </c>
      <c r="G2522">
        <f t="shared" si="201"/>
        <v>-541.70600000000002</v>
      </c>
      <c r="H2522">
        <f t="shared" si="197"/>
        <v>214.99941845469263</v>
      </c>
      <c r="I2522">
        <f t="shared" si="198"/>
        <v>200.27068140899999</v>
      </c>
      <c r="J2522">
        <f t="shared" si="200"/>
        <v>200227.75740899998</v>
      </c>
      <c r="M2522">
        <f t="shared" si="199"/>
        <v>131084</v>
      </c>
    </row>
    <row r="2523" spans="1:13" x14ac:dyDescent="0.2">
      <c r="A2523">
        <v>130</v>
      </c>
      <c r="B2523">
        <v>85</v>
      </c>
      <c r="C2523">
        <v>215</v>
      </c>
      <c r="D2523" s="51" t="s">
        <v>83</v>
      </c>
      <c r="E2523">
        <f>VLOOKUP(M2523,'MASS - 2016'!$A$1:$G$3418,6,FALSE)</f>
        <v>-1255.7560000000001</v>
      </c>
      <c r="F2523">
        <f>VLOOKUP(M2523,'MASS - 2016'!$A$1:$G$3418,7,FALSE)</f>
        <v>6.7990000000000004</v>
      </c>
      <c r="G2523">
        <f t="shared" si="201"/>
        <v>-1255.7560000000001</v>
      </c>
      <c r="H2523">
        <f t="shared" si="197"/>
        <v>214.99865189049228</v>
      </c>
      <c r="I2523">
        <f t="shared" si="198"/>
        <v>200.26996735899999</v>
      </c>
      <c r="J2523">
        <f t="shared" si="200"/>
        <v>200226.532359</v>
      </c>
      <c r="M2523">
        <f t="shared" si="199"/>
        <v>130085</v>
      </c>
    </row>
    <row r="2524" spans="1:13" x14ac:dyDescent="0.2">
      <c r="A2524">
        <v>129</v>
      </c>
      <c r="B2524">
        <v>86</v>
      </c>
      <c r="C2524">
        <v>215</v>
      </c>
      <c r="D2524" s="51" t="s">
        <v>84</v>
      </c>
      <c r="E2524">
        <f>VLOOKUP(M2524,'MASS - 2016'!$A$1:$G$3418,6,FALSE)</f>
        <v>-1168.5609999999999</v>
      </c>
      <c r="F2524">
        <f>VLOOKUP(M2524,'MASS - 2016'!$A$1:$G$3418,7,FALSE)</f>
        <v>7.6719999999999997</v>
      </c>
      <c r="G2524">
        <f t="shared" si="201"/>
        <v>-1168.5609999999999</v>
      </c>
      <c r="H2524">
        <f t="shared" si="197"/>
        <v>214.99874549817449</v>
      </c>
      <c r="I2524">
        <f t="shared" si="198"/>
        <v>200.27005455400001</v>
      </c>
      <c r="J2524">
        <f t="shared" si="200"/>
        <v>200226.10855400001</v>
      </c>
      <c r="M2524">
        <f t="shared" si="199"/>
        <v>129086</v>
      </c>
    </row>
    <row r="2525" spans="1:13" x14ac:dyDescent="0.2">
      <c r="A2525">
        <v>128</v>
      </c>
      <c r="B2525">
        <v>87</v>
      </c>
      <c r="C2525">
        <v>215</v>
      </c>
      <c r="D2525" s="51" t="s">
        <v>85</v>
      </c>
      <c r="E2525">
        <f>VLOOKUP(M2525,'MASS - 2016'!$A$1:$G$3418,6,FALSE)</f>
        <v>318.065</v>
      </c>
      <c r="F2525">
        <f>VLOOKUP(M2525,'MASS - 2016'!$A$1:$G$3418,7,FALSE)</f>
        <v>7.0659999999999998</v>
      </c>
      <c r="G2525">
        <f t="shared" si="201"/>
        <v>318.065</v>
      </c>
      <c r="H2525">
        <f t="shared" si="197"/>
        <v>215.00034145682008</v>
      </c>
      <c r="I2525">
        <f t="shared" si="198"/>
        <v>200.27154117999999</v>
      </c>
      <c r="J2525">
        <f t="shared" si="200"/>
        <v>200227.08418000001</v>
      </c>
      <c r="M2525">
        <f t="shared" si="199"/>
        <v>128087</v>
      </c>
    </row>
    <row r="2526" spans="1:13" x14ac:dyDescent="0.2">
      <c r="A2526">
        <v>127</v>
      </c>
      <c r="B2526">
        <v>88</v>
      </c>
      <c r="C2526">
        <v>215</v>
      </c>
      <c r="D2526" s="51" t="s">
        <v>86</v>
      </c>
      <c r="E2526">
        <f>VLOOKUP(M2526,'MASS - 2016'!$A$1:$G$3418,6,FALSE)</f>
        <v>2533.739</v>
      </c>
      <c r="F2526">
        <f>VLOOKUP(M2526,'MASS - 2016'!$A$1:$G$3418,7,FALSE)</f>
        <v>7.6130000000000004</v>
      </c>
      <c r="G2526">
        <f t="shared" si="201"/>
        <v>2533.739</v>
      </c>
      <c r="H2526">
        <f t="shared" si="197"/>
        <v>215.00272008068123</v>
      </c>
      <c r="I2526">
        <f t="shared" si="198"/>
        <v>200.273756854</v>
      </c>
      <c r="J2526">
        <f t="shared" si="200"/>
        <v>200228.78885400001</v>
      </c>
      <c r="M2526">
        <f t="shared" si="199"/>
        <v>127088</v>
      </c>
    </row>
    <row r="2527" spans="1:13" x14ac:dyDescent="0.2">
      <c r="A2527">
        <v>126</v>
      </c>
      <c r="B2527">
        <v>89</v>
      </c>
      <c r="C2527">
        <v>215</v>
      </c>
      <c r="D2527" s="51" t="s">
        <v>87</v>
      </c>
      <c r="E2527">
        <f>VLOOKUP(M2527,'MASS - 2016'!$A$1:$G$3418,6,FALSE)</f>
        <v>6030.6149999999998</v>
      </c>
      <c r="F2527">
        <f>VLOOKUP(M2527,'MASS - 2016'!$A$1:$G$3418,7,FALSE)</f>
        <v>12.406000000000001</v>
      </c>
      <c r="G2527">
        <f t="shared" si="201"/>
        <v>6030.6149999999998</v>
      </c>
      <c r="H2527">
        <f t="shared" si="197"/>
        <v>215.0064741314545</v>
      </c>
      <c r="I2527">
        <f t="shared" si="198"/>
        <v>200.27725372999998</v>
      </c>
      <c r="J2527">
        <f t="shared" si="200"/>
        <v>200231.77473</v>
      </c>
      <c r="M2527">
        <f t="shared" si="199"/>
        <v>126089</v>
      </c>
    </row>
    <row r="2528" spans="1:13" x14ac:dyDescent="0.2">
      <c r="A2528">
        <v>125</v>
      </c>
      <c r="B2528">
        <v>90</v>
      </c>
      <c r="C2528">
        <v>215</v>
      </c>
      <c r="D2528" s="51" t="s">
        <v>88</v>
      </c>
      <c r="E2528">
        <f>VLOOKUP(M2528,'MASS - 2016'!$A$1:$G$3418,6,FALSE)</f>
        <v>10921.585999999999</v>
      </c>
      <c r="F2528">
        <f>VLOOKUP(M2528,'MASS - 2016'!$A$1:$G$3418,7,FALSE)</f>
        <v>8.84</v>
      </c>
      <c r="G2528">
        <f t="shared" si="201"/>
        <v>10921.585999999999</v>
      </c>
      <c r="H2528">
        <f t="shared" si="197"/>
        <v>215.01172480475964</v>
      </c>
      <c r="I2528">
        <f t="shared" si="198"/>
        <v>200.28214470099999</v>
      </c>
      <c r="J2528">
        <f t="shared" si="200"/>
        <v>200236.15470099999</v>
      </c>
      <c r="M2528">
        <f t="shared" si="199"/>
        <v>125090</v>
      </c>
    </row>
    <row r="2529" spans="1:13" x14ac:dyDescent="0.2">
      <c r="A2529">
        <v>124</v>
      </c>
      <c r="B2529">
        <v>91</v>
      </c>
      <c r="C2529">
        <v>215</v>
      </c>
      <c r="D2529" s="51" t="s">
        <v>89</v>
      </c>
      <c r="E2529">
        <f>VLOOKUP(M2529,'MASS - 2016'!$A$1:$G$3418,6,FALSE)</f>
        <v>17863.938999999998</v>
      </c>
      <c r="F2529">
        <f>VLOOKUP(M2529,'MASS - 2016'!$A$1:$G$3418,7,FALSE)</f>
        <v>72.844999999999999</v>
      </c>
      <c r="G2529">
        <f t="shared" si="201"/>
        <v>17863.938999999998</v>
      </c>
      <c r="H2529">
        <f t="shared" si="197"/>
        <v>215.01917772721043</v>
      </c>
      <c r="I2529">
        <f t="shared" si="198"/>
        <v>200.28908705399999</v>
      </c>
      <c r="J2529">
        <f t="shared" si="200"/>
        <v>200242.58605400001</v>
      </c>
      <c r="M2529">
        <f t="shared" si="199"/>
        <v>124091</v>
      </c>
    </row>
    <row r="2530" spans="1:13" x14ac:dyDescent="0.2">
      <c r="A2530">
        <v>133</v>
      </c>
      <c r="B2530">
        <v>83</v>
      </c>
      <c r="C2530">
        <v>216</v>
      </c>
      <c r="D2530" s="51" t="s">
        <v>81</v>
      </c>
      <c r="E2530">
        <f>VLOOKUP(M2530,'MASS - 2016'!$A$1:$G$3418,6,FALSE)</f>
        <v>5873.991</v>
      </c>
      <c r="F2530">
        <f>VLOOKUP(M2530,'MASS - 2016'!$A$1:$G$3418,7,FALSE)</f>
        <v>11.178000000000001</v>
      </c>
      <c r="G2530">
        <f t="shared" si="201"/>
        <v>5873.991</v>
      </c>
      <c r="H2530">
        <f t="shared" si="197"/>
        <v>216.00630598867554</v>
      </c>
      <c r="I2530">
        <f t="shared" si="198"/>
        <v>201.20859116699998</v>
      </c>
      <c r="J2530">
        <f t="shared" si="200"/>
        <v>201166.17816699998</v>
      </c>
      <c r="M2530">
        <f t="shared" si="199"/>
        <v>133083</v>
      </c>
    </row>
    <row r="2531" spans="1:13" x14ac:dyDescent="0.2">
      <c r="A2531">
        <v>132</v>
      </c>
      <c r="B2531">
        <v>84</v>
      </c>
      <c r="C2531">
        <v>216</v>
      </c>
      <c r="D2531" s="51" t="s">
        <v>82</v>
      </c>
      <c r="E2531">
        <f>VLOOKUP(M2531,'MASS - 2016'!$A$1:$G$3418,6,FALSE)</f>
        <v>1782.42</v>
      </c>
      <c r="F2531">
        <f>VLOOKUP(M2531,'MASS - 2016'!$A$1:$G$3418,7,FALSE)</f>
        <v>1.8160000000000001</v>
      </c>
      <c r="G2531">
        <f t="shared" si="201"/>
        <v>1782.42</v>
      </c>
      <c r="H2531">
        <f t="shared" si="197"/>
        <v>216.00191350656397</v>
      </c>
      <c r="I2531">
        <f t="shared" si="198"/>
        <v>201.20449959600001</v>
      </c>
      <c r="J2531">
        <f t="shared" si="200"/>
        <v>201161.57559600001</v>
      </c>
      <c r="M2531">
        <f t="shared" si="199"/>
        <v>132084</v>
      </c>
    </row>
    <row r="2532" spans="1:13" x14ac:dyDescent="0.2">
      <c r="A2532">
        <v>131</v>
      </c>
      <c r="B2532">
        <v>85</v>
      </c>
      <c r="C2532">
        <v>216</v>
      </c>
      <c r="D2532" s="51" t="s">
        <v>83</v>
      </c>
      <c r="E2532">
        <f>VLOOKUP(M2532,'MASS - 2016'!$A$1:$G$3418,6,FALSE)</f>
        <v>2256.6660000000002</v>
      </c>
      <c r="F2532">
        <f>VLOOKUP(M2532,'MASS - 2016'!$A$1:$G$3418,7,FALSE)</f>
        <v>3.5750000000000002</v>
      </c>
      <c r="G2532">
        <f t="shared" si="201"/>
        <v>2256.6660000000002</v>
      </c>
      <c r="H2532">
        <f t="shared" si="197"/>
        <v>216.00242263058291</v>
      </c>
      <c r="I2532">
        <f t="shared" si="198"/>
        <v>201.20497384199999</v>
      </c>
      <c r="J2532">
        <f t="shared" si="200"/>
        <v>201161.53884199998</v>
      </c>
      <c r="M2532">
        <f t="shared" si="199"/>
        <v>131085</v>
      </c>
    </row>
    <row r="2533" spans="1:13" x14ac:dyDescent="0.2">
      <c r="A2533">
        <v>130</v>
      </c>
      <c r="B2533">
        <v>86</v>
      </c>
      <c r="C2533">
        <v>216</v>
      </c>
      <c r="D2533" s="51" t="s">
        <v>84</v>
      </c>
      <c r="E2533">
        <f>VLOOKUP(M2533,'MASS - 2016'!$A$1:$G$3418,6,FALSE)</f>
        <v>252.86799999999999</v>
      </c>
      <c r="F2533">
        <f>VLOOKUP(M2533,'MASS - 2016'!$A$1:$G$3418,7,FALSE)</f>
        <v>5.9939999999999998</v>
      </c>
      <c r="G2533">
        <f t="shared" si="201"/>
        <v>252.86799999999999</v>
      </c>
      <c r="H2533">
        <f t="shared" si="197"/>
        <v>216.00027146496211</v>
      </c>
      <c r="I2533">
        <f t="shared" si="198"/>
        <v>201.20297004399998</v>
      </c>
      <c r="J2533">
        <f t="shared" si="200"/>
        <v>201159.02404399999</v>
      </c>
      <c r="M2533">
        <f t="shared" si="199"/>
        <v>130086</v>
      </c>
    </row>
    <row r="2534" spans="1:13" x14ac:dyDescent="0.2">
      <c r="A2534">
        <v>129</v>
      </c>
      <c r="B2534">
        <v>87</v>
      </c>
      <c r="C2534">
        <v>216</v>
      </c>
      <c r="D2534" s="51" t="s">
        <v>85</v>
      </c>
      <c r="E2534">
        <f>VLOOKUP(M2534,'MASS - 2016'!$A$1:$G$3418,6,FALSE)</f>
        <v>2970.95</v>
      </c>
      <c r="F2534">
        <f>VLOOKUP(M2534,'MASS - 2016'!$A$1:$G$3418,7,FALSE)</f>
        <v>4.173</v>
      </c>
      <c r="G2534">
        <f t="shared" si="201"/>
        <v>2970.95</v>
      </c>
      <c r="H2534">
        <f t="shared" si="197"/>
        <v>216.0031894459926</v>
      </c>
      <c r="I2534">
        <f t="shared" si="198"/>
        <v>201.20568812599998</v>
      </c>
      <c r="J2534">
        <f t="shared" si="200"/>
        <v>201161.231126</v>
      </c>
      <c r="M2534">
        <f t="shared" si="199"/>
        <v>129087</v>
      </c>
    </row>
    <row r="2535" spans="1:13" x14ac:dyDescent="0.2">
      <c r="A2535">
        <v>128</v>
      </c>
      <c r="B2535">
        <v>88</v>
      </c>
      <c r="C2535">
        <v>216</v>
      </c>
      <c r="D2535" s="51" t="s">
        <v>86</v>
      </c>
      <c r="E2535">
        <f>VLOOKUP(M2535,'MASS - 2016'!$A$1:$G$3418,6,FALSE)</f>
        <v>3291.0770000000002</v>
      </c>
      <c r="F2535">
        <f>VLOOKUP(M2535,'MASS - 2016'!$A$1:$G$3418,7,FALSE)</f>
        <v>8.7370000000000001</v>
      </c>
      <c r="G2535">
        <f t="shared" si="201"/>
        <v>3291.0770000000002</v>
      </c>
      <c r="H2535">
        <f t="shared" si="197"/>
        <v>216.00353311646074</v>
      </c>
      <c r="I2535">
        <f t="shared" si="198"/>
        <v>201.20600825299999</v>
      </c>
      <c r="J2535">
        <f t="shared" si="200"/>
        <v>201161.04025300001</v>
      </c>
      <c r="M2535">
        <f t="shared" si="199"/>
        <v>128088</v>
      </c>
    </row>
    <row r="2536" spans="1:13" x14ac:dyDescent="0.2">
      <c r="A2536">
        <v>127</v>
      </c>
      <c r="B2536">
        <v>89</v>
      </c>
      <c r="C2536">
        <v>216</v>
      </c>
      <c r="D2536" s="51" t="s">
        <v>87</v>
      </c>
      <c r="E2536">
        <f>VLOOKUP(M2536,'MASS - 2016'!$A$1:$G$3418,6,FALSE)</f>
        <v>8144.3950000000004</v>
      </c>
      <c r="F2536">
        <f>VLOOKUP(M2536,'MASS - 2016'!$A$1:$G$3418,7,FALSE)</f>
        <v>10.84</v>
      </c>
      <c r="G2536">
        <f t="shared" si="201"/>
        <v>8144.3950000000004</v>
      </c>
      <c r="H2536">
        <f t="shared" si="197"/>
        <v>216.00874336760799</v>
      </c>
      <c r="I2536">
        <f t="shared" si="198"/>
        <v>201.21086157099998</v>
      </c>
      <c r="J2536">
        <f t="shared" si="200"/>
        <v>201165.38257099999</v>
      </c>
      <c r="M2536">
        <f t="shared" si="199"/>
        <v>127089</v>
      </c>
    </row>
    <row r="2537" spans="1:13" x14ac:dyDescent="0.2">
      <c r="A2537">
        <v>126</v>
      </c>
      <c r="B2537">
        <v>90</v>
      </c>
      <c r="C2537">
        <v>216</v>
      </c>
      <c r="D2537" s="51" t="s">
        <v>88</v>
      </c>
      <c r="E2537">
        <f>VLOOKUP(M2537,'MASS - 2016'!$A$1:$G$3418,6,FALSE)</f>
        <v>10298.332</v>
      </c>
      <c r="F2537">
        <f>VLOOKUP(M2537,'MASS - 2016'!$A$1:$G$3418,7,FALSE)</f>
        <v>12.042</v>
      </c>
      <c r="G2537">
        <f t="shared" si="201"/>
        <v>10298.332</v>
      </c>
      <c r="H2537">
        <f t="shared" si="197"/>
        <v>216.01105571407393</v>
      </c>
      <c r="I2537">
        <f t="shared" si="198"/>
        <v>201.21301550799998</v>
      </c>
      <c r="J2537">
        <f t="shared" si="200"/>
        <v>201167.02550799999</v>
      </c>
      <c r="M2537">
        <f t="shared" si="199"/>
        <v>126090</v>
      </c>
    </row>
    <row r="2538" spans="1:13" x14ac:dyDescent="0.2">
      <c r="A2538">
        <v>125</v>
      </c>
      <c r="B2538">
        <v>91</v>
      </c>
      <c r="C2538">
        <v>216</v>
      </c>
      <c r="D2538" s="51" t="s">
        <v>89</v>
      </c>
      <c r="E2538">
        <f>VLOOKUP(M2538,'MASS - 2016'!$A$1:$G$3418,6,FALSE)</f>
        <v>17799.214</v>
      </c>
      <c r="F2538">
        <f>VLOOKUP(M2538,'MASS - 2016'!$A$1:$G$3418,7,FALSE)</f>
        <v>53.526000000000003</v>
      </c>
      <c r="G2538">
        <f t="shared" si="201"/>
        <v>17799.214</v>
      </c>
      <c r="H2538">
        <f t="shared" si="197"/>
        <v>216.01910824206533</v>
      </c>
      <c r="I2538">
        <f t="shared" si="198"/>
        <v>201.22051639</v>
      </c>
      <c r="J2538">
        <f t="shared" si="200"/>
        <v>201174.01539000002</v>
      </c>
      <c r="M2538">
        <f t="shared" si="199"/>
        <v>125091</v>
      </c>
    </row>
    <row r="2539" spans="1:13" x14ac:dyDescent="0.2">
      <c r="A2539">
        <v>133</v>
      </c>
      <c r="B2539">
        <v>84</v>
      </c>
      <c r="C2539">
        <v>217</v>
      </c>
      <c r="D2539" s="51" t="s">
        <v>82</v>
      </c>
      <c r="E2539">
        <f>VLOOKUP(M2539,'MASS - 2016'!$A$1:$G$3418,6,FALSE)</f>
        <v>5883.518</v>
      </c>
      <c r="F2539">
        <f>VLOOKUP(M2539,'MASS - 2016'!$A$1:$G$3418,7,FALSE)</f>
        <v>6.5439999999999996</v>
      </c>
      <c r="G2539">
        <f t="shared" si="201"/>
        <v>5883.518</v>
      </c>
      <c r="H2539">
        <f t="shared" si="197"/>
        <v>217.00631621633065</v>
      </c>
      <c r="I2539">
        <f t="shared" si="198"/>
        <v>202.14009475499998</v>
      </c>
      <c r="J2539">
        <f t="shared" si="200"/>
        <v>202097.17075499997</v>
      </c>
      <c r="M2539">
        <f t="shared" si="199"/>
        <v>133084</v>
      </c>
    </row>
    <row r="2540" spans="1:13" x14ac:dyDescent="0.2">
      <c r="A2540">
        <v>132</v>
      </c>
      <c r="B2540">
        <v>85</v>
      </c>
      <c r="C2540">
        <v>217</v>
      </c>
      <c r="D2540" s="51" t="s">
        <v>83</v>
      </c>
      <c r="E2540">
        <f>VLOOKUP(M2540,'MASS - 2016'!$A$1:$G$3418,6,FALSE)</f>
        <v>4394.6350000000002</v>
      </c>
      <c r="F2540">
        <f>VLOOKUP(M2540,'MASS - 2016'!$A$1:$G$3418,7,FALSE)</f>
        <v>5.0010000000000003</v>
      </c>
      <c r="G2540">
        <f t="shared" si="201"/>
        <v>4394.6350000000002</v>
      </c>
      <c r="H2540">
        <f t="shared" si="197"/>
        <v>217.0047178346959</v>
      </c>
      <c r="I2540">
        <f t="shared" si="198"/>
        <v>202.138605872</v>
      </c>
      <c r="J2540">
        <f t="shared" si="200"/>
        <v>202095.17087199999</v>
      </c>
      <c r="M2540">
        <f t="shared" si="199"/>
        <v>132085</v>
      </c>
    </row>
    <row r="2541" spans="1:13" x14ac:dyDescent="0.2">
      <c r="A2541">
        <v>131</v>
      </c>
      <c r="B2541">
        <v>86</v>
      </c>
      <c r="C2541">
        <v>217</v>
      </c>
      <c r="D2541" s="51" t="s">
        <v>84</v>
      </c>
      <c r="E2541">
        <f>VLOOKUP(M2541,'MASS - 2016'!$A$1:$G$3418,6,FALSE)</f>
        <v>3658.5010000000002</v>
      </c>
      <c r="F2541">
        <f>VLOOKUP(M2541,'MASS - 2016'!$A$1:$G$3418,7,FALSE)</f>
        <v>4.1980000000000004</v>
      </c>
      <c r="G2541">
        <f t="shared" si="201"/>
        <v>3658.5010000000002</v>
      </c>
      <c r="H2541">
        <f t="shared" si="197"/>
        <v>217.00392756234652</v>
      </c>
      <c r="I2541">
        <f t="shared" si="198"/>
        <v>202.13786973799998</v>
      </c>
      <c r="J2541">
        <f t="shared" si="200"/>
        <v>202093.92373799998</v>
      </c>
      <c r="M2541">
        <f t="shared" si="199"/>
        <v>131086</v>
      </c>
    </row>
    <row r="2542" spans="1:13" x14ac:dyDescent="0.2">
      <c r="A2542">
        <v>130</v>
      </c>
      <c r="B2542">
        <v>87</v>
      </c>
      <c r="C2542">
        <v>217</v>
      </c>
      <c r="D2542" s="51" t="s">
        <v>85</v>
      </c>
      <c r="E2542">
        <f>VLOOKUP(M2542,'MASS - 2016'!$A$1:$G$3418,6,FALSE)</f>
        <v>4314.59</v>
      </c>
      <c r="F2542">
        <f>VLOOKUP(M2542,'MASS - 2016'!$A$1:$G$3418,7,FALSE)</f>
        <v>6.5309999999999997</v>
      </c>
      <c r="G2542">
        <f t="shared" si="201"/>
        <v>4314.59</v>
      </c>
      <c r="H2542">
        <f t="shared" si="197"/>
        <v>217.00463190285438</v>
      </c>
      <c r="I2542">
        <f t="shared" si="198"/>
        <v>202.138525827</v>
      </c>
      <c r="J2542">
        <f t="shared" si="200"/>
        <v>202094.06882700001</v>
      </c>
      <c r="M2542">
        <f t="shared" si="199"/>
        <v>130087</v>
      </c>
    </row>
    <row r="2543" spans="1:13" x14ac:dyDescent="0.2">
      <c r="A2543">
        <v>129</v>
      </c>
      <c r="B2543">
        <v>88</v>
      </c>
      <c r="C2543">
        <v>217</v>
      </c>
      <c r="D2543" s="51" t="s">
        <v>86</v>
      </c>
      <c r="E2543">
        <f>VLOOKUP(M2543,'MASS - 2016'!$A$1:$G$3418,6,FALSE)</f>
        <v>5889.6559999999999</v>
      </c>
      <c r="F2543">
        <f>VLOOKUP(M2543,'MASS - 2016'!$A$1:$G$3418,7,FALSE)</f>
        <v>7.202</v>
      </c>
      <c r="G2543">
        <f t="shared" si="201"/>
        <v>5889.6559999999999</v>
      </c>
      <c r="H2543">
        <f t="shared" si="197"/>
        <v>217.00632280574465</v>
      </c>
      <c r="I2543">
        <f t="shared" si="198"/>
        <v>202.14010089299998</v>
      </c>
      <c r="J2543">
        <f t="shared" si="200"/>
        <v>202095.132893</v>
      </c>
      <c r="M2543">
        <f t="shared" si="199"/>
        <v>129088</v>
      </c>
    </row>
    <row r="2544" spans="1:13" x14ac:dyDescent="0.2">
      <c r="A2544">
        <v>128</v>
      </c>
      <c r="B2544">
        <v>89</v>
      </c>
      <c r="C2544">
        <v>217</v>
      </c>
      <c r="D2544" s="51" t="s">
        <v>87</v>
      </c>
      <c r="E2544">
        <f>VLOOKUP(M2544,'MASS - 2016'!$A$1:$G$3418,6,FALSE)</f>
        <v>8703.6730000000007</v>
      </c>
      <c r="F2544">
        <f>VLOOKUP(M2544,'MASS - 2016'!$A$1:$G$3418,7,FALSE)</f>
        <v>11.388999999999999</v>
      </c>
      <c r="G2544">
        <f t="shared" si="201"/>
        <v>8703.6730000000007</v>
      </c>
      <c r="H2544">
        <f t="shared" si="197"/>
        <v>217.00934377723317</v>
      </c>
      <c r="I2544">
        <f t="shared" si="198"/>
        <v>202.14291491</v>
      </c>
      <c r="J2544">
        <f t="shared" si="200"/>
        <v>202097.43591</v>
      </c>
      <c r="M2544">
        <f t="shared" si="199"/>
        <v>128089</v>
      </c>
    </row>
    <row r="2545" spans="1:13" x14ac:dyDescent="0.2">
      <c r="A2545">
        <v>127</v>
      </c>
      <c r="B2545">
        <v>90</v>
      </c>
      <c r="C2545">
        <v>217</v>
      </c>
      <c r="D2545" s="51" t="s">
        <v>88</v>
      </c>
      <c r="E2545">
        <f>VLOOKUP(M2545,'MASS - 2016'!$A$1:$G$3418,6,FALSE)</f>
        <v>12205.78</v>
      </c>
      <c r="F2545">
        <f>VLOOKUP(M2545,'MASS - 2016'!$A$1:$G$3418,7,FALSE)</f>
        <v>10.614000000000001</v>
      </c>
      <c r="G2545">
        <f t="shared" si="201"/>
        <v>12205.78</v>
      </c>
      <c r="H2545">
        <f t="shared" si="197"/>
        <v>217.01310344371586</v>
      </c>
      <c r="I2545">
        <f t="shared" si="198"/>
        <v>202.14641701699998</v>
      </c>
      <c r="J2545">
        <f t="shared" si="200"/>
        <v>202100.42701699998</v>
      </c>
      <c r="M2545">
        <f t="shared" si="199"/>
        <v>127090</v>
      </c>
    </row>
    <row r="2546" spans="1:13" x14ac:dyDescent="0.2">
      <c r="A2546">
        <v>126</v>
      </c>
      <c r="B2546">
        <v>91</v>
      </c>
      <c r="C2546">
        <v>217</v>
      </c>
      <c r="D2546" s="51" t="s">
        <v>89</v>
      </c>
      <c r="E2546">
        <f>VLOOKUP(M2546,'MASS - 2016'!$A$1:$G$3418,6,FALSE)</f>
        <v>17068.41</v>
      </c>
      <c r="F2546">
        <f>VLOOKUP(M2546,'MASS - 2016'!$A$1:$G$3418,7,FALSE)</f>
        <v>15.917999999999999</v>
      </c>
      <c r="G2546">
        <f t="shared" si="201"/>
        <v>17068.41</v>
      </c>
      <c r="H2546">
        <f t="shared" si="197"/>
        <v>217.01832369170629</v>
      </c>
      <c r="I2546">
        <f t="shared" si="198"/>
        <v>202.151279647</v>
      </c>
      <c r="J2546">
        <f t="shared" si="200"/>
        <v>202104.778647</v>
      </c>
      <c r="M2546">
        <f t="shared" si="199"/>
        <v>126091</v>
      </c>
    </row>
    <row r="2547" spans="1:13" x14ac:dyDescent="0.2">
      <c r="A2547">
        <v>134</v>
      </c>
      <c r="B2547">
        <v>84</v>
      </c>
      <c r="C2547">
        <v>218</v>
      </c>
      <c r="D2547" s="51" t="s">
        <v>82</v>
      </c>
      <c r="E2547">
        <f>VLOOKUP(M2547,'MASS - 2016'!$A$1:$G$3418,6,FALSE)</f>
        <v>8356.9009999999998</v>
      </c>
      <c r="F2547">
        <f>VLOOKUP(M2547,'MASS - 2016'!$A$1:$G$3418,7,FALSE)</f>
        <v>1.9730000000000001</v>
      </c>
      <c r="G2547">
        <f t="shared" si="201"/>
        <v>8356.9009999999998</v>
      </c>
      <c r="H2547">
        <f t="shared" si="197"/>
        <v>218.00897150218117</v>
      </c>
      <c r="I2547">
        <f t="shared" si="198"/>
        <v>203.074062199</v>
      </c>
      <c r="J2547">
        <f t="shared" si="200"/>
        <v>203031.13819900001</v>
      </c>
      <c r="M2547">
        <f t="shared" si="199"/>
        <v>134084</v>
      </c>
    </row>
    <row r="2548" spans="1:13" x14ac:dyDescent="0.2">
      <c r="A2548">
        <v>133</v>
      </c>
      <c r="B2548">
        <v>85</v>
      </c>
      <c r="C2548">
        <v>218</v>
      </c>
      <c r="D2548" s="51" t="s">
        <v>83</v>
      </c>
      <c r="E2548">
        <f>VLOOKUP(M2548,'MASS - 2016'!$A$1:$G$3418,6,FALSE)</f>
        <v>8098.1620000000003</v>
      </c>
      <c r="F2548">
        <f>VLOOKUP(M2548,'MASS - 2016'!$A$1:$G$3418,7,FALSE)</f>
        <v>11.603999999999999</v>
      </c>
      <c r="G2548">
        <f t="shared" si="201"/>
        <v>8098.1620000000003</v>
      </c>
      <c r="H2548">
        <f t="shared" si="197"/>
        <v>218.00869373444132</v>
      </c>
      <c r="I2548">
        <f t="shared" si="198"/>
        <v>203.07380345999999</v>
      </c>
      <c r="J2548">
        <f t="shared" si="200"/>
        <v>203030.36846</v>
      </c>
      <c r="M2548">
        <f t="shared" si="199"/>
        <v>133085</v>
      </c>
    </row>
    <row r="2549" spans="1:13" x14ac:dyDescent="0.2">
      <c r="A2549">
        <v>132</v>
      </c>
      <c r="B2549">
        <v>86</v>
      </c>
      <c r="C2549">
        <v>218</v>
      </c>
      <c r="D2549" s="51" t="s">
        <v>84</v>
      </c>
      <c r="E2549">
        <f>VLOOKUP(M2549,'MASS - 2016'!$A$1:$G$3418,6,FALSE)</f>
        <v>5217.3469999999998</v>
      </c>
      <c r="F2549">
        <f>VLOOKUP(M2549,'MASS - 2016'!$A$1:$G$3418,7,FALSE)</f>
        <v>2.3159999999999998</v>
      </c>
      <c r="G2549">
        <f t="shared" si="201"/>
        <v>5217.3469999999998</v>
      </c>
      <c r="H2549">
        <f t="shared" si="197"/>
        <v>218.00560105235067</v>
      </c>
      <c r="I2549">
        <f t="shared" si="198"/>
        <v>203.070922645</v>
      </c>
      <c r="J2549">
        <f t="shared" si="200"/>
        <v>203026.97664499999</v>
      </c>
      <c r="M2549">
        <f t="shared" si="199"/>
        <v>132086</v>
      </c>
    </row>
    <row r="2550" spans="1:13" x14ac:dyDescent="0.2">
      <c r="A2550">
        <v>131</v>
      </c>
      <c r="B2550">
        <v>87</v>
      </c>
      <c r="C2550">
        <v>218</v>
      </c>
      <c r="D2550" s="51" t="s">
        <v>85</v>
      </c>
      <c r="E2550">
        <f>VLOOKUP(M2550,'MASS - 2016'!$A$1:$G$3418,6,FALSE)</f>
        <v>7059.1170000000002</v>
      </c>
      <c r="F2550">
        <f>VLOOKUP(M2550,'MASS - 2016'!$A$1:$G$3418,7,FALSE)</f>
        <v>4.7569999999999997</v>
      </c>
      <c r="G2550">
        <f t="shared" si="201"/>
        <v>7059.1170000000002</v>
      </c>
      <c r="H2550">
        <f t="shared" si="197"/>
        <v>218.00757827375992</v>
      </c>
      <c r="I2550">
        <f t="shared" si="198"/>
        <v>203.07276441499999</v>
      </c>
      <c r="J2550">
        <f t="shared" si="200"/>
        <v>203028.30741499999</v>
      </c>
      <c r="M2550">
        <f t="shared" si="199"/>
        <v>131087</v>
      </c>
    </row>
    <row r="2551" spans="1:13" x14ac:dyDescent="0.2">
      <c r="A2551">
        <v>130</v>
      </c>
      <c r="B2551">
        <v>88</v>
      </c>
      <c r="C2551">
        <v>218</v>
      </c>
      <c r="D2551" s="51" t="s">
        <v>86</v>
      </c>
      <c r="E2551">
        <f>VLOOKUP(M2551,'MASS - 2016'!$A$1:$G$3418,6,FALSE)</f>
        <v>6651.17</v>
      </c>
      <c r="F2551">
        <f>VLOOKUP(M2551,'MASS - 2016'!$A$1:$G$3418,7,FALSE)</f>
        <v>11.176</v>
      </c>
      <c r="G2551">
        <f t="shared" si="201"/>
        <v>6651.17</v>
      </c>
      <c r="H2551">
        <f t="shared" si="197"/>
        <v>218.00714032464452</v>
      </c>
      <c r="I2551">
        <f t="shared" si="198"/>
        <v>203.07235646799998</v>
      </c>
      <c r="J2551">
        <f t="shared" si="200"/>
        <v>203027.38846799999</v>
      </c>
      <c r="M2551">
        <f t="shared" si="199"/>
        <v>130088</v>
      </c>
    </row>
    <row r="2552" spans="1:13" x14ac:dyDescent="0.2">
      <c r="A2552">
        <v>129</v>
      </c>
      <c r="B2552">
        <v>89</v>
      </c>
      <c r="C2552">
        <v>218</v>
      </c>
      <c r="D2552" s="51" t="s">
        <v>87</v>
      </c>
      <c r="E2552">
        <f>VLOOKUP(M2552,'MASS - 2016'!$A$1:$G$3418,6,FALSE)</f>
        <v>10843.609</v>
      </c>
      <c r="F2552">
        <f>VLOOKUP(M2552,'MASS - 2016'!$A$1:$G$3418,7,FALSE)</f>
        <v>50.74</v>
      </c>
      <c r="G2552">
        <f t="shared" si="201"/>
        <v>10843.609</v>
      </c>
      <c r="H2552">
        <f t="shared" si="197"/>
        <v>218.01164109300746</v>
      </c>
      <c r="I2552">
        <f t="shared" si="198"/>
        <v>203.07654890699999</v>
      </c>
      <c r="J2552">
        <f t="shared" si="200"/>
        <v>203031.069907</v>
      </c>
      <c r="M2552">
        <f t="shared" si="199"/>
        <v>129089</v>
      </c>
    </row>
    <row r="2553" spans="1:13" x14ac:dyDescent="0.2">
      <c r="A2553">
        <v>128</v>
      </c>
      <c r="B2553">
        <v>90</v>
      </c>
      <c r="C2553">
        <v>218</v>
      </c>
      <c r="D2553" s="51" t="s">
        <v>88</v>
      </c>
      <c r="E2553">
        <f>VLOOKUP(M2553,'MASS - 2016'!$A$1:$G$3418,6,FALSE)</f>
        <v>12366.741</v>
      </c>
      <c r="F2553">
        <f>VLOOKUP(M2553,'MASS - 2016'!$A$1:$G$3418,7,FALSE)</f>
        <v>10.516</v>
      </c>
      <c r="G2553">
        <f t="shared" si="201"/>
        <v>12366.741</v>
      </c>
      <c r="H2553">
        <f t="shared" si="197"/>
        <v>218.01327624245582</v>
      </c>
      <c r="I2553">
        <f t="shared" si="198"/>
        <v>203.07807203899998</v>
      </c>
      <c r="J2553">
        <f t="shared" si="200"/>
        <v>203032.082039</v>
      </c>
      <c r="M2553">
        <f t="shared" si="199"/>
        <v>128090</v>
      </c>
    </row>
    <row r="2554" spans="1:13" x14ac:dyDescent="0.2">
      <c r="A2554">
        <v>127</v>
      </c>
      <c r="B2554">
        <v>91</v>
      </c>
      <c r="C2554">
        <v>218</v>
      </c>
      <c r="D2554" s="51" t="s">
        <v>89</v>
      </c>
      <c r="E2554">
        <f>VLOOKUP(M2554,'MASS - 2016'!$A$1:$G$3418,6,FALSE)</f>
        <v>18683.77</v>
      </c>
      <c r="F2554">
        <f>VLOOKUP(M2554,'MASS - 2016'!$A$1:$G$3418,7,FALSE)</f>
        <v>18.329000000000001</v>
      </c>
      <c r="G2554">
        <f t="shared" si="201"/>
        <v>18683.77</v>
      </c>
      <c r="H2554">
        <f t="shared" si="197"/>
        <v>218.02005785198449</v>
      </c>
      <c r="I2554">
        <f t="shared" si="198"/>
        <v>203.08438906799998</v>
      </c>
      <c r="J2554">
        <f t="shared" si="200"/>
        <v>203037.888068</v>
      </c>
      <c r="M2554">
        <f t="shared" si="199"/>
        <v>127091</v>
      </c>
    </row>
    <row r="2555" spans="1:13" x14ac:dyDescent="0.2">
      <c r="A2555">
        <v>126</v>
      </c>
      <c r="B2555">
        <v>92</v>
      </c>
      <c r="C2555">
        <v>218</v>
      </c>
      <c r="D2555" s="51" t="s">
        <v>90</v>
      </c>
      <c r="E2555">
        <f>VLOOKUP(M2555,'MASS - 2016'!$A$1:$G$3418,6,FALSE)</f>
        <v>21894.608</v>
      </c>
      <c r="F2555">
        <f>VLOOKUP(M2555,'MASS - 2016'!$A$1:$G$3418,7,FALSE)</f>
        <v>13.714</v>
      </c>
      <c r="G2555">
        <f t="shared" si="201"/>
        <v>21894.608</v>
      </c>
      <c r="H2555">
        <f t="shared" si="197"/>
        <v>218.0235048283362</v>
      </c>
      <c r="I2555">
        <f t="shared" si="198"/>
        <v>203.08759990599998</v>
      </c>
      <c r="J2555">
        <f t="shared" si="200"/>
        <v>203040.587906</v>
      </c>
      <c r="M2555">
        <f t="shared" si="199"/>
        <v>126092</v>
      </c>
    </row>
    <row r="2556" spans="1:13" x14ac:dyDescent="0.2">
      <c r="A2556">
        <v>134</v>
      </c>
      <c r="B2556">
        <v>85</v>
      </c>
      <c r="C2556">
        <v>219</v>
      </c>
      <c r="D2556" s="51" t="s">
        <v>83</v>
      </c>
      <c r="E2556">
        <f>VLOOKUP(M2556,'MASS - 2016'!$A$1:$G$3418,6,FALSE)</f>
        <v>10396.075999999999</v>
      </c>
      <c r="F2556">
        <f>VLOOKUP(M2556,'MASS - 2016'!$A$1:$G$3418,7,FALSE)</f>
        <v>3.2370000000000001</v>
      </c>
      <c r="G2556">
        <f t="shared" si="201"/>
        <v>10396.075999999999</v>
      </c>
      <c r="H2556">
        <f t="shared" si="197"/>
        <v>219.01116064657336</v>
      </c>
      <c r="I2556">
        <f t="shared" si="198"/>
        <v>204.00759543500001</v>
      </c>
      <c r="J2556">
        <f t="shared" si="200"/>
        <v>203964.16043500003</v>
      </c>
      <c r="M2556">
        <f t="shared" si="199"/>
        <v>134085</v>
      </c>
    </row>
    <row r="2557" spans="1:13" x14ac:dyDescent="0.2">
      <c r="A2557">
        <v>133</v>
      </c>
      <c r="B2557">
        <v>86</v>
      </c>
      <c r="C2557">
        <v>219</v>
      </c>
      <c r="D2557" s="51" t="s">
        <v>84</v>
      </c>
      <c r="E2557">
        <f>VLOOKUP(M2557,'MASS - 2016'!$A$1:$G$3418,6,FALSE)</f>
        <v>8829.402</v>
      </c>
      <c r="F2557">
        <f>VLOOKUP(M2557,'MASS - 2016'!$A$1:$G$3418,7,FALSE)</f>
        <v>2.1</v>
      </c>
      <c r="G2557">
        <f t="shared" si="201"/>
        <v>8829.402</v>
      </c>
      <c r="H2557">
        <f t="shared" si="197"/>
        <v>219.00947875286562</v>
      </c>
      <c r="I2557">
        <f t="shared" si="198"/>
        <v>204.00602876100001</v>
      </c>
      <c r="J2557">
        <f t="shared" si="200"/>
        <v>203962.08276100003</v>
      </c>
      <c r="M2557">
        <f t="shared" si="199"/>
        <v>133086</v>
      </c>
    </row>
    <row r="2558" spans="1:13" x14ac:dyDescent="0.2">
      <c r="A2558">
        <v>132</v>
      </c>
      <c r="B2558">
        <v>87</v>
      </c>
      <c r="C2558">
        <v>219</v>
      </c>
      <c r="D2558" s="51" t="s">
        <v>85</v>
      </c>
      <c r="E2558">
        <f>VLOOKUP(M2558,'MASS - 2016'!$A$1:$G$3418,6,FALSE)</f>
        <v>8617.7669999999998</v>
      </c>
      <c r="F2558">
        <f>VLOOKUP(M2558,'MASS - 2016'!$A$1:$G$3418,7,FALSE)</f>
        <v>7.0389999999999997</v>
      </c>
      <c r="G2558">
        <f t="shared" si="201"/>
        <v>8617.7669999999998</v>
      </c>
      <c r="H2558">
        <f t="shared" si="197"/>
        <v>219.00925155334943</v>
      </c>
      <c r="I2558">
        <f t="shared" si="198"/>
        <v>204.00581712600001</v>
      </c>
      <c r="J2558">
        <f t="shared" si="200"/>
        <v>203961.36012600001</v>
      </c>
      <c r="M2558">
        <f t="shared" si="199"/>
        <v>132087</v>
      </c>
    </row>
    <row r="2559" spans="1:13" x14ac:dyDescent="0.2">
      <c r="A2559">
        <v>131</v>
      </c>
      <c r="B2559">
        <v>88</v>
      </c>
      <c r="C2559">
        <v>219</v>
      </c>
      <c r="D2559" s="51" t="s">
        <v>86</v>
      </c>
      <c r="E2559">
        <f>VLOOKUP(M2559,'MASS - 2016'!$A$1:$G$3418,6,FALSE)</f>
        <v>9394.2819999999992</v>
      </c>
      <c r="F2559">
        <f>VLOOKUP(M2559,'MASS - 2016'!$A$1:$G$3418,7,FALSE)</f>
        <v>8.2579999999999991</v>
      </c>
      <c r="G2559">
        <f t="shared" si="201"/>
        <v>9394.2819999999992</v>
      </c>
      <c r="H2559">
        <f t="shared" si="197"/>
        <v>219.01008517648509</v>
      </c>
      <c r="I2559">
        <f t="shared" si="198"/>
        <v>204.00659364099999</v>
      </c>
      <c r="J2559">
        <f t="shared" si="200"/>
        <v>203961.62564099999</v>
      </c>
      <c r="M2559">
        <f t="shared" si="199"/>
        <v>131088</v>
      </c>
    </row>
    <row r="2560" spans="1:13" x14ac:dyDescent="0.2">
      <c r="A2560">
        <v>130</v>
      </c>
      <c r="B2560">
        <v>89</v>
      </c>
      <c r="C2560">
        <v>219</v>
      </c>
      <c r="D2560" s="51" t="s">
        <v>87</v>
      </c>
      <c r="E2560">
        <f>VLOOKUP(M2560,'MASS - 2016'!$A$1:$G$3418,6,FALSE)</f>
        <v>11569.48</v>
      </c>
      <c r="F2560">
        <f>VLOOKUP(M2560,'MASS - 2016'!$A$1:$G$3418,7,FALSE)</f>
        <v>50.497</v>
      </c>
      <c r="G2560">
        <f t="shared" si="201"/>
        <v>11569.48</v>
      </c>
      <c r="H2560">
        <f t="shared" si="197"/>
        <v>219.0124203475732</v>
      </c>
      <c r="I2560">
        <f t="shared" si="198"/>
        <v>204.008768839</v>
      </c>
      <c r="J2560">
        <f t="shared" si="200"/>
        <v>203963.289839</v>
      </c>
      <c r="M2560">
        <f t="shared" si="199"/>
        <v>130089</v>
      </c>
    </row>
    <row r="2561" spans="1:13" x14ac:dyDescent="0.2">
      <c r="A2561">
        <v>129</v>
      </c>
      <c r="B2561">
        <v>90</v>
      </c>
      <c r="C2561">
        <v>219</v>
      </c>
      <c r="D2561" s="51" t="s">
        <v>88</v>
      </c>
      <c r="E2561">
        <f>VLOOKUP(M2561,'MASS - 2016'!$A$1:$G$3418,6,FALSE)</f>
        <v>14471.39</v>
      </c>
      <c r="F2561">
        <f>VLOOKUP(M2561,'MASS - 2016'!$A$1:$G$3418,7,FALSE)</f>
        <v>50.576000000000001</v>
      </c>
      <c r="G2561">
        <f t="shared" si="201"/>
        <v>14471.39</v>
      </c>
      <c r="H2561">
        <f t="shared" si="197"/>
        <v>219.01553567607772</v>
      </c>
      <c r="I2561">
        <f t="shared" si="198"/>
        <v>204.01167074900002</v>
      </c>
      <c r="J2561">
        <f t="shared" si="200"/>
        <v>203965.68074900002</v>
      </c>
      <c r="M2561">
        <f t="shared" si="199"/>
        <v>129090</v>
      </c>
    </row>
    <row r="2562" spans="1:13" x14ac:dyDescent="0.2">
      <c r="A2562">
        <v>128</v>
      </c>
      <c r="B2562">
        <v>91</v>
      </c>
      <c r="C2562">
        <v>219</v>
      </c>
      <c r="D2562" s="51" t="s">
        <v>89</v>
      </c>
      <c r="E2562">
        <f>VLOOKUP(M2562,'MASS - 2016'!$A$1:$G$3418,6,FALSE)</f>
        <v>18540.131000000001</v>
      </c>
      <c r="F2562">
        <f>VLOOKUP(M2562,'MASS - 2016'!$A$1:$G$3418,7,FALSE)</f>
        <v>51.515999999999998</v>
      </c>
      <c r="G2562">
        <f t="shared" si="201"/>
        <v>18540.131000000001</v>
      </c>
      <c r="H2562">
        <f t="shared" si="197"/>
        <v>219.01990364917637</v>
      </c>
      <c r="I2562">
        <f t="shared" si="198"/>
        <v>204.01573949000002</v>
      </c>
      <c r="J2562">
        <f t="shared" si="200"/>
        <v>203969.23849000002</v>
      </c>
      <c r="M2562">
        <f t="shared" si="199"/>
        <v>128091</v>
      </c>
    </row>
    <row r="2563" spans="1:13" x14ac:dyDescent="0.2">
      <c r="A2563">
        <v>127</v>
      </c>
      <c r="B2563">
        <v>92</v>
      </c>
      <c r="C2563">
        <v>219</v>
      </c>
      <c r="D2563" s="51" t="s">
        <v>90</v>
      </c>
      <c r="E2563">
        <f>VLOOKUP(M2563,'MASS - 2016'!$A$1:$G$3418,6,FALSE)</f>
        <v>23286.569</v>
      </c>
      <c r="F2563">
        <f>VLOOKUP(M2563,'MASS - 2016'!$A$1:$G$3418,7,FALSE)</f>
        <v>50.774999999999999</v>
      </c>
      <c r="G2563">
        <f t="shared" si="201"/>
        <v>23286.569</v>
      </c>
      <c r="H2563">
        <f t="shared" si="197"/>
        <v>219.02499915992487</v>
      </c>
      <c r="I2563">
        <f t="shared" si="198"/>
        <v>204.020485928</v>
      </c>
      <c r="J2563">
        <f t="shared" si="200"/>
        <v>203973.47392800002</v>
      </c>
      <c r="M2563">
        <f t="shared" si="199"/>
        <v>127092</v>
      </c>
    </row>
    <row r="2564" spans="1:13" x14ac:dyDescent="0.2">
      <c r="A2564">
        <v>135</v>
      </c>
      <c r="B2564">
        <v>85</v>
      </c>
      <c r="C2564">
        <v>220</v>
      </c>
      <c r="D2564" s="51" t="s">
        <v>83</v>
      </c>
      <c r="E2564">
        <f>VLOOKUP(M2564,'MASS - 2016'!$A$1:$G$3418,6,FALSE)</f>
        <v>14375.746999999999</v>
      </c>
      <c r="F2564">
        <f>VLOOKUP(M2564,'MASS - 2016'!$A$1:$G$3418,7,FALSE)</f>
        <v>13.972</v>
      </c>
      <c r="G2564">
        <f t="shared" si="201"/>
        <v>14375.746999999999</v>
      </c>
      <c r="H2564">
        <f t="shared" si="197"/>
        <v>220.01543299909457</v>
      </c>
      <c r="I2564">
        <f t="shared" si="198"/>
        <v>204.943069167</v>
      </c>
      <c r="J2564">
        <f t="shared" si="200"/>
        <v>204899.63416700001</v>
      </c>
      <c r="M2564">
        <f t="shared" si="199"/>
        <v>135085</v>
      </c>
    </row>
    <row r="2565" spans="1:13" x14ac:dyDescent="0.2">
      <c r="A2565">
        <v>134</v>
      </c>
      <c r="B2565">
        <v>86</v>
      </c>
      <c r="C2565">
        <v>220</v>
      </c>
      <c r="D2565" s="51" t="s">
        <v>84</v>
      </c>
      <c r="E2565">
        <f>VLOOKUP(M2565,'MASS - 2016'!$A$1:$G$3418,6,FALSE)</f>
        <v>10612.076999999999</v>
      </c>
      <c r="F2565">
        <f>VLOOKUP(M2565,'MASS - 2016'!$A$1:$G$3418,7,FALSE)</f>
        <v>1.8149999999999999</v>
      </c>
      <c r="G2565">
        <f t="shared" si="201"/>
        <v>10612.076999999999</v>
      </c>
      <c r="H2565">
        <f t="shared" si="197"/>
        <v>220.01139253318331</v>
      </c>
      <c r="I2565">
        <f t="shared" si="198"/>
        <v>204.93930549699999</v>
      </c>
      <c r="J2565">
        <f t="shared" si="200"/>
        <v>204895.359497</v>
      </c>
      <c r="M2565">
        <f t="shared" si="199"/>
        <v>134086</v>
      </c>
    </row>
    <row r="2566" spans="1:13" x14ac:dyDescent="0.2">
      <c r="A2566">
        <v>133</v>
      </c>
      <c r="B2566">
        <v>87</v>
      </c>
      <c r="C2566">
        <v>220</v>
      </c>
      <c r="D2566" s="51" t="s">
        <v>85</v>
      </c>
      <c r="E2566">
        <f>VLOOKUP(M2566,'MASS - 2016'!$A$1:$G$3418,6,FALSE)</f>
        <v>11482.32</v>
      </c>
      <c r="F2566">
        <f>VLOOKUP(M2566,'MASS - 2016'!$A$1:$G$3418,7,FALSE)</f>
        <v>4.0279999999999996</v>
      </c>
      <c r="G2566">
        <f t="shared" si="201"/>
        <v>11482.32</v>
      </c>
      <c r="H2566">
        <f t="shared" si="197"/>
        <v>220.01232677746509</v>
      </c>
      <c r="I2566">
        <f t="shared" si="198"/>
        <v>204.94017574</v>
      </c>
      <c r="J2566">
        <f t="shared" si="200"/>
        <v>204895.71874000001</v>
      </c>
      <c r="M2566">
        <f t="shared" si="199"/>
        <v>133087</v>
      </c>
    </row>
    <row r="2567" spans="1:13" x14ac:dyDescent="0.2">
      <c r="A2567">
        <v>132</v>
      </c>
      <c r="B2567">
        <v>88</v>
      </c>
      <c r="C2567">
        <v>220</v>
      </c>
      <c r="D2567" s="51" t="s">
        <v>86</v>
      </c>
      <c r="E2567">
        <f>VLOOKUP(M2567,'MASS - 2016'!$A$1:$G$3418,6,FALSE)</f>
        <v>10270.245000000001</v>
      </c>
      <c r="F2567">
        <f>VLOOKUP(M2567,'MASS - 2016'!$A$1:$G$3418,7,FALSE)</f>
        <v>8.2370000000000001</v>
      </c>
      <c r="G2567">
        <f t="shared" si="201"/>
        <v>10270.245000000001</v>
      </c>
      <c r="H2567">
        <f t="shared" si="197"/>
        <v>220.0110255614394</v>
      </c>
      <c r="I2567">
        <f t="shared" si="198"/>
        <v>204.93896366499999</v>
      </c>
      <c r="J2567">
        <f t="shared" si="200"/>
        <v>204893.99566499999</v>
      </c>
      <c r="M2567">
        <f t="shared" si="199"/>
        <v>132088</v>
      </c>
    </row>
    <row r="2568" spans="1:13" x14ac:dyDescent="0.2">
      <c r="A2568">
        <v>131</v>
      </c>
      <c r="B2568">
        <v>89</v>
      </c>
      <c r="C2568">
        <v>220</v>
      </c>
      <c r="D2568" s="51" t="s">
        <v>87</v>
      </c>
      <c r="E2568">
        <f>VLOOKUP(M2568,'MASS - 2016'!$A$1:$G$3418,6,FALSE)</f>
        <v>13743.682000000001</v>
      </c>
      <c r="F2568">
        <f>VLOOKUP(M2568,'MASS - 2016'!$A$1:$G$3418,7,FALSE)</f>
        <v>6.1289999999999996</v>
      </c>
      <c r="G2568">
        <f t="shared" si="201"/>
        <v>13743.682000000001</v>
      </c>
      <c r="H2568">
        <f t="shared" si="197"/>
        <v>220.01475444941138</v>
      </c>
      <c r="I2568">
        <f t="shared" si="198"/>
        <v>204.94243710200001</v>
      </c>
      <c r="J2568">
        <f t="shared" si="200"/>
        <v>204896.95810200003</v>
      </c>
      <c r="M2568">
        <f t="shared" si="199"/>
        <v>131089</v>
      </c>
    </row>
    <row r="2569" spans="1:13" x14ac:dyDescent="0.2">
      <c r="A2569">
        <v>130</v>
      </c>
      <c r="B2569">
        <v>90</v>
      </c>
      <c r="C2569">
        <v>220</v>
      </c>
      <c r="D2569" s="51" t="s">
        <v>88</v>
      </c>
      <c r="E2569">
        <f>VLOOKUP(M2569,'MASS - 2016'!$A$1:$G$3418,6,FALSE)</f>
        <v>14669.1</v>
      </c>
      <c r="F2569">
        <f>VLOOKUP(M2569,'MASS - 2016'!$A$1:$G$3418,7,FALSE)</f>
        <v>22.166</v>
      </c>
      <c r="G2569">
        <f t="shared" si="201"/>
        <v>14669.1</v>
      </c>
      <c r="H2569">
        <f t="shared" ref="H2569:H2632" si="202">(C2569*$A$3+G2569/1000000)/$A$3</f>
        <v>220.0157479264916</v>
      </c>
      <c r="I2569">
        <f t="shared" ref="I2569:I2632" si="203">H2569*$A$3</f>
        <v>204.94336251999999</v>
      </c>
      <c r="J2569">
        <f t="shared" si="200"/>
        <v>204897.37252</v>
      </c>
      <c r="M2569">
        <f t="shared" ref="M2569:M2632" si="204">1000*A2569+B2569</f>
        <v>130090</v>
      </c>
    </row>
    <row r="2570" spans="1:13" x14ac:dyDescent="0.2">
      <c r="A2570">
        <v>129</v>
      </c>
      <c r="B2570">
        <v>91</v>
      </c>
      <c r="C2570">
        <v>220</v>
      </c>
      <c r="D2570" s="51" t="s">
        <v>89</v>
      </c>
      <c r="E2570" t="str">
        <f>VLOOKUP(M2570,'MASS - 2016'!$A$1:$G$3418,6,FALSE)</f>
        <v>20218#</v>
      </c>
      <c r="F2570" t="str">
        <f>VLOOKUP(M2570,'MASS - 2016'!$A$1:$G$3418,7,FALSE)</f>
        <v>51#</v>
      </c>
      <c r="G2570">
        <f t="shared" si="201"/>
        <v>20218.009999999998</v>
      </c>
      <c r="H2570">
        <f t="shared" si="202"/>
        <v>220.02170492636131</v>
      </c>
      <c r="I2570">
        <f t="shared" si="203"/>
        <v>204.94891143000001</v>
      </c>
      <c r="J2570">
        <f t="shared" si="200"/>
        <v>204902.41043000002</v>
      </c>
      <c r="M2570">
        <f t="shared" si="204"/>
        <v>129091</v>
      </c>
    </row>
    <row r="2571" spans="1:13" x14ac:dyDescent="0.2">
      <c r="A2571">
        <v>128</v>
      </c>
      <c r="B2571">
        <v>92</v>
      </c>
      <c r="C2571">
        <v>220</v>
      </c>
      <c r="D2571" s="51" t="s">
        <v>90</v>
      </c>
      <c r="E2571" t="str">
        <f>VLOOKUP(M2571,'MASS - 2016'!$A$1:$G$3418,6,FALSE)</f>
        <v>22933#</v>
      </c>
      <c r="F2571" t="str">
        <f>VLOOKUP(M2571,'MASS - 2016'!$A$1:$G$3418,7,FALSE)</f>
        <v>101#</v>
      </c>
      <c r="G2571">
        <f t="shared" si="201"/>
        <v>22933.01</v>
      </c>
      <c r="H2571">
        <f t="shared" si="202"/>
        <v>220.02461959872872</v>
      </c>
      <c r="I2571">
        <f t="shared" si="203"/>
        <v>204.95162643</v>
      </c>
      <c r="J2571">
        <f t="shared" si="200"/>
        <v>204904.61443000002</v>
      </c>
      <c r="M2571">
        <f t="shared" si="204"/>
        <v>128092</v>
      </c>
    </row>
    <row r="2572" spans="1:13" x14ac:dyDescent="0.2">
      <c r="A2572">
        <v>136</v>
      </c>
      <c r="B2572">
        <v>85</v>
      </c>
      <c r="C2572">
        <v>221</v>
      </c>
      <c r="D2572" s="51" t="s">
        <v>83</v>
      </c>
      <c r="E2572">
        <f>VLOOKUP(M2572,'MASS - 2016'!$A$1:$G$3418,6,FALSE)</f>
        <v>16782.726999999999</v>
      </c>
      <c r="F2572">
        <f>VLOOKUP(M2572,'MASS - 2016'!$A$1:$G$3418,7,FALSE)</f>
        <v>13.972</v>
      </c>
      <c r="G2572">
        <f t="shared" si="201"/>
        <v>16782.726999999999</v>
      </c>
      <c r="H2572">
        <f t="shared" si="202"/>
        <v>221.01801699839285</v>
      </c>
      <c r="I2572">
        <f t="shared" si="203"/>
        <v>205.87697020799999</v>
      </c>
      <c r="J2572">
        <f t="shared" ref="J2572:J2635" si="205">1000*I2572-B2572*0.511</f>
        <v>205833.53520799999</v>
      </c>
      <c r="M2572">
        <f t="shared" si="204"/>
        <v>136085</v>
      </c>
    </row>
    <row r="2573" spans="1:13" x14ac:dyDescent="0.2">
      <c r="A2573">
        <v>135</v>
      </c>
      <c r="B2573">
        <v>86</v>
      </c>
      <c r="C2573">
        <v>221</v>
      </c>
      <c r="D2573" s="51" t="s">
        <v>84</v>
      </c>
      <c r="E2573">
        <f>VLOOKUP(M2573,'MASS - 2016'!$A$1:$G$3418,6,FALSE)</f>
        <v>14471.42</v>
      </c>
      <c r="F2573">
        <f>VLOOKUP(M2573,'MASS - 2016'!$A$1:$G$3418,7,FALSE)</f>
        <v>5.7140000000000004</v>
      </c>
      <c r="G2573">
        <f t="shared" si="201"/>
        <v>14471.42</v>
      </c>
      <c r="H2573">
        <f t="shared" si="202"/>
        <v>221.01553570828403</v>
      </c>
      <c r="I2573">
        <f t="shared" si="203"/>
        <v>205.874658901</v>
      </c>
      <c r="J2573">
        <f t="shared" si="205"/>
        <v>205830.71290100002</v>
      </c>
      <c r="M2573">
        <f t="shared" si="204"/>
        <v>135086</v>
      </c>
    </row>
    <row r="2574" spans="1:13" x14ac:dyDescent="0.2">
      <c r="A2574">
        <v>134</v>
      </c>
      <c r="B2574">
        <v>87</v>
      </c>
      <c r="C2574">
        <v>221</v>
      </c>
      <c r="D2574" s="51" t="s">
        <v>85</v>
      </c>
      <c r="E2574">
        <f>VLOOKUP(M2574,'MASS - 2016'!$A$1:$G$3418,6,FALSE)</f>
        <v>13277.29</v>
      </c>
      <c r="F2574">
        <f>VLOOKUP(M2574,'MASS - 2016'!$A$1:$G$3418,7,FALSE)</f>
        <v>4.8860000000000001</v>
      </c>
      <c r="G2574">
        <f t="shared" si="201"/>
        <v>13277.29</v>
      </c>
      <c r="H2574">
        <f t="shared" si="202"/>
        <v>221.01425375700811</v>
      </c>
      <c r="I2574">
        <f t="shared" si="203"/>
        <v>205.87346477099999</v>
      </c>
      <c r="J2574">
        <f t="shared" si="205"/>
        <v>205829.007771</v>
      </c>
      <c r="M2574">
        <f t="shared" si="204"/>
        <v>134087</v>
      </c>
    </row>
    <row r="2575" spans="1:13" x14ac:dyDescent="0.2">
      <c r="A2575">
        <v>133</v>
      </c>
      <c r="B2575">
        <v>88</v>
      </c>
      <c r="C2575">
        <v>221</v>
      </c>
      <c r="D2575" s="51" t="s">
        <v>86</v>
      </c>
      <c r="E2575">
        <f>VLOOKUP(M2575,'MASS - 2016'!$A$1:$G$3418,6,FALSE)</f>
        <v>12963.811</v>
      </c>
      <c r="F2575">
        <f>VLOOKUP(M2575,'MASS - 2016'!$A$1:$G$3418,7,FALSE)</f>
        <v>4.63</v>
      </c>
      <c r="G2575">
        <f t="shared" ref="G2575:G2638" si="206">IF(ISNUMBER(E2575),E2575,VALUE(SUBSTITUTE(E2575,"#",".01")))</f>
        <v>12963.811</v>
      </c>
      <c r="H2575">
        <f t="shared" si="202"/>
        <v>221.0139172234615</v>
      </c>
      <c r="I2575">
        <f t="shared" si="203"/>
        <v>205.87315129199999</v>
      </c>
      <c r="J2575">
        <f t="shared" si="205"/>
        <v>205828.183292</v>
      </c>
      <c r="M2575">
        <f t="shared" si="204"/>
        <v>133088</v>
      </c>
    </row>
    <row r="2576" spans="1:13" x14ac:dyDescent="0.2">
      <c r="A2576">
        <v>132</v>
      </c>
      <c r="B2576">
        <v>89</v>
      </c>
      <c r="C2576">
        <v>221</v>
      </c>
      <c r="D2576" s="51" t="s">
        <v>87</v>
      </c>
      <c r="E2576">
        <f>VLOOKUP(M2576,'MASS - 2016'!$A$1:$G$3418,6,FALSE)</f>
        <v>14523.109</v>
      </c>
      <c r="F2576">
        <f>VLOOKUP(M2576,'MASS - 2016'!$A$1:$G$3418,7,FALSE)</f>
        <v>50.424999999999997</v>
      </c>
      <c r="G2576">
        <f t="shared" si="206"/>
        <v>14523.109</v>
      </c>
      <c r="H2576">
        <f t="shared" si="202"/>
        <v>221.0155911987076</v>
      </c>
      <c r="I2576">
        <f t="shared" si="203"/>
        <v>205.87471059000001</v>
      </c>
      <c r="J2576">
        <f t="shared" si="205"/>
        <v>205829.23159000001</v>
      </c>
      <c r="M2576">
        <f t="shared" si="204"/>
        <v>132089</v>
      </c>
    </row>
    <row r="2577" spans="1:13" x14ac:dyDescent="0.2">
      <c r="A2577">
        <v>131</v>
      </c>
      <c r="B2577">
        <v>90</v>
      </c>
      <c r="C2577">
        <v>221</v>
      </c>
      <c r="D2577" s="51" t="s">
        <v>88</v>
      </c>
      <c r="E2577">
        <f>VLOOKUP(M2577,'MASS - 2016'!$A$1:$G$3418,6,FALSE)</f>
        <v>16940.370999999999</v>
      </c>
      <c r="F2577">
        <f>VLOOKUP(M2577,'MASS - 2016'!$A$1:$G$3418,7,FALSE)</f>
        <v>8.1660000000000004</v>
      </c>
      <c r="G2577">
        <f t="shared" si="206"/>
        <v>16940.370999999999</v>
      </c>
      <c r="H2577">
        <f t="shared" si="202"/>
        <v>221.01818623618686</v>
      </c>
      <c r="I2577">
        <f t="shared" si="203"/>
        <v>205.877127852</v>
      </c>
      <c r="J2577">
        <f t="shared" si="205"/>
        <v>205831.13785200001</v>
      </c>
      <c r="M2577">
        <f t="shared" si="204"/>
        <v>131090</v>
      </c>
    </row>
    <row r="2578" spans="1:13" x14ac:dyDescent="0.2">
      <c r="A2578">
        <v>130</v>
      </c>
      <c r="B2578">
        <v>91</v>
      </c>
      <c r="C2578">
        <v>221</v>
      </c>
      <c r="D2578" s="51" t="s">
        <v>89</v>
      </c>
      <c r="E2578">
        <f>VLOOKUP(M2578,'MASS - 2016'!$A$1:$G$3418,6,FALSE)</f>
        <v>20376.288</v>
      </c>
      <c r="F2578">
        <f>VLOOKUP(M2578,'MASS - 2016'!$A$1:$G$3418,7,FALSE)</f>
        <v>51.280999999999999</v>
      </c>
      <c r="G2578">
        <f t="shared" si="206"/>
        <v>20376.288</v>
      </c>
      <c r="H2578">
        <f t="shared" si="202"/>
        <v>221.02187484478227</v>
      </c>
      <c r="I2578">
        <f t="shared" si="203"/>
        <v>205.88056376899999</v>
      </c>
      <c r="J2578">
        <f t="shared" si="205"/>
        <v>205834.06276900001</v>
      </c>
      <c r="M2578">
        <f t="shared" si="204"/>
        <v>130091</v>
      </c>
    </row>
    <row r="2579" spans="1:13" x14ac:dyDescent="0.2">
      <c r="A2579">
        <v>129</v>
      </c>
      <c r="B2579">
        <v>92</v>
      </c>
      <c r="C2579">
        <v>221</v>
      </c>
      <c r="D2579" s="51" t="s">
        <v>90</v>
      </c>
      <c r="E2579">
        <f>VLOOKUP(M2579,'MASS - 2016'!$A$1:$G$3418,6,FALSE)</f>
        <v>24519.994999999999</v>
      </c>
      <c r="F2579">
        <f>VLOOKUP(M2579,'MASS - 2016'!$A$1:$G$3418,7,FALSE)</f>
        <v>51.113999999999997</v>
      </c>
      <c r="G2579">
        <f t="shared" si="206"/>
        <v>24519.994999999999</v>
      </c>
      <c r="H2579">
        <f t="shared" si="202"/>
        <v>221.02632329719168</v>
      </c>
      <c r="I2579">
        <f t="shared" si="203"/>
        <v>205.88470747599999</v>
      </c>
      <c r="J2579">
        <f t="shared" si="205"/>
        <v>205837.69547599999</v>
      </c>
      <c r="M2579">
        <f t="shared" si="204"/>
        <v>129092</v>
      </c>
    </row>
    <row r="2580" spans="1:13" x14ac:dyDescent="0.2">
      <c r="A2580">
        <v>137</v>
      </c>
      <c r="B2580">
        <v>85</v>
      </c>
      <c r="C2580">
        <v>222</v>
      </c>
      <c r="D2580" s="51" t="s">
        <v>83</v>
      </c>
      <c r="E2580">
        <f>VLOOKUP(M2580,'MASS - 2016'!$A$1:$G$3418,6,FALSE)</f>
        <v>20953.026000000002</v>
      </c>
      <c r="F2580">
        <f>VLOOKUP(M2580,'MASS - 2016'!$A$1:$G$3418,7,FALSE)</f>
        <v>15.835000000000001</v>
      </c>
      <c r="G2580">
        <f t="shared" si="206"/>
        <v>20953.026000000002</v>
      </c>
      <c r="H2580">
        <f t="shared" si="202"/>
        <v>222.0224939984883</v>
      </c>
      <c r="I2580">
        <f t="shared" si="203"/>
        <v>206.81263456799999</v>
      </c>
      <c r="J2580">
        <f t="shared" si="205"/>
        <v>206769.19956799998</v>
      </c>
      <c r="M2580">
        <f t="shared" si="204"/>
        <v>137085</v>
      </c>
    </row>
    <row r="2581" spans="1:13" x14ac:dyDescent="0.2">
      <c r="A2581">
        <v>136</v>
      </c>
      <c r="B2581">
        <v>86</v>
      </c>
      <c r="C2581">
        <v>222</v>
      </c>
      <c r="D2581" s="51" t="s">
        <v>84</v>
      </c>
      <c r="E2581">
        <f>VLOOKUP(M2581,'MASS - 2016'!$A$1:$G$3418,6,FALSE)</f>
        <v>16372.206</v>
      </c>
      <c r="F2581">
        <f>VLOOKUP(M2581,'MASS - 2016'!$A$1:$G$3418,7,FALSE)</f>
        <v>1.95</v>
      </c>
      <c r="G2581">
        <f t="shared" si="206"/>
        <v>16372.206</v>
      </c>
      <c r="H2581">
        <f t="shared" si="202"/>
        <v>222.01757628597483</v>
      </c>
      <c r="I2581">
        <f t="shared" si="203"/>
        <v>206.80805374799999</v>
      </c>
      <c r="J2581">
        <f t="shared" si="205"/>
        <v>206764.10774800001</v>
      </c>
      <c r="M2581">
        <f t="shared" si="204"/>
        <v>136086</v>
      </c>
    </row>
    <row r="2582" spans="1:13" x14ac:dyDescent="0.2">
      <c r="A2582">
        <v>135</v>
      </c>
      <c r="B2582">
        <v>87</v>
      </c>
      <c r="C2582">
        <v>222</v>
      </c>
      <c r="D2582" s="51" t="s">
        <v>85</v>
      </c>
      <c r="E2582">
        <f>VLOOKUP(M2582,'MASS - 2016'!$A$1:$G$3418,6,FALSE)</f>
        <v>16378.105</v>
      </c>
      <c r="F2582">
        <f>VLOOKUP(M2582,'MASS - 2016'!$A$1:$G$3418,7,FALSE)</f>
        <v>7.452</v>
      </c>
      <c r="G2582">
        <f t="shared" si="206"/>
        <v>16378.105</v>
      </c>
      <c r="H2582">
        <f t="shared" si="202"/>
        <v>222.01758261881179</v>
      </c>
      <c r="I2582">
        <f t="shared" si="203"/>
        <v>206.80805964699999</v>
      </c>
      <c r="J2582">
        <f t="shared" si="205"/>
        <v>206763.60264699999</v>
      </c>
      <c r="M2582">
        <f t="shared" si="204"/>
        <v>135087</v>
      </c>
    </row>
    <row r="2583" spans="1:13" x14ac:dyDescent="0.2">
      <c r="A2583">
        <v>134</v>
      </c>
      <c r="B2583">
        <v>88</v>
      </c>
      <c r="C2583">
        <v>222</v>
      </c>
      <c r="D2583" s="51" t="s">
        <v>86</v>
      </c>
      <c r="E2583">
        <f>VLOOKUP(M2583,'MASS - 2016'!$A$1:$G$3418,6,FALSE)</f>
        <v>14320.188</v>
      </c>
      <c r="F2583">
        <f>VLOOKUP(M2583,'MASS - 2016'!$A$1:$G$3418,7,FALSE)</f>
        <v>4.4539999999999997</v>
      </c>
      <c r="G2583">
        <f t="shared" si="206"/>
        <v>14320.188</v>
      </c>
      <c r="H2583">
        <f t="shared" si="202"/>
        <v>222.01537335405513</v>
      </c>
      <c r="I2583">
        <f t="shared" si="203"/>
        <v>206.80600172999999</v>
      </c>
      <c r="J2583">
        <f t="shared" si="205"/>
        <v>206761.03373</v>
      </c>
      <c r="M2583">
        <f t="shared" si="204"/>
        <v>134088</v>
      </c>
    </row>
    <row r="2584" spans="1:13" x14ac:dyDescent="0.2">
      <c r="A2584">
        <v>133</v>
      </c>
      <c r="B2584">
        <v>89</v>
      </c>
      <c r="C2584">
        <v>222</v>
      </c>
      <c r="D2584" s="51" t="s">
        <v>87</v>
      </c>
      <c r="E2584">
        <f>VLOOKUP(M2584,'MASS - 2016'!$A$1:$G$3418,6,FALSE)</f>
        <v>16621.473999999998</v>
      </c>
      <c r="F2584">
        <f>VLOOKUP(M2584,'MASS - 2016'!$A$1:$G$3418,7,FALSE)</f>
        <v>5.1740000000000004</v>
      </c>
      <c r="G2584">
        <f t="shared" si="206"/>
        <v>16621.473999999998</v>
      </c>
      <c r="H2584">
        <f t="shared" si="202"/>
        <v>222.01784388617804</v>
      </c>
      <c r="I2584">
        <f t="shared" si="203"/>
        <v>206.808303016</v>
      </c>
      <c r="J2584">
        <f t="shared" si="205"/>
        <v>206762.824016</v>
      </c>
      <c r="M2584">
        <f t="shared" si="204"/>
        <v>133089</v>
      </c>
    </row>
    <row r="2585" spans="1:13" x14ac:dyDescent="0.2">
      <c r="A2585">
        <v>132</v>
      </c>
      <c r="B2585">
        <v>90</v>
      </c>
      <c r="C2585">
        <v>222</v>
      </c>
      <c r="D2585" s="51" t="s">
        <v>88</v>
      </c>
      <c r="E2585">
        <f>VLOOKUP(M2585,'MASS - 2016'!$A$1:$G$3418,6,FALSE)</f>
        <v>17203.111000000001</v>
      </c>
      <c r="F2585">
        <f>VLOOKUP(M2585,'MASS - 2016'!$A$1:$G$3418,7,FALSE)</f>
        <v>12.279</v>
      </c>
      <c r="G2585">
        <f t="shared" si="206"/>
        <v>17203.111000000001</v>
      </c>
      <c r="H2585">
        <f t="shared" si="202"/>
        <v>222.01846829917682</v>
      </c>
      <c r="I2585">
        <f t="shared" si="203"/>
        <v>206.80888465299998</v>
      </c>
      <c r="J2585">
        <f t="shared" si="205"/>
        <v>206762.894653</v>
      </c>
      <c r="M2585">
        <f t="shared" si="204"/>
        <v>132090</v>
      </c>
    </row>
    <row r="2586" spans="1:13" x14ac:dyDescent="0.2">
      <c r="A2586">
        <v>131</v>
      </c>
      <c r="B2586">
        <v>91</v>
      </c>
      <c r="C2586">
        <v>222</v>
      </c>
      <c r="D2586" s="51" t="s">
        <v>89</v>
      </c>
      <c r="E2586" t="str">
        <f>VLOOKUP(M2586,'MASS - 2016'!$A$1:$G$3418,6,FALSE)</f>
        <v>22155#</v>
      </c>
      <c r="F2586" t="str">
        <f>VLOOKUP(M2586,'MASS - 2016'!$A$1:$G$3418,7,FALSE)</f>
        <v>72#</v>
      </c>
      <c r="G2586">
        <f t="shared" si="206"/>
        <v>22155.01</v>
      </c>
      <c r="H2586">
        <f t="shared" si="202"/>
        <v>222.02378438137998</v>
      </c>
      <c r="I2586">
        <f t="shared" si="203"/>
        <v>206.813836552</v>
      </c>
      <c r="J2586">
        <f t="shared" si="205"/>
        <v>206767.335552</v>
      </c>
      <c r="M2586">
        <f t="shared" si="204"/>
        <v>131091</v>
      </c>
    </row>
    <row r="2587" spans="1:13" x14ac:dyDescent="0.2">
      <c r="A2587">
        <v>130</v>
      </c>
      <c r="B2587">
        <v>92</v>
      </c>
      <c r="C2587">
        <v>222</v>
      </c>
      <c r="D2587" s="51" t="s">
        <v>90</v>
      </c>
      <c r="E2587">
        <f>VLOOKUP(M2587,'MASS - 2016'!$A$1:$G$3418,6,FALSE)</f>
        <v>24272.827000000001</v>
      </c>
      <c r="F2587">
        <f>VLOOKUP(M2587,'MASS - 2016'!$A$1:$G$3418,7,FALSE)</f>
        <v>51.994</v>
      </c>
      <c r="G2587">
        <f t="shared" si="206"/>
        <v>24272.827000000001</v>
      </c>
      <c r="H2587">
        <f t="shared" si="202"/>
        <v>222.0260579514312</v>
      </c>
      <c r="I2587">
        <f t="shared" si="203"/>
        <v>206.815954369</v>
      </c>
      <c r="J2587">
        <f t="shared" si="205"/>
        <v>206768.942369</v>
      </c>
      <c r="M2587">
        <f t="shared" si="204"/>
        <v>130092</v>
      </c>
    </row>
    <row r="2588" spans="1:13" x14ac:dyDescent="0.2">
      <c r="A2588">
        <v>138</v>
      </c>
      <c r="B2588">
        <v>85</v>
      </c>
      <c r="C2588">
        <v>223</v>
      </c>
      <c r="D2588" s="51" t="s">
        <v>83</v>
      </c>
      <c r="E2588">
        <f>VLOOKUP(M2588,'MASS - 2016'!$A$1:$G$3418,6,FALSE)</f>
        <v>23428.006000000001</v>
      </c>
      <c r="F2588">
        <f>VLOOKUP(M2588,'MASS - 2016'!$A$1:$G$3418,7,FALSE)</f>
        <v>13.972</v>
      </c>
      <c r="G2588">
        <f t="shared" si="206"/>
        <v>23428.006000000001</v>
      </c>
      <c r="H2588">
        <f t="shared" si="202"/>
        <v>223.0251509987888</v>
      </c>
      <c r="I2588">
        <f t="shared" si="203"/>
        <v>207.74660360899998</v>
      </c>
      <c r="J2588">
        <f t="shared" si="205"/>
        <v>207703.16860899999</v>
      </c>
      <c r="M2588">
        <f t="shared" si="204"/>
        <v>138085</v>
      </c>
    </row>
    <row r="2589" spans="1:13" x14ac:dyDescent="0.2">
      <c r="A2589">
        <v>137</v>
      </c>
      <c r="B2589">
        <v>86</v>
      </c>
      <c r="C2589">
        <v>223</v>
      </c>
      <c r="D2589" s="51" t="s">
        <v>84</v>
      </c>
      <c r="E2589">
        <f>VLOOKUP(M2589,'MASS - 2016'!$A$1:$G$3418,6,FALSE)</f>
        <v>20389.739000000001</v>
      </c>
      <c r="F2589">
        <f>VLOOKUP(M2589,'MASS - 2016'!$A$1:$G$3418,7,FALSE)</f>
        <v>7.8220000000000001</v>
      </c>
      <c r="G2589">
        <f t="shared" si="206"/>
        <v>20389.739000000001</v>
      </c>
      <c r="H2589">
        <f t="shared" si="202"/>
        <v>223.02188928502463</v>
      </c>
      <c r="I2589">
        <f t="shared" si="203"/>
        <v>207.74356534199998</v>
      </c>
      <c r="J2589">
        <f t="shared" si="205"/>
        <v>207699.61934199999</v>
      </c>
      <c r="M2589">
        <f t="shared" si="204"/>
        <v>137086</v>
      </c>
    </row>
    <row r="2590" spans="1:13" x14ac:dyDescent="0.2">
      <c r="A2590">
        <v>136</v>
      </c>
      <c r="B2590">
        <v>87</v>
      </c>
      <c r="C2590">
        <v>223</v>
      </c>
      <c r="D2590" s="51" t="s">
        <v>85</v>
      </c>
      <c r="E2590">
        <f>VLOOKUP(M2590,'MASS - 2016'!$A$1:$G$3418,6,FALSE)</f>
        <v>18382.394</v>
      </c>
      <c r="F2590">
        <f>VLOOKUP(M2590,'MASS - 2016'!$A$1:$G$3418,7,FALSE)</f>
        <v>1.9319999999999999</v>
      </c>
      <c r="G2590">
        <f t="shared" si="206"/>
        <v>18382.394</v>
      </c>
      <c r="H2590">
        <f t="shared" si="202"/>
        <v>223.01973431154275</v>
      </c>
      <c r="I2590">
        <f t="shared" si="203"/>
        <v>207.741557997</v>
      </c>
      <c r="J2590">
        <f t="shared" si="205"/>
        <v>207697.100997</v>
      </c>
      <c r="M2590">
        <f t="shared" si="204"/>
        <v>136087</v>
      </c>
    </row>
    <row r="2591" spans="1:13" x14ac:dyDescent="0.2">
      <c r="A2591">
        <v>135</v>
      </c>
      <c r="B2591">
        <v>88</v>
      </c>
      <c r="C2591">
        <v>223</v>
      </c>
      <c r="D2591" s="51" t="s">
        <v>86</v>
      </c>
      <c r="E2591">
        <f>VLOOKUP(M2591,'MASS - 2016'!$A$1:$G$3418,6,FALSE)</f>
        <v>17233.309000000001</v>
      </c>
      <c r="F2591">
        <f>VLOOKUP(M2591,'MASS - 2016'!$A$1:$G$3418,7,FALSE)</f>
        <v>2.09</v>
      </c>
      <c r="G2591">
        <f t="shared" si="206"/>
        <v>17233.309000000001</v>
      </c>
      <c r="H2591">
        <f t="shared" si="202"/>
        <v>223.01850071806308</v>
      </c>
      <c r="I2591">
        <f t="shared" si="203"/>
        <v>207.74040891199999</v>
      </c>
      <c r="J2591">
        <f t="shared" si="205"/>
        <v>207695.44091199999</v>
      </c>
      <c r="M2591">
        <f t="shared" si="204"/>
        <v>135088</v>
      </c>
    </row>
    <row r="2592" spans="1:13" x14ac:dyDescent="0.2">
      <c r="A2592">
        <v>134</v>
      </c>
      <c r="B2592">
        <v>89</v>
      </c>
      <c r="C2592">
        <v>223</v>
      </c>
      <c r="D2592" s="51" t="s">
        <v>87</v>
      </c>
      <c r="E2592">
        <f>VLOOKUP(M2592,'MASS - 2016'!$A$1:$G$3418,6,FALSE)</f>
        <v>17825.882000000001</v>
      </c>
      <c r="F2592">
        <f>VLOOKUP(M2592,'MASS - 2016'!$A$1:$G$3418,7,FALSE)</f>
        <v>7.11</v>
      </c>
      <c r="G2592">
        <f t="shared" si="206"/>
        <v>17825.882000000001</v>
      </c>
      <c r="H2592">
        <f t="shared" si="202"/>
        <v>223.01913687134072</v>
      </c>
      <c r="I2592">
        <f t="shared" si="203"/>
        <v>207.741001485</v>
      </c>
      <c r="J2592">
        <f t="shared" si="205"/>
        <v>207695.52248499999</v>
      </c>
      <c r="M2592">
        <f t="shared" si="204"/>
        <v>134089</v>
      </c>
    </row>
    <row r="2593" spans="1:13" x14ac:dyDescent="0.2">
      <c r="A2593">
        <v>133</v>
      </c>
      <c r="B2593">
        <v>90</v>
      </c>
      <c r="C2593">
        <v>223</v>
      </c>
      <c r="D2593" s="51" t="s">
        <v>88</v>
      </c>
      <c r="E2593">
        <f>VLOOKUP(M2593,'MASS - 2016'!$A$1:$G$3418,6,FALSE)</f>
        <v>19385.830999999998</v>
      </c>
      <c r="F2593">
        <f>VLOOKUP(M2593,'MASS - 2016'!$A$1:$G$3418,7,FALSE)</f>
        <v>9.2119999999999997</v>
      </c>
      <c r="G2593">
        <f t="shared" si="206"/>
        <v>19385.830999999998</v>
      </c>
      <c r="H2593">
        <f t="shared" si="202"/>
        <v>223.02081154546403</v>
      </c>
      <c r="I2593">
        <f t="shared" si="203"/>
        <v>207.74256143399998</v>
      </c>
      <c r="J2593">
        <f t="shared" si="205"/>
        <v>207696.57143399998</v>
      </c>
      <c r="M2593">
        <f t="shared" si="204"/>
        <v>133090</v>
      </c>
    </row>
    <row r="2594" spans="1:13" x14ac:dyDescent="0.2">
      <c r="A2594">
        <v>132</v>
      </c>
      <c r="B2594">
        <v>91</v>
      </c>
      <c r="C2594">
        <v>223</v>
      </c>
      <c r="D2594" s="51" t="s">
        <v>89</v>
      </c>
      <c r="E2594">
        <f>VLOOKUP(M2594,'MASS - 2016'!$A$1:$G$3418,6,FALSE)</f>
        <v>22320.675999999999</v>
      </c>
      <c r="F2594">
        <f>VLOOKUP(M2594,'MASS - 2016'!$A$1:$G$3418,7,FALSE)</f>
        <v>71.063000000000002</v>
      </c>
      <c r="G2594">
        <f t="shared" si="206"/>
        <v>22320.675999999999</v>
      </c>
      <c r="H2594">
        <f t="shared" si="202"/>
        <v>223.02396223114511</v>
      </c>
      <c r="I2594">
        <f t="shared" si="203"/>
        <v>207.74549627899998</v>
      </c>
      <c r="J2594">
        <f t="shared" si="205"/>
        <v>207698.995279</v>
      </c>
      <c r="M2594">
        <f t="shared" si="204"/>
        <v>132091</v>
      </c>
    </row>
    <row r="2595" spans="1:13" x14ac:dyDescent="0.2">
      <c r="A2595">
        <v>131</v>
      </c>
      <c r="B2595">
        <v>92</v>
      </c>
      <c r="C2595">
        <v>223</v>
      </c>
      <c r="D2595" s="51" t="s">
        <v>90</v>
      </c>
      <c r="E2595">
        <f>VLOOKUP(M2595,'MASS - 2016'!$A$1:$G$3418,6,FALSE)</f>
        <v>25837.006000000001</v>
      </c>
      <c r="F2595">
        <f>VLOOKUP(M2595,'MASS - 2016'!$A$1:$G$3418,7,FALSE)</f>
        <v>71.119</v>
      </c>
      <c r="G2595">
        <f t="shared" si="206"/>
        <v>25837.006000000001</v>
      </c>
      <c r="H2595">
        <f t="shared" si="202"/>
        <v>223.02773716664629</v>
      </c>
      <c r="I2595">
        <f t="shared" si="203"/>
        <v>207.74901260899998</v>
      </c>
      <c r="J2595">
        <f t="shared" si="205"/>
        <v>207702.00060899998</v>
      </c>
      <c r="M2595">
        <f t="shared" si="204"/>
        <v>131092</v>
      </c>
    </row>
    <row r="2596" spans="1:13" x14ac:dyDescent="0.2">
      <c r="A2596">
        <v>138</v>
      </c>
      <c r="B2596">
        <v>86</v>
      </c>
      <c r="C2596">
        <v>224</v>
      </c>
      <c r="D2596" s="51" t="s">
        <v>84</v>
      </c>
      <c r="E2596">
        <f>VLOOKUP(M2596,'MASS - 2016'!$A$1:$G$3418,6,FALSE)</f>
        <v>22445.098000000002</v>
      </c>
      <c r="F2596">
        <f>VLOOKUP(M2596,'MASS - 2016'!$A$1:$G$3418,7,FALSE)</f>
        <v>9.8140000000000001</v>
      </c>
      <c r="G2596">
        <f t="shared" si="206"/>
        <v>22445.098000000002</v>
      </c>
      <c r="H2596">
        <f t="shared" si="202"/>
        <v>224.02409580365534</v>
      </c>
      <c r="I2596">
        <f t="shared" si="203"/>
        <v>208.67711476199997</v>
      </c>
      <c r="J2596">
        <f t="shared" si="205"/>
        <v>208633.16876199999</v>
      </c>
      <c r="M2596">
        <f t="shared" si="204"/>
        <v>138086</v>
      </c>
    </row>
    <row r="2597" spans="1:13" x14ac:dyDescent="0.2">
      <c r="A2597">
        <v>137</v>
      </c>
      <c r="B2597">
        <v>87</v>
      </c>
      <c r="C2597">
        <v>224</v>
      </c>
      <c r="D2597" s="51" t="s">
        <v>85</v>
      </c>
      <c r="E2597">
        <f>VLOOKUP(M2597,'MASS - 2016'!$A$1:$G$3418,6,FALSE)</f>
        <v>21748.616000000002</v>
      </c>
      <c r="F2597">
        <f>VLOOKUP(M2597,'MASS - 2016'!$A$1:$G$3418,7,FALSE)</f>
        <v>11.178000000000001</v>
      </c>
      <c r="G2597">
        <f t="shared" si="206"/>
        <v>21748.616000000002</v>
      </c>
      <c r="H2597">
        <f t="shared" si="202"/>
        <v>224.02334809947862</v>
      </c>
      <c r="I2597">
        <f t="shared" si="203"/>
        <v>208.67641827999998</v>
      </c>
      <c r="J2597">
        <f t="shared" si="205"/>
        <v>208631.96127999999</v>
      </c>
      <c r="M2597">
        <f t="shared" si="204"/>
        <v>137087</v>
      </c>
    </row>
    <row r="2598" spans="1:13" x14ac:dyDescent="0.2">
      <c r="A2598">
        <v>136</v>
      </c>
      <c r="B2598">
        <v>88</v>
      </c>
      <c r="C2598">
        <v>224</v>
      </c>
      <c r="D2598" s="51" t="s">
        <v>86</v>
      </c>
      <c r="E2598">
        <f>VLOOKUP(M2598,'MASS - 2016'!$A$1:$G$3418,6,FALSE)</f>
        <v>18825.917000000001</v>
      </c>
      <c r="F2598">
        <f>VLOOKUP(M2598,'MASS - 2016'!$A$1:$G$3418,7,FALSE)</f>
        <v>1.8129999999999999</v>
      </c>
      <c r="G2598">
        <f t="shared" si="206"/>
        <v>18825.917000000001</v>
      </c>
      <c r="H2598">
        <f t="shared" si="202"/>
        <v>224.02021045306478</v>
      </c>
      <c r="I2598">
        <f t="shared" si="203"/>
        <v>208.67349558099997</v>
      </c>
      <c r="J2598">
        <f t="shared" si="205"/>
        <v>208628.52758099997</v>
      </c>
      <c r="M2598">
        <f t="shared" si="204"/>
        <v>136088</v>
      </c>
    </row>
    <row r="2599" spans="1:13" x14ac:dyDescent="0.2">
      <c r="A2599">
        <v>135</v>
      </c>
      <c r="B2599">
        <v>89</v>
      </c>
      <c r="C2599">
        <v>224</v>
      </c>
      <c r="D2599" s="51" t="s">
        <v>87</v>
      </c>
      <c r="E2599">
        <f>VLOOKUP(M2599,'MASS - 2016'!$A$1:$G$3418,6,FALSE)</f>
        <v>20234.134999999998</v>
      </c>
      <c r="F2599">
        <f>VLOOKUP(M2599,'MASS - 2016'!$A$1:$G$3418,7,FALSE)</f>
        <v>4.0890000000000004</v>
      </c>
      <c r="G2599">
        <f t="shared" si="206"/>
        <v>20234.134999999998</v>
      </c>
      <c r="H2599">
        <f t="shared" si="202"/>
        <v>224.02172223726072</v>
      </c>
      <c r="I2599">
        <f t="shared" si="203"/>
        <v>208.67490379899999</v>
      </c>
      <c r="J2599">
        <f t="shared" si="205"/>
        <v>208629.424799</v>
      </c>
      <c r="M2599">
        <f t="shared" si="204"/>
        <v>135089</v>
      </c>
    </row>
    <row r="2600" spans="1:13" x14ac:dyDescent="0.2">
      <c r="A2600">
        <v>134</v>
      </c>
      <c r="B2600">
        <v>90</v>
      </c>
      <c r="C2600">
        <v>224</v>
      </c>
      <c r="D2600" s="51" t="s">
        <v>88</v>
      </c>
      <c r="E2600">
        <f>VLOOKUP(M2600,'MASS - 2016'!$A$1:$G$3418,6,FALSE)</f>
        <v>19993.734</v>
      </c>
      <c r="F2600">
        <f>VLOOKUP(M2600,'MASS - 2016'!$A$1:$G$3418,7,FALSE)</f>
        <v>10.119999999999999</v>
      </c>
      <c r="G2600">
        <f t="shared" si="206"/>
        <v>19993.734</v>
      </c>
      <c r="H2600">
        <f t="shared" si="202"/>
        <v>224.02146415617349</v>
      </c>
      <c r="I2600">
        <f t="shared" si="203"/>
        <v>208.67466339799998</v>
      </c>
      <c r="J2600">
        <f t="shared" si="205"/>
        <v>208628.67339799998</v>
      </c>
      <c r="M2600">
        <f t="shared" si="204"/>
        <v>134090</v>
      </c>
    </row>
    <row r="2601" spans="1:13" x14ac:dyDescent="0.2">
      <c r="A2601">
        <v>133</v>
      </c>
      <c r="B2601">
        <v>91</v>
      </c>
      <c r="C2601">
        <v>224</v>
      </c>
      <c r="D2601" s="51" t="s">
        <v>89</v>
      </c>
      <c r="E2601">
        <f>VLOOKUP(M2601,'MASS - 2016'!$A$1:$G$3418,6,FALSE)</f>
        <v>23862.277999999998</v>
      </c>
      <c r="F2601">
        <f>VLOOKUP(M2601,'MASS - 2016'!$A$1:$G$3418,7,FALSE)</f>
        <v>7.5869999999999997</v>
      </c>
      <c r="G2601">
        <f t="shared" si="206"/>
        <v>23862.277999999998</v>
      </c>
      <c r="H2601">
        <f t="shared" si="202"/>
        <v>224.02561720895392</v>
      </c>
      <c r="I2601">
        <f t="shared" si="203"/>
        <v>208.67853194199998</v>
      </c>
      <c r="J2601">
        <f t="shared" si="205"/>
        <v>208632.03094199998</v>
      </c>
      <c r="M2601">
        <f t="shared" si="204"/>
        <v>133091</v>
      </c>
    </row>
    <row r="2602" spans="1:13" x14ac:dyDescent="0.2">
      <c r="A2602">
        <v>132</v>
      </c>
      <c r="B2602">
        <v>92</v>
      </c>
      <c r="C2602">
        <v>224</v>
      </c>
      <c r="D2602" s="51" t="s">
        <v>90</v>
      </c>
      <c r="E2602">
        <f>VLOOKUP(M2602,'MASS - 2016'!$A$1:$G$3418,6,FALSE)</f>
        <v>25722.252</v>
      </c>
      <c r="F2602">
        <f>VLOOKUP(M2602,'MASS - 2016'!$A$1:$G$3418,7,FALSE)</f>
        <v>23.170999999999999</v>
      </c>
      <c r="G2602">
        <f t="shared" si="206"/>
        <v>25722.252</v>
      </c>
      <c r="H2602">
        <f t="shared" si="202"/>
        <v>224.0276139731609</v>
      </c>
      <c r="I2602">
        <f t="shared" si="203"/>
        <v>208.68039191599999</v>
      </c>
      <c r="J2602">
        <f t="shared" si="205"/>
        <v>208633.37991600001</v>
      </c>
      <c r="M2602">
        <f t="shared" si="204"/>
        <v>132092</v>
      </c>
    </row>
    <row r="2603" spans="1:13" x14ac:dyDescent="0.2">
      <c r="A2603">
        <v>139</v>
      </c>
      <c r="B2603">
        <v>86</v>
      </c>
      <c r="C2603">
        <v>225</v>
      </c>
      <c r="D2603" s="51" t="s">
        <v>84</v>
      </c>
      <c r="E2603">
        <f>VLOOKUP(M2603,'MASS - 2016'!$A$1:$G$3418,6,FALSE)</f>
        <v>26534.141</v>
      </c>
      <c r="F2603">
        <f>VLOOKUP(M2603,'MASS - 2016'!$A$1:$G$3418,7,FALSE)</f>
        <v>11.14</v>
      </c>
      <c r="G2603">
        <f t="shared" si="206"/>
        <v>26534.141</v>
      </c>
      <c r="H2603">
        <f t="shared" si="202"/>
        <v>225.02848557184737</v>
      </c>
      <c r="I2603">
        <f t="shared" si="203"/>
        <v>209.61269786600002</v>
      </c>
      <c r="J2603">
        <f t="shared" si="205"/>
        <v>209568.75186600004</v>
      </c>
      <c r="M2603">
        <f t="shared" si="204"/>
        <v>139086</v>
      </c>
    </row>
    <row r="2604" spans="1:13" x14ac:dyDescent="0.2">
      <c r="A2604">
        <v>138</v>
      </c>
      <c r="B2604">
        <v>87</v>
      </c>
      <c r="C2604">
        <v>225</v>
      </c>
      <c r="D2604" s="51" t="s">
        <v>85</v>
      </c>
      <c r="E2604">
        <f>VLOOKUP(M2604,'MASS - 2016'!$A$1:$G$3418,6,FALSE)</f>
        <v>23820.61</v>
      </c>
      <c r="F2604">
        <f>VLOOKUP(M2604,'MASS - 2016'!$A$1:$G$3418,7,FALSE)</f>
        <v>11.967000000000001</v>
      </c>
      <c r="G2604">
        <f t="shared" si="206"/>
        <v>23820.61</v>
      </c>
      <c r="H2604">
        <f t="shared" si="202"/>
        <v>225.02557247651632</v>
      </c>
      <c r="I2604">
        <f t="shared" si="203"/>
        <v>209.60998433500001</v>
      </c>
      <c r="J2604">
        <f t="shared" si="205"/>
        <v>209565.52733500002</v>
      </c>
      <c r="M2604">
        <f t="shared" si="204"/>
        <v>138087</v>
      </c>
    </row>
    <row r="2605" spans="1:13" x14ac:dyDescent="0.2">
      <c r="A2605">
        <v>137</v>
      </c>
      <c r="B2605">
        <v>88</v>
      </c>
      <c r="C2605">
        <v>225</v>
      </c>
      <c r="D2605" s="51" t="s">
        <v>86</v>
      </c>
      <c r="E2605">
        <f>VLOOKUP(M2605,'MASS - 2016'!$A$1:$G$3418,6,FALSE)</f>
        <v>21993.109</v>
      </c>
      <c r="F2605">
        <f>VLOOKUP(M2605,'MASS - 2016'!$A$1:$G$3418,7,FALSE)</f>
        <v>2.5960000000000001</v>
      </c>
      <c r="G2605">
        <f t="shared" si="206"/>
        <v>21993.109</v>
      </c>
      <c r="H2605">
        <f t="shared" si="202"/>
        <v>225.02361057350853</v>
      </c>
      <c r="I2605">
        <f t="shared" si="203"/>
        <v>209.608156834</v>
      </c>
      <c r="J2605">
        <f t="shared" si="205"/>
        <v>209563.188834</v>
      </c>
      <c r="M2605">
        <f t="shared" si="204"/>
        <v>137088</v>
      </c>
    </row>
    <row r="2606" spans="1:13" x14ac:dyDescent="0.2">
      <c r="A2606">
        <v>136</v>
      </c>
      <c r="B2606">
        <v>89</v>
      </c>
      <c r="C2606">
        <v>225</v>
      </c>
      <c r="D2606" s="51" t="s">
        <v>87</v>
      </c>
      <c r="E2606">
        <f>VLOOKUP(M2606,'MASS - 2016'!$A$1:$G$3418,6,FALSE)</f>
        <v>21637.346000000001</v>
      </c>
      <c r="F2606">
        <f>VLOOKUP(M2606,'MASS - 2016'!$A$1:$G$3418,7,FALSE)</f>
        <v>4.758</v>
      </c>
      <c r="G2606">
        <f t="shared" si="206"/>
        <v>21637.346000000001</v>
      </c>
      <c r="H2606">
        <f t="shared" si="202"/>
        <v>225.0232286462211</v>
      </c>
      <c r="I2606">
        <f t="shared" si="203"/>
        <v>209.60780107100001</v>
      </c>
      <c r="J2606">
        <f t="shared" si="205"/>
        <v>209562.32207100003</v>
      </c>
      <c r="M2606">
        <f t="shared" si="204"/>
        <v>136089</v>
      </c>
    </row>
    <row r="2607" spans="1:13" x14ac:dyDescent="0.2">
      <c r="A2607">
        <v>135</v>
      </c>
      <c r="B2607">
        <v>90</v>
      </c>
      <c r="C2607">
        <v>225</v>
      </c>
      <c r="D2607" s="51" t="s">
        <v>88</v>
      </c>
      <c r="E2607">
        <f>VLOOKUP(M2607,'MASS - 2016'!$A$1:$G$3418,6,FALSE)</f>
        <v>22310.127</v>
      </c>
      <c r="F2607">
        <f>VLOOKUP(M2607,'MASS - 2016'!$A$1:$G$3418,7,FALSE)</f>
        <v>5.093</v>
      </c>
      <c r="G2607">
        <f t="shared" si="206"/>
        <v>22310.127</v>
      </c>
      <c r="H2607">
        <f t="shared" si="202"/>
        <v>225.02395090632791</v>
      </c>
      <c r="I2607">
        <f t="shared" si="203"/>
        <v>209.608473852</v>
      </c>
      <c r="J2607">
        <f t="shared" si="205"/>
        <v>209562.483852</v>
      </c>
      <c r="M2607">
        <f t="shared" si="204"/>
        <v>135090</v>
      </c>
    </row>
    <row r="2608" spans="1:13" x14ac:dyDescent="0.2">
      <c r="A2608">
        <v>134</v>
      </c>
      <c r="B2608">
        <v>91</v>
      </c>
      <c r="C2608">
        <v>225</v>
      </c>
      <c r="D2608" s="51" t="s">
        <v>89</v>
      </c>
      <c r="E2608">
        <f>VLOOKUP(M2608,'MASS - 2016'!$A$1:$G$3418,6,FALSE)</f>
        <v>24340.724999999999</v>
      </c>
      <c r="F2608">
        <f>VLOOKUP(M2608,'MASS - 2016'!$A$1:$G$3418,7,FALSE)</f>
        <v>71.012</v>
      </c>
      <c r="G2608">
        <f t="shared" si="206"/>
        <v>24340.724999999999</v>
      </c>
      <c r="H2608">
        <f t="shared" si="202"/>
        <v>225.02613084293193</v>
      </c>
      <c r="I2608">
        <f t="shared" si="203"/>
        <v>209.61050445000001</v>
      </c>
      <c r="J2608">
        <f t="shared" si="205"/>
        <v>209564.00345000002</v>
      </c>
      <c r="M2608">
        <f t="shared" si="204"/>
        <v>134091</v>
      </c>
    </row>
    <row r="2609" spans="1:13" x14ac:dyDescent="0.2">
      <c r="A2609">
        <v>133</v>
      </c>
      <c r="B2609">
        <v>92</v>
      </c>
      <c r="C2609">
        <v>225</v>
      </c>
      <c r="D2609" s="51" t="s">
        <v>90</v>
      </c>
      <c r="E2609">
        <f>VLOOKUP(M2609,'MASS - 2016'!$A$1:$G$3418,6,FALSE)</f>
        <v>27379.920999999998</v>
      </c>
      <c r="F2609">
        <f>VLOOKUP(M2609,'MASS - 2016'!$A$1:$G$3418,7,FALSE)</f>
        <v>10.909000000000001</v>
      </c>
      <c r="G2609">
        <f t="shared" si="206"/>
        <v>27379.920999999998</v>
      </c>
      <c r="H2609">
        <f t="shared" si="202"/>
        <v>225.02939355401861</v>
      </c>
      <c r="I2609">
        <f t="shared" si="203"/>
        <v>209.61354364600001</v>
      </c>
      <c r="J2609">
        <f t="shared" si="205"/>
        <v>209566.53164600002</v>
      </c>
      <c r="M2609">
        <f t="shared" si="204"/>
        <v>133092</v>
      </c>
    </row>
    <row r="2610" spans="1:13" x14ac:dyDescent="0.2">
      <c r="A2610">
        <v>132</v>
      </c>
      <c r="B2610">
        <v>93</v>
      </c>
      <c r="C2610">
        <v>225</v>
      </c>
      <c r="D2610" s="51" t="s">
        <v>272</v>
      </c>
      <c r="E2610">
        <f>VLOOKUP(M2610,'MASS - 2016'!$A$1:$G$3418,6,FALSE)</f>
        <v>31587.704000000002</v>
      </c>
      <c r="F2610">
        <f>VLOOKUP(M2610,'MASS - 2016'!$A$1:$G$3418,7,FALSE)</f>
        <v>71.622</v>
      </c>
      <c r="G2610">
        <f t="shared" si="206"/>
        <v>31587.704000000002</v>
      </c>
      <c r="H2610">
        <f t="shared" si="202"/>
        <v>225.03391079484297</v>
      </c>
      <c r="I2610">
        <f t="shared" si="203"/>
        <v>209.61775142900001</v>
      </c>
      <c r="J2610">
        <f t="shared" si="205"/>
        <v>209570.22842900001</v>
      </c>
      <c r="M2610">
        <f t="shared" si="204"/>
        <v>132093</v>
      </c>
    </row>
    <row r="2611" spans="1:13" x14ac:dyDescent="0.2">
      <c r="A2611">
        <v>140</v>
      </c>
      <c r="B2611">
        <v>86</v>
      </c>
      <c r="C2611">
        <v>226</v>
      </c>
      <c r="D2611" s="51" t="s">
        <v>84</v>
      </c>
      <c r="E2611">
        <f>VLOOKUP(M2611,'MASS - 2016'!$A$1:$G$3418,6,FALSE)</f>
        <v>28747.191999999999</v>
      </c>
      <c r="F2611">
        <f>VLOOKUP(M2611,'MASS - 2016'!$A$1:$G$3418,7,FALSE)</f>
        <v>10.477</v>
      </c>
      <c r="G2611">
        <f t="shared" si="206"/>
        <v>28747.191999999999</v>
      </c>
      <c r="H2611">
        <f t="shared" si="202"/>
        <v>226.03086137980219</v>
      </c>
      <c r="I2611">
        <f t="shared" si="203"/>
        <v>210.546404978</v>
      </c>
      <c r="J2611">
        <f t="shared" si="205"/>
        <v>210502.45897800001</v>
      </c>
      <c r="M2611">
        <f t="shared" si="204"/>
        <v>140086</v>
      </c>
    </row>
    <row r="2612" spans="1:13" x14ac:dyDescent="0.2">
      <c r="A2612">
        <v>139</v>
      </c>
      <c r="B2612">
        <v>87</v>
      </c>
      <c r="C2612">
        <v>226</v>
      </c>
      <c r="D2612" s="51" t="s">
        <v>85</v>
      </c>
      <c r="E2612">
        <f>VLOOKUP(M2612,'MASS - 2016'!$A$1:$G$3418,6,FALSE)</f>
        <v>27520.539000000001</v>
      </c>
      <c r="F2612">
        <f>VLOOKUP(M2612,'MASS - 2016'!$A$1:$G$3418,7,FALSE)</f>
        <v>6.23</v>
      </c>
      <c r="G2612">
        <f t="shared" si="206"/>
        <v>27520.539000000001</v>
      </c>
      <c r="H2612">
        <f t="shared" si="202"/>
        <v>226.02954451364988</v>
      </c>
      <c r="I2612">
        <f t="shared" si="203"/>
        <v>210.54517832499999</v>
      </c>
      <c r="J2612">
        <f t="shared" si="205"/>
        <v>210500.72132499999</v>
      </c>
      <c r="M2612">
        <f t="shared" si="204"/>
        <v>139087</v>
      </c>
    </row>
    <row r="2613" spans="1:13" x14ac:dyDescent="0.2">
      <c r="A2613">
        <v>138</v>
      </c>
      <c r="B2613">
        <v>88</v>
      </c>
      <c r="C2613">
        <v>226</v>
      </c>
      <c r="D2613" s="51" t="s">
        <v>86</v>
      </c>
      <c r="E2613">
        <f>VLOOKUP(M2613,'MASS - 2016'!$A$1:$G$3418,6,FALSE)</f>
        <v>23667.824000000001</v>
      </c>
      <c r="F2613">
        <f>VLOOKUP(M2613,'MASS - 2016'!$A$1:$G$3418,7,FALSE)</f>
        <v>1.9330000000000001</v>
      </c>
      <c r="G2613">
        <f t="shared" si="206"/>
        <v>23667.824000000001</v>
      </c>
      <c r="H2613">
        <f t="shared" si="202"/>
        <v>226.0254084539998</v>
      </c>
      <c r="I2613">
        <f t="shared" si="203"/>
        <v>210.54132561</v>
      </c>
      <c r="J2613">
        <f t="shared" si="205"/>
        <v>210496.35761000001</v>
      </c>
      <c r="M2613">
        <f t="shared" si="204"/>
        <v>138088</v>
      </c>
    </row>
    <row r="2614" spans="1:13" x14ac:dyDescent="0.2">
      <c r="A2614">
        <v>137</v>
      </c>
      <c r="B2614">
        <v>89</v>
      </c>
      <c r="C2614">
        <v>226</v>
      </c>
      <c r="D2614" s="51" t="s">
        <v>87</v>
      </c>
      <c r="E2614">
        <f>VLOOKUP(M2614,'MASS - 2016'!$A$1:$G$3418,6,FALSE)</f>
        <v>24309.263999999999</v>
      </c>
      <c r="F2614">
        <f>VLOOKUP(M2614,'MASS - 2016'!$A$1:$G$3418,7,FALSE)</f>
        <v>3.1</v>
      </c>
      <c r="G2614">
        <f t="shared" si="206"/>
        <v>24309.263999999999</v>
      </c>
      <c r="H2614">
        <f t="shared" si="202"/>
        <v>226.02609706815943</v>
      </c>
      <c r="I2614">
        <f t="shared" si="203"/>
        <v>210.54196705000001</v>
      </c>
      <c r="J2614">
        <f t="shared" si="205"/>
        <v>210496.48805000001</v>
      </c>
      <c r="M2614">
        <f t="shared" si="204"/>
        <v>137089</v>
      </c>
    </row>
    <row r="2615" spans="1:13" x14ac:dyDescent="0.2">
      <c r="A2615">
        <v>136</v>
      </c>
      <c r="B2615">
        <v>90</v>
      </c>
      <c r="C2615">
        <v>226</v>
      </c>
      <c r="D2615" s="51" t="s">
        <v>88</v>
      </c>
      <c r="E2615">
        <f>VLOOKUP(M2615,'MASS - 2016'!$A$1:$G$3418,6,FALSE)</f>
        <v>23197.633999999998</v>
      </c>
      <c r="F2615">
        <f>VLOOKUP(M2615,'MASS - 2016'!$A$1:$G$3418,7,FALSE)</f>
        <v>4.4809999999999999</v>
      </c>
      <c r="G2615">
        <f t="shared" si="206"/>
        <v>23197.633999999998</v>
      </c>
      <c r="H2615">
        <f t="shared" si="202"/>
        <v>226.0249036842759</v>
      </c>
      <c r="I2615">
        <f t="shared" si="203"/>
        <v>210.54085542000001</v>
      </c>
      <c r="J2615">
        <f t="shared" si="205"/>
        <v>210494.86542000002</v>
      </c>
      <c r="M2615">
        <f t="shared" si="204"/>
        <v>136090</v>
      </c>
    </row>
    <row r="2616" spans="1:13" x14ac:dyDescent="0.2">
      <c r="A2616">
        <v>135</v>
      </c>
      <c r="B2616">
        <v>91</v>
      </c>
      <c r="C2616">
        <v>226</v>
      </c>
      <c r="D2616" s="51" t="s">
        <v>89</v>
      </c>
      <c r="E2616">
        <f>VLOOKUP(M2616,'MASS - 2016'!$A$1:$G$3418,6,FALSE)</f>
        <v>26033.276000000002</v>
      </c>
      <c r="F2616">
        <f>VLOOKUP(M2616,'MASS - 2016'!$A$1:$G$3418,7,FALSE)</f>
        <v>11.42</v>
      </c>
      <c r="G2616">
        <f t="shared" si="206"/>
        <v>26033.276000000002</v>
      </c>
      <c r="H2616">
        <f t="shared" si="202"/>
        <v>226.02794787115664</v>
      </c>
      <c r="I2616">
        <f t="shared" si="203"/>
        <v>210.54369106199999</v>
      </c>
      <c r="J2616">
        <f t="shared" si="205"/>
        <v>210497.19006200001</v>
      </c>
      <c r="M2616">
        <f t="shared" si="204"/>
        <v>135091</v>
      </c>
    </row>
    <row r="2617" spans="1:13" x14ac:dyDescent="0.2">
      <c r="A2617">
        <v>134</v>
      </c>
      <c r="B2617">
        <v>92</v>
      </c>
      <c r="C2617">
        <v>226</v>
      </c>
      <c r="D2617" s="51" t="s">
        <v>90</v>
      </c>
      <c r="E2617">
        <f>VLOOKUP(M2617,'MASS - 2016'!$A$1:$G$3418,6,FALSE)</f>
        <v>27328.868999999999</v>
      </c>
      <c r="F2617">
        <f>VLOOKUP(M2617,'MASS - 2016'!$A$1:$G$3418,7,FALSE)</f>
        <v>12.999000000000001</v>
      </c>
      <c r="G2617">
        <f t="shared" si="206"/>
        <v>27328.868999999999</v>
      </c>
      <c r="H2617">
        <f t="shared" si="202"/>
        <v>226.02933874744264</v>
      </c>
      <c r="I2617">
        <f t="shared" si="203"/>
        <v>210.544986655</v>
      </c>
      <c r="J2617">
        <f t="shared" si="205"/>
        <v>210497.97465500003</v>
      </c>
      <c r="M2617">
        <f t="shared" si="204"/>
        <v>134092</v>
      </c>
    </row>
    <row r="2618" spans="1:13" x14ac:dyDescent="0.2">
      <c r="A2618">
        <v>133</v>
      </c>
      <c r="B2618">
        <v>93</v>
      </c>
      <c r="C2618">
        <v>226</v>
      </c>
      <c r="D2618" s="51" t="s">
        <v>272</v>
      </c>
      <c r="E2618" t="str">
        <f>VLOOKUP(M2618,'MASS - 2016'!$A$1:$G$3418,6,FALSE)</f>
        <v>32777#</v>
      </c>
      <c r="F2618" t="str">
        <f>VLOOKUP(M2618,'MASS - 2016'!$A$1:$G$3418,7,FALSE)</f>
        <v>88#</v>
      </c>
      <c r="G2618">
        <f t="shared" si="206"/>
        <v>32777.01</v>
      </c>
      <c r="H2618">
        <f t="shared" si="202"/>
        <v>226.03518756734186</v>
      </c>
      <c r="I2618">
        <f t="shared" si="203"/>
        <v>210.55043479599999</v>
      </c>
      <c r="J2618">
        <f t="shared" si="205"/>
        <v>210502.911796</v>
      </c>
      <c r="M2618">
        <f t="shared" si="204"/>
        <v>133093</v>
      </c>
    </row>
    <row r="2619" spans="1:13" x14ac:dyDescent="0.2">
      <c r="A2619">
        <v>141</v>
      </c>
      <c r="B2619">
        <v>86</v>
      </c>
      <c r="C2619">
        <v>227</v>
      </c>
      <c r="D2619" s="51" t="s">
        <v>84</v>
      </c>
      <c r="E2619">
        <f>VLOOKUP(M2619,'MASS - 2016'!$A$1:$G$3418,6,FALSE)</f>
        <v>32885.834000000003</v>
      </c>
      <c r="F2619">
        <f>VLOOKUP(M2619,'MASS - 2016'!$A$1:$G$3418,7,FALSE)</f>
        <v>14.090999999999999</v>
      </c>
      <c r="G2619">
        <f t="shared" si="206"/>
        <v>32885.834000000003</v>
      </c>
      <c r="H2619">
        <f t="shared" si="202"/>
        <v>227.03530439471049</v>
      </c>
      <c r="I2619">
        <f t="shared" si="203"/>
        <v>211.48203768100001</v>
      </c>
      <c r="J2619">
        <f t="shared" si="205"/>
        <v>211438.09168100002</v>
      </c>
      <c r="M2619">
        <f t="shared" si="204"/>
        <v>141086</v>
      </c>
    </row>
    <row r="2620" spans="1:13" x14ac:dyDescent="0.2">
      <c r="A2620">
        <v>140</v>
      </c>
      <c r="B2620">
        <v>87</v>
      </c>
      <c r="C2620">
        <v>227</v>
      </c>
      <c r="D2620" s="51" t="s">
        <v>85</v>
      </c>
      <c r="E2620">
        <f>VLOOKUP(M2620,'MASS - 2016'!$A$1:$G$3418,6,FALSE)</f>
        <v>29682.445</v>
      </c>
      <c r="F2620">
        <f>VLOOKUP(M2620,'MASS - 2016'!$A$1:$G$3418,7,FALSE)</f>
        <v>5.8979999999999997</v>
      </c>
      <c r="G2620">
        <f t="shared" si="206"/>
        <v>29682.445</v>
      </c>
      <c r="H2620">
        <f t="shared" si="202"/>
        <v>227.03186541518915</v>
      </c>
      <c r="I2620">
        <f t="shared" si="203"/>
        <v>211.47883429199999</v>
      </c>
      <c r="J2620">
        <f t="shared" si="205"/>
        <v>211434.37729199999</v>
      </c>
      <c r="M2620">
        <f t="shared" si="204"/>
        <v>140087</v>
      </c>
    </row>
    <row r="2621" spans="1:13" x14ac:dyDescent="0.2">
      <c r="A2621">
        <v>139</v>
      </c>
      <c r="B2621">
        <v>88</v>
      </c>
      <c r="C2621">
        <v>227</v>
      </c>
      <c r="D2621" s="51" t="s">
        <v>86</v>
      </c>
      <c r="E2621">
        <f>VLOOKUP(M2621,'MASS - 2016'!$A$1:$G$3418,6,FALSE)</f>
        <v>27177.710999999999</v>
      </c>
      <c r="F2621">
        <f>VLOOKUP(M2621,'MASS - 2016'!$A$1:$G$3418,7,FALSE)</f>
        <v>1.952</v>
      </c>
      <c r="G2621">
        <f t="shared" si="206"/>
        <v>27177.710999999999</v>
      </c>
      <c r="H2621">
        <f t="shared" si="202"/>
        <v>227.02917647265602</v>
      </c>
      <c r="I2621">
        <f t="shared" si="203"/>
        <v>211.476329558</v>
      </c>
      <c r="J2621">
        <f t="shared" si="205"/>
        <v>211431.361558</v>
      </c>
      <c r="M2621">
        <f t="shared" si="204"/>
        <v>139088</v>
      </c>
    </row>
    <row r="2622" spans="1:13" x14ac:dyDescent="0.2">
      <c r="A2622">
        <v>138</v>
      </c>
      <c r="B2622">
        <v>89</v>
      </c>
      <c r="C2622">
        <v>227</v>
      </c>
      <c r="D2622" s="51" t="s">
        <v>87</v>
      </c>
      <c r="E2622">
        <f>VLOOKUP(M2622,'MASS - 2016'!$A$1:$G$3418,6,FALSE)</f>
        <v>25849.58</v>
      </c>
      <c r="F2622">
        <f>VLOOKUP(M2622,'MASS - 2016'!$A$1:$G$3418,7,FALSE)</f>
        <v>1.927</v>
      </c>
      <c r="G2622">
        <f t="shared" si="206"/>
        <v>25849.58</v>
      </c>
      <c r="H2622">
        <f t="shared" si="202"/>
        <v>227.02775066539044</v>
      </c>
      <c r="I2622">
        <f t="shared" si="203"/>
        <v>211.475001427</v>
      </c>
      <c r="J2622">
        <f t="shared" si="205"/>
        <v>211429.52242699999</v>
      </c>
      <c r="M2622">
        <f t="shared" si="204"/>
        <v>138089</v>
      </c>
    </row>
    <row r="2623" spans="1:13" x14ac:dyDescent="0.2">
      <c r="A2623">
        <v>137</v>
      </c>
      <c r="B2623">
        <v>90</v>
      </c>
      <c r="C2623">
        <v>227</v>
      </c>
      <c r="D2623" s="51" t="s">
        <v>88</v>
      </c>
      <c r="E2623">
        <f>VLOOKUP(M2623,'MASS - 2016'!$A$1:$G$3418,6,FALSE)</f>
        <v>25804.823</v>
      </c>
      <c r="F2623">
        <f>VLOOKUP(M2623,'MASS - 2016'!$A$1:$G$3418,7,FALSE)</f>
        <v>2.0880000000000001</v>
      </c>
      <c r="G2623">
        <f t="shared" si="206"/>
        <v>25804.823</v>
      </c>
      <c r="H2623">
        <f t="shared" si="202"/>
        <v>227.02770261677492</v>
      </c>
      <c r="I2623">
        <f t="shared" si="203"/>
        <v>211.47495666999998</v>
      </c>
      <c r="J2623">
        <f t="shared" si="205"/>
        <v>211428.96666999999</v>
      </c>
      <c r="M2623">
        <f t="shared" si="204"/>
        <v>137090</v>
      </c>
    </row>
    <row r="2624" spans="1:13" x14ac:dyDescent="0.2">
      <c r="A2624">
        <v>136</v>
      </c>
      <c r="B2624">
        <v>91</v>
      </c>
      <c r="C2624">
        <v>227</v>
      </c>
      <c r="D2624" s="51" t="s">
        <v>89</v>
      </c>
      <c r="E2624">
        <f>VLOOKUP(M2624,'MASS - 2016'!$A$1:$G$3418,6,FALSE)</f>
        <v>26831.198</v>
      </c>
      <c r="F2624">
        <f>VLOOKUP(M2624,'MASS - 2016'!$A$1:$G$3418,7,FALSE)</f>
        <v>7.42</v>
      </c>
      <c r="G2624">
        <f t="shared" si="206"/>
        <v>26831.198</v>
      </c>
      <c r="H2624">
        <f t="shared" si="202"/>
        <v>227.02880447565192</v>
      </c>
      <c r="I2624">
        <f t="shared" si="203"/>
        <v>211.47598304499999</v>
      </c>
      <c r="J2624">
        <f t="shared" si="205"/>
        <v>211429.48204500001</v>
      </c>
      <c r="M2624">
        <f t="shared" si="204"/>
        <v>136091</v>
      </c>
    </row>
    <row r="2625" spans="1:13" x14ac:dyDescent="0.2">
      <c r="A2625">
        <v>135</v>
      </c>
      <c r="B2625">
        <v>92</v>
      </c>
      <c r="C2625">
        <v>227</v>
      </c>
      <c r="D2625" s="51" t="s">
        <v>90</v>
      </c>
      <c r="E2625">
        <f>VLOOKUP(M2625,'MASS - 2016'!$A$1:$G$3418,6,FALSE)</f>
        <v>29045.462</v>
      </c>
      <c r="F2625">
        <f>VLOOKUP(M2625,'MASS - 2016'!$A$1:$G$3418,7,FALSE)</f>
        <v>9.7050000000000001</v>
      </c>
      <c r="G2625">
        <f t="shared" si="206"/>
        <v>29045.462</v>
      </c>
      <c r="H2625">
        <f t="shared" si="202"/>
        <v>227.03118158581583</v>
      </c>
      <c r="I2625">
        <f t="shared" si="203"/>
        <v>211.478197309</v>
      </c>
      <c r="J2625">
        <f t="shared" si="205"/>
        <v>211431.18530899999</v>
      </c>
      <c r="M2625">
        <f t="shared" si="204"/>
        <v>135092</v>
      </c>
    </row>
    <row r="2626" spans="1:13" x14ac:dyDescent="0.2">
      <c r="A2626">
        <v>134</v>
      </c>
      <c r="B2626">
        <v>93</v>
      </c>
      <c r="C2626">
        <v>227</v>
      </c>
      <c r="D2626" s="51" t="s">
        <v>272</v>
      </c>
      <c r="E2626">
        <f>VLOOKUP(M2626,'MASS - 2016'!$A$1:$G$3418,6,FALSE)</f>
        <v>32562.080000000002</v>
      </c>
      <c r="F2626">
        <f>VLOOKUP(M2626,'MASS - 2016'!$A$1:$G$3418,7,FALSE)</f>
        <v>72.506</v>
      </c>
      <c r="G2626">
        <f t="shared" si="206"/>
        <v>32562.080000000002</v>
      </c>
      <c r="H2626">
        <f t="shared" si="202"/>
        <v>227.03495683049769</v>
      </c>
      <c r="I2626">
        <f t="shared" si="203"/>
        <v>211.48171392699999</v>
      </c>
      <c r="J2626">
        <f t="shared" si="205"/>
        <v>211434.19092699999</v>
      </c>
      <c r="M2626">
        <f t="shared" si="204"/>
        <v>134093</v>
      </c>
    </row>
    <row r="2627" spans="1:13" x14ac:dyDescent="0.2">
      <c r="A2627">
        <v>142</v>
      </c>
      <c r="B2627">
        <v>86</v>
      </c>
      <c r="C2627">
        <v>228</v>
      </c>
      <c r="D2627" s="51" t="s">
        <v>84</v>
      </c>
      <c r="E2627">
        <f>VLOOKUP(M2627,'MASS - 2016'!$A$1:$G$3418,6,FALSE)</f>
        <v>35243.464999999997</v>
      </c>
      <c r="F2627">
        <f>VLOOKUP(M2627,'MASS - 2016'!$A$1:$G$3418,7,FALSE)</f>
        <v>17.677</v>
      </c>
      <c r="G2627">
        <f t="shared" si="206"/>
        <v>35243.464999999997</v>
      </c>
      <c r="H2627">
        <f t="shared" si="202"/>
        <v>228.0378354156785</v>
      </c>
      <c r="I2627">
        <f t="shared" si="203"/>
        <v>212.415889373</v>
      </c>
      <c r="J2627">
        <f t="shared" si="205"/>
        <v>212371.94337300002</v>
      </c>
      <c r="M2627">
        <f t="shared" si="204"/>
        <v>142086</v>
      </c>
    </row>
    <row r="2628" spans="1:13" x14ac:dyDescent="0.2">
      <c r="A2628">
        <v>141</v>
      </c>
      <c r="B2628">
        <v>87</v>
      </c>
      <c r="C2628">
        <v>228</v>
      </c>
      <c r="D2628" s="51" t="s">
        <v>85</v>
      </c>
      <c r="E2628">
        <f>VLOOKUP(M2628,'MASS - 2016'!$A$1:$G$3418,6,FALSE)</f>
        <v>33384.220999999998</v>
      </c>
      <c r="F2628">
        <f>VLOOKUP(M2628,'MASS - 2016'!$A$1:$G$3418,7,FALSE)</f>
        <v>6.7320000000000002</v>
      </c>
      <c r="G2628">
        <f t="shared" si="206"/>
        <v>33384.220999999998</v>
      </c>
      <c r="H2628">
        <f t="shared" si="202"/>
        <v>228.03583943515878</v>
      </c>
      <c r="I2628">
        <f t="shared" si="203"/>
        <v>212.414030129</v>
      </c>
      <c r="J2628">
        <f t="shared" si="205"/>
        <v>212369.573129</v>
      </c>
      <c r="M2628">
        <f t="shared" si="204"/>
        <v>141087</v>
      </c>
    </row>
    <row r="2629" spans="1:13" x14ac:dyDescent="0.2">
      <c r="A2629">
        <v>140</v>
      </c>
      <c r="B2629">
        <v>88</v>
      </c>
      <c r="C2629">
        <v>228</v>
      </c>
      <c r="D2629" s="51" t="s">
        <v>86</v>
      </c>
      <c r="E2629">
        <f>VLOOKUP(M2629,'MASS - 2016'!$A$1:$G$3418,6,FALSE)</f>
        <v>28940.268</v>
      </c>
      <c r="F2629">
        <f>VLOOKUP(M2629,'MASS - 2016'!$A$1:$G$3418,7,FALSE)</f>
        <v>1.996</v>
      </c>
      <c r="G2629">
        <f t="shared" si="206"/>
        <v>28940.268</v>
      </c>
      <c r="H2629">
        <f t="shared" si="202"/>
        <v>228.0310686554125</v>
      </c>
      <c r="I2629">
        <f t="shared" si="203"/>
        <v>212.409586176</v>
      </c>
      <c r="J2629">
        <f t="shared" si="205"/>
        <v>212364.61817600002</v>
      </c>
      <c r="M2629">
        <f t="shared" si="204"/>
        <v>140088</v>
      </c>
    </row>
    <row r="2630" spans="1:13" x14ac:dyDescent="0.2">
      <c r="A2630">
        <v>139</v>
      </c>
      <c r="B2630">
        <v>89</v>
      </c>
      <c r="C2630">
        <v>228</v>
      </c>
      <c r="D2630" s="51" t="s">
        <v>87</v>
      </c>
      <c r="E2630">
        <f>VLOOKUP(M2630,'MASS - 2016'!$A$1:$G$3418,6,FALSE)</f>
        <v>28894.727999999999</v>
      </c>
      <c r="F2630">
        <f>VLOOKUP(M2630,'MASS - 2016'!$A$1:$G$3418,7,FALSE)</f>
        <v>2.0939999999999999</v>
      </c>
      <c r="G2630">
        <f t="shared" si="206"/>
        <v>28894.727999999999</v>
      </c>
      <c r="H2630">
        <f t="shared" si="202"/>
        <v>228.03101976621193</v>
      </c>
      <c r="I2630">
        <f t="shared" si="203"/>
        <v>212.409540636</v>
      </c>
      <c r="J2630">
        <f t="shared" si="205"/>
        <v>212364.061636</v>
      </c>
      <c r="M2630">
        <f t="shared" si="204"/>
        <v>139089</v>
      </c>
    </row>
    <row r="2631" spans="1:13" x14ac:dyDescent="0.2">
      <c r="A2631">
        <v>138</v>
      </c>
      <c r="B2631">
        <v>90</v>
      </c>
      <c r="C2631">
        <v>228</v>
      </c>
      <c r="D2631" s="51" t="s">
        <v>88</v>
      </c>
      <c r="E2631">
        <f>VLOOKUP(M2631,'MASS - 2016'!$A$1:$G$3418,6,FALSE)</f>
        <v>26770.984</v>
      </c>
      <c r="F2631">
        <f>VLOOKUP(M2631,'MASS - 2016'!$A$1:$G$3418,7,FALSE)</f>
        <v>1.8069999999999999</v>
      </c>
      <c r="G2631">
        <f t="shared" si="206"/>
        <v>26770.984</v>
      </c>
      <c r="H2631">
        <f t="shared" si="202"/>
        <v>228.02873983326447</v>
      </c>
      <c r="I2631">
        <f t="shared" si="203"/>
        <v>212.40741689199999</v>
      </c>
      <c r="J2631">
        <f t="shared" si="205"/>
        <v>212361.42689199999</v>
      </c>
      <c r="M2631">
        <f t="shared" si="204"/>
        <v>138090</v>
      </c>
    </row>
    <row r="2632" spans="1:13" x14ac:dyDescent="0.2">
      <c r="A2632">
        <v>137</v>
      </c>
      <c r="B2632">
        <v>91</v>
      </c>
      <c r="C2632">
        <v>228</v>
      </c>
      <c r="D2632" s="51" t="s">
        <v>89</v>
      </c>
      <c r="E2632">
        <f>VLOOKUP(M2632,'MASS - 2016'!$A$1:$G$3418,6,FALSE)</f>
        <v>28923.585999999999</v>
      </c>
      <c r="F2632">
        <f>VLOOKUP(M2632,'MASS - 2016'!$A$1:$G$3418,7,FALSE)</f>
        <v>4.34</v>
      </c>
      <c r="G2632">
        <f t="shared" si="206"/>
        <v>28923.585999999999</v>
      </c>
      <c r="H2632">
        <f t="shared" si="202"/>
        <v>228.03105074654897</v>
      </c>
      <c r="I2632">
        <f t="shared" si="203"/>
        <v>212.40956949399998</v>
      </c>
      <c r="J2632">
        <f t="shared" si="205"/>
        <v>212363.06849400001</v>
      </c>
      <c r="M2632">
        <f t="shared" si="204"/>
        <v>137091</v>
      </c>
    </row>
    <row r="2633" spans="1:13" x14ac:dyDescent="0.2">
      <c r="A2633">
        <v>136</v>
      </c>
      <c r="B2633">
        <v>92</v>
      </c>
      <c r="C2633">
        <v>228</v>
      </c>
      <c r="D2633" s="51" t="s">
        <v>90</v>
      </c>
      <c r="E2633">
        <f>VLOOKUP(M2633,'MASS - 2016'!$A$1:$G$3418,6,FALSE)</f>
        <v>29222.225999999999</v>
      </c>
      <c r="F2633">
        <f>VLOOKUP(M2633,'MASS - 2016'!$A$1:$G$3418,7,FALSE)</f>
        <v>14.353999999999999</v>
      </c>
      <c r="G2633">
        <f t="shared" si="206"/>
        <v>29222.225999999999</v>
      </c>
      <c r="H2633">
        <f t="shared" ref="H2633:H2696" si="207">(C2633*$A$3+G2633/1000000)/$A$3</f>
        <v>228.03137134977396</v>
      </c>
      <c r="I2633">
        <f t="shared" ref="I2633:I2696" si="208">H2633*$A$3</f>
        <v>212.40986813399999</v>
      </c>
      <c r="J2633">
        <f t="shared" si="205"/>
        <v>212362.856134</v>
      </c>
      <c r="M2633">
        <f t="shared" ref="M2633:M2696" si="209">1000*A2633+B2633</f>
        <v>136092</v>
      </c>
    </row>
    <row r="2634" spans="1:13" x14ac:dyDescent="0.2">
      <c r="A2634">
        <v>135</v>
      </c>
      <c r="B2634">
        <v>93</v>
      </c>
      <c r="C2634">
        <v>228</v>
      </c>
      <c r="D2634" s="51" t="s">
        <v>272</v>
      </c>
      <c r="E2634">
        <f>VLOOKUP(M2634,'MASS - 2016'!$A$1:$G$3418,6,FALSE)</f>
        <v>33595.694000000003</v>
      </c>
      <c r="F2634">
        <f>VLOOKUP(M2634,'MASS - 2016'!$A$1:$G$3418,7,FALSE)</f>
        <v>50.572000000000003</v>
      </c>
      <c r="G2634">
        <f t="shared" si="206"/>
        <v>33595.694000000003</v>
      </c>
      <c r="H2634">
        <f t="shared" si="207"/>
        <v>228.03606646076082</v>
      </c>
      <c r="I2634">
        <f t="shared" si="208"/>
        <v>212.414241602</v>
      </c>
      <c r="J2634">
        <f t="shared" si="205"/>
        <v>212366.71860200001</v>
      </c>
      <c r="M2634">
        <f t="shared" si="209"/>
        <v>135093</v>
      </c>
    </row>
    <row r="2635" spans="1:13" x14ac:dyDescent="0.2">
      <c r="A2635">
        <v>134</v>
      </c>
      <c r="B2635">
        <v>94</v>
      </c>
      <c r="C2635">
        <v>228</v>
      </c>
      <c r="D2635" s="51" t="s">
        <v>273</v>
      </c>
      <c r="E2635">
        <f>VLOOKUP(M2635,'MASS - 2016'!$A$1:$G$3418,6,FALSE)</f>
        <v>36087.370000000003</v>
      </c>
      <c r="F2635">
        <f>VLOOKUP(M2635,'MASS - 2016'!$A$1:$G$3418,7,FALSE)</f>
        <v>29.143000000000001</v>
      </c>
      <c r="G2635">
        <f t="shared" si="206"/>
        <v>36087.370000000003</v>
      </c>
      <c r="H2635">
        <f t="shared" si="207"/>
        <v>228.03874138495445</v>
      </c>
      <c r="I2635">
        <f t="shared" si="208"/>
        <v>212.41673327799998</v>
      </c>
      <c r="J2635">
        <f t="shared" si="205"/>
        <v>212368.69927799996</v>
      </c>
      <c r="M2635">
        <f t="shared" si="209"/>
        <v>134094</v>
      </c>
    </row>
    <row r="2636" spans="1:13" x14ac:dyDescent="0.2">
      <c r="A2636">
        <v>142</v>
      </c>
      <c r="B2636">
        <v>87</v>
      </c>
      <c r="C2636">
        <v>229</v>
      </c>
      <c r="D2636" s="51" t="s">
        <v>85</v>
      </c>
      <c r="E2636">
        <f>VLOOKUP(M2636,'MASS - 2016'!$A$1:$G$3418,6,FALSE)</f>
        <v>35668.262000000002</v>
      </c>
      <c r="F2636">
        <f>VLOOKUP(M2636,'MASS - 2016'!$A$1:$G$3418,7,FALSE)</f>
        <v>5.0010000000000003</v>
      </c>
      <c r="G2636">
        <f t="shared" si="206"/>
        <v>35668.262000000002</v>
      </c>
      <c r="H2636">
        <f t="shared" si="207"/>
        <v>229.03829145401281</v>
      </c>
      <c r="I2636">
        <f t="shared" si="208"/>
        <v>213.34780823099999</v>
      </c>
      <c r="J2636">
        <f t="shared" ref="J2636:J2699" si="210">1000*I2636-B2636*0.511</f>
        <v>213303.35123099998</v>
      </c>
      <c r="M2636">
        <f t="shared" si="209"/>
        <v>142087</v>
      </c>
    </row>
    <row r="2637" spans="1:13" x14ac:dyDescent="0.2">
      <c r="A2637">
        <v>141</v>
      </c>
      <c r="B2637">
        <v>88</v>
      </c>
      <c r="C2637">
        <v>229</v>
      </c>
      <c r="D2637" s="51" t="s">
        <v>86</v>
      </c>
      <c r="E2637">
        <f>VLOOKUP(M2637,'MASS - 2016'!$A$1:$G$3418,6,FALSE)</f>
        <v>32561.963</v>
      </c>
      <c r="F2637">
        <f>VLOOKUP(M2637,'MASS - 2016'!$A$1:$G$3418,7,FALSE)</f>
        <v>15.441000000000001</v>
      </c>
      <c r="G2637">
        <f t="shared" si="206"/>
        <v>32561.963</v>
      </c>
      <c r="H2637">
        <f t="shared" si="207"/>
        <v>229.03495670489303</v>
      </c>
      <c r="I2637">
        <f t="shared" si="208"/>
        <v>213.34470193199999</v>
      </c>
      <c r="J2637">
        <f t="shared" si="210"/>
        <v>213299.733932</v>
      </c>
      <c r="M2637">
        <f t="shared" si="209"/>
        <v>141088</v>
      </c>
    </row>
    <row r="2638" spans="1:13" x14ac:dyDescent="0.2">
      <c r="A2638">
        <v>140</v>
      </c>
      <c r="B2638">
        <v>89</v>
      </c>
      <c r="C2638">
        <v>229</v>
      </c>
      <c r="D2638" s="51" t="s">
        <v>87</v>
      </c>
      <c r="E2638">
        <f>VLOOKUP(M2638,'MASS - 2016'!$A$1:$G$3418,6,FALSE)</f>
        <v>30689.933000000001</v>
      </c>
      <c r="F2638">
        <f>VLOOKUP(M2638,'MASS - 2016'!$A$1:$G$3418,7,FALSE)</f>
        <v>12.109</v>
      </c>
      <c r="G2638">
        <f t="shared" si="206"/>
        <v>30689.933000000001</v>
      </c>
      <c r="H2638">
        <f t="shared" si="207"/>
        <v>229.0329469980378</v>
      </c>
      <c r="I2638">
        <f t="shared" si="208"/>
        <v>213.34282990199998</v>
      </c>
      <c r="J2638">
        <f t="shared" si="210"/>
        <v>213297.35090199998</v>
      </c>
      <c r="M2638">
        <f t="shared" si="209"/>
        <v>140089</v>
      </c>
    </row>
    <row r="2639" spans="1:13" x14ac:dyDescent="0.2">
      <c r="A2639">
        <v>139</v>
      </c>
      <c r="B2639">
        <v>90</v>
      </c>
      <c r="C2639">
        <v>229</v>
      </c>
      <c r="D2639" s="51" t="s">
        <v>88</v>
      </c>
      <c r="E2639">
        <f>VLOOKUP(M2639,'MASS - 2016'!$A$1:$G$3418,6,FALSE)</f>
        <v>29585.582999999999</v>
      </c>
      <c r="F2639">
        <f>VLOOKUP(M2639,'MASS - 2016'!$A$1:$G$3418,7,FALSE)</f>
        <v>2.4049999999999998</v>
      </c>
      <c r="G2639">
        <f t="shared" ref="G2639:G2702" si="211">IF(ISNUMBER(E2639),E2639,VALUE(SUBSTITUTE(E2639,"#",".01")))</f>
        <v>29585.582999999999</v>
      </c>
      <c r="H2639">
        <f t="shared" si="207"/>
        <v>229.03176142955567</v>
      </c>
      <c r="I2639">
        <f t="shared" si="208"/>
        <v>213.34172555199999</v>
      </c>
      <c r="J2639">
        <f t="shared" si="210"/>
        <v>213295.735552</v>
      </c>
      <c r="M2639">
        <f t="shared" si="209"/>
        <v>139090</v>
      </c>
    </row>
    <row r="2640" spans="1:13" x14ac:dyDescent="0.2">
      <c r="A2640">
        <v>138</v>
      </c>
      <c r="B2640">
        <v>91</v>
      </c>
      <c r="C2640">
        <v>229</v>
      </c>
      <c r="D2640" s="51" t="s">
        <v>89</v>
      </c>
      <c r="E2640">
        <f>VLOOKUP(M2640,'MASS - 2016'!$A$1:$G$3418,6,FALSE)</f>
        <v>29896.907999999999</v>
      </c>
      <c r="F2640">
        <f>VLOOKUP(M2640,'MASS - 2016'!$A$1:$G$3418,7,FALSE)</f>
        <v>3.28</v>
      </c>
      <c r="G2640">
        <f t="shared" si="211"/>
        <v>29896.907999999999</v>
      </c>
      <c r="H2640">
        <f t="shared" si="207"/>
        <v>229.03209565068821</v>
      </c>
      <c r="I2640">
        <f t="shared" si="208"/>
        <v>213.342036877</v>
      </c>
      <c r="J2640">
        <f t="shared" si="210"/>
        <v>213295.53587700002</v>
      </c>
      <c r="M2640">
        <f t="shared" si="209"/>
        <v>138091</v>
      </c>
    </row>
    <row r="2641" spans="1:13" x14ac:dyDescent="0.2">
      <c r="A2641">
        <v>137</v>
      </c>
      <c r="B2641">
        <v>92</v>
      </c>
      <c r="C2641">
        <v>229</v>
      </c>
      <c r="D2641" s="51" t="s">
        <v>90</v>
      </c>
      <c r="E2641">
        <f>VLOOKUP(M2641,'MASS - 2016'!$A$1:$G$3418,6,FALSE)</f>
        <v>31210.554</v>
      </c>
      <c r="F2641">
        <f>VLOOKUP(M2641,'MASS - 2016'!$A$1:$G$3418,7,FALSE)</f>
        <v>5.9379999999999997</v>
      </c>
      <c r="G2641">
        <f t="shared" si="211"/>
        <v>31210.554</v>
      </c>
      <c r="H2641">
        <f t="shared" si="207"/>
        <v>229.03350590766675</v>
      </c>
      <c r="I2641">
        <f t="shared" si="208"/>
        <v>213.343350523</v>
      </c>
      <c r="J2641">
        <f t="shared" si="210"/>
        <v>213296.33852300001</v>
      </c>
      <c r="M2641">
        <f t="shared" si="209"/>
        <v>137092</v>
      </c>
    </row>
    <row r="2642" spans="1:13" x14ac:dyDescent="0.2">
      <c r="A2642">
        <v>136</v>
      </c>
      <c r="B2642">
        <v>93</v>
      </c>
      <c r="C2642">
        <v>229</v>
      </c>
      <c r="D2642" s="51" t="s">
        <v>272</v>
      </c>
      <c r="E2642">
        <f>VLOOKUP(M2642,'MASS - 2016'!$A$1:$G$3418,6,FALSE)</f>
        <v>33779.675000000003</v>
      </c>
      <c r="F2642">
        <f>VLOOKUP(M2642,'MASS - 2016'!$A$1:$G$3418,7,FALSE)</f>
        <v>86.847999999999999</v>
      </c>
      <c r="G2642">
        <f t="shared" si="211"/>
        <v>33779.675000000003</v>
      </c>
      <c r="H2642">
        <f t="shared" si="207"/>
        <v>229.03626397248709</v>
      </c>
      <c r="I2642">
        <f t="shared" si="208"/>
        <v>213.34591964399999</v>
      </c>
      <c r="J2642">
        <f t="shared" si="210"/>
        <v>213298.39664399999</v>
      </c>
      <c r="M2642">
        <f t="shared" si="209"/>
        <v>136093</v>
      </c>
    </row>
    <row r="2643" spans="1:13" x14ac:dyDescent="0.2">
      <c r="A2643">
        <v>135</v>
      </c>
      <c r="B2643">
        <v>94</v>
      </c>
      <c r="C2643">
        <v>229</v>
      </c>
      <c r="D2643" s="51" t="s">
        <v>273</v>
      </c>
      <c r="E2643">
        <f>VLOOKUP(M2643,'MASS - 2016'!$A$1:$G$3418,6,FALSE)</f>
        <v>37395.589999999997</v>
      </c>
      <c r="F2643">
        <f>VLOOKUP(M2643,'MASS - 2016'!$A$1:$G$3418,7,FALSE)</f>
        <v>51.176000000000002</v>
      </c>
      <c r="G2643">
        <f t="shared" si="211"/>
        <v>37395.589999999997</v>
      </c>
      <c r="H2643">
        <f t="shared" si="207"/>
        <v>229.04014581688244</v>
      </c>
      <c r="I2643">
        <f t="shared" si="208"/>
        <v>213.34953555899997</v>
      </c>
      <c r="J2643">
        <f t="shared" si="210"/>
        <v>213301.50155899997</v>
      </c>
      <c r="M2643">
        <f t="shared" si="209"/>
        <v>135094</v>
      </c>
    </row>
    <row r="2644" spans="1:13" x14ac:dyDescent="0.2">
      <c r="A2644">
        <v>143</v>
      </c>
      <c r="B2644">
        <v>87</v>
      </c>
      <c r="C2644">
        <v>230</v>
      </c>
      <c r="D2644" s="51" t="s">
        <v>85</v>
      </c>
      <c r="E2644">
        <f>VLOOKUP(M2644,'MASS - 2016'!$A$1:$G$3418,6,FALSE)</f>
        <v>39486.767999999996</v>
      </c>
      <c r="F2644">
        <f>VLOOKUP(M2644,'MASS - 2016'!$A$1:$G$3418,7,FALSE)</f>
        <v>6.5410000000000004</v>
      </c>
      <c r="G2644">
        <f t="shared" si="211"/>
        <v>39486.767999999996</v>
      </c>
      <c r="H2644">
        <f t="shared" si="207"/>
        <v>230.0423907887911</v>
      </c>
      <c r="I2644">
        <f t="shared" si="208"/>
        <v>214.283120798</v>
      </c>
      <c r="J2644">
        <f t="shared" si="210"/>
        <v>214238.66379799999</v>
      </c>
      <c r="M2644">
        <f t="shared" si="209"/>
        <v>143087</v>
      </c>
    </row>
    <row r="2645" spans="1:13" x14ac:dyDescent="0.2">
      <c r="A2645">
        <v>142</v>
      </c>
      <c r="B2645">
        <v>88</v>
      </c>
      <c r="C2645">
        <v>230</v>
      </c>
      <c r="D2645" s="51" t="s">
        <v>86</v>
      </c>
      <c r="E2645">
        <f>VLOOKUP(M2645,'MASS - 2016'!$A$1:$G$3418,6,FALSE)</f>
        <v>34516.305999999997</v>
      </c>
      <c r="F2645">
        <f>VLOOKUP(M2645,'MASS - 2016'!$A$1:$G$3418,7,FALSE)</f>
        <v>10.295999999999999</v>
      </c>
      <c r="G2645">
        <f t="shared" si="211"/>
        <v>34516.305999999997</v>
      </c>
      <c r="H2645">
        <f t="shared" si="207"/>
        <v>230.03705477838793</v>
      </c>
      <c r="I2645">
        <f t="shared" si="208"/>
        <v>214.27815033600001</v>
      </c>
      <c r="J2645">
        <f t="shared" si="210"/>
        <v>214233.18233600003</v>
      </c>
      <c r="M2645">
        <f t="shared" si="209"/>
        <v>142088</v>
      </c>
    </row>
    <row r="2646" spans="1:13" x14ac:dyDescent="0.2">
      <c r="A2646">
        <v>141</v>
      </c>
      <c r="B2646">
        <v>89</v>
      </c>
      <c r="C2646">
        <v>230</v>
      </c>
      <c r="D2646" s="51" t="s">
        <v>87</v>
      </c>
      <c r="E2646">
        <f>VLOOKUP(M2646,'MASS - 2016'!$A$1:$G$3418,6,FALSE)</f>
        <v>33838.383000000002</v>
      </c>
      <c r="F2646">
        <f>VLOOKUP(M2646,'MASS - 2016'!$A$1:$G$3418,7,FALSE)</f>
        <v>15.835000000000001</v>
      </c>
      <c r="G2646">
        <f t="shared" si="211"/>
        <v>33838.383000000002</v>
      </c>
      <c r="H2646">
        <f t="shared" si="207"/>
        <v>230.03632699811706</v>
      </c>
      <c r="I2646">
        <f t="shared" si="208"/>
        <v>214.277472413</v>
      </c>
      <c r="J2646">
        <f t="shared" si="210"/>
        <v>214231.99341300002</v>
      </c>
      <c r="M2646">
        <f t="shared" si="209"/>
        <v>141089</v>
      </c>
    </row>
    <row r="2647" spans="1:13" x14ac:dyDescent="0.2">
      <c r="A2647">
        <v>140</v>
      </c>
      <c r="B2647">
        <v>90</v>
      </c>
      <c r="C2647">
        <v>230</v>
      </c>
      <c r="D2647" s="51" t="s">
        <v>88</v>
      </c>
      <c r="E2647">
        <f>VLOOKUP(M2647,'MASS - 2016'!$A$1:$G$3418,6,FALSE)</f>
        <v>30862.593000000001</v>
      </c>
      <c r="F2647">
        <f>VLOOKUP(M2647,'MASS - 2016'!$A$1:$G$3418,7,FALSE)</f>
        <v>1.21</v>
      </c>
      <c r="G2647">
        <f t="shared" si="211"/>
        <v>30862.593000000001</v>
      </c>
      <c r="H2647">
        <f t="shared" si="207"/>
        <v>230.03313235617077</v>
      </c>
      <c r="I2647">
        <f t="shared" si="208"/>
        <v>214.274496623</v>
      </c>
      <c r="J2647">
        <f t="shared" si="210"/>
        <v>214228.50662300002</v>
      </c>
      <c r="M2647">
        <f t="shared" si="209"/>
        <v>140090</v>
      </c>
    </row>
    <row r="2648" spans="1:13" x14ac:dyDescent="0.2">
      <c r="A2648">
        <v>139</v>
      </c>
      <c r="B2648">
        <v>91</v>
      </c>
      <c r="C2648">
        <v>230</v>
      </c>
      <c r="D2648" s="51" t="s">
        <v>89</v>
      </c>
      <c r="E2648">
        <f>VLOOKUP(M2648,'MASS - 2016'!$A$1:$G$3418,6,FALSE)</f>
        <v>32173.607</v>
      </c>
      <c r="F2648">
        <f>VLOOKUP(M2648,'MASS - 2016'!$A$1:$G$3418,7,FALSE)</f>
        <v>3.0379999999999998</v>
      </c>
      <c r="G2648">
        <f t="shared" si="211"/>
        <v>32173.607</v>
      </c>
      <c r="H2648">
        <f t="shared" si="207"/>
        <v>230.03453978758111</v>
      </c>
      <c r="I2648">
        <f t="shared" si="208"/>
        <v>214.27580763700001</v>
      </c>
      <c r="J2648">
        <f t="shared" si="210"/>
        <v>214229.30663700003</v>
      </c>
      <c r="M2648">
        <f t="shared" si="209"/>
        <v>139091</v>
      </c>
    </row>
    <row r="2649" spans="1:13" x14ac:dyDescent="0.2">
      <c r="A2649">
        <v>138</v>
      </c>
      <c r="B2649">
        <v>92</v>
      </c>
      <c r="C2649">
        <v>230</v>
      </c>
      <c r="D2649" s="51" t="s">
        <v>90</v>
      </c>
      <c r="E2649">
        <f>VLOOKUP(M2649,'MASS - 2016'!$A$1:$G$3418,6,FALSE)</f>
        <v>31615.002</v>
      </c>
      <c r="F2649">
        <f>VLOOKUP(M2649,'MASS - 2016'!$A$1:$G$3418,7,FALSE)</f>
        <v>4.5090000000000003</v>
      </c>
      <c r="G2649">
        <f t="shared" si="211"/>
        <v>31615.002</v>
      </c>
      <c r="H2649">
        <f t="shared" si="207"/>
        <v>230.03394010045116</v>
      </c>
      <c r="I2649">
        <f t="shared" si="208"/>
        <v>214.275249032</v>
      </c>
      <c r="J2649">
        <f t="shared" si="210"/>
        <v>214228.237032</v>
      </c>
      <c r="M2649">
        <f t="shared" si="209"/>
        <v>138092</v>
      </c>
    </row>
    <row r="2650" spans="1:13" x14ac:dyDescent="0.2">
      <c r="A2650">
        <v>137</v>
      </c>
      <c r="B2650">
        <v>93</v>
      </c>
      <c r="C2650">
        <v>230</v>
      </c>
      <c r="D2650" s="51" t="s">
        <v>272</v>
      </c>
      <c r="E2650">
        <f>VLOOKUP(M2650,'MASS - 2016'!$A$1:$G$3418,6,FALSE)</f>
        <v>35236.290999999997</v>
      </c>
      <c r="F2650">
        <f>VLOOKUP(M2650,'MASS - 2016'!$A$1:$G$3418,7,FALSE)</f>
        <v>51.287999999999997</v>
      </c>
      <c r="G2650">
        <f t="shared" si="211"/>
        <v>35236.290999999997</v>
      </c>
      <c r="H2650">
        <f t="shared" si="207"/>
        <v>230.03782771407279</v>
      </c>
      <c r="I2650">
        <f t="shared" si="208"/>
        <v>214.278870321</v>
      </c>
      <c r="J2650">
        <f t="shared" si="210"/>
        <v>214231.34732100001</v>
      </c>
      <c r="M2650">
        <f t="shared" si="209"/>
        <v>137093</v>
      </c>
    </row>
    <row r="2651" spans="1:13" x14ac:dyDescent="0.2">
      <c r="A2651">
        <v>136</v>
      </c>
      <c r="B2651">
        <v>94</v>
      </c>
      <c r="C2651">
        <v>230</v>
      </c>
      <c r="D2651" s="51" t="s">
        <v>273</v>
      </c>
      <c r="E2651">
        <f>VLOOKUP(M2651,'MASS - 2016'!$A$1:$G$3418,6,FALSE)</f>
        <v>36934.392</v>
      </c>
      <c r="F2651">
        <f>VLOOKUP(M2651,'MASS - 2016'!$A$1:$G$3418,7,FALSE)</f>
        <v>14.824</v>
      </c>
      <c r="G2651">
        <f t="shared" si="211"/>
        <v>36934.392</v>
      </c>
      <c r="H2651">
        <f t="shared" si="207"/>
        <v>230.03965070046755</v>
      </c>
      <c r="I2651">
        <f t="shared" si="208"/>
        <v>214.28056842200002</v>
      </c>
      <c r="J2651">
        <f t="shared" si="210"/>
        <v>214232.534422</v>
      </c>
      <c r="M2651">
        <f t="shared" si="209"/>
        <v>136094</v>
      </c>
    </row>
    <row r="2652" spans="1:13" x14ac:dyDescent="0.2">
      <c r="A2652">
        <v>144</v>
      </c>
      <c r="B2652">
        <v>87</v>
      </c>
      <c r="C2652">
        <v>231</v>
      </c>
      <c r="D2652" s="51" t="s">
        <v>85</v>
      </c>
      <c r="E2652">
        <f>VLOOKUP(M2652,'MASS - 2016'!$A$1:$G$3418,6,FALSE)</f>
        <v>42080.574999999997</v>
      </c>
      <c r="F2652">
        <f>VLOOKUP(M2652,'MASS - 2016'!$A$1:$G$3418,7,FALSE)</f>
        <v>7.7309999999999999</v>
      </c>
      <c r="G2652">
        <f t="shared" si="211"/>
        <v>42080.574999999997</v>
      </c>
      <c r="H2652">
        <f t="shared" si="207"/>
        <v>231.04517535512232</v>
      </c>
      <c r="I2652">
        <f t="shared" si="208"/>
        <v>215.217208666</v>
      </c>
      <c r="J2652">
        <f t="shared" si="210"/>
        <v>215172.751666</v>
      </c>
      <c r="M2652">
        <f t="shared" si="209"/>
        <v>144087</v>
      </c>
    </row>
    <row r="2653" spans="1:13" x14ac:dyDescent="0.2">
      <c r="A2653">
        <v>143</v>
      </c>
      <c r="B2653">
        <v>88</v>
      </c>
      <c r="C2653">
        <v>231</v>
      </c>
      <c r="D2653" s="51" t="s">
        <v>86</v>
      </c>
      <c r="E2653">
        <f>VLOOKUP(M2653,'MASS - 2016'!$A$1:$G$3418,6,FALSE)</f>
        <v>38216.485999999997</v>
      </c>
      <c r="F2653">
        <f>VLOOKUP(M2653,'MASS - 2016'!$A$1:$G$3418,7,FALSE)</f>
        <v>11.37</v>
      </c>
      <c r="G2653">
        <f t="shared" si="211"/>
        <v>38216.485999999997</v>
      </c>
      <c r="H2653">
        <f t="shared" si="207"/>
        <v>231.04102708498107</v>
      </c>
      <c r="I2653">
        <f t="shared" si="208"/>
        <v>215.21334457700002</v>
      </c>
      <c r="J2653">
        <f t="shared" si="210"/>
        <v>215168.37657700002</v>
      </c>
      <c r="M2653">
        <f t="shared" si="209"/>
        <v>143088</v>
      </c>
    </row>
    <row r="2654" spans="1:13" x14ac:dyDescent="0.2">
      <c r="A2654">
        <v>142</v>
      </c>
      <c r="B2654">
        <v>89</v>
      </c>
      <c r="C2654">
        <v>231</v>
      </c>
      <c r="D2654" s="51" t="s">
        <v>87</v>
      </c>
      <c r="E2654">
        <f>VLOOKUP(M2654,'MASS - 2016'!$A$1:$G$3418,6,FALSE)</f>
        <v>35762.849000000002</v>
      </c>
      <c r="F2654">
        <f>VLOOKUP(M2654,'MASS - 2016'!$A$1:$G$3418,7,FALSE)</f>
        <v>13.041</v>
      </c>
      <c r="G2654">
        <f t="shared" si="211"/>
        <v>35762.849000000002</v>
      </c>
      <c r="H2654">
        <f t="shared" si="207"/>
        <v>231.03839299733337</v>
      </c>
      <c r="I2654">
        <f t="shared" si="208"/>
        <v>215.21089094000001</v>
      </c>
      <c r="J2654">
        <f t="shared" si="210"/>
        <v>215165.41194000002</v>
      </c>
      <c r="M2654">
        <f t="shared" si="209"/>
        <v>142089</v>
      </c>
    </row>
    <row r="2655" spans="1:13" x14ac:dyDescent="0.2">
      <c r="A2655">
        <v>141</v>
      </c>
      <c r="B2655">
        <v>90</v>
      </c>
      <c r="C2655">
        <v>231</v>
      </c>
      <c r="D2655" s="51" t="s">
        <v>88</v>
      </c>
      <c r="E2655">
        <f>VLOOKUP(M2655,'MASS - 2016'!$A$1:$G$3418,6,FALSE)</f>
        <v>33815.891000000003</v>
      </c>
      <c r="F2655">
        <f>VLOOKUP(M2655,'MASS - 2016'!$A$1:$G$3418,7,FALSE)</f>
        <v>1.218</v>
      </c>
      <c r="G2655">
        <f t="shared" si="211"/>
        <v>33815.891000000003</v>
      </c>
      <c r="H2655">
        <f t="shared" si="207"/>
        <v>231.03630285196203</v>
      </c>
      <c r="I2655">
        <f t="shared" si="208"/>
        <v>215.20894398199999</v>
      </c>
      <c r="J2655">
        <f t="shared" si="210"/>
        <v>215162.95398200001</v>
      </c>
      <c r="M2655">
        <f t="shared" si="209"/>
        <v>141090</v>
      </c>
    </row>
    <row r="2656" spans="1:13" x14ac:dyDescent="0.2">
      <c r="A2656">
        <v>140</v>
      </c>
      <c r="B2656">
        <v>91</v>
      </c>
      <c r="C2656">
        <v>231</v>
      </c>
      <c r="D2656" s="51" t="s">
        <v>89</v>
      </c>
      <c r="E2656">
        <f>VLOOKUP(M2656,'MASS - 2016'!$A$1:$G$3418,6,FALSE)</f>
        <v>33424.404000000002</v>
      </c>
      <c r="F2656">
        <f>VLOOKUP(M2656,'MASS - 2016'!$A$1:$G$3418,7,FALSE)</f>
        <v>1.772</v>
      </c>
      <c r="G2656">
        <f t="shared" si="211"/>
        <v>33424.404000000002</v>
      </c>
      <c r="H2656">
        <f t="shared" si="207"/>
        <v>231.03588257338336</v>
      </c>
      <c r="I2656">
        <f t="shared" si="208"/>
        <v>215.20855249499999</v>
      </c>
      <c r="J2656">
        <f t="shared" si="210"/>
        <v>215162.05149499999</v>
      </c>
      <c r="M2656">
        <f t="shared" si="209"/>
        <v>140091</v>
      </c>
    </row>
    <row r="2657" spans="1:13" x14ac:dyDescent="0.2">
      <c r="A2657">
        <v>139</v>
      </c>
      <c r="B2657">
        <v>92</v>
      </c>
      <c r="C2657">
        <v>231</v>
      </c>
      <c r="D2657" s="51" t="s">
        <v>90</v>
      </c>
      <c r="E2657">
        <f>VLOOKUP(M2657,'MASS - 2016'!$A$1:$G$3418,6,FALSE)</f>
        <v>33806.014999999999</v>
      </c>
      <c r="F2657">
        <f>VLOOKUP(M2657,'MASS - 2016'!$A$1:$G$3418,7,FALSE)</f>
        <v>2.67</v>
      </c>
      <c r="G2657">
        <f t="shared" si="211"/>
        <v>33806.014999999999</v>
      </c>
      <c r="H2657">
        <f t="shared" si="207"/>
        <v>231.03629224964004</v>
      </c>
      <c r="I2657">
        <f t="shared" si="208"/>
        <v>215.20893410600002</v>
      </c>
      <c r="J2657">
        <f t="shared" si="210"/>
        <v>215161.92210600001</v>
      </c>
      <c r="M2657">
        <f t="shared" si="209"/>
        <v>139092</v>
      </c>
    </row>
    <row r="2658" spans="1:13" x14ac:dyDescent="0.2">
      <c r="A2658">
        <v>138</v>
      </c>
      <c r="B2658">
        <v>93</v>
      </c>
      <c r="C2658">
        <v>231</v>
      </c>
      <c r="D2658" s="51" t="s">
        <v>272</v>
      </c>
      <c r="E2658">
        <f>VLOOKUP(M2658,'MASS - 2016'!$A$1:$G$3418,6,FALSE)</f>
        <v>35624.512999999999</v>
      </c>
      <c r="F2658">
        <f>VLOOKUP(M2658,'MASS - 2016'!$A$1:$G$3418,7,FALSE)</f>
        <v>50.546999999999997</v>
      </c>
      <c r="G2658">
        <f t="shared" si="211"/>
        <v>35624.512999999999</v>
      </c>
      <c r="H2658">
        <f t="shared" si="207"/>
        <v>231.03824448752979</v>
      </c>
      <c r="I2658">
        <f t="shared" si="208"/>
        <v>215.21075260399999</v>
      </c>
      <c r="J2658">
        <f t="shared" si="210"/>
        <v>215163.22960399999</v>
      </c>
      <c r="M2658">
        <f t="shared" si="209"/>
        <v>138093</v>
      </c>
    </row>
    <row r="2659" spans="1:13" x14ac:dyDescent="0.2">
      <c r="A2659">
        <v>137</v>
      </c>
      <c r="B2659">
        <v>94</v>
      </c>
      <c r="C2659">
        <v>231</v>
      </c>
      <c r="D2659" s="51" t="s">
        <v>273</v>
      </c>
      <c r="E2659">
        <f>VLOOKUP(M2659,'MASS - 2016'!$A$1:$G$3418,6,FALSE)</f>
        <v>38309.004999999997</v>
      </c>
      <c r="F2659">
        <f>VLOOKUP(M2659,'MASS - 2016'!$A$1:$G$3418,7,FALSE)</f>
        <v>22.548999999999999</v>
      </c>
      <c r="G2659">
        <f t="shared" si="211"/>
        <v>38309.004999999997</v>
      </c>
      <c r="H2659">
        <f t="shared" si="207"/>
        <v>231.04112640821228</v>
      </c>
      <c r="I2659">
        <f t="shared" si="208"/>
        <v>215.21343709600001</v>
      </c>
      <c r="J2659">
        <f t="shared" si="210"/>
        <v>215165.40309599999</v>
      </c>
      <c r="M2659">
        <f t="shared" si="209"/>
        <v>137094</v>
      </c>
    </row>
    <row r="2660" spans="1:13" x14ac:dyDescent="0.2">
      <c r="A2660">
        <v>136</v>
      </c>
      <c r="B2660">
        <v>95</v>
      </c>
      <c r="C2660">
        <v>231</v>
      </c>
      <c r="D2660" s="51" t="s">
        <v>274</v>
      </c>
      <c r="E2660" t="str">
        <f>VLOOKUP(M2660,'MASS - 2016'!$A$1:$G$3418,6,FALSE)</f>
        <v>42410#</v>
      </c>
      <c r="F2660" t="str">
        <f>VLOOKUP(M2660,'MASS - 2016'!$A$1:$G$3418,7,FALSE)</f>
        <v>300#</v>
      </c>
      <c r="G2660">
        <f t="shared" si="211"/>
        <v>42410.01</v>
      </c>
      <c r="H2660">
        <f t="shared" si="207"/>
        <v>231.0455290181394</v>
      </c>
      <c r="I2660">
        <f t="shared" si="208"/>
        <v>215.217538101</v>
      </c>
      <c r="J2660">
        <f t="shared" si="210"/>
        <v>215168.993101</v>
      </c>
      <c r="M2660">
        <f t="shared" si="209"/>
        <v>136095</v>
      </c>
    </row>
    <row r="2661" spans="1:13" x14ac:dyDescent="0.2">
      <c r="A2661">
        <v>145</v>
      </c>
      <c r="B2661">
        <v>87</v>
      </c>
      <c r="C2661">
        <v>232</v>
      </c>
      <c r="D2661" s="51" t="s">
        <v>85</v>
      </c>
      <c r="E2661">
        <f>VLOOKUP(M2661,'MASS - 2016'!$A$1:$G$3418,6,FALSE)</f>
        <v>46072.834000000003</v>
      </c>
      <c r="F2661">
        <f>VLOOKUP(M2661,'MASS - 2016'!$A$1:$G$3418,7,FALSE)</f>
        <v>13.972</v>
      </c>
      <c r="G2661">
        <f t="shared" si="211"/>
        <v>46072.834000000003</v>
      </c>
      <c r="H2661">
        <f t="shared" si="207"/>
        <v>232.04946122141729</v>
      </c>
      <c r="I2661">
        <f t="shared" si="208"/>
        <v>216.152694986</v>
      </c>
      <c r="J2661">
        <f t="shared" si="210"/>
        <v>216108.23798599999</v>
      </c>
      <c r="M2661">
        <f t="shared" si="209"/>
        <v>145087</v>
      </c>
    </row>
    <row r="2662" spans="1:13" x14ac:dyDescent="0.2">
      <c r="A2662">
        <v>144</v>
      </c>
      <c r="B2662">
        <v>88</v>
      </c>
      <c r="C2662">
        <v>232</v>
      </c>
      <c r="D2662" s="51" t="s">
        <v>86</v>
      </c>
      <c r="E2662">
        <f>VLOOKUP(M2662,'MASS - 2016'!$A$1:$G$3418,6,FALSE)</f>
        <v>40496.953000000001</v>
      </c>
      <c r="F2662">
        <f>VLOOKUP(M2662,'MASS - 2016'!$A$1:$G$3418,7,FALSE)</f>
        <v>9.1509999999999998</v>
      </c>
      <c r="G2662">
        <f t="shared" si="211"/>
        <v>40496.953000000001</v>
      </c>
      <c r="H2662">
        <f t="shared" si="207"/>
        <v>232.04347526698831</v>
      </c>
      <c r="I2662">
        <f t="shared" si="208"/>
        <v>216.147119105</v>
      </c>
      <c r="J2662">
        <f t="shared" si="210"/>
        <v>216102.151105</v>
      </c>
      <c r="M2662">
        <f t="shared" si="209"/>
        <v>144088</v>
      </c>
    </row>
    <row r="2663" spans="1:13" x14ac:dyDescent="0.2">
      <c r="A2663">
        <v>143</v>
      </c>
      <c r="B2663">
        <v>89</v>
      </c>
      <c r="C2663">
        <v>232</v>
      </c>
      <c r="D2663" s="51" t="s">
        <v>87</v>
      </c>
      <c r="E2663">
        <f>VLOOKUP(M2663,'MASS - 2016'!$A$1:$G$3418,6,FALSE)</f>
        <v>39154.419000000002</v>
      </c>
      <c r="F2663">
        <f>VLOOKUP(M2663,'MASS - 2016'!$A$1:$G$3418,7,FALSE)</f>
        <v>13.041</v>
      </c>
      <c r="G2663">
        <f t="shared" si="211"/>
        <v>39154.419000000002</v>
      </c>
      <c r="H2663">
        <f t="shared" si="207"/>
        <v>232.04203399746635</v>
      </c>
      <c r="I2663">
        <f t="shared" si="208"/>
        <v>216.145776571</v>
      </c>
      <c r="J2663">
        <f t="shared" si="210"/>
        <v>216100.297571</v>
      </c>
      <c r="M2663">
        <f t="shared" si="209"/>
        <v>143089</v>
      </c>
    </row>
    <row r="2664" spans="1:13" x14ac:dyDescent="0.2">
      <c r="A2664">
        <v>142</v>
      </c>
      <c r="B2664">
        <v>90</v>
      </c>
      <c r="C2664">
        <v>232</v>
      </c>
      <c r="D2664" s="51" t="s">
        <v>88</v>
      </c>
      <c r="E2664">
        <f>VLOOKUP(M2664,'MASS - 2016'!$A$1:$G$3418,6,FALSE)</f>
        <v>35446.784</v>
      </c>
      <c r="F2664">
        <f>VLOOKUP(M2664,'MASS - 2016'!$A$1:$G$3418,7,FALSE)</f>
        <v>1.4219999999999999</v>
      </c>
      <c r="G2664">
        <f t="shared" si="211"/>
        <v>35446.784</v>
      </c>
      <c r="H2664">
        <f t="shared" si="207"/>
        <v>232.03805368760155</v>
      </c>
      <c r="I2664">
        <f t="shared" si="208"/>
        <v>216.14206893599999</v>
      </c>
      <c r="J2664">
        <f t="shared" si="210"/>
        <v>216096.07893600001</v>
      </c>
      <c r="M2664">
        <f t="shared" si="209"/>
        <v>142090</v>
      </c>
    </row>
    <row r="2665" spans="1:13" x14ac:dyDescent="0.2">
      <c r="A2665">
        <v>141</v>
      </c>
      <c r="B2665">
        <v>91</v>
      </c>
      <c r="C2665">
        <v>232</v>
      </c>
      <c r="D2665" s="51" t="s">
        <v>89</v>
      </c>
      <c r="E2665">
        <f>VLOOKUP(M2665,'MASS - 2016'!$A$1:$G$3418,6,FALSE)</f>
        <v>35946.633000000002</v>
      </c>
      <c r="F2665">
        <f>VLOOKUP(M2665,'MASS - 2016'!$A$1:$G$3418,7,FALSE)</f>
        <v>7.6449999999999996</v>
      </c>
      <c r="G2665">
        <f t="shared" si="211"/>
        <v>35946.633000000002</v>
      </c>
      <c r="H2665">
        <f t="shared" si="207"/>
        <v>232.03859029757143</v>
      </c>
      <c r="I2665">
        <f t="shared" si="208"/>
        <v>216.14256878500001</v>
      </c>
      <c r="J2665">
        <f t="shared" si="210"/>
        <v>216096.06778500002</v>
      </c>
      <c r="M2665">
        <f t="shared" si="209"/>
        <v>141091</v>
      </c>
    </row>
    <row r="2666" spans="1:13" x14ac:dyDescent="0.2">
      <c r="A2666">
        <v>140</v>
      </c>
      <c r="B2666">
        <v>92</v>
      </c>
      <c r="C2666">
        <v>232</v>
      </c>
      <c r="D2666" s="51" t="s">
        <v>90</v>
      </c>
      <c r="E2666">
        <f>VLOOKUP(M2666,'MASS - 2016'!$A$1:$G$3418,6,FALSE)</f>
        <v>34609.53</v>
      </c>
      <c r="F2666">
        <f>VLOOKUP(M2666,'MASS - 2016'!$A$1:$G$3418,7,FALSE)</f>
        <v>1.8089999999999999</v>
      </c>
      <c r="G2666">
        <f t="shared" si="211"/>
        <v>34609.53</v>
      </c>
      <c r="H2666">
        <f t="shared" si="207"/>
        <v>232.03715485846777</v>
      </c>
      <c r="I2666">
        <f t="shared" si="208"/>
        <v>216.14123168200001</v>
      </c>
      <c r="J2666">
        <f t="shared" si="210"/>
        <v>216094.21968200002</v>
      </c>
      <c r="M2666">
        <f t="shared" si="209"/>
        <v>140092</v>
      </c>
    </row>
    <row r="2667" spans="1:13" x14ac:dyDescent="0.2">
      <c r="A2667">
        <v>139</v>
      </c>
      <c r="B2667">
        <v>93</v>
      </c>
      <c r="C2667">
        <v>232</v>
      </c>
      <c r="D2667" s="51" t="s">
        <v>272</v>
      </c>
      <c r="E2667" t="str">
        <f>VLOOKUP(M2667,'MASS - 2016'!$A$1:$G$3418,6,FALSE)</f>
        <v>37360#</v>
      </c>
      <c r="F2667" t="str">
        <f>VLOOKUP(M2667,'MASS - 2016'!$A$1:$G$3418,7,FALSE)</f>
        <v>100#</v>
      </c>
      <c r="G2667">
        <f t="shared" si="211"/>
        <v>37360.01</v>
      </c>
      <c r="H2667">
        <f t="shared" si="207"/>
        <v>232.04010762018157</v>
      </c>
      <c r="I2667">
        <f t="shared" si="208"/>
        <v>216.14398216199999</v>
      </c>
      <c r="J2667">
        <f t="shared" si="210"/>
        <v>216096.45916200001</v>
      </c>
      <c r="M2667">
        <f t="shared" si="209"/>
        <v>139093</v>
      </c>
    </row>
    <row r="2668" spans="1:13" x14ac:dyDescent="0.2">
      <c r="A2668">
        <v>138</v>
      </c>
      <c r="B2668">
        <v>94</v>
      </c>
      <c r="C2668">
        <v>232</v>
      </c>
      <c r="D2668" s="51" t="s">
        <v>273</v>
      </c>
      <c r="E2668">
        <f>VLOOKUP(M2668,'MASS - 2016'!$A$1:$G$3418,6,FALSE)</f>
        <v>38363.14</v>
      </c>
      <c r="F2668">
        <f>VLOOKUP(M2668,'MASS - 2016'!$A$1:$G$3418,7,FALSE)</f>
        <v>17.594999999999999</v>
      </c>
      <c r="G2668">
        <f t="shared" si="211"/>
        <v>38363.14</v>
      </c>
      <c r="H2668">
        <f t="shared" si="207"/>
        <v>232.04118452452485</v>
      </c>
      <c r="I2668">
        <f t="shared" si="208"/>
        <v>216.144985292</v>
      </c>
      <c r="J2668">
        <f t="shared" si="210"/>
        <v>216096.95129199998</v>
      </c>
      <c r="M2668">
        <f t="shared" si="209"/>
        <v>138094</v>
      </c>
    </row>
    <row r="2669" spans="1:13" x14ac:dyDescent="0.2">
      <c r="A2669">
        <v>137</v>
      </c>
      <c r="B2669">
        <v>95</v>
      </c>
      <c r="C2669">
        <v>232</v>
      </c>
      <c r="D2669" s="51" t="s">
        <v>274</v>
      </c>
      <c r="E2669" t="str">
        <f>VLOOKUP(M2669,'MASS - 2016'!$A$1:$G$3418,6,FALSE)</f>
        <v>43340#</v>
      </c>
      <c r="F2669" t="str">
        <f>VLOOKUP(M2669,'MASS - 2016'!$A$1:$G$3418,7,FALSE)</f>
        <v>300#</v>
      </c>
      <c r="G2669">
        <f t="shared" si="211"/>
        <v>43340.01</v>
      </c>
      <c r="H2669">
        <f t="shared" si="207"/>
        <v>232.04652741419895</v>
      </c>
      <c r="I2669">
        <f t="shared" si="208"/>
        <v>216.14996216200001</v>
      </c>
      <c r="J2669">
        <f t="shared" si="210"/>
        <v>216101.417162</v>
      </c>
      <c r="M2669">
        <f t="shared" si="209"/>
        <v>137095</v>
      </c>
    </row>
    <row r="2670" spans="1:13" x14ac:dyDescent="0.2">
      <c r="A2670">
        <v>145</v>
      </c>
      <c r="B2670">
        <v>88</v>
      </c>
      <c r="C2670">
        <v>233</v>
      </c>
      <c r="D2670" s="51" t="s">
        <v>86</v>
      </c>
      <c r="E2670">
        <f>VLOOKUP(M2670,'MASS - 2016'!$A$1:$G$3418,6,FALSE)</f>
        <v>44334.06</v>
      </c>
      <c r="F2670">
        <f>VLOOKUP(M2670,'MASS - 2016'!$A$1:$G$3418,7,FALSE)</f>
        <v>8.6029999999999998</v>
      </c>
      <c r="G2670">
        <f t="shared" si="211"/>
        <v>44334.06</v>
      </c>
      <c r="H2670">
        <f t="shared" si="207"/>
        <v>233.04759457076131</v>
      </c>
      <c r="I2670">
        <f t="shared" si="208"/>
        <v>217.08245027300001</v>
      </c>
      <c r="J2670">
        <f t="shared" si="210"/>
        <v>217037.482273</v>
      </c>
      <c r="M2670">
        <f t="shared" si="209"/>
        <v>145088</v>
      </c>
    </row>
    <row r="2671" spans="1:13" x14ac:dyDescent="0.2">
      <c r="A2671">
        <v>144</v>
      </c>
      <c r="B2671">
        <v>89</v>
      </c>
      <c r="C2671">
        <v>233</v>
      </c>
      <c r="D2671" s="51" t="s">
        <v>87</v>
      </c>
      <c r="E2671">
        <f>VLOOKUP(M2671,'MASS - 2016'!$A$1:$G$3418,6,FALSE)</f>
        <v>41308.033000000003</v>
      </c>
      <c r="F2671">
        <f>VLOOKUP(M2671,'MASS - 2016'!$A$1:$G$3418,7,FALSE)</f>
        <v>13.041</v>
      </c>
      <c r="G2671">
        <f t="shared" si="211"/>
        <v>41308.033000000003</v>
      </c>
      <c r="H2671">
        <f t="shared" si="207"/>
        <v>233.04434599717754</v>
      </c>
      <c r="I2671">
        <f t="shared" si="208"/>
        <v>217.079424246</v>
      </c>
      <c r="J2671">
        <f t="shared" si="210"/>
        <v>217033.94524600002</v>
      </c>
      <c r="M2671">
        <f t="shared" si="209"/>
        <v>144089</v>
      </c>
    </row>
    <row r="2672" spans="1:13" x14ac:dyDescent="0.2">
      <c r="A2672">
        <v>143</v>
      </c>
      <c r="B2672">
        <v>90</v>
      </c>
      <c r="C2672">
        <v>233</v>
      </c>
      <c r="D2672" s="51" t="s">
        <v>88</v>
      </c>
      <c r="E2672">
        <f>VLOOKUP(M2672,'MASS - 2016'!$A$1:$G$3418,6,FALSE)</f>
        <v>38731.714999999997</v>
      </c>
      <c r="F2672">
        <f>VLOOKUP(M2672,'MASS - 2016'!$A$1:$G$3418,7,FALSE)</f>
        <v>1.425</v>
      </c>
      <c r="G2672">
        <f t="shared" si="211"/>
        <v>38731.714999999997</v>
      </c>
      <c r="H2672">
        <f t="shared" si="207"/>
        <v>233.04158020605996</v>
      </c>
      <c r="I2672">
        <f t="shared" si="208"/>
        <v>217.07684792800001</v>
      </c>
      <c r="J2672">
        <f t="shared" si="210"/>
        <v>217030.85792800001</v>
      </c>
      <c r="M2672">
        <f t="shared" si="209"/>
        <v>143090</v>
      </c>
    </row>
    <row r="2673" spans="1:13" x14ac:dyDescent="0.2">
      <c r="A2673">
        <v>142</v>
      </c>
      <c r="B2673">
        <v>91</v>
      </c>
      <c r="C2673">
        <v>233</v>
      </c>
      <c r="D2673" s="51" t="s">
        <v>89</v>
      </c>
      <c r="E2673">
        <f>VLOOKUP(M2673,'MASS - 2016'!$A$1:$G$3418,6,FALSE)</f>
        <v>37489.472000000002</v>
      </c>
      <c r="F2673">
        <f>VLOOKUP(M2673,'MASS - 2016'!$A$1:$G$3418,7,FALSE)</f>
        <v>1.3360000000000001</v>
      </c>
      <c r="G2673">
        <f t="shared" si="211"/>
        <v>37489.472000000002</v>
      </c>
      <c r="H2673">
        <f t="shared" si="207"/>
        <v>233.04024660335435</v>
      </c>
      <c r="I2673">
        <f t="shared" si="208"/>
        <v>217.075605685</v>
      </c>
      <c r="J2673">
        <f t="shared" si="210"/>
        <v>217029.104685</v>
      </c>
      <c r="M2673">
        <f t="shared" si="209"/>
        <v>142091</v>
      </c>
    </row>
    <row r="2674" spans="1:13" x14ac:dyDescent="0.2">
      <c r="A2674">
        <v>141</v>
      </c>
      <c r="B2674">
        <v>92</v>
      </c>
      <c r="C2674">
        <v>233</v>
      </c>
      <c r="D2674" s="51" t="s">
        <v>90</v>
      </c>
      <c r="E2674">
        <f>VLOOKUP(M2674,'MASS - 2016'!$A$1:$G$3418,6,FALSE)</f>
        <v>36919.175999999999</v>
      </c>
      <c r="F2674">
        <f>VLOOKUP(M2674,'MASS - 2016'!$A$1:$G$3418,7,FALSE)</f>
        <v>2.2549999999999999</v>
      </c>
      <c r="G2674">
        <f t="shared" si="211"/>
        <v>36919.175999999999</v>
      </c>
      <c r="H2674">
        <f t="shared" si="207"/>
        <v>233.03963436541974</v>
      </c>
      <c r="I2674">
        <f t="shared" si="208"/>
        <v>217.07503538899999</v>
      </c>
      <c r="J2674">
        <f t="shared" si="210"/>
        <v>217028.02338900001</v>
      </c>
      <c r="M2674">
        <f t="shared" si="209"/>
        <v>141092</v>
      </c>
    </row>
    <row r="2675" spans="1:13" x14ac:dyDescent="0.2">
      <c r="A2675">
        <v>140</v>
      </c>
      <c r="B2675">
        <v>93</v>
      </c>
      <c r="C2675">
        <v>233</v>
      </c>
      <c r="D2675" s="51" t="s">
        <v>272</v>
      </c>
      <c r="E2675">
        <f>VLOOKUP(M2675,'MASS - 2016'!$A$1:$G$3418,6,FALSE)</f>
        <v>37948.589999999997</v>
      </c>
      <c r="F2675">
        <f>VLOOKUP(M2675,'MASS - 2016'!$A$1:$G$3418,7,FALSE)</f>
        <v>50.981000000000002</v>
      </c>
      <c r="G2675">
        <f t="shared" si="211"/>
        <v>37948.589999999997</v>
      </c>
      <c r="H2675">
        <f t="shared" si="207"/>
        <v>233.04073948679746</v>
      </c>
      <c r="I2675">
        <f t="shared" si="208"/>
        <v>217.07606480300001</v>
      </c>
      <c r="J2675">
        <f t="shared" si="210"/>
        <v>217028.54180300003</v>
      </c>
      <c r="M2675">
        <f t="shared" si="209"/>
        <v>140093</v>
      </c>
    </row>
    <row r="2676" spans="1:13" x14ac:dyDescent="0.2">
      <c r="A2676">
        <v>139</v>
      </c>
      <c r="B2676">
        <v>94</v>
      </c>
      <c r="C2676">
        <v>233</v>
      </c>
      <c r="D2676" s="51" t="s">
        <v>273</v>
      </c>
      <c r="E2676">
        <f>VLOOKUP(M2676,'MASS - 2016'!$A$1:$G$3418,6,FALSE)</f>
        <v>40051.769</v>
      </c>
      <c r="F2676">
        <f>VLOOKUP(M2676,'MASS - 2016'!$A$1:$G$3418,7,FALSE)</f>
        <v>50.350999999999999</v>
      </c>
      <c r="G2676">
        <f t="shared" si="211"/>
        <v>40051.769</v>
      </c>
      <c r="H2676">
        <f t="shared" si="207"/>
        <v>233.04299734230941</v>
      </c>
      <c r="I2676">
        <f t="shared" si="208"/>
        <v>217.078167982</v>
      </c>
      <c r="J2676">
        <f t="shared" si="210"/>
        <v>217030.13398199997</v>
      </c>
      <c r="M2676">
        <f t="shared" si="209"/>
        <v>139094</v>
      </c>
    </row>
    <row r="2677" spans="1:13" x14ac:dyDescent="0.2">
      <c r="A2677">
        <v>138</v>
      </c>
      <c r="B2677">
        <v>95</v>
      </c>
      <c r="C2677">
        <v>233</v>
      </c>
      <c r="D2677" s="51" t="s">
        <v>274</v>
      </c>
      <c r="E2677" t="str">
        <f>VLOOKUP(M2677,'MASS - 2016'!$A$1:$G$3418,6,FALSE)</f>
        <v>43263#</v>
      </c>
      <c r="F2677" t="str">
        <f>VLOOKUP(M2677,'MASS - 2016'!$A$1:$G$3418,7,FALSE)</f>
        <v>102#</v>
      </c>
      <c r="G2677">
        <f t="shared" si="211"/>
        <v>43263.01</v>
      </c>
      <c r="H2677">
        <f t="shared" si="207"/>
        <v>233.04644475129939</v>
      </c>
      <c r="I2677">
        <f t="shared" si="208"/>
        <v>217.081379223</v>
      </c>
      <c r="J2677">
        <f t="shared" si="210"/>
        <v>217032.83422299998</v>
      </c>
      <c r="M2677">
        <f t="shared" si="209"/>
        <v>138095</v>
      </c>
    </row>
    <row r="2678" spans="1:13" x14ac:dyDescent="0.2">
      <c r="A2678">
        <v>137</v>
      </c>
      <c r="B2678">
        <v>96</v>
      </c>
      <c r="C2678">
        <v>233</v>
      </c>
      <c r="D2678" s="51" t="s">
        <v>275</v>
      </c>
      <c r="E2678">
        <f>VLOOKUP(M2678,'MASS - 2016'!$A$1:$G$3418,6,FALSE)</f>
        <v>47294.006000000001</v>
      </c>
      <c r="F2678">
        <f>VLOOKUP(M2678,'MASS - 2016'!$A$1:$G$3418,7,FALSE)</f>
        <v>71.546999999999997</v>
      </c>
      <c r="G2678">
        <f t="shared" si="211"/>
        <v>47294.006000000001</v>
      </c>
      <c r="H2678">
        <f t="shared" si="207"/>
        <v>233.05077220347408</v>
      </c>
      <c r="I2678">
        <f t="shared" si="208"/>
        <v>217.08541021899998</v>
      </c>
      <c r="J2678">
        <f t="shared" si="210"/>
        <v>217036.35421899997</v>
      </c>
      <c r="M2678">
        <f t="shared" si="209"/>
        <v>137096</v>
      </c>
    </row>
    <row r="2679" spans="1:13" x14ac:dyDescent="0.2">
      <c r="A2679">
        <v>146</v>
      </c>
      <c r="B2679">
        <v>88</v>
      </c>
      <c r="C2679">
        <v>234</v>
      </c>
      <c r="D2679" s="51" t="s">
        <v>86</v>
      </c>
      <c r="E2679">
        <f>VLOOKUP(M2679,'MASS - 2016'!$A$1:$G$3418,6,FALSE)</f>
        <v>46930.629000000001</v>
      </c>
      <c r="F2679">
        <f>VLOOKUP(M2679,'MASS - 2016'!$A$1:$G$3418,7,FALSE)</f>
        <v>8.3829999999999991</v>
      </c>
      <c r="G2679">
        <f t="shared" si="211"/>
        <v>46930.629000000001</v>
      </c>
      <c r="H2679">
        <f t="shared" si="207"/>
        <v>234.05038210222148</v>
      </c>
      <c r="I2679">
        <f t="shared" si="208"/>
        <v>218.01654090299999</v>
      </c>
      <c r="J2679">
        <f t="shared" si="210"/>
        <v>217971.57290299999</v>
      </c>
      <c r="M2679">
        <f t="shared" si="209"/>
        <v>146088</v>
      </c>
    </row>
    <row r="2680" spans="1:13" x14ac:dyDescent="0.2">
      <c r="A2680">
        <v>145</v>
      </c>
      <c r="B2680">
        <v>89</v>
      </c>
      <c r="C2680">
        <v>234</v>
      </c>
      <c r="D2680" s="51" t="s">
        <v>87</v>
      </c>
      <c r="E2680">
        <f>VLOOKUP(M2680,'MASS - 2016'!$A$1:$G$3418,6,FALSE)</f>
        <v>44841.19</v>
      </c>
      <c r="F2680">
        <f>VLOOKUP(M2680,'MASS - 2016'!$A$1:$G$3418,7,FALSE)</f>
        <v>13.972</v>
      </c>
      <c r="G2680">
        <f t="shared" si="211"/>
        <v>44841.19</v>
      </c>
      <c r="H2680">
        <f t="shared" si="207"/>
        <v>234.04813899720611</v>
      </c>
      <c r="I2680">
        <f t="shared" si="208"/>
        <v>218.01445146399999</v>
      </c>
      <c r="J2680">
        <f t="shared" si="210"/>
        <v>217968.97246399999</v>
      </c>
      <c r="M2680">
        <f t="shared" si="209"/>
        <v>145089</v>
      </c>
    </row>
    <row r="2681" spans="1:13" x14ac:dyDescent="0.2">
      <c r="A2681">
        <v>144</v>
      </c>
      <c r="B2681">
        <v>90</v>
      </c>
      <c r="C2681">
        <v>234</v>
      </c>
      <c r="D2681" s="51" t="s">
        <v>88</v>
      </c>
      <c r="E2681">
        <f>VLOOKUP(M2681,'MASS - 2016'!$A$1:$G$3418,6,FALSE)</f>
        <v>40613.008999999998</v>
      </c>
      <c r="F2681">
        <f>VLOOKUP(M2681,'MASS - 2016'!$A$1:$G$3418,7,FALSE)</f>
        <v>2.589</v>
      </c>
      <c r="G2681">
        <f t="shared" si="211"/>
        <v>40613.008999999998</v>
      </c>
      <c r="H2681">
        <f t="shared" si="207"/>
        <v>234.04359985822819</v>
      </c>
      <c r="I2681">
        <f t="shared" si="208"/>
        <v>218.01022328299999</v>
      </c>
      <c r="J2681">
        <f t="shared" si="210"/>
        <v>217964.23328300001</v>
      </c>
      <c r="M2681">
        <f t="shared" si="209"/>
        <v>144090</v>
      </c>
    </row>
    <row r="2682" spans="1:13" x14ac:dyDescent="0.2">
      <c r="A2682">
        <v>143</v>
      </c>
      <c r="B2682">
        <v>91</v>
      </c>
      <c r="C2682">
        <v>234</v>
      </c>
      <c r="D2682" s="51" t="s">
        <v>89</v>
      </c>
      <c r="E2682">
        <f>VLOOKUP(M2682,'MASS - 2016'!$A$1:$G$3418,6,FALSE)</f>
        <v>40338.921000000002</v>
      </c>
      <c r="F2682">
        <f>VLOOKUP(M2682,'MASS - 2016'!$A$1:$G$3418,7,FALSE)</f>
        <v>4.0940000000000003</v>
      </c>
      <c r="G2682">
        <f t="shared" si="211"/>
        <v>40338.921000000002</v>
      </c>
      <c r="H2682">
        <f t="shared" si="207"/>
        <v>234.04330561265917</v>
      </c>
      <c r="I2682">
        <f t="shared" si="208"/>
        <v>218.00994919499999</v>
      </c>
      <c r="J2682">
        <f t="shared" si="210"/>
        <v>217963.448195</v>
      </c>
      <c r="M2682">
        <f t="shared" si="209"/>
        <v>143091</v>
      </c>
    </row>
    <row r="2683" spans="1:13" x14ac:dyDescent="0.2">
      <c r="A2683">
        <v>142</v>
      </c>
      <c r="B2683">
        <v>92</v>
      </c>
      <c r="C2683">
        <v>234</v>
      </c>
      <c r="D2683" s="51" t="s">
        <v>90</v>
      </c>
      <c r="E2683">
        <f>VLOOKUP(M2683,'MASS - 2016'!$A$1:$G$3418,6,FALSE)</f>
        <v>38145.025000000001</v>
      </c>
      <c r="F2683">
        <f>VLOOKUP(M2683,'MASS - 2016'!$A$1:$G$3418,7,FALSE)</f>
        <v>1.1299999999999999</v>
      </c>
      <c r="G2683">
        <f t="shared" si="211"/>
        <v>38145.025000000001</v>
      </c>
      <c r="H2683">
        <f t="shared" si="207"/>
        <v>234.04095036844257</v>
      </c>
      <c r="I2683">
        <f t="shared" si="208"/>
        <v>218.007755299</v>
      </c>
      <c r="J2683">
        <f t="shared" si="210"/>
        <v>217960.74329899999</v>
      </c>
      <c r="M2683">
        <f t="shared" si="209"/>
        <v>142092</v>
      </c>
    </row>
    <row r="2684" spans="1:13" x14ac:dyDescent="0.2">
      <c r="A2684">
        <v>141</v>
      </c>
      <c r="B2684">
        <v>93</v>
      </c>
      <c r="C2684">
        <v>234</v>
      </c>
      <c r="D2684" s="51" t="s">
        <v>272</v>
      </c>
      <c r="E2684">
        <f>VLOOKUP(M2684,'MASS - 2016'!$A$1:$G$3418,6,FALSE)</f>
        <v>39954.870999999999</v>
      </c>
      <c r="F2684">
        <f>VLOOKUP(M2684,'MASS - 2016'!$A$1:$G$3418,7,FALSE)</f>
        <v>8.3970000000000002</v>
      </c>
      <c r="G2684">
        <f t="shared" si="211"/>
        <v>39954.870999999999</v>
      </c>
      <c r="H2684">
        <f t="shared" si="207"/>
        <v>234.04289331802835</v>
      </c>
      <c r="I2684">
        <f t="shared" si="208"/>
        <v>218.00956514499998</v>
      </c>
      <c r="J2684">
        <f t="shared" si="210"/>
        <v>217962.04214499998</v>
      </c>
      <c r="M2684">
        <f t="shared" si="209"/>
        <v>141093</v>
      </c>
    </row>
    <row r="2685" spans="1:13" x14ac:dyDescent="0.2">
      <c r="A2685">
        <v>140</v>
      </c>
      <c r="B2685">
        <v>94</v>
      </c>
      <c r="C2685">
        <v>234</v>
      </c>
      <c r="D2685" s="51" t="s">
        <v>273</v>
      </c>
      <c r="E2685">
        <f>VLOOKUP(M2685,'MASS - 2016'!$A$1:$G$3418,6,FALSE)</f>
        <v>40349.970999999998</v>
      </c>
      <c r="F2685">
        <f>VLOOKUP(M2685,'MASS - 2016'!$A$1:$G$3418,7,FALSE)</f>
        <v>6.798</v>
      </c>
      <c r="G2685">
        <f t="shared" si="211"/>
        <v>40349.970999999998</v>
      </c>
      <c r="H2685">
        <f t="shared" si="207"/>
        <v>234.04331747532206</v>
      </c>
      <c r="I2685">
        <f t="shared" si="208"/>
        <v>218.009960245</v>
      </c>
      <c r="J2685">
        <f t="shared" si="210"/>
        <v>217961.92624499998</v>
      </c>
      <c r="M2685">
        <f t="shared" si="209"/>
        <v>140094</v>
      </c>
    </row>
    <row r="2686" spans="1:13" x14ac:dyDescent="0.2">
      <c r="A2686">
        <v>139</v>
      </c>
      <c r="B2686">
        <v>95</v>
      </c>
      <c r="C2686">
        <v>234</v>
      </c>
      <c r="D2686" s="51" t="s">
        <v>274</v>
      </c>
      <c r="E2686" t="str">
        <f>VLOOKUP(M2686,'MASS - 2016'!$A$1:$G$3418,6,FALSE)</f>
        <v>44461#</v>
      </c>
      <c r="F2686" t="str">
        <f>VLOOKUP(M2686,'MASS - 2016'!$A$1:$G$3418,7,FALSE)</f>
        <v>159#</v>
      </c>
      <c r="G2686">
        <f t="shared" si="211"/>
        <v>44461.01</v>
      </c>
      <c r="H2686">
        <f t="shared" si="207"/>
        <v>234.04773085719114</v>
      </c>
      <c r="I2686">
        <f t="shared" si="208"/>
        <v>218.01407128399998</v>
      </c>
      <c r="J2686">
        <f t="shared" si="210"/>
        <v>217965.52628399996</v>
      </c>
      <c r="M2686">
        <f t="shared" si="209"/>
        <v>139095</v>
      </c>
    </row>
    <row r="2687" spans="1:13" x14ac:dyDescent="0.2">
      <c r="A2687">
        <v>138</v>
      </c>
      <c r="B2687">
        <v>96</v>
      </c>
      <c r="C2687">
        <v>234</v>
      </c>
      <c r="D2687" s="51" t="s">
        <v>275</v>
      </c>
      <c r="E2687">
        <f>VLOOKUP(M2687,'MASS - 2016'!$A$1:$G$3418,6,FALSE)</f>
        <v>46724.633000000002</v>
      </c>
      <c r="F2687">
        <f>VLOOKUP(M2687,'MASS - 2016'!$A$1:$G$3418,7,FALSE)</f>
        <v>17.393999999999998</v>
      </c>
      <c r="G2687">
        <f t="shared" si="211"/>
        <v>46724.633000000002</v>
      </c>
      <c r="H2687">
        <f t="shared" si="207"/>
        <v>234.05016095642074</v>
      </c>
      <c r="I2687">
        <f t="shared" si="208"/>
        <v>218.01633490699999</v>
      </c>
      <c r="J2687">
        <f t="shared" si="210"/>
        <v>217967.27890699997</v>
      </c>
      <c r="M2687">
        <f t="shared" si="209"/>
        <v>138096</v>
      </c>
    </row>
    <row r="2688" spans="1:13" x14ac:dyDescent="0.2">
      <c r="A2688">
        <v>146</v>
      </c>
      <c r="B2688">
        <v>89</v>
      </c>
      <c r="C2688">
        <v>235</v>
      </c>
      <c r="D2688" s="51" t="s">
        <v>87</v>
      </c>
      <c r="E2688">
        <f>VLOOKUP(M2688,'MASS - 2016'!$A$1:$G$3418,6,FALSE)</f>
        <v>47357.154999999999</v>
      </c>
      <c r="F2688">
        <f>VLOOKUP(M2688,'MASS - 2016'!$A$1:$G$3418,7,FALSE)</f>
        <v>13.972</v>
      </c>
      <c r="G2688">
        <f t="shared" si="211"/>
        <v>47357.154999999999</v>
      </c>
      <c r="H2688">
        <f t="shared" si="207"/>
        <v>235.05083999671359</v>
      </c>
      <c r="I2688">
        <f t="shared" si="208"/>
        <v>218.94846148999997</v>
      </c>
      <c r="J2688">
        <f t="shared" si="210"/>
        <v>218902.98248999997</v>
      </c>
      <c r="M2688">
        <f t="shared" si="209"/>
        <v>146089</v>
      </c>
    </row>
    <row r="2689" spans="1:13" x14ac:dyDescent="0.2">
      <c r="A2689">
        <v>145</v>
      </c>
      <c r="B2689">
        <v>90</v>
      </c>
      <c r="C2689">
        <v>235</v>
      </c>
      <c r="D2689" s="51" t="s">
        <v>88</v>
      </c>
      <c r="E2689">
        <f>VLOOKUP(M2689,'MASS - 2016'!$A$1:$G$3418,6,FALSE)</f>
        <v>44017.749000000003</v>
      </c>
      <c r="F2689">
        <f>VLOOKUP(M2689,'MASS - 2016'!$A$1:$G$3418,7,FALSE)</f>
        <v>13.041</v>
      </c>
      <c r="G2689">
        <f t="shared" si="211"/>
        <v>44017.749000000003</v>
      </c>
      <c r="H2689">
        <f t="shared" si="207"/>
        <v>235.04725499693765</v>
      </c>
      <c r="I2689">
        <f t="shared" si="208"/>
        <v>218.94512208399999</v>
      </c>
      <c r="J2689">
        <f t="shared" si="210"/>
        <v>218899.13208400001</v>
      </c>
      <c r="M2689">
        <f t="shared" si="209"/>
        <v>145090</v>
      </c>
    </row>
    <row r="2690" spans="1:13" x14ac:dyDescent="0.2">
      <c r="A2690">
        <v>144</v>
      </c>
      <c r="B2690">
        <v>91</v>
      </c>
      <c r="C2690">
        <v>235</v>
      </c>
      <c r="D2690" s="51" t="s">
        <v>89</v>
      </c>
      <c r="E2690">
        <f>VLOOKUP(M2690,'MASS - 2016'!$A$1:$G$3418,6,FALSE)</f>
        <v>42288.896000000001</v>
      </c>
      <c r="F2690">
        <f>VLOOKUP(M2690,'MASS - 2016'!$A$1:$G$3418,7,FALSE)</f>
        <v>13.972</v>
      </c>
      <c r="G2690">
        <f t="shared" si="211"/>
        <v>42288.896000000001</v>
      </c>
      <c r="H2690">
        <f t="shared" si="207"/>
        <v>235.04539899691318</v>
      </c>
      <c r="I2690">
        <f t="shared" si="208"/>
        <v>218.94339323099999</v>
      </c>
      <c r="J2690">
        <f t="shared" si="210"/>
        <v>218896.89223100001</v>
      </c>
      <c r="M2690">
        <f t="shared" si="209"/>
        <v>144091</v>
      </c>
    </row>
    <row r="2691" spans="1:13" x14ac:dyDescent="0.2">
      <c r="A2691">
        <v>143</v>
      </c>
      <c r="B2691">
        <v>92</v>
      </c>
      <c r="C2691">
        <v>235</v>
      </c>
      <c r="D2691" s="51" t="s">
        <v>90</v>
      </c>
      <c r="E2691">
        <f>VLOOKUP(M2691,'MASS - 2016'!$A$1:$G$3418,6,FALSE)</f>
        <v>40918.845999999998</v>
      </c>
      <c r="F2691">
        <f>VLOOKUP(M2691,'MASS - 2016'!$A$1:$G$3418,7,FALSE)</f>
        <v>1.117</v>
      </c>
      <c r="G2691">
        <f t="shared" si="211"/>
        <v>40918.845999999998</v>
      </c>
      <c r="H2691">
        <f t="shared" si="207"/>
        <v>235.0439281877504</v>
      </c>
      <c r="I2691">
        <f t="shared" si="208"/>
        <v>218.942023181</v>
      </c>
      <c r="J2691">
        <f t="shared" si="210"/>
        <v>218895.01118100001</v>
      </c>
      <c r="M2691">
        <f t="shared" si="209"/>
        <v>143092</v>
      </c>
    </row>
    <row r="2692" spans="1:13" x14ac:dyDescent="0.2">
      <c r="A2692">
        <v>142</v>
      </c>
      <c r="B2692">
        <v>93</v>
      </c>
      <c r="C2692">
        <v>235</v>
      </c>
      <c r="D2692" s="51" t="s">
        <v>272</v>
      </c>
      <c r="E2692">
        <f>VLOOKUP(M2692,'MASS - 2016'!$A$1:$G$3418,6,FALSE)</f>
        <v>41043.108</v>
      </c>
      <c r="F2692">
        <f>VLOOKUP(M2692,'MASS - 2016'!$A$1:$G$3418,7,FALSE)</f>
        <v>1.389</v>
      </c>
      <c r="G2692">
        <f t="shared" si="211"/>
        <v>41043.108</v>
      </c>
      <c r="H2692">
        <f t="shared" si="207"/>
        <v>235.04406158849358</v>
      </c>
      <c r="I2692">
        <f t="shared" si="208"/>
        <v>218.94214744299998</v>
      </c>
      <c r="J2692">
        <f t="shared" si="210"/>
        <v>218894.62444300001</v>
      </c>
      <c r="M2692">
        <f t="shared" si="209"/>
        <v>142093</v>
      </c>
    </row>
    <row r="2693" spans="1:13" x14ac:dyDescent="0.2">
      <c r="A2693">
        <v>141</v>
      </c>
      <c r="B2693">
        <v>94</v>
      </c>
      <c r="C2693">
        <v>235</v>
      </c>
      <c r="D2693" s="51" t="s">
        <v>273</v>
      </c>
      <c r="E2693">
        <f>VLOOKUP(M2693,'MASS - 2016'!$A$1:$G$3418,6,FALSE)</f>
        <v>42182.41</v>
      </c>
      <c r="F2693">
        <f>VLOOKUP(M2693,'MASS - 2016'!$A$1:$G$3418,7,FALSE)</f>
        <v>20.521000000000001</v>
      </c>
      <c r="G2693">
        <f t="shared" si="211"/>
        <v>42182.41</v>
      </c>
      <c r="H2693">
        <f t="shared" si="207"/>
        <v>235.04528467949083</v>
      </c>
      <c r="I2693">
        <f t="shared" si="208"/>
        <v>218.94328674499999</v>
      </c>
      <c r="J2693">
        <f t="shared" si="210"/>
        <v>218895.25274499998</v>
      </c>
      <c r="M2693">
        <f t="shared" si="209"/>
        <v>141094</v>
      </c>
    </row>
    <row r="2694" spans="1:13" x14ac:dyDescent="0.2">
      <c r="A2694">
        <v>140</v>
      </c>
      <c r="B2694">
        <v>95</v>
      </c>
      <c r="C2694">
        <v>235</v>
      </c>
      <c r="D2694" s="51" t="s">
        <v>274</v>
      </c>
      <c r="E2694">
        <f>VLOOKUP(M2694,'MASS - 2016'!$A$1:$G$3418,6,FALSE)</f>
        <v>44625.428999999996</v>
      </c>
      <c r="F2694">
        <f>VLOOKUP(M2694,'MASS - 2016'!$A$1:$G$3418,7,FALSE)</f>
        <v>52.192</v>
      </c>
      <c r="G2694">
        <f t="shared" si="211"/>
        <v>44625.428999999996</v>
      </c>
      <c r="H2694">
        <f t="shared" si="207"/>
        <v>235.04790736824677</v>
      </c>
      <c r="I2694">
        <f t="shared" si="208"/>
        <v>218.94572976399999</v>
      </c>
      <c r="J2694">
        <f t="shared" si="210"/>
        <v>218897.18476399998</v>
      </c>
      <c r="M2694">
        <f t="shared" si="209"/>
        <v>140095</v>
      </c>
    </row>
    <row r="2695" spans="1:13" x14ac:dyDescent="0.2">
      <c r="A2695">
        <v>139</v>
      </c>
      <c r="B2695">
        <v>96</v>
      </c>
      <c r="C2695">
        <v>235</v>
      </c>
      <c r="D2695" s="51" t="s">
        <v>275</v>
      </c>
      <c r="E2695" t="str">
        <f>VLOOKUP(M2695,'MASS - 2016'!$A$1:$G$3418,6,FALSE)</f>
        <v>48034#</v>
      </c>
      <c r="F2695" t="str">
        <f>VLOOKUP(M2695,'MASS - 2016'!$A$1:$G$3418,7,FALSE)</f>
        <v>201#</v>
      </c>
      <c r="G2695">
        <f t="shared" si="211"/>
        <v>48034.01</v>
      </c>
      <c r="H2695">
        <f t="shared" si="207"/>
        <v>235.05156663043931</v>
      </c>
      <c r="I2695">
        <f t="shared" si="208"/>
        <v>218.94913834499999</v>
      </c>
      <c r="J2695">
        <f t="shared" si="210"/>
        <v>218900.08234499997</v>
      </c>
      <c r="M2695">
        <f t="shared" si="209"/>
        <v>139096</v>
      </c>
    </row>
    <row r="2696" spans="1:13" x14ac:dyDescent="0.2">
      <c r="A2696">
        <v>138</v>
      </c>
      <c r="B2696">
        <v>97</v>
      </c>
      <c r="C2696">
        <v>235</v>
      </c>
      <c r="D2696" s="51" t="s">
        <v>277</v>
      </c>
      <c r="E2696" t="str">
        <f>VLOOKUP(M2696,'MASS - 2016'!$A$1:$G$3418,6,FALSE)</f>
        <v>52704#</v>
      </c>
      <c r="F2696" t="str">
        <f>VLOOKUP(M2696,'MASS - 2016'!$A$1:$G$3418,7,FALSE)</f>
        <v>401#</v>
      </c>
      <c r="G2696">
        <f t="shared" si="211"/>
        <v>52704.01</v>
      </c>
      <c r="H2696">
        <f t="shared" si="207"/>
        <v>235.05658008162007</v>
      </c>
      <c r="I2696">
        <f t="shared" si="208"/>
        <v>218.953808345</v>
      </c>
      <c r="J2696">
        <f t="shared" si="210"/>
        <v>218904.24134499999</v>
      </c>
      <c r="M2696">
        <f t="shared" si="209"/>
        <v>138097</v>
      </c>
    </row>
    <row r="2697" spans="1:13" x14ac:dyDescent="0.2">
      <c r="A2697">
        <v>147</v>
      </c>
      <c r="B2697">
        <v>89</v>
      </c>
      <c r="C2697">
        <v>236</v>
      </c>
      <c r="D2697" s="51" t="s">
        <v>87</v>
      </c>
      <c r="E2697">
        <f>VLOOKUP(M2697,'MASS - 2016'!$A$1:$G$3418,6,FALSE)</f>
        <v>51220.991999999998</v>
      </c>
      <c r="F2697">
        <f>VLOOKUP(M2697,'MASS - 2016'!$A$1:$G$3418,7,FALSE)</f>
        <v>38.191000000000003</v>
      </c>
      <c r="G2697">
        <f t="shared" si="211"/>
        <v>51220.991999999998</v>
      </c>
      <c r="H2697">
        <f t="shared" ref="H2697:H2760" si="212">(C2697*$A$3+G2697/1000000)/$A$3</f>
        <v>236.05498799632176</v>
      </c>
      <c r="I2697">
        <f t="shared" ref="I2697:I2760" si="213">H2697*$A$3</f>
        <v>219.88381938800001</v>
      </c>
      <c r="J2697">
        <f t="shared" si="210"/>
        <v>219838.34038800001</v>
      </c>
      <c r="M2697">
        <f t="shared" ref="M2697:M2760" si="214">1000*A2697+B2697</f>
        <v>147089</v>
      </c>
    </row>
    <row r="2698" spans="1:13" x14ac:dyDescent="0.2">
      <c r="A2698">
        <v>146</v>
      </c>
      <c r="B2698">
        <v>90</v>
      </c>
      <c r="C2698">
        <v>236</v>
      </c>
      <c r="D2698" s="51" t="s">
        <v>88</v>
      </c>
      <c r="E2698">
        <f>VLOOKUP(M2698,'MASS - 2016'!$A$1:$G$3418,6,FALSE)</f>
        <v>46255.197999999997</v>
      </c>
      <c r="F2698">
        <f>VLOOKUP(M2698,'MASS - 2016'!$A$1:$G$3418,7,FALSE)</f>
        <v>13.972</v>
      </c>
      <c r="G2698">
        <f t="shared" si="211"/>
        <v>46255.197999999997</v>
      </c>
      <c r="H2698">
        <f t="shared" si="212"/>
        <v>236.04965699722268</v>
      </c>
      <c r="I2698">
        <f t="shared" si="213"/>
        <v>219.87885359400002</v>
      </c>
      <c r="J2698">
        <f t="shared" si="210"/>
        <v>219832.86359400002</v>
      </c>
      <c r="M2698">
        <f t="shared" si="214"/>
        <v>146090</v>
      </c>
    </row>
    <row r="2699" spans="1:13" x14ac:dyDescent="0.2">
      <c r="A2699">
        <v>145</v>
      </c>
      <c r="B2699">
        <v>91</v>
      </c>
      <c r="C2699">
        <v>236</v>
      </c>
      <c r="D2699" s="51" t="s">
        <v>89</v>
      </c>
      <c r="E2699">
        <f>VLOOKUP(M2699,'MASS - 2016'!$A$1:$G$3418,6,FALSE)</f>
        <v>45333.95</v>
      </c>
      <c r="F2699">
        <f>VLOOKUP(M2699,'MASS - 2016'!$A$1:$G$3418,7,FALSE)</f>
        <v>13.972</v>
      </c>
      <c r="G2699">
        <f t="shared" si="211"/>
        <v>45333.95</v>
      </c>
      <c r="H2699">
        <f t="shared" si="212"/>
        <v>236.04866799682154</v>
      </c>
      <c r="I2699">
        <f t="shared" si="213"/>
        <v>219.87793234600002</v>
      </c>
      <c r="J2699">
        <f t="shared" si="210"/>
        <v>219831.43134600003</v>
      </c>
      <c r="M2699">
        <f t="shared" si="214"/>
        <v>145091</v>
      </c>
    </row>
    <row r="2700" spans="1:13" x14ac:dyDescent="0.2">
      <c r="A2700">
        <v>144</v>
      </c>
      <c r="B2700">
        <v>92</v>
      </c>
      <c r="C2700">
        <v>236</v>
      </c>
      <c r="D2700" s="51" t="s">
        <v>90</v>
      </c>
      <c r="E2700">
        <f>VLOOKUP(M2700,'MASS - 2016'!$A$1:$G$3418,6,FALSE)</f>
        <v>42444.644</v>
      </c>
      <c r="F2700">
        <f>VLOOKUP(M2700,'MASS - 2016'!$A$1:$G$3418,7,FALSE)</f>
        <v>1.113</v>
      </c>
      <c r="G2700">
        <f t="shared" si="211"/>
        <v>42444.644</v>
      </c>
      <c r="H2700">
        <f t="shared" si="212"/>
        <v>236.04556619926748</v>
      </c>
      <c r="I2700">
        <f t="shared" si="213"/>
        <v>219.87504304000001</v>
      </c>
      <c r="J2700">
        <f t="shared" ref="J2700:J2763" si="215">1000*I2700-B2700*0.511</f>
        <v>219828.03104000003</v>
      </c>
      <c r="M2700">
        <f t="shared" si="214"/>
        <v>144092</v>
      </c>
    </row>
    <row r="2701" spans="1:13" x14ac:dyDescent="0.2">
      <c r="A2701">
        <v>143</v>
      </c>
      <c r="B2701">
        <v>93</v>
      </c>
      <c r="C2701">
        <v>236</v>
      </c>
      <c r="D2701" s="51" t="s">
        <v>272</v>
      </c>
      <c r="E2701">
        <f>VLOOKUP(M2701,'MASS - 2016'!$A$1:$G$3418,6,FALSE)</f>
        <v>43378.178</v>
      </c>
      <c r="F2701">
        <f>VLOOKUP(M2701,'MASS - 2016'!$A$1:$G$3418,7,FALSE)</f>
        <v>50.420999999999999</v>
      </c>
      <c r="G2701">
        <f t="shared" si="211"/>
        <v>43378.178</v>
      </c>
      <c r="H2701">
        <f t="shared" si="212"/>
        <v>236.04656838923208</v>
      </c>
      <c r="I2701">
        <f t="shared" si="213"/>
        <v>219.87597657400002</v>
      </c>
      <c r="J2701">
        <f t="shared" si="215"/>
        <v>219828.45357400004</v>
      </c>
      <c r="M2701">
        <f t="shared" si="214"/>
        <v>143093</v>
      </c>
    </row>
    <row r="2702" spans="1:13" x14ac:dyDescent="0.2">
      <c r="A2702">
        <v>142</v>
      </c>
      <c r="B2702">
        <v>94</v>
      </c>
      <c r="C2702">
        <v>236</v>
      </c>
      <c r="D2702" s="51" t="s">
        <v>273</v>
      </c>
      <c r="E2702">
        <f>VLOOKUP(M2702,'MASS - 2016'!$A$1:$G$3418,6,FALSE)</f>
        <v>42901.593000000001</v>
      </c>
      <c r="F2702">
        <f>VLOOKUP(M2702,'MASS - 2016'!$A$1:$G$3418,7,FALSE)</f>
        <v>1.8109999999999999</v>
      </c>
      <c r="G2702">
        <f t="shared" si="211"/>
        <v>42901.593000000001</v>
      </c>
      <c r="H2702">
        <f t="shared" si="212"/>
        <v>236.04605675419333</v>
      </c>
      <c r="I2702">
        <f t="shared" si="213"/>
        <v>219.87549998900002</v>
      </c>
      <c r="J2702">
        <f t="shared" si="215"/>
        <v>219827.46598900002</v>
      </c>
      <c r="M2702">
        <f t="shared" si="214"/>
        <v>142094</v>
      </c>
    </row>
    <row r="2703" spans="1:13" x14ac:dyDescent="0.2">
      <c r="A2703">
        <v>141</v>
      </c>
      <c r="B2703">
        <v>95</v>
      </c>
      <c r="C2703">
        <v>236</v>
      </c>
      <c r="D2703" s="51" t="s">
        <v>274</v>
      </c>
      <c r="E2703" t="str">
        <f>VLOOKUP(M2703,'MASS - 2016'!$A$1:$G$3418,6,FALSE)</f>
        <v>46041#</v>
      </c>
      <c r="F2703" t="str">
        <f>VLOOKUP(M2703,'MASS - 2016'!$A$1:$G$3418,7,FALSE)</f>
        <v>112#</v>
      </c>
      <c r="G2703">
        <f t="shared" ref="G2703:G2766" si="216">IF(ISNUMBER(E2703),E2703,VALUE(SUBSTITUTE(E2703,"#",".01")))</f>
        <v>46041.01</v>
      </c>
      <c r="H2703">
        <f t="shared" si="212"/>
        <v>236.04942705694828</v>
      </c>
      <c r="I2703">
        <f t="shared" si="213"/>
        <v>219.87863940600002</v>
      </c>
      <c r="J2703">
        <f t="shared" si="215"/>
        <v>219830.09440600002</v>
      </c>
      <c r="M2703">
        <f t="shared" si="214"/>
        <v>141095</v>
      </c>
    </row>
    <row r="2704" spans="1:13" x14ac:dyDescent="0.2">
      <c r="A2704">
        <v>140</v>
      </c>
      <c r="B2704">
        <v>96</v>
      </c>
      <c r="C2704">
        <v>236</v>
      </c>
      <c r="D2704" s="51" t="s">
        <v>275</v>
      </c>
      <c r="E2704">
        <f>VLOOKUP(M2704,'MASS - 2016'!$A$1:$G$3418,6,FALSE)</f>
        <v>47855.044999999998</v>
      </c>
      <c r="F2704">
        <f>VLOOKUP(M2704,'MASS - 2016'!$A$1:$G$3418,7,FALSE)</f>
        <v>18.315000000000001</v>
      </c>
      <c r="G2704">
        <f t="shared" si="216"/>
        <v>47855.044999999998</v>
      </c>
      <c r="H2704">
        <f t="shared" si="212"/>
        <v>236.0513745036105</v>
      </c>
      <c r="I2704">
        <f t="shared" si="213"/>
        <v>219.88045344100001</v>
      </c>
      <c r="J2704">
        <f t="shared" si="215"/>
        <v>219831.39744100001</v>
      </c>
      <c r="M2704">
        <f t="shared" si="214"/>
        <v>140096</v>
      </c>
    </row>
    <row r="2705" spans="1:13" x14ac:dyDescent="0.2">
      <c r="A2705">
        <v>139</v>
      </c>
      <c r="B2705">
        <v>97</v>
      </c>
      <c r="C2705">
        <v>236</v>
      </c>
      <c r="D2705" s="51" t="s">
        <v>277</v>
      </c>
      <c r="E2705" t="str">
        <f>VLOOKUP(M2705,'MASS - 2016'!$A$1:$G$3418,6,FALSE)</f>
        <v>53542#</v>
      </c>
      <c r="F2705" t="str">
        <f>VLOOKUP(M2705,'MASS - 2016'!$A$1:$G$3418,7,FALSE)</f>
        <v>401#</v>
      </c>
      <c r="G2705">
        <f t="shared" si="216"/>
        <v>53542.01</v>
      </c>
      <c r="H2705">
        <f t="shared" si="212"/>
        <v>236.05747971161784</v>
      </c>
      <c r="I2705">
        <f t="shared" si="213"/>
        <v>219.88614040600001</v>
      </c>
      <c r="J2705">
        <f t="shared" si="215"/>
        <v>219836.57340600001</v>
      </c>
      <c r="M2705">
        <f t="shared" si="214"/>
        <v>139097</v>
      </c>
    </row>
    <row r="2706" spans="1:13" x14ac:dyDescent="0.2">
      <c r="A2706">
        <v>147</v>
      </c>
      <c r="B2706">
        <v>90</v>
      </c>
      <c r="C2706">
        <v>237</v>
      </c>
      <c r="D2706" s="51" t="s">
        <v>88</v>
      </c>
      <c r="E2706">
        <f>VLOOKUP(M2706,'MASS - 2016'!$A$1:$G$3418,6,FALSE)</f>
        <v>49955.091999999997</v>
      </c>
      <c r="F2706">
        <f>VLOOKUP(M2706,'MASS - 2016'!$A$1:$G$3418,7,FALSE)</f>
        <v>15.835000000000001</v>
      </c>
      <c r="G2706">
        <f t="shared" si="216"/>
        <v>49955.091999999997</v>
      </c>
      <c r="H2706">
        <f t="shared" si="212"/>
        <v>237.05362899678221</v>
      </c>
      <c r="I2706">
        <f t="shared" si="213"/>
        <v>220.81404754900001</v>
      </c>
      <c r="J2706">
        <f t="shared" si="215"/>
        <v>220768.05754900002</v>
      </c>
      <c r="M2706">
        <f t="shared" si="214"/>
        <v>147090</v>
      </c>
    </row>
    <row r="2707" spans="1:13" x14ac:dyDescent="0.2">
      <c r="A2707">
        <v>146</v>
      </c>
      <c r="B2707">
        <v>91</v>
      </c>
      <c r="C2707">
        <v>237</v>
      </c>
      <c r="D2707" s="51" t="s">
        <v>89</v>
      </c>
      <c r="E2707">
        <f>VLOOKUP(M2707,'MASS - 2016'!$A$1:$G$3418,6,FALSE)</f>
        <v>47527.618999999999</v>
      </c>
      <c r="F2707">
        <f>VLOOKUP(M2707,'MASS - 2016'!$A$1:$G$3418,7,FALSE)</f>
        <v>13.041</v>
      </c>
      <c r="G2707">
        <f t="shared" si="216"/>
        <v>47527.618999999999</v>
      </c>
      <c r="H2707">
        <f t="shared" si="212"/>
        <v>237.05102299734361</v>
      </c>
      <c r="I2707">
        <f t="shared" si="213"/>
        <v>220.811620076</v>
      </c>
      <c r="J2707">
        <f t="shared" si="215"/>
        <v>220765.119076</v>
      </c>
      <c r="M2707">
        <f t="shared" si="214"/>
        <v>146091</v>
      </c>
    </row>
    <row r="2708" spans="1:13" x14ac:dyDescent="0.2">
      <c r="A2708">
        <v>145</v>
      </c>
      <c r="B2708">
        <v>92</v>
      </c>
      <c r="C2708">
        <v>237</v>
      </c>
      <c r="D2708" s="51" t="s">
        <v>90</v>
      </c>
      <c r="E2708">
        <f>VLOOKUP(M2708,'MASS - 2016'!$A$1:$G$3418,6,FALSE)</f>
        <v>45390.194000000003</v>
      </c>
      <c r="F2708">
        <f>VLOOKUP(M2708,'MASS - 2016'!$A$1:$G$3418,7,FALSE)</f>
        <v>1.2030000000000001</v>
      </c>
      <c r="G2708">
        <f t="shared" si="216"/>
        <v>45390.194000000003</v>
      </c>
      <c r="H2708">
        <f t="shared" si="212"/>
        <v>237.04872837723869</v>
      </c>
      <c r="I2708">
        <f t="shared" si="213"/>
        <v>220.809482651</v>
      </c>
      <c r="J2708">
        <f t="shared" si="215"/>
        <v>220762.47065100001</v>
      </c>
      <c r="M2708">
        <f t="shared" si="214"/>
        <v>145092</v>
      </c>
    </row>
    <row r="2709" spans="1:13" x14ac:dyDescent="0.2">
      <c r="A2709">
        <v>144</v>
      </c>
      <c r="B2709">
        <v>93</v>
      </c>
      <c r="C2709">
        <v>237</v>
      </c>
      <c r="D2709" s="51" t="s">
        <v>272</v>
      </c>
      <c r="E2709">
        <f>VLOOKUP(M2709,'MASS - 2016'!$A$1:$G$3418,6,FALSE)</f>
        <v>44871.659</v>
      </c>
      <c r="F2709">
        <f>VLOOKUP(M2709,'MASS - 2016'!$A$1:$G$3418,7,FALSE)</f>
        <v>1.1200000000000001</v>
      </c>
      <c r="G2709">
        <f t="shared" si="216"/>
        <v>44871.659</v>
      </c>
      <c r="H2709">
        <f t="shared" si="212"/>
        <v>237.04817170702285</v>
      </c>
      <c r="I2709">
        <f t="shared" si="213"/>
        <v>220.808964116</v>
      </c>
      <c r="J2709">
        <f t="shared" si="215"/>
        <v>220761.441116</v>
      </c>
      <c r="M2709">
        <f t="shared" si="214"/>
        <v>144093</v>
      </c>
    </row>
    <row r="2710" spans="1:13" x14ac:dyDescent="0.2">
      <c r="A2710">
        <v>143</v>
      </c>
      <c r="B2710">
        <v>94</v>
      </c>
      <c r="C2710">
        <v>237</v>
      </c>
      <c r="D2710" s="51" t="s">
        <v>273</v>
      </c>
      <c r="E2710">
        <f>VLOOKUP(M2710,'MASS - 2016'!$A$1:$G$3418,6,FALSE)</f>
        <v>45091.722000000002</v>
      </c>
      <c r="F2710">
        <f>VLOOKUP(M2710,'MASS - 2016'!$A$1:$G$3418,7,FALSE)</f>
        <v>1.6970000000000001</v>
      </c>
      <c r="G2710">
        <f t="shared" si="216"/>
        <v>45091.722000000002</v>
      </c>
      <c r="H2710">
        <f t="shared" si="212"/>
        <v>237.04840795436914</v>
      </c>
      <c r="I2710">
        <f t="shared" si="213"/>
        <v>220.809184179</v>
      </c>
      <c r="J2710">
        <f t="shared" si="215"/>
        <v>220761.15017899999</v>
      </c>
      <c r="M2710">
        <f t="shared" si="214"/>
        <v>143094</v>
      </c>
    </row>
    <row r="2711" spans="1:13" x14ac:dyDescent="0.2">
      <c r="A2711">
        <v>142</v>
      </c>
      <c r="B2711">
        <v>95</v>
      </c>
      <c r="C2711">
        <v>237</v>
      </c>
      <c r="D2711" s="51" t="s">
        <v>274</v>
      </c>
      <c r="E2711" t="str">
        <f>VLOOKUP(M2711,'MASS - 2016'!$A$1:$G$3418,6,FALSE)</f>
        <v>46570#</v>
      </c>
      <c r="F2711" t="str">
        <f>VLOOKUP(M2711,'MASS - 2016'!$A$1:$G$3418,7,FALSE)</f>
        <v>59#</v>
      </c>
      <c r="G2711">
        <f t="shared" si="216"/>
        <v>46570.01</v>
      </c>
      <c r="H2711">
        <f t="shared" si="212"/>
        <v>237.04999496180363</v>
      </c>
      <c r="I2711">
        <f t="shared" si="213"/>
        <v>220.81066246700001</v>
      </c>
      <c r="J2711">
        <f t="shared" si="215"/>
        <v>220762.117467</v>
      </c>
      <c r="M2711">
        <f t="shared" si="214"/>
        <v>142095</v>
      </c>
    </row>
    <row r="2712" spans="1:13" x14ac:dyDescent="0.2">
      <c r="A2712">
        <v>141</v>
      </c>
      <c r="B2712">
        <v>96</v>
      </c>
      <c r="C2712">
        <v>237</v>
      </c>
      <c r="D2712" s="51" t="s">
        <v>275</v>
      </c>
      <c r="E2712">
        <f>VLOOKUP(M2712,'MASS - 2016'!$A$1:$G$3418,6,FALSE)</f>
        <v>49247.084999999999</v>
      </c>
      <c r="F2712">
        <f>VLOOKUP(M2712,'MASS - 2016'!$A$1:$G$3418,7,FALSE)</f>
        <v>70.959999999999994</v>
      </c>
      <c r="G2712">
        <f t="shared" si="216"/>
        <v>49247.084999999999</v>
      </c>
      <c r="H2712">
        <f t="shared" si="212"/>
        <v>237.05286892000913</v>
      </c>
      <c r="I2712">
        <f t="shared" si="213"/>
        <v>220.81333954199999</v>
      </c>
      <c r="J2712">
        <f t="shared" si="215"/>
        <v>220764.28354199999</v>
      </c>
      <c r="M2712">
        <f t="shared" si="214"/>
        <v>141096</v>
      </c>
    </row>
    <row r="2713" spans="1:13" x14ac:dyDescent="0.2">
      <c r="A2713">
        <v>140</v>
      </c>
      <c r="B2713">
        <v>97</v>
      </c>
      <c r="C2713">
        <v>237</v>
      </c>
      <c r="D2713" s="51" t="s">
        <v>277</v>
      </c>
      <c r="E2713" t="str">
        <f>VLOOKUP(M2713,'MASS - 2016'!$A$1:$G$3418,6,FALSE)</f>
        <v>53188#</v>
      </c>
      <c r="F2713" t="str">
        <f>VLOOKUP(M2713,'MASS - 2016'!$A$1:$G$3418,7,FALSE)</f>
        <v>224#</v>
      </c>
      <c r="G2713">
        <f t="shared" si="216"/>
        <v>53188.01</v>
      </c>
      <c r="H2713">
        <f t="shared" si="212"/>
        <v>237.05709967698874</v>
      </c>
      <c r="I2713">
        <f t="shared" si="213"/>
        <v>220.81728046700002</v>
      </c>
      <c r="J2713">
        <f t="shared" si="215"/>
        <v>220767.71346699999</v>
      </c>
      <c r="M2713">
        <f t="shared" si="214"/>
        <v>140097</v>
      </c>
    </row>
    <row r="2714" spans="1:13" x14ac:dyDescent="0.2">
      <c r="A2714">
        <v>139</v>
      </c>
      <c r="B2714">
        <v>98</v>
      </c>
      <c r="C2714">
        <v>237</v>
      </c>
      <c r="D2714" s="51" t="s">
        <v>279</v>
      </c>
      <c r="E2714">
        <f>VLOOKUP(M2714,'MASS - 2016'!$A$1:$G$3418,6,FALSE)</f>
        <v>57938.921000000002</v>
      </c>
      <c r="F2714">
        <f>VLOOKUP(M2714,'MASS - 2016'!$A$1:$G$3418,7,FALSE)</f>
        <v>87.287000000000006</v>
      </c>
      <c r="G2714">
        <f t="shared" si="216"/>
        <v>57938.921000000002</v>
      </c>
      <c r="H2714">
        <f t="shared" si="212"/>
        <v>237.06219998970019</v>
      </c>
      <c r="I2714">
        <f t="shared" si="213"/>
        <v>220.82203137799999</v>
      </c>
      <c r="J2714">
        <f t="shared" si="215"/>
        <v>220771.95337799998</v>
      </c>
      <c r="M2714">
        <f t="shared" si="214"/>
        <v>139098</v>
      </c>
    </row>
    <row r="2715" spans="1:13" x14ac:dyDescent="0.2">
      <c r="A2715">
        <v>148</v>
      </c>
      <c r="B2715">
        <v>90</v>
      </c>
      <c r="C2715">
        <v>238</v>
      </c>
      <c r="D2715" s="51" t="s">
        <v>88</v>
      </c>
      <c r="E2715" t="str">
        <f>VLOOKUP(M2715,'MASS - 2016'!$A$1:$G$3418,6,FALSE)</f>
        <v>52525#</v>
      </c>
      <c r="F2715" t="str">
        <f>VLOOKUP(M2715,'MASS - 2016'!$A$1:$G$3418,7,FALSE)</f>
        <v>283#</v>
      </c>
      <c r="G2715">
        <f t="shared" si="216"/>
        <v>52525.01</v>
      </c>
      <c r="H2715">
        <f t="shared" si="212"/>
        <v>238.05638791721722</v>
      </c>
      <c r="I2715">
        <f t="shared" si="213"/>
        <v>221.74811152800001</v>
      </c>
      <c r="J2715">
        <f t="shared" si="215"/>
        <v>221702.12152800002</v>
      </c>
      <c r="M2715">
        <f t="shared" si="214"/>
        <v>148090</v>
      </c>
    </row>
    <row r="2716" spans="1:13" x14ac:dyDescent="0.2">
      <c r="A2716">
        <v>147</v>
      </c>
      <c r="B2716">
        <v>91</v>
      </c>
      <c r="C2716">
        <v>238</v>
      </c>
      <c r="D2716" s="51" t="s">
        <v>89</v>
      </c>
      <c r="E2716">
        <f>VLOOKUP(M2716,'MASS - 2016'!$A$1:$G$3418,6,FALSE)</f>
        <v>50894.038</v>
      </c>
      <c r="F2716">
        <f>VLOOKUP(M2716,'MASS - 2016'!$A$1:$G$3418,7,FALSE)</f>
        <v>15.835000000000001</v>
      </c>
      <c r="G2716">
        <f t="shared" si="216"/>
        <v>50894.038</v>
      </c>
      <c r="H2716">
        <f t="shared" si="212"/>
        <v>238.0546369967677</v>
      </c>
      <c r="I2716">
        <f t="shared" si="213"/>
        <v>221.74648055599999</v>
      </c>
      <c r="J2716">
        <f t="shared" si="215"/>
        <v>221699.97955600001</v>
      </c>
      <c r="M2716">
        <f t="shared" si="214"/>
        <v>147091</v>
      </c>
    </row>
    <row r="2717" spans="1:13" x14ac:dyDescent="0.2">
      <c r="A2717">
        <v>146</v>
      </c>
      <c r="B2717">
        <v>92</v>
      </c>
      <c r="C2717">
        <v>238</v>
      </c>
      <c r="D2717" s="51" t="s">
        <v>90</v>
      </c>
      <c r="E2717">
        <f>VLOOKUP(M2717,'MASS - 2016'!$A$1:$G$3418,6,FALSE)</f>
        <v>47307.783000000003</v>
      </c>
      <c r="F2717">
        <f>VLOOKUP(M2717,'MASS - 2016'!$A$1:$G$3418,7,FALSE)</f>
        <v>1.4930000000000001</v>
      </c>
      <c r="G2717">
        <f t="shared" si="216"/>
        <v>47307.783000000003</v>
      </c>
      <c r="H2717">
        <f t="shared" si="212"/>
        <v>238.05078699369187</v>
      </c>
      <c r="I2717">
        <f t="shared" si="213"/>
        <v>221.74289430100001</v>
      </c>
      <c r="J2717">
        <f t="shared" si="215"/>
        <v>221695.88230100001</v>
      </c>
      <c r="M2717">
        <f t="shared" si="214"/>
        <v>146092</v>
      </c>
    </row>
    <row r="2718" spans="1:13" x14ac:dyDescent="0.2">
      <c r="A2718">
        <v>145</v>
      </c>
      <c r="B2718">
        <v>93</v>
      </c>
      <c r="C2718">
        <v>238</v>
      </c>
      <c r="D2718" s="51" t="s">
        <v>272</v>
      </c>
      <c r="E2718">
        <f>VLOOKUP(M2718,'MASS - 2016'!$A$1:$G$3418,6,FALSE)</f>
        <v>47454.656000000003</v>
      </c>
      <c r="F2718">
        <f>VLOOKUP(M2718,'MASS - 2016'!$A$1:$G$3418,7,FALSE)</f>
        <v>1.1379999999999999</v>
      </c>
      <c r="G2718">
        <f t="shared" si="216"/>
        <v>47454.656000000003</v>
      </c>
      <c r="H2718">
        <f t="shared" si="212"/>
        <v>238.05094466834183</v>
      </c>
      <c r="I2718">
        <f t="shared" si="213"/>
        <v>221.74304117400001</v>
      </c>
      <c r="J2718">
        <f t="shared" si="215"/>
        <v>221695.51817400003</v>
      </c>
      <c r="M2718">
        <f t="shared" si="214"/>
        <v>145093</v>
      </c>
    </row>
    <row r="2719" spans="1:13" x14ac:dyDescent="0.2">
      <c r="A2719">
        <v>144</v>
      </c>
      <c r="B2719">
        <v>94</v>
      </c>
      <c r="C2719">
        <v>238</v>
      </c>
      <c r="D2719" s="51" t="s">
        <v>273</v>
      </c>
      <c r="E2719">
        <f>VLOOKUP(M2719,'MASS - 2016'!$A$1:$G$3418,6,FALSE)</f>
        <v>46163.213000000003</v>
      </c>
      <c r="F2719">
        <f>VLOOKUP(M2719,'MASS - 2016'!$A$1:$G$3418,7,FALSE)</f>
        <v>1.139</v>
      </c>
      <c r="G2719">
        <f t="shared" si="216"/>
        <v>46163.213000000003</v>
      </c>
      <c r="H2719">
        <f t="shared" si="212"/>
        <v>238.04955824726403</v>
      </c>
      <c r="I2719">
        <f t="shared" si="213"/>
        <v>221.741749731</v>
      </c>
      <c r="J2719">
        <f t="shared" si="215"/>
        <v>221693.71573099997</v>
      </c>
      <c r="M2719">
        <f t="shared" si="214"/>
        <v>144094</v>
      </c>
    </row>
    <row r="2720" spans="1:13" x14ac:dyDescent="0.2">
      <c r="A2720">
        <v>143</v>
      </c>
      <c r="B2720">
        <v>95</v>
      </c>
      <c r="C2720">
        <v>238</v>
      </c>
      <c r="D2720" s="51" t="s">
        <v>274</v>
      </c>
      <c r="E2720">
        <f>VLOOKUP(M2720,'MASS - 2016'!$A$1:$G$3418,6,FALSE)</f>
        <v>48421.487000000001</v>
      </c>
      <c r="F2720">
        <f>VLOOKUP(M2720,'MASS - 2016'!$A$1:$G$3418,7,FALSE)</f>
        <v>50.7</v>
      </c>
      <c r="G2720">
        <f t="shared" si="216"/>
        <v>48421.487000000001</v>
      </c>
      <c r="H2720">
        <f t="shared" si="212"/>
        <v>238.05198260410597</v>
      </c>
      <c r="I2720">
        <f t="shared" si="213"/>
        <v>221.74400800500001</v>
      </c>
      <c r="J2720">
        <f t="shared" si="215"/>
        <v>221695.463005</v>
      </c>
      <c r="M2720">
        <f t="shared" si="214"/>
        <v>143095</v>
      </c>
    </row>
    <row r="2721" spans="1:13" x14ac:dyDescent="0.2">
      <c r="A2721">
        <v>142</v>
      </c>
      <c r="B2721">
        <v>96</v>
      </c>
      <c r="C2721">
        <v>238</v>
      </c>
      <c r="D2721" s="51" t="s">
        <v>275</v>
      </c>
      <c r="E2721">
        <f>VLOOKUP(M2721,'MASS - 2016'!$A$1:$G$3418,6,FALSE)</f>
        <v>49445.188000000002</v>
      </c>
      <c r="F2721">
        <f>VLOOKUP(M2721,'MASS - 2016'!$A$1:$G$3418,7,FALSE)</f>
        <v>12.234</v>
      </c>
      <c r="G2721">
        <f t="shared" si="216"/>
        <v>49445.188000000002</v>
      </c>
      <c r="H2721">
        <f t="shared" si="212"/>
        <v>238.0530815923259</v>
      </c>
      <c r="I2721">
        <f t="shared" si="213"/>
        <v>221.74503170599999</v>
      </c>
      <c r="J2721">
        <f t="shared" si="215"/>
        <v>221695.97570599997</v>
      </c>
      <c r="M2721">
        <f t="shared" si="214"/>
        <v>142096</v>
      </c>
    </row>
    <row r="2722" spans="1:13" x14ac:dyDescent="0.2">
      <c r="A2722">
        <v>141</v>
      </c>
      <c r="B2722">
        <v>97</v>
      </c>
      <c r="C2722">
        <v>238</v>
      </c>
      <c r="D2722" s="51" t="s">
        <v>277</v>
      </c>
      <c r="E2722" t="str">
        <f>VLOOKUP(M2722,'MASS - 2016'!$A$1:$G$3418,6,FALSE)</f>
        <v>54216#</v>
      </c>
      <c r="F2722" t="str">
        <f>VLOOKUP(M2722,'MASS - 2016'!$A$1:$G$3418,7,FALSE)</f>
        <v>255#</v>
      </c>
      <c r="G2722">
        <f t="shared" si="216"/>
        <v>54216.01</v>
      </c>
      <c r="H2722">
        <f t="shared" si="212"/>
        <v>238.05820328037498</v>
      </c>
      <c r="I2722">
        <f t="shared" si="213"/>
        <v>221.749802528</v>
      </c>
      <c r="J2722">
        <f t="shared" si="215"/>
        <v>221700.23552799999</v>
      </c>
      <c r="M2722">
        <f t="shared" si="214"/>
        <v>141097</v>
      </c>
    </row>
    <row r="2723" spans="1:13" x14ac:dyDescent="0.2">
      <c r="A2723">
        <v>140</v>
      </c>
      <c r="B2723">
        <v>98</v>
      </c>
      <c r="C2723">
        <v>238</v>
      </c>
      <c r="D2723" s="51" t="s">
        <v>279</v>
      </c>
      <c r="E2723" t="str">
        <f>VLOOKUP(M2723,'MASS - 2016'!$A$1:$G$3418,6,FALSE)</f>
        <v>57278#</v>
      </c>
      <c r="F2723" t="str">
        <f>VLOOKUP(M2723,'MASS - 2016'!$A$1:$G$3418,7,FALSE)</f>
        <v>298#</v>
      </c>
      <c r="G2723">
        <f t="shared" si="216"/>
        <v>57278.01</v>
      </c>
      <c r="H2723">
        <f t="shared" si="212"/>
        <v>238.06149047256244</v>
      </c>
      <c r="I2723">
        <f t="shared" si="213"/>
        <v>221.752864528</v>
      </c>
      <c r="J2723">
        <f t="shared" si="215"/>
        <v>221702.786528</v>
      </c>
      <c r="M2723">
        <f t="shared" si="214"/>
        <v>140098</v>
      </c>
    </row>
    <row r="2724" spans="1:13" x14ac:dyDescent="0.2">
      <c r="A2724">
        <v>148</v>
      </c>
      <c r="B2724">
        <v>91</v>
      </c>
      <c r="C2724">
        <v>239</v>
      </c>
      <c r="D2724" s="51" t="s">
        <v>89</v>
      </c>
      <c r="E2724" t="str">
        <f>VLOOKUP(M2724,'MASS - 2016'!$A$1:$G$3418,6,FALSE)</f>
        <v>53337#</v>
      </c>
      <c r="F2724" t="str">
        <f>VLOOKUP(M2724,'MASS - 2016'!$A$1:$G$3418,7,FALSE)</f>
        <v>196#</v>
      </c>
      <c r="G2724">
        <f t="shared" si="216"/>
        <v>53337.01</v>
      </c>
      <c r="H2724">
        <f t="shared" si="212"/>
        <v>239.05725963506708</v>
      </c>
      <c r="I2724">
        <f t="shared" si="213"/>
        <v>222.680417589</v>
      </c>
      <c r="J2724">
        <f t="shared" si="215"/>
        <v>222633.916589</v>
      </c>
      <c r="M2724">
        <f t="shared" si="214"/>
        <v>148091</v>
      </c>
    </row>
    <row r="2725" spans="1:13" x14ac:dyDescent="0.2">
      <c r="A2725">
        <v>147</v>
      </c>
      <c r="B2725">
        <v>92</v>
      </c>
      <c r="C2725">
        <v>239</v>
      </c>
      <c r="D2725" s="51" t="s">
        <v>90</v>
      </c>
      <c r="E2725">
        <f>VLOOKUP(M2725,'MASS - 2016'!$A$1:$G$3418,6,FALSE)</f>
        <v>50572.718000000001</v>
      </c>
      <c r="F2725">
        <f>VLOOKUP(M2725,'MASS - 2016'!$A$1:$G$3418,7,FALSE)</f>
        <v>1.5029999999999999</v>
      </c>
      <c r="G2725">
        <f t="shared" si="216"/>
        <v>50572.718000000001</v>
      </c>
      <c r="H2725">
        <f t="shared" si="212"/>
        <v>239.05429204556143</v>
      </c>
      <c r="I2725">
        <f t="shared" si="213"/>
        <v>222.67765329700001</v>
      </c>
      <c r="J2725">
        <f t="shared" si="215"/>
        <v>222630.64129700002</v>
      </c>
      <c r="M2725">
        <f t="shared" si="214"/>
        <v>147092</v>
      </c>
    </row>
    <row r="2726" spans="1:13" x14ac:dyDescent="0.2">
      <c r="A2726">
        <v>146</v>
      </c>
      <c r="B2726">
        <v>93</v>
      </c>
      <c r="C2726">
        <v>239</v>
      </c>
      <c r="D2726" s="51" t="s">
        <v>272</v>
      </c>
      <c r="E2726">
        <f>VLOOKUP(M2726,'MASS - 2016'!$A$1:$G$3418,6,FALSE)</f>
        <v>49311.057000000001</v>
      </c>
      <c r="F2726">
        <f>VLOOKUP(M2726,'MASS - 2016'!$A$1:$G$3418,7,FALSE)</f>
        <v>1.3109999999999999</v>
      </c>
      <c r="G2726">
        <f t="shared" si="216"/>
        <v>49311.057000000001</v>
      </c>
      <c r="H2726">
        <f t="shared" si="212"/>
        <v>239.05293759677551</v>
      </c>
      <c r="I2726">
        <f t="shared" si="213"/>
        <v>222.67639163600001</v>
      </c>
      <c r="J2726">
        <f t="shared" si="215"/>
        <v>222628.86863600003</v>
      </c>
      <c r="M2726">
        <f t="shared" si="214"/>
        <v>146093</v>
      </c>
    </row>
    <row r="2727" spans="1:13" x14ac:dyDescent="0.2">
      <c r="A2727">
        <v>145</v>
      </c>
      <c r="B2727">
        <v>94</v>
      </c>
      <c r="C2727">
        <v>239</v>
      </c>
      <c r="D2727" s="51" t="s">
        <v>273</v>
      </c>
      <c r="E2727">
        <f>VLOOKUP(M2727,'MASS - 2016'!$A$1:$G$3418,6,FALSE)</f>
        <v>48588.281999999999</v>
      </c>
      <c r="F2727">
        <f>VLOOKUP(M2727,'MASS - 2016'!$A$1:$G$3418,7,FALSE)</f>
        <v>1.113</v>
      </c>
      <c r="G2727">
        <f t="shared" si="216"/>
        <v>48588.281999999999</v>
      </c>
      <c r="H2727">
        <f t="shared" si="212"/>
        <v>239.05216166590245</v>
      </c>
      <c r="I2727">
        <f t="shared" si="213"/>
        <v>222.67566886099999</v>
      </c>
      <c r="J2727">
        <f t="shared" si="215"/>
        <v>222627.63486099997</v>
      </c>
      <c r="M2727">
        <f t="shared" si="214"/>
        <v>145094</v>
      </c>
    </row>
    <row r="2728" spans="1:13" x14ac:dyDescent="0.2">
      <c r="A2728">
        <v>144</v>
      </c>
      <c r="B2728">
        <v>95</v>
      </c>
      <c r="C2728">
        <v>239</v>
      </c>
      <c r="D2728" s="51" t="s">
        <v>274</v>
      </c>
      <c r="E2728">
        <f>VLOOKUP(M2728,'MASS - 2016'!$A$1:$G$3418,6,FALSE)</f>
        <v>49390.423999999999</v>
      </c>
      <c r="F2728">
        <f>VLOOKUP(M2728,'MASS - 2016'!$A$1:$G$3418,7,FALSE)</f>
        <v>1.982</v>
      </c>
      <c r="G2728">
        <f t="shared" si="216"/>
        <v>49390.423999999999</v>
      </c>
      <c r="H2728">
        <f t="shared" si="212"/>
        <v>239.05302280075406</v>
      </c>
      <c r="I2728">
        <f t="shared" si="213"/>
        <v>222.67647100299999</v>
      </c>
      <c r="J2728">
        <f t="shared" si="215"/>
        <v>222627.92600299997</v>
      </c>
      <c r="M2728">
        <f t="shared" si="214"/>
        <v>144095</v>
      </c>
    </row>
    <row r="2729" spans="1:13" x14ac:dyDescent="0.2">
      <c r="A2729">
        <v>143</v>
      </c>
      <c r="B2729">
        <v>96</v>
      </c>
      <c r="C2729">
        <v>239</v>
      </c>
      <c r="D2729" s="51" t="s">
        <v>275</v>
      </c>
      <c r="E2729">
        <f>VLOOKUP(M2729,'MASS - 2016'!$A$1:$G$3418,6,FALSE)</f>
        <v>51147.025000000001</v>
      </c>
      <c r="F2729">
        <f>VLOOKUP(M2729,'MASS - 2016'!$A$1:$G$3418,7,FALSE)</f>
        <v>54.046999999999997</v>
      </c>
      <c r="G2729">
        <f t="shared" si="216"/>
        <v>51147.025000000001</v>
      </c>
      <c r="H2729">
        <f t="shared" si="212"/>
        <v>239.05490858948161</v>
      </c>
      <c r="I2729">
        <f t="shared" si="213"/>
        <v>222.678227604</v>
      </c>
      <c r="J2729">
        <f t="shared" si="215"/>
        <v>222629.171604</v>
      </c>
      <c r="M2729">
        <f t="shared" si="214"/>
        <v>143096</v>
      </c>
    </row>
    <row r="2730" spans="1:13" x14ac:dyDescent="0.2">
      <c r="A2730">
        <v>142</v>
      </c>
      <c r="B2730">
        <v>97</v>
      </c>
      <c r="C2730">
        <v>239</v>
      </c>
      <c r="D2730" s="51" t="s">
        <v>277</v>
      </c>
      <c r="E2730" t="str">
        <f>VLOOKUP(M2730,'MASS - 2016'!$A$1:$G$3418,6,FALSE)</f>
        <v>54250#</v>
      </c>
      <c r="F2730" t="str">
        <f>VLOOKUP(M2730,'MASS - 2016'!$A$1:$G$3418,7,FALSE)</f>
        <v>207#</v>
      </c>
      <c r="G2730">
        <f t="shared" si="216"/>
        <v>54250.01</v>
      </c>
      <c r="H2730">
        <f t="shared" si="212"/>
        <v>239.05823978087608</v>
      </c>
      <c r="I2730">
        <f t="shared" si="213"/>
        <v>222.681330589</v>
      </c>
      <c r="J2730">
        <f t="shared" si="215"/>
        <v>222631.76358899998</v>
      </c>
      <c r="M2730">
        <f t="shared" si="214"/>
        <v>142097</v>
      </c>
    </row>
    <row r="2731" spans="1:13" x14ac:dyDescent="0.2">
      <c r="A2731">
        <v>141</v>
      </c>
      <c r="B2731">
        <v>98</v>
      </c>
      <c r="C2731">
        <v>239</v>
      </c>
      <c r="D2731" s="51" t="s">
        <v>279</v>
      </c>
      <c r="E2731" t="str">
        <f>VLOOKUP(M2731,'MASS - 2016'!$A$1:$G$3418,6,FALSE)</f>
        <v>58269#</v>
      </c>
      <c r="F2731" t="str">
        <f>VLOOKUP(M2731,'MASS - 2016'!$A$1:$G$3418,7,FALSE)</f>
        <v>209#</v>
      </c>
      <c r="G2731">
        <f t="shared" si="216"/>
        <v>58269.01</v>
      </c>
      <c r="H2731">
        <f t="shared" si="212"/>
        <v>239.06255435481515</v>
      </c>
      <c r="I2731">
        <f t="shared" si="213"/>
        <v>222.685349589</v>
      </c>
      <c r="J2731">
        <f t="shared" si="215"/>
        <v>222635.27158899998</v>
      </c>
      <c r="M2731">
        <f t="shared" si="214"/>
        <v>141098</v>
      </c>
    </row>
    <row r="2732" spans="1:13" x14ac:dyDescent="0.2">
      <c r="A2732">
        <v>149</v>
      </c>
      <c r="B2732">
        <v>91</v>
      </c>
      <c r="C2732">
        <v>240</v>
      </c>
      <c r="D2732" s="51" t="s">
        <v>89</v>
      </c>
      <c r="E2732" t="str">
        <f>VLOOKUP(M2732,'MASS - 2016'!$A$1:$G$3418,6,FALSE)</f>
        <v>56910#</v>
      </c>
      <c r="F2732" t="str">
        <f>VLOOKUP(M2732,'MASS - 2016'!$A$1:$G$3418,7,FALSE)</f>
        <v>200#</v>
      </c>
      <c r="G2732">
        <f t="shared" si="216"/>
        <v>56910.01</v>
      </c>
      <c r="H2732">
        <f t="shared" si="212"/>
        <v>240.0610954083152</v>
      </c>
      <c r="I2732">
        <f t="shared" si="213"/>
        <v>223.61548464999998</v>
      </c>
      <c r="J2732">
        <f t="shared" si="215"/>
        <v>223568.98365000001</v>
      </c>
      <c r="M2732">
        <f t="shared" si="214"/>
        <v>149091</v>
      </c>
    </row>
    <row r="2733" spans="1:13" x14ac:dyDescent="0.2">
      <c r="A2733">
        <v>148</v>
      </c>
      <c r="B2733">
        <v>92</v>
      </c>
      <c r="C2733">
        <v>240</v>
      </c>
      <c r="D2733" s="51" t="s">
        <v>90</v>
      </c>
      <c r="E2733">
        <f>VLOOKUP(M2733,'MASS - 2016'!$A$1:$G$3418,6,FALSE)</f>
        <v>52715.504999999997</v>
      </c>
      <c r="F2733">
        <f>VLOOKUP(M2733,'MASS - 2016'!$A$1:$G$3418,7,FALSE)</f>
        <v>2.5529999999999999</v>
      </c>
      <c r="G2733">
        <f t="shared" si="216"/>
        <v>52715.504999999997</v>
      </c>
      <c r="H2733">
        <f t="shared" si="212"/>
        <v>240.05659242201008</v>
      </c>
      <c r="I2733">
        <f t="shared" si="213"/>
        <v>223.611290145</v>
      </c>
      <c r="J2733">
        <f t="shared" si="215"/>
        <v>223564.27814500002</v>
      </c>
      <c r="M2733">
        <f t="shared" si="214"/>
        <v>148092</v>
      </c>
    </row>
    <row r="2734" spans="1:13" x14ac:dyDescent="0.2">
      <c r="A2734">
        <v>147</v>
      </c>
      <c r="B2734">
        <v>93</v>
      </c>
      <c r="C2734">
        <v>240</v>
      </c>
      <c r="D2734" s="51" t="s">
        <v>272</v>
      </c>
      <c r="E2734">
        <f>VLOOKUP(M2734,'MASS - 2016'!$A$1:$G$3418,6,FALSE)</f>
        <v>52316.271999999997</v>
      </c>
      <c r="F2734">
        <f>VLOOKUP(M2734,'MASS - 2016'!$A$1:$G$3418,7,FALSE)</f>
        <v>17.032</v>
      </c>
      <c r="G2734">
        <f t="shared" si="216"/>
        <v>52316.271999999997</v>
      </c>
      <c r="H2734">
        <f t="shared" si="212"/>
        <v>240.05616382775844</v>
      </c>
      <c r="I2734">
        <f t="shared" si="213"/>
        <v>223.610890912</v>
      </c>
      <c r="J2734">
        <f t="shared" si="215"/>
        <v>223563.36791200002</v>
      </c>
      <c r="M2734">
        <f t="shared" si="214"/>
        <v>147093</v>
      </c>
    </row>
    <row r="2735" spans="1:13" x14ac:dyDescent="0.2">
      <c r="A2735">
        <v>146</v>
      </c>
      <c r="B2735">
        <v>94</v>
      </c>
      <c r="C2735">
        <v>240</v>
      </c>
      <c r="D2735" s="51" t="s">
        <v>273</v>
      </c>
      <c r="E2735">
        <f>VLOOKUP(M2735,'MASS - 2016'!$A$1:$G$3418,6,FALSE)</f>
        <v>50125.38</v>
      </c>
      <c r="F2735">
        <f>VLOOKUP(M2735,'MASS - 2016'!$A$1:$G$3418,7,FALSE)</f>
        <v>1.1060000000000001</v>
      </c>
      <c r="G2735">
        <f t="shared" si="216"/>
        <v>50125.38</v>
      </c>
      <c r="H2735">
        <f t="shared" si="212"/>
        <v>240.0538118084684</v>
      </c>
      <c r="I2735">
        <f t="shared" si="213"/>
        <v>223.60870001999999</v>
      </c>
      <c r="J2735">
        <f t="shared" si="215"/>
        <v>223560.66601999998</v>
      </c>
      <c r="M2735">
        <f t="shared" si="214"/>
        <v>146094</v>
      </c>
    </row>
    <row r="2736" spans="1:13" x14ac:dyDescent="0.2">
      <c r="A2736">
        <v>145</v>
      </c>
      <c r="B2736">
        <v>95</v>
      </c>
      <c r="C2736">
        <v>240</v>
      </c>
      <c r="D2736" s="51" t="s">
        <v>274</v>
      </c>
      <c r="E2736">
        <f>VLOOKUP(M2736,'MASS - 2016'!$A$1:$G$3418,6,FALSE)</f>
        <v>51510.169000000002</v>
      </c>
      <c r="F2736">
        <f>VLOOKUP(M2736,'MASS - 2016'!$A$1:$G$3418,7,FALSE)</f>
        <v>13.832000000000001</v>
      </c>
      <c r="G2736">
        <f t="shared" si="216"/>
        <v>51510.169000000002</v>
      </c>
      <c r="H2736">
        <f t="shared" si="212"/>
        <v>240.05529844059845</v>
      </c>
      <c r="I2736">
        <f t="shared" si="213"/>
        <v>223.610084809</v>
      </c>
      <c r="J2736">
        <f t="shared" si="215"/>
        <v>223561.53980899998</v>
      </c>
      <c r="M2736">
        <f t="shared" si="214"/>
        <v>145095</v>
      </c>
    </row>
    <row r="2737" spans="1:13" x14ac:dyDescent="0.2">
      <c r="A2737">
        <v>144</v>
      </c>
      <c r="B2737">
        <v>96</v>
      </c>
      <c r="C2737">
        <v>240</v>
      </c>
      <c r="D2737" s="51" t="s">
        <v>275</v>
      </c>
      <c r="E2737">
        <f>VLOOKUP(M2737,'MASS - 2016'!$A$1:$G$3418,6,FALSE)</f>
        <v>51724.305999999997</v>
      </c>
      <c r="F2737">
        <f>VLOOKUP(M2737,'MASS - 2016'!$A$1:$G$3418,7,FALSE)</f>
        <v>1.9059999999999999</v>
      </c>
      <c r="G2737">
        <f t="shared" si="216"/>
        <v>51724.305999999997</v>
      </c>
      <c r="H2737">
        <f t="shared" si="212"/>
        <v>240.0555283261221</v>
      </c>
      <c r="I2737">
        <f t="shared" si="213"/>
        <v>223.610298946</v>
      </c>
      <c r="J2737">
        <f t="shared" si="215"/>
        <v>223561.24294599998</v>
      </c>
      <c r="M2737">
        <f t="shared" si="214"/>
        <v>144096</v>
      </c>
    </row>
    <row r="2738" spans="1:13" x14ac:dyDescent="0.2">
      <c r="A2738">
        <v>143</v>
      </c>
      <c r="B2738">
        <v>97</v>
      </c>
      <c r="C2738">
        <v>240</v>
      </c>
      <c r="D2738" s="51" t="s">
        <v>277</v>
      </c>
      <c r="E2738" t="str">
        <f>VLOOKUP(M2738,'MASS - 2016'!$A$1:$G$3418,6,FALSE)</f>
        <v>55664#</v>
      </c>
      <c r="F2738" t="str">
        <f>VLOOKUP(M2738,'MASS - 2016'!$A$1:$G$3418,7,FALSE)</f>
        <v>150#</v>
      </c>
      <c r="G2738">
        <f t="shared" si="216"/>
        <v>55664.01</v>
      </c>
      <c r="H2738">
        <f t="shared" si="212"/>
        <v>240.05975777230424</v>
      </c>
      <c r="I2738">
        <f t="shared" si="213"/>
        <v>223.61423864999998</v>
      </c>
      <c r="J2738">
        <f t="shared" si="215"/>
        <v>223564.67164999997</v>
      </c>
      <c r="M2738">
        <f t="shared" si="214"/>
        <v>143097</v>
      </c>
    </row>
    <row r="2739" spans="1:13" x14ac:dyDescent="0.2">
      <c r="A2739">
        <v>142</v>
      </c>
      <c r="B2739">
        <v>98</v>
      </c>
      <c r="C2739">
        <v>240</v>
      </c>
      <c r="D2739" s="51" t="s">
        <v>279</v>
      </c>
      <c r="E2739">
        <f>VLOOKUP(M2739,'MASS - 2016'!$A$1:$G$3418,6,FALSE)</f>
        <v>57990.944000000003</v>
      </c>
      <c r="F2739">
        <f>VLOOKUP(M2739,'MASS - 2016'!$A$1:$G$3418,7,FALSE)</f>
        <v>18.7</v>
      </c>
      <c r="G2739">
        <f t="shared" si="216"/>
        <v>57990.944000000003</v>
      </c>
      <c r="H2739">
        <f t="shared" si="212"/>
        <v>240.06225583868752</v>
      </c>
      <c r="I2739">
        <f t="shared" si="213"/>
        <v>223.616565584</v>
      </c>
      <c r="J2739">
        <f t="shared" si="215"/>
        <v>223566.48758399999</v>
      </c>
      <c r="M2739">
        <f t="shared" si="214"/>
        <v>142098</v>
      </c>
    </row>
    <row r="2740" spans="1:13" x14ac:dyDescent="0.2">
      <c r="A2740">
        <v>141</v>
      </c>
      <c r="B2740">
        <v>99</v>
      </c>
      <c r="C2740">
        <v>240</v>
      </c>
      <c r="D2740" s="51" t="s">
        <v>280</v>
      </c>
      <c r="E2740" t="str">
        <f>VLOOKUP(M2740,'MASS - 2016'!$A$1:$G$3418,6,FALSE)</f>
        <v>64199#</v>
      </c>
      <c r="F2740" t="str">
        <f>VLOOKUP(M2740,'MASS - 2016'!$A$1:$G$3418,7,FALSE)</f>
        <v>401#</v>
      </c>
      <c r="G2740">
        <f t="shared" si="216"/>
        <v>64199.01</v>
      </c>
      <c r="H2740">
        <f t="shared" si="212"/>
        <v>240.06892047162501</v>
      </c>
      <c r="I2740">
        <f t="shared" si="213"/>
        <v>223.62277365</v>
      </c>
      <c r="J2740">
        <f t="shared" si="215"/>
        <v>223572.18464999998</v>
      </c>
      <c r="M2740">
        <f t="shared" si="214"/>
        <v>141099</v>
      </c>
    </row>
    <row r="2741" spans="1:13" x14ac:dyDescent="0.2">
      <c r="A2741">
        <v>149</v>
      </c>
      <c r="B2741">
        <v>92</v>
      </c>
      <c r="C2741">
        <v>241</v>
      </c>
      <c r="D2741" s="51" t="s">
        <v>90</v>
      </c>
      <c r="E2741" t="str">
        <f>VLOOKUP(M2741,'MASS - 2016'!$A$1:$G$3418,6,FALSE)</f>
        <v>56197#</v>
      </c>
      <c r="F2741" t="str">
        <f>VLOOKUP(M2741,'MASS - 2016'!$A$1:$G$3418,7,FALSE)</f>
        <v>196#</v>
      </c>
      <c r="G2741">
        <f t="shared" si="216"/>
        <v>56197.01</v>
      </c>
      <c r="H2741">
        <f t="shared" si="212"/>
        <v>241.06032997133622</v>
      </c>
      <c r="I2741">
        <f t="shared" si="213"/>
        <v>224.54626571099999</v>
      </c>
      <c r="J2741">
        <f t="shared" si="215"/>
        <v>224499.253711</v>
      </c>
      <c r="M2741">
        <f t="shared" si="214"/>
        <v>149092</v>
      </c>
    </row>
    <row r="2742" spans="1:13" x14ac:dyDescent="0.2">
      <c r="A2742">
        <v>148</v>
      </c>
      <c r="B2742">
        <v>93</v>
      </c>
      <c r="C2742">
        <v>241</v>
      </c>
      <c r="D2742" s="51" t="s">
        <v>272</v>
      </c>
      <c r="E2742">
        <f>VLOOKUP(M2742,'MASS - 2016'!$A$1:$G$3418,6,FALSE)</f>
        <v>54260.175000000003</v>
      </c>
      <c r="F2742">
        <f>VLOOKUP(M2742,'MASS - 2016'!$A$1:$G$3418,7,FALSE)</f>
        <v>70.718999999999994</v>
      </c>
      <c r="G2742">
        <f t="shared" si="216"/>
        <v>54260.175000000003</v>
      </c>
      <c r="H2742">
        <f t="shared" si="212"/>
        <v>241.05825069345235</v>
      </c>
      <c r="I2742">
        <f t="shared" si="213"/>
        <v>224.54432887599998</v>
      </c>
      <c r="J2742">
        <f t="shared" si="215"/>
        <v>224496.805876</v>
      </c>
      <c r="M2742">
        <f t="shared" si="214"/>
        <v>148093</v>
      </c>
    </row>
    <row r="2743" spans="1:13" x14ac:dyDescent="0.2">
      <c r="A2743">
        <v>147</v>
      </c>
      <c r="B2743">
        <v>94</v>
      </c>
      <c r="C2743">
        <v>241</v>
      </c>
      <c r="D2743" s="51" t="s">
        <v>273</v>
      </c>
      <c r="E2743">
        <f>VLOOKUP(M2743,'MASS - 2016'!$A$1:$G$3418,6,FALSE)</f>
        <v>52955.175000000003</v>
      </c>
      <c r="F2743">
        <f>VLOOKUP(M2743,'MASS - 2016'!$A$1:$G$3418,7,FALSE)</f>
        <v>1.1060000000000001</v>
      </c>
      <c r="G2743">
        <f t="shared" si="216"/>
        <v>52955.175000000003</v>
      </c>
      <c r="H2743">
        <f t="shared" si="212"/>
        <v>241.05684971833651</v>
      </c>
      <c r="I2743">
        <f t="shared" si="213"/>
        <v>224.54302387599998</v>
      </c>
      <c r="J2743">
        <f t="shared" si="215"/>
        <v>224494.98987599998</v>
      </c>
      <c r="M2743">
        <f t="shared" si="214"/>
        <v>147094</v>
      </c>
    </row>
    <row r="2744" spans="1:13" x14ac:dyDescent="0.2">
      <c r="A2744">
        <v>146</v>
      </c>
      <c r="B2744">
        <v>95</v>
      </c>
      <c r="C2744">
        <v>241</v>
      </c>
      <c r="D2744" s="51" t="s">
        <v>274</v>
      </c>
      <c r="E2744">
        <f>VLOOKUP(M2744,'MASS - 2016'!$A$1:$G$3418,6,FALSE)</f>
        <v>52934.394999999997</v>
      </c>
      <c r="F2744">
        <f>VLOOKUP(M2744,'MASS - 2016'!$A$1:$G$3418,7,FALSE)</f>
        <v>1.1140000000000001</v>
      </c>
      <c r="G2744">
        <f t="shared" si="216"/>
        <v>52934.394999999997</v>
      </c>
      <c r="H2744">
        <f t="shared" si="212"/>
        <v>241.05682741008908</v>
      </c>
      <c r="I2744">
        <f t="shared" si="213"/>
        <v>224.54300309599998</v>
      </c>
      <c r="J2744">
        <f t="shared" si="215"/>
        <v>224494.45809599996</v>
      </c>
      <c r="M2744">
        <f t="shared" si="214"/>
        <v>146095</v>
      </c>
    </row>
    <row r="2745" spans="1:13" x14ac:dyDescent="0.2">
      <c r="A2745">
        <v>145</v>
      </c>
      <c r="B2745">
        <v>96</v>
      </c>
      <c r="C2745">
        <v>241</v>
      </c>
      <c r="D2745" s="51" t="s">
        <v>275</v>
      </c>
      <c r="E2745">
        <f>VLOOKUP(M2745,'MASS - 2016'!$A$1:$G$3418,6,FALSE)</f>
        <v>53701.83</v>
      </c>
      <c r="F2745">
        <f>VLOOKUP(M2745,'MASS - 2016'!$A$1:$G$3418,7,FALSE)</f>
        <v>1.6080000000000001</v>
      </c>
      <c r="G2745">
        <f t="shared" si="216"/>
        <v>53701.83</v>
      </c>
      <c r="H2745">
        <f t="shared" si="212"/>
        <v>241.05765128544388</v>
      </c>
      <c r="I2745">
        <f t="shared" si="213"/>
        <v>224.54377053099998</v>
      </c>
      <c r="J2745">
        <f t="shared" si="215"/>
        <v>224494.71453099998</v>
      </c>
      <c r="M2745">
        <f t="shared" si="214"/>
        <v>145096</v>
      </c>
    </row>
    <row r="2746" spans="1:13" x14ac:dyDescent="0.2">
      <c r="A2746">
        <v>144</v>
      </c>
      <c r="B2746">
        <v>97</v>
      </c>
      <c r="C2746">
        <v>241</v>
      </c>
      <c r="D2746" s="51" t="s">
        <v>277</v>
      </c>
      <c r="E2746" t="str">
        <f>VLOOKUP(M2746,'MASS - 2016'!$A$1:$G$3418,6,FALSE)</f>
        <v>56032#</v>
      </c>
      <c r="F2746" t="str">
        <f>VLOOKUP(M2746,'MASS - 2016'!$A$1:$G$3418,7,FALSE)</f>
        <v>200#</v>
      </c>
      <c r="G2746">
        <f t="shared" si="216"/>
        <v>56032.01</v>
      </c>
      <c r="H2746">
        <f t="shared" si="212"/>
        <v>241.06015283655145</v>
      </c>
      <c r="I2746">
        <f t="shared" si="213"/>
        <v>224.54610071099998</v>
      </c>
      <c r="J2746">
        <f t="shared" si="215"/>
        <v>224496.53371099997</v>
      </c>
      <c r="M2746">
        <f t="shared" si="214"/>
        <v>144097</v>
      </c>
    </row>
    <row r="2747" spans="1:13" x14ac:dyDescent="0.2">
      <c r="A2747">
        <v>143</v>
      </c>
      <c r="B2747">
        <v>98</v>
      </c>
      <c r="C2747">
        <v>241</v>
      </c>
      <c r="D2747" s="51" t="s">
        <v>279</v>
      </c>
      <c r="E2747" t="str">
        <f>VLOOKUP(M2747,'MASS - 2016'!$A$1:$G$3418,6,FALSE)</f>
        <v>59327#</v>
      </c>
      <c r="F2747" t="str">
        <f>VLOOKUP(M2747,'MASS - 2016'!$A$1:$G$3418,7,FALSE)</f>
        <v>166#</v>
      </c>
      <c r="G2747">
        <f t="shared" si="216"/>
        <v>59327.01</v>
      </c>
      <c r="H2747">
        <f t="shared" si="212"/>
        <v>241.06369016452589</v>
      </c>
      <c r="I2747">
        <f t="shared" si="213"/>
        <v>224.54939571099999</v>
      </c>
      <c r="J2747">
        <f t="shared" si="215"/>
        <v>224499.31771099998</v>
      </c>
      <c r="M2747">
        <f t="shared" si="214"/>
        <v>143098</v>
      </c>
    </row>
    <row r="2748" spans="1:13" x14ac:dyDescent="0.2">
      <c r="A2748">
        <v>142</v>
      </c>
      <c r="B2748">
        <v>99</v>
      </c>
      <c r="C2748">
        <v>241</v>
      </c>
      <c r="D2748" s="51" t="s">
        <v>280</v>
      </c>
      <c r="E2748" t="str">
        <f>VLOOKUP(M2748,'MASS - 2016'!$A$1:$G$3418,6,FALSE)</f>
        <v>63863#</v>
      </c>
      <c r="F2748" t="str">
        <f>VLOOKUP(M2748,'MASS - 2016'!$A$1:$G$3418,7,FALSE)</f>
        <v>225#</v>
      </c>
      <c r="G2748">
        <f t="shared" si="216"/>
        <v>63863.01</v>
      </c>
      <c r="H2748">
        <f t="shared" si="212"/>
        <v>241.06855976079058</v>
      </c>
      <c r="I2748">
        <f t="shared" si="213"/>
        <v>224.55393171099999</v>
      </c>
      <c r="J2748">
        <f t="shared" si="215"/>
        <v>224503.34271099998</v>
      </c>
      <c r="M2748">
        <f t="shared" si="214"/>
        <v>142099</v>
      </c>
    </row>
    <row r="2749" spans="1:13" x14ac:dyDescent="0.2">
      <c r="A2749">
        <v>150</v>
      </c>
      <c r="B2749">
        <v>92</v>
      </c>
      <c r="C2749">
        <v>242</v>
      </c>
      <c r="D2749" s="51" t="s">
        <v>90</v>
      </c>
      <c r="E2749" t="str">
        <f>VLOOKUP(M2749,'MASS - 2016'!$A$1:$G$3418,6,FALSE)</f>
        <v>58620#</v>
      </c>
      <c r="F2749" t="str">
        <f>VLOOKUP(M2749,'MASS - 2016'!$A$1:$G$3418,7,FALSE)</f>
        <v>201#</v>
      </c>
      <c r="G2749">
        <f t="shared" si="216"/>
        <v>58620.01</v>
      </c>
      <c r="H2749">
        <f t="shared" si="212"/>
        <v>242.06293116881184</v>
      </c>
      <c r="I2749">
        <f t="shared" si="213"/>
        <v>225.48018277200001</v>
      </c>
      <c r="J2749">
        <f t="shared" si="215"/>
        <v>225433.17077200001</v>
      </c>
      <c r="M2749">
        <f t="shared" si="214"/>
        <v>150092</v>
      </c>
    </row>
    <row r="2750" spans="1:13" x14ac:dyDescent="0.2">
      <c r="A2750">
        <v>149</v>
      </c>
      <c r="B2750">
        <v>93</v>
      </c>
      <c r="C2750">
        <v>242</v>
      </c>
      <c r="D2750" s="51" t="s">
        <v>272</v>
      </c>
      <c r="E2750">
        <f>VLOOKUP(M2750,'MASS - 2016'!$A$1:$G$3418,6,FALSE)</f>
        <v>57416.932000000001</v>
      </c>
      <c r="F2750">
        <f>VLOOKUP(M2750,'MASS - 2016'!$A$1:$G$3418,7,FALSE)</f>
        <v>200.00399999999999</v>
      </c>
      <c r="G2750">
        <f t="shared" si="216"/>
        <v>57416.932000000001</v>
      </c>
      <c r="H2750">
        <f t="shared" si="212"/>
        <v>242.06163961146285</v>
      </c>
      <c r="I2750">
        <f t="shared" si="213"/>
        <v>225.478979694</v>
      </c>
      <c r="J2750">
        <f t="shared" si="215"/>
        <v>225431.45669400002</v>
      </c>
      <c r="M2750">
        <f t="shared" si="214"/>
        <v>149093</v>
      </c>
    </row>
    <row r="2751" spans="1:13" x14ac:dyDescent="0.2">
      <c r="A2751">
        <v>148</v>
      </c>
      <c r="B2751">
        <v>94</v>
      </c>
      <c r="C2751">
        <v>242</v>
      </c>
      <c r="D2751" s="51" t="s">
        <v>273</v>
      </c>
      <c r="E2751">
        <f>VLOOKUP(M2751,'MASS - 2016'!$A$1:$G$3418,6,FALSE)</f>
        <v>54716.932000000001</v>
      </c>
      <c r="F2751">
        <f>VLOOKUP(M2751,'MASS - 2016'!$A$1:$G$3418,7,FALSE)</f>
        <v>1.2450000000000001</v>
      </c>
      <c r="G2751">
        <f t="shared" si="216"/>
        <v>54716.932000000001</v>
      </c>
      <c r="H2751">
        <f t="shared" si="212"/>
        <v>242.05874104225771</v>
      </c>
      <c r="I2751">
        <f t="shared" si="213"/>
        <v>225.476279694</v>
      </c>
      <c r="J2751">
        <f t="shared" si="215"/>
        <v>225428.24569399998</v>
      </c>
      <c r="M2751">
        <f t="shared" si="214"/>
        <v>148094</v>
      </c>
    </row>
    <row r="2752" spans="1:13" x14ac:dyDescent="0.2">
      <c r="A2752">
        <v>147</v>
      </c>
      <c r="B2752">
        <v>95</v>
      </c>
      <c r="C2752">
        <v>242</v>
      </c>
      <c r="D2752" s="51" t="s">
        <v>274</v>
      </c>
      <c r="E2752">
        <f>VLOOKUP(M2752,'MASS - 2016'!$A$1:$G$3418,6,FALSE)</f>
        <v>55468.072</v>
      </c>
      <c r="F2752">
        <f>VLOOKUP(M2752,'MASS - 2016'!$A$1:$G$3418,7,FALSE)</f>
        <v>1.119</v>
      </c>
      <c r="G2752">
        <f t="shared" si="216"/>
        <v>55468.072</v>
      </c>
      <c r="H2752">
        <f t="shared" si="212"/>
        <v>242.05954742421059</v>
      </c>
      <c r="I2752">
        <f t="shared" si="213"/>
        <v>225.477030834</v>
      </c>
      <c r="J2752">
        <f t="shared" si="215"/>
        <v>225428.48583399999</v>
      </c>
      <c r="M2752">
        <f t="shared" si="214"/>
        <v>147095</v>
      </c>
    </row>
    <row r="2753" spans="1:13" x14ac:dyDescent="0.2">
      <c r="A2753">
        <v>146</v>
      </c>
      <c r="B2753">
        <v>96</v>
      </c>
      <c r="C2753">
        <v>242</v>
      </c>
      <c r="D2753" s="51" t="s">
        <v>275</v>
      </c>
      <c r="E2753">
        <f>VLOOKUP(M2753,'MASS - 2016'!$A$1:$G$3418,6,FALSE)</f>
        <v>54803.764000000003</v>
      </c>
      <c r="F2753">
        <f>VLOOKUP(M2753,'MASS - 2016'!$A$1:$G$3418,7,FALSE)</f>
        <v>1.1419999999999999</v>
      </c>
      <c r="G2753">
        <f t="shared" si="216"/>
        <v>54803.764000000003</v>
      </c>
      <c r="H2753">
        <f t="shared" si="212"/>
        <v>242.05883426024337</v>
      </c>
      <c r="I2753">
        <f t="shared" si="213"/>
        <v>225.47636652600002</v>
      </c>
      <c r="J2753">
        <f t="shared" si="215"/>
        <v>225427.31052600002</v>
      </c>
      <c r="M2753">
        <f t="shared" si="214"/>
        <v>146096</v>
      </c>
    </row>
    <row r="2754" spans="1:13" x14ac:dyDescent="0.2">
      <c r="A2754">
        <v>145</v>
      </c>
      <c r="B2754">
        <v>97</v>
      </c>
      <c r="C2754">
        <v>242</v>
      </c>
      <c r="D2754" s="51" t="s">
        <v>277</v>
      </c>
      <c r="E2754" t="str">
        <f>VLOOKUP(M2754,'MASS - 2016'!$A$1:$G$3418,6,FALSE)</f>
        <v>57734#</v>
      </c>
      <c r="F2754" t="str">
        <f>VLOOKUP(M2754,'MASS - 2016'!$A$1:$G$3418,7,FALSE)</f>
        <v>200#</v>
      </c>
      <c r="G2754">
        <f t="shared" si="216"/>
        <v>57734.01</v>
      </c>
      <c r="H2754">
        <f t="shared" si="212"/>
        <v>242.06198000869486</v>
      </c>
      <c r="I2754">
        <f t="shared" si="213"/>
        <v>225.479296772</v>
      </c>
      <c r="J2754">
        <f t="shared" si="215"/>
        <v>225429.72977199999</v>
      </c>
      <c r="M2754">
        <f t="shared" si="214"/>
        <v>145097</v>
      </c>
    </row>
    <row r="2755" spans="1:13" x14ac:dyDescent="0.2">
      <c r="A2755">
        <v>144</v>
      </c>
      <c r="B2755">
        <v>98</v>
      </c>
      <c r="C2755">
        <v>242</v>
      </c>
      <c r="D2755" s="51" t="s">
        <v>279</v>
      </c>
      <c r="E2755">
        <f>VLOOKUP(M2755,'MASS - 2016'!$A$1:$G$3418,6,FALSE)</f>
        <v>59386.966</v>
      </c>
      <c r="F2755">
        <f>VLOOKUP(M2755,'MASS - 2016'!$A$1:$G$3418,7,FALSE)</f>
        <v>12.891999999999999</v>
      </c>
      <c r="G2755">
        <f t="shared" si="216"/>
        <v>59386.966</v>
      </c>
      <c r="H2755">
        <f t="shared" si="212"/>
        <v>242.06375452993899</v>
      </c>
      <c r="I2755">
        <f t="shared" si="213"/>
        <v>225.48094972800001</v>
      </c>
      <c r="J2755">
        <f t="shared" si="215"/>
        <v>225430.871728</v>
      </c>
      <c r="M2755">
        <f t="shared" si="214"/>
        <v>144098</v>
      </c>
    </row>
    <row r="2756" spans="1:13" x14ac:dyDescent="0.2">
      <c r="A2756">
        <v>143</v>
      </c>
      <c r="B2756">
        <v>99</v>
      </c>
      <c r="C2756">
        <v>242</v>
      </c>
      <c r="D2756" s="51" t="s">
        <v>280</v>
      </c>
      <c r="E2756" t="str">
        <f>VLOOKUP(M2756,'MASS - 2016'!$A$1:$G$3418,6,FALSE)</f>
        <v>64801#</v>
      </c>
      <c r="F2756" t="str">
        <f>VLOOKUP(M2756,'MASS - 2016'!$A$1:$G$3418,7,FALSE)</f>
        <v>256#</v>
      </c>
      <c r="G2756">
        <f t="shared" si="216"/>
        <v>64801.01</v>
      </c>
      <c r="H2756">
        <f t="shared" si="212"/>
        <v>242.06956674520333</v>
      </c>
      <c r="I2756">
        <f t="shared" si="213"/>
        <v>225.486363772</v>
      </c>
      <c r="J2756">
        <f t="shared" si="215"/>
        <v>225435.774772</v>
      </c>
      <c r="M2756">
        <f t="shared" si="214"/>
        <v>143099</v>
      </c>
    </row>
    <row r="2757" spans="1:13" x14ac:dyDescent="0.2">
      <c r="A2757">
        <v>142</v>
      </c>
      <c r="B2757">
        <v>100</v>
      </c>
      <c r="C2757">
        <v>242</v>
      </c>
      <c r="D2757" s="51" t="s">
        <v>283</v>
      </c>
      <c r="E2757" t="str">
        <f>VLOOKUP(M2757,'MASS - 2016'!$A$1:$G$3418,6,FALSE)</f>
        <v>68400#</v>
      </c>
      <c r="F2757" t="str">
        <f>VLOOKUP(M2757,'MASS - 2016'!$A$1:$G$3418,7,FALSE)</f>
        <v>401#</v>
      </c>
      <c r="G2757">
        <f t="shared" si="216"/>
        <v>68400.009999999995</v>
      </c>
      <c r="H2757">
        <f t="shared" si="212"/>
        <v>242.07343043059942</v>
      </c>
      <c r="I2757">
        <f t="shared" si="213"/>
        <v>225.48996277200001</v>
      </c>
      <c r="J2757">
        <f t="shared" si="215"/>
        <v>225438.86277199999</v>
      </c>
      <c r="M2757">
        <f t="shared" si="214"/>
        <v>142100</v>
      </c>
    </row>
    <row r="2758" spans="1:13" x14ac:dyDescent="0.2">
      <c r="A2758">
        <v>150</v>
      </c>
      <c r="B2758">
        <v>93</v>
      </c>
      <c r="C2758">
        <v>243</v>
      </c>
      <c r="D2758" s="51" t="s">
        <v>272</v>
      </c>
      <c r="E2758" t="str">
        <f>VLOOKUP(M2758,'MASS - 2016'!$A$1:$G$3418,6,FALSE)</f>
        <v>59876#</v>
      </c>
      <c r="F2758" t="str">
        <f>VLOOKUP(M2758,'MASS - 2016'!$A$1:$G$3418,7,FALSE)</f>
        <v>32#</v>
      </c>
      <c r="G2758">
        <f t="shared" si="216"/>
        <v>59876.01</v>
      </c>
      <c r="H2758">
        <f t="shared" si="212"/>
        <v>243.06427954026432</v>
      </c>
      <c r="I2758">
        <f t="shared" si="213"/>
        <v>226.41293283300001</v>
      </c>
      <c r="J2758">
        <f t="shared" si="215"/>
        <v>226365.40983300004</v>
      </c>
      <c r="M2758">
        <f t="shared" si="214"/>
        <v>150093</v>
      </c>
    </row>
    <row r="2759" spans="1:13" x14ac:dyDescent="0.2">
      <c r="A2759">
        <v>149</v>
      </c>
      <c r="B2759">
        <v>94</v>
      </c>
      <c r="C2759">
        <v>243</v>
      </c>
      <c r="D2759" s="51" t="s">
        <v>273</v>
      </c>
      <c r="E2759">
        <f>VLOOKUP(M2759,'MASS - 2016'!$A$1:$G$3418,6,FALSE)</f>
        <v>57754.601999999999</v>
      </c>
      <c r="F2759">
        <f>VLOOKUP(M2759,'MASS - 2016'!$A$1:$G$3418,7,FALSE)</f>
        <v>2.5419999999999998</v>
      </c>
      <c r="G2759">
        <f t="shared" si="216"/>
        <v>57754.601999999999</v>
      </c>
      <c r="H2759">
        <f t="shared" si="212"/>
        <v>243.062002115116</v>
      </c>
      <c r="I2759">
        <f t="shared" si="213"/>
        <v>226.41081142499999</v>
      </c>
      <c r="J2759">
        <f t="shared" si="215"/>
        <v>226362.77742499998</v>
      </c>
      <c r="M2759">
        <f t="shared" si="214"/>
        <v>149094</v>
      </c>
    </row>
    <row r="2760" spans="1:13" x14ac:dyDescent="0.2">
      <c r="A2760">
        <v>148</v>
      </c>
      <c r="B2760">
        <v>95</v>
      </c>
      <c r="C2760">
        <v>243</v>
      </c>
      <c r="D2760" s="51" t="s">
        <v>274</v>
      </c>
      <c r="E2760">
        <f>VLOOKUP(M2760,'MASS - 2016'!$A$1:$G$3418,6,FALSE)</f>
        <v>57175.046000000002</v>
      </c>
      <c r="F2760">
        <f>VLOOKUP(M2760,'MASS - 2016'!$A$1:$G$3418,7,FALSE)</f>
        <v>1.3879999999999999</v>
      </c>
      <c r="G2760">
        <f t="shared" si="216"/>
        <v>57175.046000000002</v>
      </c>
      <c r="H2760">
        <f t="shared" si="212"/>
        <v>243.06137993616258</v>
      </c>
      <c r="I2760">
        <f t="shared" si="213"/>
        <v>226.410231869</v>
      </c>
      <c r="J2760">
        <f t="shared" si="215"/>
        <v>226361.686869</v>
      </c>
      <c r="M2760">
        <f t="shared" si="214"/>
        <v>148095</v>
      </c>
    </row>
    <row r="2761" spans="1:13" x14ac:dyDescent="0.2">
      <c r="A2761">
        <v>147</v>
      </c>
      <c r="B2761">
        <v>96</v>
      </c>
      <c r="C2761">
        <v>243</v>
      </c>
      <c r="D2761" s="51" t="s">
        <v>275</v>
      </c>
      <c r="E2761">
        <f>VLOOKUP(M2761,'MASS - 2016'!$A$1:$G$3418,6,FALSE)</f>
        <v>57181.998</v>
      </c>
      <c r="F2761">
        <f>VLOOKUP(M2761,'MASS - 2016'!$A$1:$G$3418,7,FALSE)</f>
        <v>1.496</v>
      </c>
      <c r="G2761">
        <f t="shared" si="216"/>
        <v>57181.998</v>
      </c>
      <c r="H2761">
        <f t="shared" ref="H2761:H2824" si="217">(C2761*$A$3+G2761/1000000)/$A$3</f>
        <v>243.06138739944151</v>
      </c>
      <c r="I2761">
        <f t="shared" ref="I2761:I2824" si="218">H2761*$A$3</f>
        <v>226.41023882100001</v>
      </c>
      <c r="J2761">
        <f t="shared" si="215"/>
        <v>226361.18282099999</v>
      </c>
      <c r="M2761">
        <f t="shared" ref="M2761:M2824" si="219">1000*A2761+B2761</f>
        <v>147096</v>
      </c>
    </row>
    <row r="2762" spans="1:13" x14ac:dyDescent="0.2">
      <c r="A2762">
        <v>146</v>
      </c>
      <c r="B2762">
        <v>97</v>
      </c>
      <c r="C2762">
        <v>243</v>
      </c>
      <c r="D2762" s="51" t="s">
        <v>277</v>
      </c>
      <c r="E2762">
        <f>VLOOKUP(M2762,'MASS - 2016'!$A$1:$G$3418,6,FALSE)</f>
        <v>58689.692999999999</v>
      </c>
      <c r="F2762">
        <f>VLOOKUP(M2762,'MASS - 2016'!$A$1:$G$3418,7,FALSE)</f>
        <v>4.524</v>
      </c>
      <c r="G2762">
        <f t="shared" si="216"/>
        <v>58689.692999999999</v>
      </c>
      <c r="H2762">
        <f t="shared" si="217"/>
        <v>243.06300597658884</v>
      </c>
      <c r="I2762">
        <f t="shared" si="218"/>
        <v>226.41174651599999</v>
      </c>
      <c r="J2762">
        <f t="shared" si="215"/>
        <v>226362.17951599997</v>
      </c>
      <c r="M2762">
        <f t="shared" si="219"/>
        <v>146097</v>
      </c>
    </row>
    <row r="2763" spans="1:13" x14ac:dyDescent="0.2">
      <c r="A2763">
        <v>145</v>
      </c>
      <c r="B2763">
        <v>98</v>
      </c>
      <c r="C2763">
        <v>243</v>
      </c>
      <c r="D2763" s="51" t="s">
        <v>279</v>
      </c>
      <c r="E2763" t="str">
        <f>VLOOKUP(M2763,'MASS - 2016'!$A$1:$G$3418,6,FALSE)</f>
        <v>60990#</v>
      </c>
      <c r="F2763" t="str">
        <f>VLOOKUP(M2763,'MASS - 2016'!$A$1:$G$3418,7,FALSE)</f>
        <v>114#</v>
      </c>
      <c r="G2763">
        <f t="shared" si="216"/>
        <v>60990.01</v>
      </c>
      <c r="H2763">
        <f t="shared" si="217"/>
        <v>243.06547546844749</v>
      </c>
      <c r="I2763">
        <f t="shared" si="218"/>
        <v>226.41404683300001</v>
      </c>
      <c r="J2763">
        <f t="shared" si="215"/>
        <v>226363.96883299999</v>
      </c>
      <c r="M2763">
        <f t="shared" si="219"/>
        <v>145098</v>
      </c>
    </row>
    <row r="2764" spans="1:13" x14ac:dyDescent="0.2">
      <c r="A2764">
        <v>144</v>
      </c>
      <c r="B2764">
        <v>99</v>
      </c>
      <c r="C2764">
        <v>243</v>
      </c>
      <c r="D2764" s="51" t="s">
        <v>280</v>
      </c>
      <c r="E2764" t="str">
        <f>VLOOKUP(M2764,'MASS - 2016'!$A$1:$G$3418,6,FALSE)</f>
        <v>64747#</v>
      </c>
      <c r="F2764" t="str">
        <f>VLOOKUP(M2764,'MASS - 2016'!$A$1:$G$3418,7,FALSE)</f>
        <v>207#</v>
      </c>
      <c r="G2764">
        <f t="shared" si="216"/>
        <v>64747.01</v>
      </c>
      <c r="H2764">
        <f t="shared" si="217"/>
        <v>243.06950877381922</v>
      </c>
      <c r="I2764">
        <f t="shared" si="218"/>
        <v>226.41780383299999</v>
      </c>
      <c r="J2764">
        <f t="shared" ref="J2764:J2827" si="220">1000*I2764-B2764*0.511</f>
        <v>226367.21483299998</v>
      </c>
      <c r="M2764">
        <f t="shared" si="219"/>
        <v>144099</v>
      </c>
    </row>
    <row r="2765" spans="1:13" x14ac:dyDescent="0.2">
      <c r="A2765">
        <v>143</v>
      </c>
      <c r="B2765">
        <v>100</v>
      </c>
      <c r="C2765">
        <v>243</v>
      </c>
      <c r="D2765" s="51" t="s">
        <v>283</v>
      </c>
      <c r="E2765" t="str">
        <f>VLOOKUP(M2765,'MASS - 2016'!$A$1:$G$3418,6,FALSE)</f>
        <v>69387#</v>
      </c>
      <c r="F2765" t="str">
        <f>VLOOKUP(M2765,'MASS - 2016'!$A$1:$G$3418,7,FALSE)</f>
        <v>215#</v>
      </c>
      <c r="G2765">
        <f t="shared" si="216"/>
        <v>69387.009999999995</v>
      </c>
      <c r="H2765">
        <f t="shared" si="217"/>
        <v>243.0744900186755</v>
      </c>
      <c r="I2765">
        <f t="shared" si="218"/>
        <v>226.42244383300002</v>
      </c>
      <c r="J2765">
        <f t="shared" si="220"/>
        <v>226371.34383300002</v>
      </c>
      <c r="M2765">
        <f t="shared" si="219"/>
        <v>143100</v>
      </c>
    </row>
    <row r="2766" spans="1:13" x14ac:dyDescent="0.2">
      <c r="A2766">
        <v>151</v>
      </c>
      <c r="B2766">
        <v>93</v>
      </c>
      <c r="C2766">
        <v>244</v>
      </c>
      <c r="D2766" s="51" t="s">
        <v>272</v>
      </c>
      <c r="E2766" t="str">
        <f>VLOOKUP(M2766,'MASS - 2016'!$A$1:$G$3418,6,FALSE)</f>
        <v>63202#</v>
      </c>
      <c r="F2766" t="str">
        <f>VLOOKUP(M2766,'MASS - 2016'!$A$1:$G$3418,7,FALSE)</f>
        <v>298#</v>
      </c>
      <c r="G2766">
        <f t="shared" si="216"/>
        <v>63202.01</v>
      </c>
      <c r="H2766">
        <f t="shared" si="217"/>
        <v>244.0678501481074</v>
      </c>
      <c r="I2766">
        <f t="shared" si="218"/>
        <v>227.347752894</v>
      </c>
      <c r="J2766">
        <f t="shared" si="220"/>
        <v>227300.22989400002</v>
      </c>
      <c r="M2766">
        <f t="shared" si="219"/>
        <v>151093</v>
      </c>
    </row>
    <row r="2767" spans="1:13" x14ac:dyDescent="0.2">
      <c r="A2767">
        <v>150</v>
      </c>
      <c r="B2767">
        <v>94</v>
      </c>
      <c r="C2767">
        <v>244</v>
      </c>
      <c r="D2767" s="51" t="s">
        <v>273</v>
      </c>
      <c r="E2767">
        <f>VLOOKUP(M2767,'MASS - 2016'!$A$1:$G$3418,6,FALSE)</f>
        <v>59806.027999999998</v>
      </c>
      <c r="F2767">
        <f>VLOOKUP(M2767,'MASS - 2016'!$A$1:$G$3418,7,FALSE)</f>
        <v>2.3460000000000001</v>
      </c>
      <c r="G2767">
        <f t="shared" ref="G2767:G2830" si="221">IF(ISNUMBER(E2767),E2767,VALUE(SUBSTITUTE(E2767,"#",".01")))</f>
        <v>59806.027999999998</v>
      </c>
      <c r="H2767">
        <f t="shared" si="217"/>
        <v>244.06420441149757</v>
      </c>
      <c r="I2767">
        <f t="shared" si="218"/>
        <v>227.34435691199999</v>
      </c>
      <c r="J2767">
        <f t="shared" si="220"/>
        <v>227296.32291199997</v>
      </c>
      <c r="M2767">
        <f t="shared" si="219"/>
        <v>150094</v>
      </c>
    </row>
    <row r="2768" spans="1:13" x14ac:dyDescent="0.2">
      <c r="A2768">
        <v>149</v>
      </c>
      <c r="B2768">
        <v>95</v>
      </c>
      <c r="C2768">
        <v>244</v>
      </c>
      <c r="D2768" s="51" t="s">
        <v>274</v>
      </c>
      <c r="E2768">
        <f>VLOOKUP(M2768,'MASS - 2016'!$A$1:$G$3418,6,FALSE)</f>
        <v>59879.196000000004</v>
      </c>
      <c r="F2768">
        <f>VLOOKUP(M2768,'MASS - 2016'!$A$1:$G$3418,7,FALSE)</f>
        <v>1.492</v>
      </c>
      <c r="G2768">
        <f t="shared" si="221"/>
        <v>59879.196000000004</v>
      </c>
      <c r="H2768">
        <f t="shared" si="217"/>
        <v>244.06428296057595</v>
      </c>
      <c r="I2768">
        <f t="shared" si="218"/>
        <v>227.34443008</v>
      </c>
      <c r="J2768">
        <f t="shared" si="220"/>
        <v>227295.88507999998</v>
      </c>
      <c r="M2768">
        <f t="shared" si="219"/>
        <v>149095</v>
      </c>
    </row>
    <row r="2769" spans="1:13" x14ac:dyDescent="0.2">
      <c r="A2769">
        <v>148</v>
      </c>
      <c r="B2769">
        <v>96</v>
      </c>
      <c r="C2769">
        <v>244</v>
      </c>
      <c r="D2769" s="51" t="s">
        <v>275</v>
      </c>
      <c r="E2769">
        <f>VLOOKUP(M2769,'MASS - 2016'!$A$1:$G$3418,6,FALSE)</f>
        <v>58451.896000000001</v>
      </c>
      <c r="F2769">
        <f>VLOOKUP(M2769,'MASS - 2016'!$A$1:$G$3418,7,FALSE)</f>
        <v>1.107</v>
      </c>
      <c r="G2769">
        <f t="shared" si="221"/>
        <v>58451.896000000001</v>
      </c>
      <c r="H2769">
        <f t="shared" si="217"/>
        <v>244.06275069101059</v>
      </c>
      <c r="I2769">
        <f t="shared" si="218"/>
        <v>227.34300278000001</v>
      </c>
      <c r="J2769">
        <f t="shared" si="220"/>
        <v>227293.94678</v>
      </c>
      <c r="M2769">
        <f t="shared" si="219"/>
        <v>148096</v>
      </c>
    </row>
    <row r="2770" spans="1:13" x14ac:dyDescent="0.2">
      <c r="A2770">
        <v>147</v>
      </c>
      <c r="B2770">
        <v>97</v>
      </c>
      <c r="C2770">
        <v>244</v>
      </c>
      <c r="D2770" s="51" t="s">
        <v>277</v>
      </c>
      <c r="E2770">
        <f>VLOOKUP(M2770,'MASS - 2016'!$A$1:$G$3418,6,FALSE)</f>
        <v>60713.885000000002</v>
      </c>
      <c r="F2770">
        <f>VLOOKUP(M2770,'MASS - 2016'!$A$1:$G$3418,7,FALSE)</f>
        <v>14.398999999999999</v>
      </c>
      <c r="G2770">
        <f t="shared" si="221"/>
        <v>60713.885000000002</v>
      </c>
      <c r="H2770">
        <f t="shared" si="217"/>
        <v>244.06517903606903</v>
      </c>
      <c r="I2770">
        <f t="shared" si="218"/>
        <v>227.34526476900001</v>
      </c>
      <c r="J2770">
        <f t="shared" si="220"/>
        <v>227295.69776899999</v>
      </c>
      <c r="M2770">
        <f t="shared" si="219"/>
        <v>147097</v>
      </c>
    </row>
    <row r="2771" spans="1:13" x14ac:dyDescent="0.2">
      <c r="A2771">
        <v>146</v>
      </c>
      <c r="B2771">
        <v>98</v>
      </c>
      <c r="C2771">
        <v>244</v>
      </c>
      <c r="D2771" s="51" t="s">
        <v>279</v>
      </c>
      <c r="E2771">
        <f>VLOOKUP(M2771,'MASS - 2016'!$A$1:$G$3418,6,FALSE)</f>
        <v>61478.178999999996</v>
      </c>
      <c r="F2771">
        <f>VLOOKUP(M2771,'MASS - 2016'!$A$1:$G$3418,7,FALSE)</f>
        <v>2.6179999999999999</v>
      </c>
      <c r="G2771">
        <f t="shared" si="221"/>
        <v>61478.178999999996</v>
      </c>
      <c r="H2771">
        <f t="shared" si="217"/>
        <v>244.06599953942165</v>
      </c>
      <c r="I2771">
        <f t="shared" si="218"/>
        <v>227.346029063</v>
      </c>
      <c r="J2771">
        <f t="shared" si="220"/>
        <v>227295.95106299999</v>
      </c>
      <c r="M2771">
        <f t="shared" si="219"/>
        <v>146098</v>
      </c>
    </row>
    <row r="2772" spans="1:13" x14ac:dyDescent="0.2">
      <c r="A2772">
        <v>145</v>
      </c>
      <c r="B2772">
        <v>99</v>
      </c>
      <c r="C2772">
        <v>244</v>
      </c>
      <c r="D2772" s="51" t="s">
        <v>280</v>
      </c>
      <c r="E2772" t="str">
        <f>VLOOKUP(M2772,'MASS - 2016'!$A$1:$G$3418,6,FALSE)</f>
        <v>66026#</v>
      </c>
      <c r="F2772" t="str">
        <f>VLOOKUP(M2772,'MASS - 2016'!$A$1:$G$3418,7,FALSE)</f>
        <v>181#</v>
      </c>
      <c r="G2772">
        <f t="shared" si="221"/>
        <v>66026.009999999995</v>
      </c>
      <c r="H2772">
        <f t="shared" si="217"/>
        <v>244.07088183678715</v>
      </c>
      <c r="I2772">
        <f t="shared" si="218"/>
        <v>227.350576894</v>
      </c>
      <c r="J2772">
        <f t="shared" si="220"/>
        <v>227299.98789399999</v>
      </c>
      <c r="M2772">
        <f t="shared" si="219"/>
        <v>145099</v>
      </c>
    </row>
    <row r="2773" spans="1:13" x14ac:dyDescent="0.2">
      <c r="A2773">
        <v>144</v>
      </c>
      <c r="B2773">
        <v>100</v>
      </c>
      <c r="C2773">
        <v>244</v>
      </c>
      <c r="D2773" s="51" t="s">
        <v>283</v>
      </c>
      <c r="E2773" t="str">
        <f>VLOOKUP(M2773,'MASS - 2016'!$A$1:$G$3418,6,FALSE)</f>
        <v>68966#</v>
      </c>
      <c r="F2773" t="str">
        <f>VLOOKUP(M2773,'MASS - 2016'!$A$1:$G$3418,7,FALSE)</f>
        <v>201#</v>
      </c>
      <c r="G2773">
        <f t="shared" si="221"/>
        <v>68966.009999999995</v>
      </c>
      <c r="H2773">
        <f t="shared" si="217"/>
        <v>244.07403805658831</v>
      </c>
      <c r="I2773">
        <f t="shared" si="218"/>
        <v>227.35351689399999</v>
      </c>
      <c r="J2773">
        <f t="shared" si="220"/>
        <v>227302.41689399999</v>
      </c>
      <c r="M2773">
        <f t="shared" si="219"/>
        <v>144100</v>
      </c>
    </row>
    <row r="2774" spans="1:13" x14ac:dyDescent="0.2">
      <c r="A2774">
        <v>151</v>
      </c>
      <c r="B2774">
        <v>94</v>
      </c>
      <c r="C2774">
        <v>245</v>
      </c>
      <c r="D2774" s="51" t="s">
        <v>273</v>
      </c>
      <c r="E2774">
        <f>VLOOKUP(M2774,'MASS - 2016'!$A$1:$G$3418,6,FALSE)</f>
        <v>63178.178999999996</v>
      </c>
      <c r="F2774">
        <f>VLOOKUP(M2774,'MASS - 2016'!$A$1:$G$3418,7,FALSE)</f>
        <v>13.62</v>
      </c>
      <c r="G2774">
        <f t="shared" si="221"/>
        <v>63178.178999999996</v>
      </c>
      <c r="H2774">
        <f t="shared" si="217"/>
        <v>245.06782456447675</v>
      </c>
      <c r="I2774">
        <f t="shared" si="218"/>
        <v>228.279223124</v>
      </c>
      <c r="J2774">
        <f t="shared" si="220"/>
        <v>228231.189124</v>
      </c>
      <c r="M2774">
        <f t="shared" si="219"/>
        <v>151094</v>
      </c>
    </row>
    <row r="2775" spans="1:13" x14ac:dyDescent="0.2">
      <c r="A2775">
        <v>150</v>
      </c>
      <c r="B2775">
        <v>95</v>
      </c>
      <c r="C2775">
        <v>245</v>
      </c>
      <c r="D2775" s="51" t="s">
        <v>274</v>
      </c>
      <c r="E2775">
        <f>VLOOKUP(M2775,'MASS - 2016'!$A$1:$G$3418,6,FALSE)</f>
        <v>61900.468999999997</v>
      </c>
      <c r="F2775">
        <f>VLOOKUP(M2775,'MASS - 2016'!$A$1:$G$3418,7,FALSE)</f>
        <v>1.887</v>
      </c>
      <c r="G2775">
        <f t="shared" si="221"/>
        <v>61900.468999999997</v>
      </c>
      <c r="H2775">
        <f t="shared" si="217"/>
        <v>245.06645288638077</v>
      </c>
      <c r="I2775">
        <f t="shared" si="218"/>
        <v>228.27794541399999</v>
      </c>
      <c r="J2775">
        <f t="shared" si="220"/>
        <v>228229.40041399997</v>
      </c>
      <c r="M2775">
        <f t="shared" si="219"/>
        <v>150095</v>
      </c>
    </row>
    <row r="2776" spans="1:13" x14ac:dyDescent="0.2">
      <c r="A2776">
        <v>149</v>
      </c>
      <c r="B2776">
        <v>96</v>
      </c>
      <c r="C2776">
        <v>245</v>
      </c>
      <c r="D2776" s="51" t="s">
        <v>275</v>
      </c>
      <c r="E2776">
        <f>VLOOKUP(M2776,'MASS - 2016'!$A$1:$G$3418,6,FALSE)</f>
        <v>61004.58</v>
      </c>
      <c r="F2776">
        <f>VLOOKUP(M2776,'MASS - 2016'!$A$1:$G$3418,7,FALSE)</f>
        <v>1.1499999999999999</v>
      </c>
      <c r="G2776">
        <f t="shared" si="221"/>
        <v>61004.58</v>
      </c>
      <c r="H2776">
        <f t="shared" si="217"/>
        <v>245.06549110998571</v>
      </c>
      <c r="I2776">
        <f t="shared" si="218"/>
        <v>228.277049525</v>
      </c>
      <c r="J2776">
        <f t="shared" si="220"/>
        <v>228227.993525</v>
      </c>
      <c r="M2776">
        <f t="shared" si="219"/>
        <v>149096</v>
      </c>
    </row>
    <row r="2777" spans="1:13" x14ac:dyDescent="0.2">
      <c r="A2777">
        <v>148</v>
      </c>
      <c r="B2777">
        <v>97</v>
      </c>
      <c r="C2777">
        <v>245</v>
      </c>
      <c r="D2777" s="51" t="s">
        <v>277</v>
      </c>
      <c r="E2777">
        <f>VLOOKUP(M2777,'MASS - 2016'!$A$1:$G$3418,6,FALSE)</f>
        <v>61813.836000000003</v>
      </c>
      <c r="F2777">
        <f>VLOOKUP(M2777,'MASS - 2016'!$A$1:$G$3418,7,FALSE)</f>
        <v>1.7929999999999999</v>
      </c>
      <c r="G2777">
        <f t="shared" si="221"/>
        <v>61813.836000000003</v>
      </c>
      <c r="H2777">
        <f t="shared" si="217"/>
        <v>245.06635988203041</v>
      </c>
      <c r="I2777">
        <f t="shared" si="218"/>
        <v>228.27785878099999</v>
      </c>
      <c r="J2777">
        <f t="shared" si="220"/>
        <v>228228.29178099998</v>
      </c>
      <c r="M2777">
        <f t="shared" si="219"/>
        <v>148097</v>
      </c>
    </row>
    <row r="2778" spans="1:13" x14ac:dyDescent="0.2">
      <c r="A2778">
        <v>147</v>
      </c>
      <c r="B2778">
        <v>98</v>
      </c>
      <c r="C2778">
        <v>245</v>
      </c>
      <c r="D2778" s="51" t="s">
        <v>279</v>
      </c>
      <c r="E2778">
        <f>VLOOKUP(M2778,'MASS - 2016'!$A$1:$G$3418,6,FALSE)</f>
        <v>63385.21</v>
      </c>
      <c r="F2778">
        <f>VLOOKUP(M2778,'MASS - 2016'!$A$1:$G$3418,7,FALSE)</f>
        <v>2.4279999999999999</v>
      </c>
      <c r="G2778">
        <f t="shared" si="221"/>
        <v>63385.21</v>
      </c>
      <c r="H2778">
        <f t="shared" si="217"/>
        <v>245.06804682139568</v>
      </c>
      <c r="I2778">
        <f t="shared" si="218"/>
        <v>228.279430155</v>
      </c>
      <c r="J2778">
        <f t="shared" si="220"/>
        <v>228229.352155</v>
      </c>
      <c r="M2778">
        <f t="shared" si="219"/>
        <v>147098</v>
      </c>
    </row>
    <row r="2779" spans="1:13" x14ac:dyDescent="0.2">
      <c r="A2779">
        <v>146</v>
      </c>
      <c r="B2779">
        <v>99</v>
      </c>
      <c r="C2779">
        <v>245</v>
      </c>
      <c r="D2779" s="51" t="s">
        <v>280</v>
      </c>
      <c r="E2779" t="str">
        <f>VLOOKUP(M2779,'MASS - 2016'!$A$1:$G$3418,6,FALSE)</f>
        <v>66366#</v>
      </c>
      <c r="F2779" t="str">
        <f>VLOOKUP(M2779,'MASS - 2016'!$A$1:$G$3418,7,FALSE)</f>
        <v>200#</v>
      </c>
      <c r="G2779">
        <f t="shared" si="221"/>
        <v>66366.009999999995</v>
      </c>
      <c r="H2779">
        <f t="shared" si="217"/>
        <v>245.07124684179817</v>
      </c>
      <c r="I2779">
        <f t="shared" si="218"/>
        <v>228.28241095499999</v>
      </c>
      <c r="J2779">
        <f t="shared" si="220"/>
        <v>228231.82195499999</v>
      </c>
      <c r="M2779">
        <f t="shared" si="219"/>
        <v>146099</v>
      </c>
    </row>
    <row r="2780" spans="1:13" x14ac:dyDescent="0.2">
      <c r="A2780">
        <v>145</v>
      </c>
      <c r="B2780">
        <v>100</v>
      </c>
      <c r="C2780">
        <v>245</v>
      </c>
      <c r="D2780" s="51" t="s">
        <v>283</v>
      </c>
      <c r="E2780" t="str">
        <f>VLOOKUP(M2780,'MASS - 2016'!$A$1:$G$3418,6,FALSE)</f>
        <v>70187#</v>
      </c>
      <c r="F2780" t="str">
        <f>VLOOKUP(M2780,'MASS - 2016'!$A$1:$G$3418,7,FALSE)</f>
        <v>195#</v>
      </c>
      <c r="G2780">
        <f t="shared" si="221"/>
        <v>70187.009999999995</v>
      </c>
      <c r="H2780">
        <f t="shared" si="217"/>
        <v>245.07534885399554</v>
      </c>
      <c r="I2780">
        <f t="shared" si="218"/>
        <v>228.28623195500001</v>
      </c>
      <c r="J2780">
        <f t="shared" si="220"/>
        <v>228235.13195499999</v>
      </c>
      <c r="M2780">
        <f t="shared" si="219"/>
        <v>145100</v>
      </c>
    </row>
    <row r="2781" spans="1:13" x14ac:dyDescent="0.2">
      <c r="A2781">
        <v>144</v>
      </c>
      <c r="B2781">
        <v>101</v>
      </c>
      <c r="C2781">
        <v>245</v>
      </c>
      <c r="D2781" s="51" t="s">
        <v>286</v>
      </c>
      <c r="E2781" t="str">
        <f>VLOOKUP(M2781,'MASS - 2016'!$A$1:$G$3418,6,FALSE)</f>
        <v>75272#</v>
      </c>
      <c r="F2781" t="str">
        <f>VLOOKUP(M2781,'MASS - 2016'!$A$1:$G$3418,7,FALSE)</f>
        <v>305#</v>
      </c>
      <c r="G2781">
        <f t="shared" si="221"/>
        <v>75272.009999999995</v>
      </c>
      <c r="H2781">
        <f t="shared" si="217"/>
        <v>245.08080782599856</v>
      </c>
      <c r="I2781">
        <f t="shared" si="218"/>
        <v>228.29131695499999</v>
      </c>
      <c r="J2781">
        <f t="shared" si="220"/>
        <v>228239.70595499998</v>
      </c>
      <c r="M2781">
        <f t="shared" si="219"/>
        <v>144101</v>
      </c>
    </row>
    <row r="2782" spans="1:13" x14ac:dyDescent="0.2">
      <c r="A2782">
        <v>152</v>
      </c>
      <c r="B2782">
        <v>94</v>
      </c>
      <c r="C2782">
        <v>246</v>
      </c>
      <c r="D2782" s="51" t="s">
        <v>273</v>
      </c>
      <c r="E2782">
        <f>VLOOKUP(M2782,'MASS - 2016'!$A$1:$G$3418,6,FALSE)</f>
        <v>65394.800999999999</v>
      </c>
      <c r="F2782">
        <f>VLOOKUP(M2782,'MASS - 2016'!$A$1:$G$3418,7,FALSE)</f>
        <v>14.984999999999999</v>
      </c>
      <c r="G2782">
        <f t="shared" si="221"/>
        <v>65394.800999999999</v>
      </c>
      <c r="H2782">
        <f t="shared" si="217"/>
        <v>246.07020420605772</v>
      </c>
      <c r="I2782">
        <f t="shared" si="218"/>
        <v>229.21293380699998</v>
      </c>
      <c r="J2782">
        <f t="shared" si="220"/>
        <v>229164.89980699998</v>
      </c>
      <c r="M2782">
        <f t="shared" si="219"/>
        <v>152094</v>
      </c>
    </row>
    <row r="2783" spans="1:13" x14ac:dyDescent="0.2">
      <c r="A2783">
        <v>151</v>
      </c>
      <c r="B2783">
        <v>95</v>
      </c>
      <c r="C2783">
        <v>246</v>
      </c>
      <c r="D2783" s="51" t="s">
        <v>274</v>
      </c>
      <c r="E2783" t="str">
        <f>VLOOKUP(M2783,'MASS - 2016'!$A$1:$G$3418,6,FALSE)</f>
        <v>64994#</v>
      </c>
      <c r="F2783" t="str">
        <f>VLOOKUP(M2783,'MASS - 2016'!$A$1:$G$3418,7,FALSE)</f>
        <v>18#</v>
      </c>
      <c r="G2783">
        <f t="shared" si="221"/>
        <v>64994.01</v>
      </c>
      <c r="H2783">
        <f t="shared" si="217"/>
        <v>246.06977393922426</v>
      </c>
      <c r="I2783">
        <f t="shared" si="218"/>
        <v>229.21253301599998</v>
      </c>
      <c r="J2783">
        <f t="shared" si="220"/>
        <v>229163.98801599996</v>
      </c>
      <c r="M2783">
        <f t="shared" si="219"/>
        <v>151095</v>
      </c>
    </row>
    <row r="2784" spans="1:13" x14ac:dyDescent="0.2">
      <c r="A2784">
        <v>150</v>
      </c>
      <c r="B2784">
        <v>96</v>
      </c>
      <c r="C2784">
        <v>246</v>
      </c>
      <c r="D2784" s="51" t="s">
        <v>275</v>
      </c>
      <c r="E2784">
        <f>VLOOKUP(M2784,'MASS - 2016'!$A$1:$G$3418,6,FALSE)</f>
        <v>62616.966999999997</v>
      </c>
      <c r="F2784">
        <f>VLOOKUP(M2784,'MASS - 2016'!$A$1:$G$3418,7,FALSE)</f>
        <v>1.526</v>
      </c>
      <c r="G2784">
        <f t="shared" si="221"/>
        <v>62616.966999999997</v>
      </c>
      <c r="H2784">
        <f t="shared" si="217"/>
        <v>246.06722207861719</v>
      </c>
      <c r="I2784">
        <f t="shared" si="218"/>
        <v>229.21015597299998</v>
      </c>
      <c r="J2784">
        <f t="shared" si="220"/>
        <v>229161.09997299997</v>
      </c>
      <c r="M2784">
        <f t="shared" si="219"/>
        <v>150096</v>
      </c>
    </row>
    <row r="2785" spans="1:13" x14ac:dyDescent="0.2">
      <c r="A2785">
        <v>149</v>
      </c>
      <c r="B2785">
        <v>97</v>
      </c>
      <c r="C2785">
        <v>246</v>
      </c>
      <c r="D2785" s="51" t="s">
        <v>277</v>
      </c>
      <c r="E2785">
        <f>VLOOKUP(M2785,'MASS - 2016'!$A$1:$G$3418,6,FALSE)</f>
        <v>63966.966999999997</v>
      </c>
      <c r="F2785">
        <f>VLOOKUP(M2785,'MASS - 2016'!$A$1:$G$3418,7,FALSE)</f>
        <v>60.018999999999998</v>
      </c>
      <c r="G2785">
        <f t="shared" si="221"/>
        <v>63966.966999999997</v>
      </c>
      <c r="H2785">
        <f t="shared" si="217"/>
        <v>246.06867136321978</v>
      </c>
      <c r="I2785">
        <f t="shared" si="218"/>
        <v>229.21150597299999</v>
      </c>
      <c r="J2785">
        <f t="shared" si="220"/>
        <v>229161.93897299998</v>
      </c>
      <c r="M2785">
        <f t="shared" si="219"/>
        <v>149097</v>
      </c>
    </row>
    <row r="2786" spans="1:13" x14ac:dyDescent="0.2">
      <c r="A2786">
        <v>148</v>
      </c>
      <c r="B2786">
        <v>98</v>
      </c>
      <c r="C2786">
        <v>246</v>
      </c>
      <c r="D2786" s="51" t="s">
        <v>279</v>
      </c>
      <c r="E2786">
        <f>VLOOKUP(M2786,'MASS - 2016'!$A$1:$G$3418,6,FALSE)</f>
        <v>64090.292000000001</v>
      </c>
      <c r="F2786">
        <f>VLOOKUP(M2786,'MASS - 2016'!$A$1:$G$3418,7,FALSE)</f>
        <v>1.5149999999999999</v>
      </c>
      <c r="G2786">
        <f t="shared" si="221"/>
        <v>64090.292000000001</v>
      </c>
      <c r="H2786">
        <f t="shared" si="217"/>
        <v>246.06880375805207</v>
      </c>
      <c r="I2786">
        <f t="shared" si="218"/>
        <v>229.21162929799999</v>
      </c>
      <c r="J2786">
        <f t="shared" si="220"/>
        <v>229161.55129799998</v>
      </c>
      <c r="M2786">
        <f t="shared" si="219"/>
        <v>148098</v>
      </c>
    </row>
    <row r="2787" spans="1:13" x14ac:dyDescent="0.2">
      <c r="A2787">
        <v>147</v>
      </c>
      <c r="B2787">
        <v>99</v>
      </c>
      <c r="C2787">
        <v>246</v>
      </c>
      <c r="D2787" s="51" t="s">
        <v>280</v>
      </c>
      <c r="E2787" t="str">
        <f>VLOOKUP(M2787,'MASS - 2016'!$A$1:$G$3418,6,FALSE)</f>
        <v>67901#</v>
      </c>
      <c r="F2787" t="str">
        <f>VLOOKUP(M2787,'MASS - 2016'!$A$1:$G$3418,7,FALSE)</f>
        <v>224#</v>
      </c>
      <c r="G2787">
        <f t="shared" si="221"/>
        <v>67901.009999999995</v>
      </c>
      <c r="H2787">
        <f t="shared" si="217"/>
        <v>246.07289473206851</v>
      </c>
      <c r="I2787">
        <f t="shared" si="218"/>
        <v>229.215440016</v>
      </c>
      <c r="J2787">
        <f t="shared" si="220"/>
        <v>229164.851016</v>
      </c>
      <c r="M2787">
        <f t="shared" si="219"/>
        <v>147099</v>
      </c>
    </row>
    <row r="2788" spans="1:13" x14ac:dyDescent="0.2">
      <c r="A2788">
        <v>146</v>
      </c>
      <c r="B2788">
        <v>100</v>
      </c>
      <c r="C2788">
        <v>246</v>
      </c>
      <c r="D2788" s="51" t="s">
        <v>283</v>
      </c>
      <c r="E2788">
        <f>VLOOKUP(M2788,'MASS - 2016'!$A$1:$G$3418,6,FALSE)</f>
        <v>70188.832999999999</v>
      </c>
      <c r="F2788">
        <f>VLOOKUP(M2788,'MASS - 2016'!$A$1:$G$3418,7,FALSE)</f>
        <v>15.333</v>
      </c>
      <c r="G2788">
        <f t="shared" si="221"/>
        <v>70188.832999999999</v>
      </c>
      <c r="H2788">
        <f t="shared" si="217"/>
        <v>246.07535081106653</v>
      </c>
      <c r="I2788">
        <f t="shared" si="218"/>
        <v>229.21772783899999</v>
      </c>
      <c r="J2788">
        <f t="shared" si="220"/>
        <v>229166.62783899999</v>
      </c>
      <c r="M2788">
        <f t="shared" si="219"/>
        <v>146100</v>
      </c>
    </row>
    <row r="2789" spans="1:13" x14ac:dyDescent="0.2">
      <c r="A2789">
        <v>145</v>
      </c>
      <c r="B2789">
        <v>101</v>
      </c>
      <c r="C2789">
        <v>246</v>
      </c>
      <c r="D2789" s="51" t="s">
        <v>286</v>
      </c>
      <c r="E2789" t="str">
        <f>VLOOKUP(M2789,'MASS - 2016'!$A$1:$G$3418,6,FALSE)</f>
        <v>76115#</v>
      </c>
      <c r="F2789" t="str">
        <f>VLOOKUP(M2789,'MASS - 2016'!$A$1:$G$3418,7,FALSE)</f>
        <v>259#</v>
      </c>
      <c r="G2789">
        <f t="shared" si="221"/>
        <v>76115.009999999995</v>
      </c>
      <c r="H2789">
        <f t="shared" si="217"/>
        <v>246.08171282371706</v>
      </c>
      <c r="I2789">
        <f t="shared" si="218"/>
        <v>229.22365401599998</v>
      </c>
      <c r="J2789">
        <f t="shared" si="220"/>
        <v>229172.04301599998</v>
      </c>
      <c r="M2789">
        <f t="shared" si="219"/>
        <v>145101</v>
      </c>
    </row>
    <row r="2790" spans="1:13" x14ac:dyDescent="0.2">
      <c r="A2790">
        <v>153</v>
      </c>
      <c r="B2790">
        <v>94</v>
      </c>
      <c r="C2790">
        <v>247</v>
      </c>
      <c r="D2790" s="51" t="s">
        <v>273</v>
      </c>
      <c r="E2790" t="str">
        <f>VLOOKUP(M2790,'MASS - 2016'!$A$1:$G$3418,6,FALSE)</f>
        <v>69108#</v>
      </c>
      <c r="F2790" t="str">
        <f>VLOOKUP(M2790,'MASS - 2016'!$A$1:$G$3418,7,FALSE)</f>
        <v>196#</v>
      </c>
      <c r="G2790">
        <f t="shared" si="221"/>
        <v>69108.009999999995</v>
      </c>
      <c r="H2790">
        <f t="shared" si="217"/>
        <v>247.07419049985762</v>
      </c>
      <c r="I2790">
        <f t="shared" si="218"/>
        <v>230.14814107699999</v>
      </c>
      <c r="J2790">
        <f t="shared" si="220"/>
        <v>230100.10707699996</v>
      </c>
      <c r="M2790">
        <f t="shared" si="219"/>
        <v>153094</v>
      </c>
    </row>
    <row r="2791" spans="1:13" x14ac:dyDescent="0.2">
      <c r="A2791">
        <v>152</v>
      </c>
      <c r="B2791">
        <v>95</v>
      </c>
      <c r="C2791">
        <v>247</v>
      </c>
      <c r="D2791" s="51" t="s">
        <v>274</v>
      </c>
      <c r="E2791" t="str">
        <f>VLOOKUP(M2791,'MASS - 2016'!$A$1:$G$3418,6,FALSE)</f>
        <v>67153#</v>
      </c>
      <c r="F2791" t="str">
        <f>VLOOKUP(M2791,'MASS - 2016'!$A$1:$G$3418,7,FALSE)</f>
        <v>100#</v>
      </c>
      <c r="G2791">
        <f t="shared" si="221"/>
        <v>67153.009999999995</v>
      </c>
      <c r="H2791">
        <f t="shared" si="217"/>
        <v>247.07209172104425</v>
      </c>
      <c r="I2791">
        <f t="shared" si="218"/>
        <v>230.14618607699998</v>
      </c>
      <c r="J2791">
        <f t="shared" si="220"/>
        <v>230097.64107699998</v>
      </c>
      <c r="M2791">
        <f t="shared" si="219"/>
        <v>152095</v>
      </c>
    </row>
    <row r="2792" spans="1:13" x14ac:dyDescent="0.2">
      <c r="A2792">
        <v>151</v>
      </c>
      <c r="B2792">
        <v>96</v>
      </c>
      <c r="C2792">
        <v>247</v>
      </c>
      <c r="D2792" s="51" t="s">
        <v>275</v>
      </c>
      <c r="E2792">
        <f>VLOOKUP(M2792,'MASS - 2016'!$A$1:$G$3418,6,FALSE)</f>
        <v>65533.142999999996</v>
      </c>
      <c r="F2792">
        <f>VLOOKUP(M2792,'MASS - 2016'!$A$1:$G$3418,7,FALSE)</f>
        <v>3.7970000000000002</v>
      </c>
      <c r="G2792">
        <f t="shared" si="221"/>
        <v>65533.142999999996</v>
      </c>
      <c r="H2792">
        <f t="shared" si="217"/>
        <v>247.07035272230254</v>
      </c>
      <c r="I2792">
        <f t="shared" si="218"/>
        <v>230.14456620999999</v>
      </c>
      <c r="J2792">
        <f t="shared" si="220"/>
        <v>230095.51020999998</v>
      </c>
      <c r="M2792">
        <f t="shared" si="219"/>
        <v>151096</v>
      </c>
    </row>
    <row r="2793" spans="1:13" x14ac:dyDescent="0.2">
      <c r="A2793">
        <v>150</v>
      </c>
      <c r="B2793">
        <v>97</v>
      </c>
      <c r="C2793">
        <v>247</v>
      </c>
      <c r="D2793" s="51" t="s">
        <v>277</v>
      </c>
      <c r="E2793">
        <f>VLOOKUP(M2793,'MASS - 2016'!$A$1:$G$3418,6,FALSE)</f>
        <v>65489.561999999998</v>
      </c>
      <c r="F2793">
        <f>VLOOKUP(M2793,'MASS - 2016'!$A$1:$G$3418,7,FALSE)</f>
        <v>5.1890000000000001</v>
      </c>
      <c r="G2793">
        <f t="shared" si="221"/>
        <v>65489.561999999998</v>
      </c>
      <c r="H2793">
        <f t="shared" si="217"/>
        <v>247.07030593617495</v>
      </c>
      <c r="I2793">
        <f t="shared" si="218"/>
        <v>230.14452262899999</v>
      </c>
      <c r="J2793">
        <f t="shared" si="220"/>
        <v>230094.95562899997</v>
      </c>
      <c r="M2793">
        <f t="shared" si="219"/>
        <v>150097</v>
      </c>
    </row>
    <row r="2794" spans="1:13" x14ac:dyDescent="0.2">
      <c r="A2794">
        <v>149</v>
      </c>
      <c r="B2794">
        <v>98</v>
      </c>
      <c r="C2794">
        <v>247</v>
      </c>
      <c r="D2794" s="51" t="s">
        <v>279</v>
      </c>
      <c r="E2794">
        <f>VLOOKUP(M2794,'MASS - 2016'!$A$1:$G$3418,6,FALSE)</f>
        <v>66103.903000000006</v>
      </c>
      <c r="F2794">
        <f>VLOOKUP(M2794,'MASS - 2016'!$A$1:$G$3418,7,FALSE)</f>
        <v>15.334</v>
      </c>
      <c r="G2794">
        <f t="shared" si="221"/>
        <v>66103.903000000006</v>
      </c>
      <c r="H2794">
        <f t="shared" si="217"/>
        <v>247.07096545836163</v>
      </c>
      <c r="I2794">
        <f t="shared" si="218"/>
        <v>230.14513696999998</v>
      </c>
      <c r="J2794">
        <f t="shared" si="220"/>
        <v>230095.05896999998</v>
      </c>
      <c r="M2794">
        <f t="shared" si="219"/>
        <v>149098</v>
      </c>
    </row>
    <row r="2795" spans="1:13" x14ac:dyDescent="0.2">
      <c r="A2795">
        <v>148</v>
      </c>
      <c r="B2795">
        <v>99</v>
      </c>
      <c r="C2795">
        <v>247</v>
      </c>
      <c r="D2795" s="51" t="s">
        <v>280</v>
      </c>
      <c r="E2795">
        <f>VLOOKUP(M2795,'MASS - 2016'!$A$1:$G$3418,6,FALSE)</f>
        <v>68578.388000000006</v>
      </c>
      <c r="F2795">
        <f>VLOOKUP(M2795,'MASS - 2016'!$A$1:$G$3418,7,FALSE)</f>
        <v>19.440999999999999</v>
      </c>
      <c r="G2795">
        <f t="shared" si="221"/>
        <v>68578.388000000006</v>
      </c>
      <c r="H2795">
        <f t="shared" si="217"/>
        <v>247.07362192725776</v>
      </c>
      <c r="I2795">
        <f t="shared" si="218"/>
        <v>230.14761145499997</v>
      </c>
      <c r="J2795">
        <f t="shared" si="220"/>
        <v>230097.02245499997</v>
      </c>
      <c r="M2795">
        <f t="shared" si="219"/>
        <v>148099</v>
      </c>
    </row>
    <row r="2796" spans="1:13" x14ac:dyDescent="0.2">
      <c r="A2796">
        <v>147</v>
      </c>
      <c r="B2796">
        <v>100</v>
      </c>
      <c r="C2796">
        <v>247</v>
      </c>
      <c r="D2796" s="51" t="s">
        <v>283</v>
      </c>
      <c r="E2796" t="str">
        <f>VLOOKUP(M2796,'MASS - 2016'!$A$1:$G$3418,6,FALSE)</f>
        <v>71673#</v>
      </c>
      <c r="F2796" t="str">
        <f>VLOOKUP(M2796,'MASS - 2016'!$A$1:$G$3418,7,FALSE)</f>
        <v>115#</v>
      </c>
      <c r="G2796">
        <f t="shared" si="221"/>
        <v>71673.009999999995</v>
      </c>
      <c r="H2796">
        <f t="shared" si="217"/>
        <v>247.07694414060254</v>
      </c>
      <c r="I2796">
        <f t="shared" si="218"/>
        <v>230.150706077</v>
      </c>
      <c r="J2796">
        <f t="shared" si="220"/>
        <v>230099.606077</v>
      </c>
      <c r="M2796">
        <f t="shared" si="219"/>
        <v>147100</v>
      </c>
    </row>
    <row r="2797" spans="1:13" x14ac:dyDescent="0.2">
      <c r="A2797">
        <v>146</v>
      </c>
      <c r="B2797">
        <v>101</v>
      </c>
      <c r="C2797">
        <v>247</v>
      </c>
      <c r="D2797" s="51" t="s">
        <v>286</v>
      </c>
      <c r="E2797" t="str">
        <f>VLOOKUP(M2797,'MASS - 2016'!$A$1:$G$3418,6,FALSE)</f>
        <v>75937#</v>
      </c>
      <c r="F2797" t="str">
        <f>VLOOKUP(M2797,'MASS - 2016'!$A$1:$G$3418,7,FALSE)</f>
        <v>207#</v>
      </c>
      <c r="G2797">
        <f t="shared" si="221"/>
        <v>75937.009999999995</v>
      </c>
      <c r="H2797">
        <f t="shared" si="217"/>
        <v>247.08152173285833</v>
      </c>
      <c r="I2797">
        <f t="shared" si="218"/>
        <v>230.15497007699997</v>
      </c>
      <c r="J2797">
        <f t="shared" si="220"/>
        <v>230103.35907699997</v>
      </c>
      <c r="M2797">
        <f t="shared" si="219"/>
        <v>146101</v>
      </c>
    </row>
    <row r="2798" spans="1:13" x14ac:dyDescent="0.2">
      <c r="A2798">
        <v>153</v>
      </c>
      <c r="B2798">
        <v>95</v>
      </c>
      <c r="C2798">
        <v>248</v>
      </c>
      <c r="D2798" s="51" t="s">
        <v>274</v>
      </c>
      <c r="E2798" t="str">
        <f>VLOOKUP(M2798,'MASS - 2016'!$A$1:$G$3418,6,FALSE)</f>
        <v>70563#</v>
      </c>
      <c r="F2798" t="str">
        <f>VLOOKUP(M2798,'MASS - 2016'!$A$1:$G$3418,7,FALSE)</f>
        <v>200#</v>
      </c>
      <c r="G2798">
        <f t="shared" si="221"/>
        <v>70563.009999999995</v>
      </c>
      <c r="H2798">
        <f t="shared" si="217"/>
        <v>248.07575250659596</v>
      </c>
      <c r="I2798">
        <f t="shared" si="218"/>
        <v>231.08109013800001</v>
      </c>
      <c r="J2798">
        <f t="shared" si="220"/>
        <v>231032.54513799999</v>
      </c>
      <c r="M2798">
        <f t="shared" si="219"/>
        <v>153095</v>
      </c>
    </row>
    <row r="2799" spans="1:13" x14ac:dyDescent="0.2">
      <c r="A2799">
        <v>152</v>
      </c>
      <c r="B2799">
        <v>96</v>
      </c>
      <c r="C2799">
        <v>248</v>
      </c>
      <c r="D2799" s="51" t="s">
        <v>275</v>
      </c>
      <c r="E2799">
        <f>VLOOKUP(M2799,'MASS - 2016'!$A$1:$G$3418,6,FALSE)</f>
        <v>67392.755000000005</v>
      </c>
      <c r="F2799">
        <f>VLOOKUP(M2799,'MASS - 2016'!$A$1:$G$3418,7,FALSE)</f>
        <v>2.3580000000000001</v>
      </c>
      <c r="G2799">
        <f t="shared" si="221"/>
        <v>67392.755000000005</v>
      </c>
      <c r="H2799">
        <f t="shared" si="217"/>
        <v>248.0723490978865</v>
      </c>
      <c r="I2799">
        <f t="shared" si="218"/>
        <v>231.07791988299999</v>
      </c>
      <c r="J2799">
        <f t="shared" si="220"/>
        <v>231028.86388299998</v>
      </c>
      <c r="M2799">
        <f t="shared" si="219"/>
        <v>152096</v>
      </c>
    </row>
    <row r="2800" spans="1:13" x14ac:dyDescent="0.2">
      <c r="A2800">
        <v>151</v>
      </c>
      <c r="B2800">
        <v>97</v>
      </c>
      <c r="C2800">
        <v>248</v>
      </c>
      <c r="D2800" s="51" t="s">
        <v>277</v>
      </c>
      <c r="E2800" t="str">
        <f>VLOOKUP(M2800,'MASS - 2016'!$A$1:$G$3418,6,FALSE)</f>
        <v>68080#</v>
      </c>
      <c r="F2800" t="str">
        <f>VLOOKUP(M2800,'MASS - 2016'!$A$1:$G$3418,7,FALSE)</f>
        <v>71#</v>
      </c>
      <c r="G2800">
        <f t="shared" si="221"/>
        <v>68080.009999999995</v>
      </c>
      <c r="H2800">
        <f t="shared" si="217"/>
        <v>248.07308689647135</v>
      </c>
      <c r="I2800">
        <f t="shared" si="218"/>
        <v>231.078607138</v>
      </c>
      <c r="J2800">
        <f t="shared" si="220"/>
        <v>231029.04013799998</v>
      </c>
      <c r="M2800">
        <f t="shared" si="219"/>
        <v>151097</v>
      </c>
    </row>
    <row r="2801" spans="1:13" x14ac:dyDescent="0.2">
      <c r="A2801">
        <v>150</v>
      </c>
      <c r="B2801">
        <v>98</v>
      </c>
      <c r="C2801">
        <v>248</v>
      </c>
      <c r="D2801" s="51" t="s">
        <v>279</v>
      </c>
      <c r="E2801">
        <f>VLOOKUP(M2801,'MASS - 2016'!$A$1:$G$3418,6,FALSE)</f>
        <v>67238.012000000002</v>
      </c>
      <c r="F2801">
        <f>VLOOKUP(M2801,'MASS - 2016'!$A$1:$G$3418,7,FALSE)</f>
        <v>5.1210000000000004</v>
      </c>
      <c r="G2801">
        <f t="shared" si="221"/>
        <v>67238.012000000002</v>
      </c>
      <c r="H2801">
        <f t="shared" si="217"/>
        <v>248.0721829744441</v>
      </c>
      <c r="I2801">
        <f t="shared" si="218"/>
        <v>231.07776514</v>
      </c>
      <c r="J2801">
        <f t="shared" si="220"/>
        <v>231027.68713999999</v>
      </c>
      <c r="M2801">
        <f t="shared" si="219"/>
        <v>150098</v>
      </c>
    </row>
    <row r="2802" spans="1:13" x14ac:dyDescent="0.2">
      <c r="A2802">
        <v>149</v>
      </c>
      <c r="B2802">
        <v>99</v>
      </c>
      <c r="C2802">
        <v>248</v>
      </c>
      <c r="D2802" s="51" t="s">
        <v>280</v>
      </c>
      <c r="E2802" t="str">
        <f>VLOOKUP(M2802,'MASS - 2016'!$A$1:$G$3418,6,FALSE)</f>
        <v>70299#</v>
      </c>
      <c r="F2802" t="str">
        <f>VLOOKUP(M2802,'MASS - 2016'!$A$1:$G$3418,7,FALSE)</f>
        <v>52#</v>
      </c>
      <c r="G2802">
        <f t="shared" si="221"/>
        <v>70299.009999999995</v>
      </c>
      <c r="H2802">
        <f t="shared" si="217"/>
        <v>248.07546909094037</v>
      </c>
      <c r="I2802">
        <f t="shared" si="218"/>
        <v>231.08082613800002</v>
      </c>
      <c r="J2802">
        <f t="shared" si="220"/>
        <v>231030.23713800003</v>
      </c>
      <c r="M2802">
        <f t="shared" si="219"/>
        <v>149099</v>
      </c>
    </row>
    <row r="2803" spans="1:13" x14ac:dyDescent="0.2">
      <c r="A2803">
        <v>148</v>
      </c>
      <c r="B2803">
        <v>100</v>
      </c>
      <c r="C2803">
        <v>248</v>
      </c>
      <c r="D2803" s="51" t="s">
        <v>283</v>
      </c>
      <c r="E2803">
        <f>VLOOKUP(M2803,'MASS - 2016'!$A$1:$G$3418,6,FALSE)</f>
        <v>71897.857000000004</v>
      </c>
      <c r="F2803">
        <f>VLOOKUP(M2803,'MASS - 2016'!$A$1:$G$3418,7,FALSE)</f>
        <v>8.4969999999999999</v>
      </c>
      <c r="G2803">
        <f t="shared" si="221"/>
        <v>71897.857000000004</v>
      </c>
      <c r="H2803">
        <f t="shared" si="217"/>
        <v>248.07718552378407</v>
      </c>
      <c r="I2803">
        <f t="shared" si="218"/>
        <v>231.08242498500002</v>
      </c>
      <c r="J2803">
        <f t="shared" si="220"/>
        <v>231031.32498500001</v>
      </c>
      <c r="M2803">
        <f t="shared" si="219"/>
        <v>148100</v>
      </c>
    </row>
    <row r="2804" spans="1:13" x14ac:dyDescent="0.2">
      <c r="A2804">
        <v>147</v>
      </c>
      <c r="B2804">
        <v>101</v>
      </c>
      <c r="C2804">
        <v>248</v>
      </c>
      <c r="D2804" s="51" t="s">
        <v>286</v>
      </c>
      <c r="E2804" t="str">
        <f>VLOOKUP(M2804,'MASS - 2016'!$A$1:$G$3418,6,FALSE)</f>
        <v>77148#</v>
      </c>
      <c r="F2804" t="str">
        <f>VLOOKUP(M2804,'MASS - 2016'!$A$1:$G$3418,7,FALSE)</f>
        <v>237#</v>
      </c>
      <c r="G2804">
        <f t="shared" si="221"/>
        <v>77148.009999999995</v>
      </c>
      <c r="H2804">
        <f t="shared" si="217"/>
        <v>248.0828217948241</v>
      </c>
      <c r="I2804">
        <f t="shared" si="218"/>
        <v>231.08767513800001</v>
      </c>
      <c r="J2804">
        <f t="shared" si="220"/>
        <v>231036.06413800002</v>
      </c>
      <c r="M2804">
        <f t="shared" si="219"/>
        <v>147101</v>
      </c>
    </row>
    <row r="2805" spans="1:13" x14ac:dyDescent="0.2">
      <c r="A2805">
        <v>154</v>
      </c>
      <c r="B2805">
        <v>95</v>
      </c>
      <c r="C2805">
        <v>249</v>
      </c>
      <c r="D2805" s="51" t="s">
        <v>274</v>
      </c>
      <c r="E2805" t="str">
        <f>VLOOKUP(M2805,'MASS - 2016'!$A$1:$G$3418,6,FALSE)</f>
        <v>73104#</v>
      </c>
      <c r="F2805" t="str">
        <f>VLOOKUP(M2805,'MASS - 2016'!$A$1:$G$3418,7,FALSE)</f>
        <v>298#</v>
      </c>
      <c r="G2805">
        <f t="shared" si="221"/>
        <v>73104.009999999995</v>
      </c>
      <c r="H2805">
        <f t="shared" si="217"/>
        <v>249.07848038228127</v>
      </c>
      <c r="I2805">
        <f t="shared" si="218"/>
        <v>232.01512519900001</v>
      </c>
      <c r="J2805">
        <f t="shared" si="220"/>
        <v>231966.58019899999</v>
      </c>
      <c r="M2805">
        <f t="shared" si="219"/>
        <v>154095</v>
      </c>
    </row>
    <row r="2806" spans="1:13" x14ac:dyDescent="0.2">
      <c r="A2806">
        <v>153</v>
      </c>
      <c r="B2806">
        <v>96</v>
      </c>
      <c r="C2806">
        <v>249</v>
      </c>
      <c r="D2806" s="51" t="s">
        <v>275</v>
      </c>
      <c r="E2806">
        <f>VLOOKUP(M2806,'MASS - 2016'!$A$1:$G$3418,6,FALSE)</f>
        <v>70750.702000000005</v>
      </c>
      <c r="F2806">
        <f>VLOOKUP(M2806,'MASS - 2016'!$A$1:$G$3418,7,FALSE)</f>
        <v>2.371</v>
      </c>
      <c r="G2806">
        <f t="shared" si="221"/>
        <v>70750.702000000005</v>
      </c>
      <c r="H2806">
        <f t="shared" si="217"/>
        <v>249.07595400224457</v>
      </c>
      <c r="I2806">
        <f t="shared" si="218"/>
        <v>232.012771891</v>
      </c>
      <c r="J2806">
        <f t="shared" si="220"/>
        <v>231963.715891</v>
      </c>
      <c r="M2806">
        <f t="shared" si="219"/>
        <v>153096</v>
      </c>
    </row>
    <row r="2807" spans="1:13" x14ac:dyDescent="0.2">
      <c r="A2807">
        <v>152</v>
      </c>
      <c r="B2807">
        <v>97</v>
      </c>
      <c r="C2807">
        <v>249</v>
      </c>
      <c r="D2807" s="51" t="s">
        <v>277</v>
      </c>
      <c r="E2807">
        <f>VLOOKUP(M2807,'MASS - 2016'!$A$1:$G$3418,6,FALSE)</f>
        <v>69846.384000000005</v>
      </c>
      <c r="F2807">
        <f>VLOOKUP(M2807,'MASS - 2016'!$A$1:$G$3418,7,FALSE)</f>
        <v>1.2490000000000001</v>
      </c>
      <c r="G2807">
        <f t="shared" si="221"/>
        <v>69846.384000000005</v>
      </c>
      <c r="H2807">
        <f t="shared" si="217"/>
        <v>249.07498317694586</v>
      </c>
      <c r="I2807">
        <f t="shared" si="218"/>
        <v>232.01186757299999</v>
      </c>
      <c r="J2807">
        <f t="shared" si="220"/>
        <v>231962.30057299999</v>
      </c>
      <c r="M2807">
        <f t="shared" si="219"/>
        <v>152097</v>
      </c>
    </row>
    <row r="2808" spans="1:13" x14ac:dyDescent="0.2">
      <c r="A2808">
        <v>151</v>
      </c>
      <c r="B2808">
        <v>98</v>
      </c>
      <c r="C2808">
        <v>249</v>
      </c>
      <c r="D2808" s="51" t="s">
        <v>279</v>
      </c>
      <c r="E2808">
        <f>VLOOKUP(M2808,'MASS - 2016'!$A$1:$G$3418,6,FALSE)</f>
        <v>69722.784</v>
      </c>
      <c r="F2808">
        <f>VLOOKUP(M2808,'MASS - 2016'!$A$1:$G$3418,7,FALSE)</f>
        <v>1.1830000000000001</v>
      </c>
      <c r="G2808">
        <f t="shared" si="221"/>
        <v>69722.784</v>
      </c>
      <c r="H2808">
        <f t="shared" si="217"/>
        <v>249.07485048688892</v>
      </c>
      <c r="I2808">
        <f t="shared" si="218"/>
        <v>232.01174397299999</v>
      </c>
      <c r="J2808">
        <f t="shared" si="220"/>
        <v>231961.665973</v>
      </c>
      <c r="M2808">
        <f t="shared" si="219"/>
        <v>151098</v>
      </c>
    </row>
    <row r="2809" spans="1:13" x14ac:dyDescent="0.2">
      <c r="A2809">
        <v>150</v>
      </c>
      <c r="B2809">
        <v>99</v>
      </c>
      <c r="C2809">
        <v>249</v>
      </c>
      <c r="D2809" s="51" t="s">
        <v>280</v>
      </c>
      <c r="E2809" t="str">
        <f>VLOOKUP(M2809,'MASS - 2016'!$A$1:$G$3418,6,FALSE)</f>
        <v>71175#</v>
      </c>
      <c r="F2809" t="str">
        <f>VLOOKUP(M2809,'MASS - 2016'!$A$1:$G$3418,7,FALSE)</f>
        <v>30#</v>
      </c>
      <c r="G2809">
        <f t="shared" si="221"/>
        <v>71175.009999999995</v>
      </c>
      <c r="H2809">
        <f t="shared" si="217"/>
        <v>249.07640951561578</v>
      </c>
      <c r="I2809">
        <f t="shared" si="218"/>
        <v>232.01319619899999</v>
      </c>
      <c r="J2809">
        <f t="shared" si="220"/>
        <v>231962.60719899999</v>
      </c>
      <c r="M2809">
        <f t="shared" si="219"/>
        <v>150099</v>
      </c>
    </row>
    <row r="2810" spans="1:13" x14ac:dyDescent="0.2">
      <c r="A2810">
        <v>149</v>
      </c>
      <c r="B2810">
        <v>100</v>
      </c>
      <c r="C2810">
        <v>249</v>
      </c>
      <c r="D2810" s="51" t="s">
        <v>283</v>
      </c>
      <c r="E2810">
        <f>VLOOKUP(M2810,'MASS - 2016'!$A$1:$G$3418,6,FALSE)</f>
        <v>73519.187999999995</v>
      </c>
      <c r="F2810">
        <f>VLOOKUP(M2810,'MASS - 2016'!$A$1:$G$3418,7,FALSE)</f>
        <v>6.2119999999999997</v>
      </c>
      <c r="G2810">
        <f t="shared" si="221"/>
        <v>73519.187999999995</v>
      </c>
      <c r="H2810">
        <f t="shared" si="217"/>
        <v>249.0789260941944</v>
      </c>
      <c r="I2810">
        <f t="shared" si="218"/>
        <v>232.01554037700001</v>
      </c>
      <c r="J2810">
        <f t="shared" si="220"/>
        <v>231964.44037699999</v>
      </c>
      <c r="M2810">
        <f t="shared" si="219"/>
        <v>149100</v>
      </c>
    </row>
    <row r="2811" spans="1:13" x14ac:dyDescent="0.2">
      <c r="A2811">
        <v>148</v>
      </c>
      <c r="B2811">
        <v>101</v>
      </c>
      <c r="C2811">
        <v>249</v>
      </c>
      <c r="D2811" s="51" t="s">
        <v>286</v>
      </c>
      <c r="E2811" t="str">
        <f>VLOOKUP(M2811,'MASS - 2016'!$A$1:$G$3418,6,FALSE)</f>
        <v>77232#</v>
      </c>
      <c r="F2811" t="str">
        <f>VLOOKUP(M2811,'MASS - 2016'!$A$1:$G$3418,7,FALSE)</f>
        <v>201#</v>
      </c>
      <c r="G2811">
        <f t="shared" si="221"/>
        <v>77232.009999999995</v>
      </c>
      <c r="H2811">
        <f t="shared" si="217"/>
        <v>249.08291197253268</v>
      </c>
      <c r="I2811">
        <f t="shared" si="218"/>
        <v>232.01925319899999</v>
      </c>
      <c r="J2811">
        <f t="shared" si="220"/>
        <v>231967.64219899999</v>
      </c>
      <c r="M2811">
        <f t="shared" si="219"/>
        <v>148101</v>
      </c>
    </row>
    <row r="2812" spans="1:13" x14ac:dyDescent="0.2">
      <c r="A2812">
        <v>147</v>
      </c>
      <c r="B2812">
        <v>102</v>
      </c>
      <c r="C2812">
        <v>249</v>
      </c>
      <c r="D2812" s="51" t="s">
        <v>288</v>
      </c>
      <c r="E2812" t="str">
        <f>VLOOKUP(M2812,'MASS - 2016'!$A$1:$G$3418,6,FALSE)</f>
        <v>81782#</v>
      </c>
      <c r="F2812" t="str">
        <f>VLOOKUP(M2812,'MASS - 2016'!$A$1:$G$3418,7,FALSE)</f>
        <v>279#</v>
      </c>
      <c r="G2812">
        <f t="shared" si="221"/>
        <v>81782.009999999995</v>
      </c>
      <c r="H2812">
        <f t="shared" si="217"/>
        <v>249.08779659841548</v>
      </c>
      <c r="I2812">
        <f t="shared" si="218"/>
        <v>232.02380319900001</v>
      </c>
      <c r="J2812">
        <f t="shared" si="220"/>
        <v>231971.68119900001</v>
      </c>
      <c r="M2812">
        <f t="shared" si="219"/>
        <v>147102</v>
      </c>
    </row>
    <row r="2813" spans="1:13" x14ac:dyDescent="0.2">
      <c r="A2813">
        <v>154</v>
      </c>
      <c r="B2813">
        <v>96</v>
      </c>
      <c r="C2813">
        <v>250</v>
      </c>
      <c r="D2813" s="51" t="s">
        <v>275</v>
      </c>
      <c r="E2813">
        <f>VLOOKUP(M2813,'MASS - 2016'!$A$1:$G$3418,6,FALSE)</f>
        <v>72989.593999999997</v>
      </c>
      <c r="F2813">
        <f>VLOOKUP(M2813,'MASS - 2016'!$A$1:$G$3418,7,FALSE)</f>
        <v>10.273999999999999</v>
      </c>
      <c r="G2813">
        <f t="shared" si="221"/>
        <v>72989.593999999997</v>
      </c>
      <c r="H2813">
        <f t="shared" si="217"/>
        <v>250.0783575516538</v>
      </c>
      <c r="I2813">
        <f t="shared" si="218"/>
        <v>232.946504844</v>
      </c>
      <c r="J2813">
        <f t="shared" si="220"/>
        <v>232897.448844</v>
      </c>
      <c r="M2813">
        <f t="shared" si="219"/>
        <v>154096</v>
      </c>
    </row>
    <row r="2814" spans="1:13" x14ac:dyDescent="0.2">
      <c r="A2814">
        <v>153</v>
      </c>
      <c r="B2814">
        <v>97</v>
      </c>
      <c r="C2814">
        <v>250</v>
      </c>
      <c r="D2814" s="51" t="s">
        <v>277</v>
      </c>
      <c r="E2814">
        <f>VLOOKUP(M2814,'MASS - 2016'!$A$1:$G$3418,6,FALSE)</f>
        <v>72949.978000000003</v>
      </c>
      <c r="F2814">
        <f>VLOOKUP(M2814,'MASS - 2016'!$A$1:$G$3418,7,FALSE)</f>
        <v>3.7189999999999999</v>
      </c>
      <c r="G2814">
        <f t="shared" si="221"/>
        <v>72949.978000000003</v>
      </c>
      <c r="H2814">
        <f t="shared" si="217"/>
        <v>250.07831502212872</v>
      </c>
      <c r="I2814">
        <f t="shared" si="218"/>
        <v>232.94646522799999</v>
      </c>
      <c r="J2814">
        <f t="shared" si="220"/>
        <v>232896.89822799998</v>
      </c>
      <c r="M2814">
        <f t="shared" si="219"/>
        <v>153097</v>
      </c>
    </row>
    <row r="2815" spans="1:13" x14ac:dyDescent="0.2">
      <c r="A2815">
        <v>152</v>
      </c>
      <c r="B2815">
        <v>98</v>
      </c>
      <c r="C2815">
        <v>250</v>
      </c>
      <c r="D2815" s="51" t="s">
        <v>279</v>
      </c>
      <c r="E2815">
        <f>VLOOKUP(M2815,'MASS - 2016'!$A$1:$G$3418,6,FALSE)</f>
        <v>71170.391000000003</v>
      </c>
      <c r="F2815">
        <f>VLOOKUP(M2815,'MASS - 2016'!$A$1:$G$3418,7,FALSE)</f>
        <v>1.538</v>
      </c>
      <c r="G2815">
        <f t="shared" si="221"/>
        <v>71170.391000000003</v>
      </c>
      <c r="H2815">
        <f t="shared" si="217"/>
        <v>250.07640455691538</v>
      </c>
      <c r="I2815">
        <f t="shared" si="218"/>
        <v>232.94468564100001</v>
      </c>
      <c r="J2815">
        <f t="shared" si="220"/>
        <v>232894.60764100001</v>
      </c>
      <c r="M2815">
        <f t="shared" si="219"/>
        <v>152098</v>
      </c>
    </row>
    <row r="2816" spans="1:13" x14ac:dyDescent="0.2">
      <c r="A2816">
        <v>151</v>
      </c>
      <c r="B2816">
        <v>99</v>
      </c>
      <c r="C2816">
        <v>250</v>
      </c>
      <c r="D2816" s="51" t="s">
        <v>280</v>
      </c>
      <c r="E2816" t="str">
        <f>VLOOKUP(M2816,'MASS - 2016'!$A$1:$G$3418,6,FALSE)</f>
        <v>73225#</v>
      </c>
      <c r="F2816" t="str">
        <f>VLOOKUP(M2816,'MASS - 2016'!$A$1:$G$3418,7,FALSE)</f>
        <v>100#</v>
      </c>
      <c r="G2816">
        <f t="shared" si="221"/>
        <v>73225.009999999995</v>
      </c>
      <c r="H2816">
        <f t="shared" si="217"/>
        <v>250.07861028112339</v>
      </c>
      <c r="I2816">
        <f t="shared" si="218"/>
        <v>232.94674025999998</v>
      </c>
      <c r="J2816">
        <f t="shared" si="220"/>
        <v>232896.15125999998</v>
      </c>
      <c r="M2816">
        <f t="shared" si="219"/>
        <v>151099</v>
      </c>
    </row>
    <row r="2817" spans="1:13" x14ac:dyDescent="0.2">
      <c r="A2817">
        <v>150</v>
      </c>
      <c r="B2817">
        <v>100</v>
      </c>
      <c r="C2817">
        <v>250</v>
      </c>
      <c r="D2817" s="51" t="s">
        <v>283</v>
      </c>
      <c r="E2817">
        <f>VLOOKUP(M2817,'MASS - 2016'!$A$1:$G$3418,6,FALSE)</f>
        <v>74072.243000000002</v>
      </c>
      <c r="F2817">
        <f>VLOOKUP(M2817,'MASS - 2016'!$A$1:$G$3418,7,FALSE)</f>
        <v>7.8879999999999999</v>
      </c>
      <c r="G2817">
        <f t="shared" si="221"/>
        <v>74072.243000000002</v>
      </c>
      <c r="H2817">
        <f t="shared" si="217"/>
        <v>250.0795198231543</v>
      </c>
      <c r="I2817">
        <f t="shared" si="218"/>
        <v>232.94758749299999</v>
      </c>
      <c r="J2817">
        <f t="shared" si="220"/>
        <v>232896.48749299999</v>
      </c>
      <c r="M2817">
        <f t="shared" si="219"/>
        <v>150100</v>
      </c>
    </row>
    <row r="2818" spans="1:13" x14ac:dyDescent="0.2">
      <c r="A2818">
        <v>149</v>
      </c>
      <c r="B2818">
        <v>101</v>
      </c>
      <c r="C2818">
        <v>250</v>
      </c>
      <c r="D2818" s="51" t="s">
        <v>286</v>
      </c>
      <c r="E2818" t="str">
        <f>VLOOKUP(M2818,'MASS - 2016'!$A$1:$G$3418,6,FALSE)</f>
        <v>78630#</v>
      </c>
      <c r="F2818" t="str">
        <f>VLOOKUP(M2818,'MASS - 2016'!$A$1:$G$3418,7,FALSE)</f>
        <v>301#</v>
      </c>
      <c r="G2818">
        <f t="shared" si="221"/>
        <v>78630.009999999995</v>
      </c>
      <c r="H2818">
        <f t="shared" si="217"/>
        <v>250.08441278725448</v>
      </c>
      <c r="I2818">
        <f t="shared" si="218"/>
        <v>232.95214526000001</v>
      </c>
      <c r="J2818">
        <f t="shared" si="220"/>
        <v>232900.53426000001</v>
      </c>
      <c r="M2818">
        <f t="shared" si="219"/>
        <v>149101</v>
      </c>
    </row>
    <row r="2819" spans="1:13" x14ac:dyDescent="0.2">
      <c r="A2819">
        <v>148</v>
      </c>
      <c r="B2819">
        <v>102</v>
      </c>
      <c r="C2819">
        <v>250</v>
      </c>
      <c r="D2819" s="51" t="s">
        <v>288</v>
      </c>
      <c r="E2819" t="str">
        <f>VLOOKUP(M2819,'MASS - 2016'!$A$1:$G$3418,6,FALSE)</f>
        <v>81564#</v>
      </c>
      <c r="F2819" t="str">
        <f>VLOOKUP(M2819,'MASS - 2016'!$A$1:$G$3418,7,FALSE)</f>
        <v>201#</v>
      </c>
      <c r="G2819">
        <f t="shared" si="221"/>
        <v>81564.009999999995</v>
      </c>
      <c r="H2819">
        <f t="shared" si="217"/>
        <v>250.08756256579073</v>
      </c>
      <c r="I2819">
        <f t="shared" si="218"/>
        <v>232.95507925999999</v>
      </c>
      <c r="J2819">
        <f t="shared" si="220"/>
        <v>232902.95726</v>
      </c>
      <c r="M2819">
        <f t="shared" si="219"/>
        <v>148102</v>
      </c>
    </row>
    <row r="2820" spans="1:13" x14ac:dyDescent="0.2">
      <c r="A2820">
        <v>155</v>
      </c>
      <c r="B2820">
        <v>96</v>
      </c>
      <c r="C2820">
        <v>251</v>
      </c>
      <c r="D2820" s="51" t="s">
        <v>275</v>
      </c>
      <c r="E2820">
        <f>VLOOKUP(M2820,'MASS - 2016'!$A$1:$G$3418,6,FALSE)</f>
        <v>76648.017999999996</v>
      </c>
      <c r="F2820">
        <f>VLOOKUP(M2820,'MASS - 2016'!$A$1:$G$3418,7,FALSE)</f>
        <v>22.698</v>
      </c>
      <c r="G2820">
        <f t="shared" si="221"/>
        <v>76648.017999999996</v>
      </c>
      <c r="H2820">
        <f t="shared" si="217"/>
        <v>251.08228503133739</v>
      </c>
      <c r="I2820">
        <f t="shared" si="218"/>
        <v>233.88165732899998</v>
      </c>
      <c r="J2820">
        <f t="shared" si="220"/>
        <v>233832.60132899997</v>
      </c>
      <c r="M2820">
        <f t="shared" si="219"/>
        <v>155096</v>
      </c>
    </row>
    <row r="2821" spans="1:13" x14ac:dyDescent="0.2">
      <c r="A2821">
        <v>154</v>
      </c>
      <c r="B2821">
        <v>97</v>
      </c>
      <c r="C2821">
        <v>251</v>
      </c>
      <c r="D2821" s="51" t="s">
        <v>277</v>
      </c>
      <c r="E2821">
        <f>VLOOKUP(M2821,'MASS - 2016'!$A$1:$G$3418,6,FALSE)</f>
        <v>75228.017999999996</v>
      </c>
      <c r="F2821">
        <f>VLOOKUP(M2821,'MASS - 2016'!$A$1:$G$3418,7,FALSE)</f>
        <v>10.734</v>
      </c>
      <c r="G2821">
        <f t="shared" si="221"/>
        <v>75228.017999999996</v>
      </c>
      <c r="H2821">
        <f t="shared" si="217"/>
        <v>251.0807605986443</v>
      </c>
      <c r="I2821">
        <f t="shared" si="218"/>
        <v>233.88023732899998</v>
      </c>
      <c r="J2821">
        <f t="shared" si="220"/>
        <v>233830.67032899999</v>
      </c>
      <c r="M2821">
        <f t="shared" si="219"/>
        <v>154097</v>
      </c>
    </row>
    <row r="2822" spans="1:13" x14ac:dyDescent="0.2">
      <c r="A2822">
        <v>153</v>
      </c>
      <c r="B2822">
        <v>98</v>
      </c>
      <c r="C2822">
        <v>251</v>
      </c>
      <c r="D2822" s="51" t="s">
        <v>279</v>
      </c>
      <c r="E2822">
        <f>VLOOKUP(M2822,'MASS - 2016'!$A$1:$G$3418,6,FALSE)</f>
        <v>74135.017999999996</v>
      </c>
      <c r="F2822">
        <f>VLOOKUP(M2822,'MASS - 2016'!$A$1:$G$3418,7,FALSE)</f>
        <v>3.9009999999999998</v>
      </c>
      <c r="G2822">
        <f t="shared" si="221"/>
        <v>74135.017999999996</v>
      </c>
      <c r="H2822">
        <f t="shared" si="217"/>
        <v>251.07958721488831</v>
      </c>
      <c r="I2822">
        <f t="shared" si="218"/>
        <v>233.87914432899998</v>
      </c>
      <c r="J2822">
        <f t="shared" si="220"/>
        <v>233829.06632899996</v>
      </c>
      <c r="M2822">
        <f t="shared" si="219"/>
        <v>153098</v>
      </c>
    </row>
    <row r="2823" spans="1:13" x14ac:dyDescent="0.2">
      <c r="A2823">
        <v>152</v>
      </c>
      <c r="B2823">
        <v>99</v>
      </c>
      <c r="C2823">
        <v>251</v>
      </c>
      <c r="D2823" s="51" t="s">
        <v>280</v>
      </c>
      <c r="E2823">
        <f>VLOOKUP(M2823,'MASS - 2016'!$A$1:$G$3418,6,FALSE)</f>
        <v>74512.277000000002</v>
      </c>
      <c r="F2823">
        <f>VLOOKUP(M2823,'MASS - 2016'!$A$1:$G$3418,7,FALSE)</f>
        <v>5.9939999999999998</v>
      </c>
      <c r="G2823">
        <f t="shared" si="221"/>
        <v>74512.277000000002</v>
      </c>
      <c r="H2823">
        <f t="shared" si="217"/>
        <v>251.07999221908082</v>
      </c>
      <c r="I2823">
        <f t="shared" si="218"/>
        <v>233.87952158799999</v>
      </c>
      <c r="J2823">
        <f t="shared" si="220"/>
        <v>233828.932588</v>
      </c>
      <c r="M2823">
        <f t="shared" si="219"/>
        <v>152099</v>
      </c>
    </row>
    <row r="2824" spans="1:13" x14ac:dyDescent="0.2">
      <c r="A2824">
        <v>151</v>
      </c>
      <c r="B2824">
        <v>100</v>
      </c>
      <c r="C2824">
        <v>251</v>
      </c>
      <c r="D2824" s="51" t="s">
        <v>283</v>
      </c>
      <c r="E2824">
        <f>VLOOKUP(M2824,'MASS - 2016'!$A$1:$G$3418,6,FALSE)</f>
        <v>75953.918999999994</v>
      </c>
      <c r="F2824">
        <f>VLOOKUP(M2824,'MASS - 2016'!$A$1:$G$3418,7,FALSE)</f>
        <v>15.202999999999999</v>
      </c>
      <c r="G2824">
        <f t="shared" si="221"/>
        <v>75953.918999999994</v>
      </c>
      <c r="H2824">
        <f t="shared" si="217"/>
        <v>251.08153988541639</v>
      </c>
      <c r="I2824">
        <f t="shared" si="218"/>
        <v>233.88096322999999</v>
      </c>
      <c r="J2824">
        <f t="shared" si="220"/>
        <v>233829.86322999999</v>
      </c>
      <c r="M2824">
        <f t="shared" si="219"/>
        <v>151100</v>
      </c>
    </row>
    <row r="2825" spans="1:13" x14ac:dyDescent="0.2">
      <c r="A2825">
        <v>150</v>
      </c>
      <c r="B2825">
        <v>101</v>
      </c>
      <c r="C2825">
        <v>251</v>
      </c>
      <c r="D2825" s="51" t="s">
        <v>286</v>
      </c>
      <c r="E2825">
        <f>VLOOKUP(M2825,'MASS - 2016'!$A$1:$G$3418,6,FALSE)</f>
        <v>78966.744000000006</v>
      </c>
      <c r="F2825">
        <f>VLOOKUP(M2825,'MASS - 2016'!$A$1:$G$3418,7,FALSE)</f>
        <v>18.919</v>
      </c>
      <c r="G2825">
        <f t="shared" si="221"/>
        <v>78966.744000000006</v>
      </c>
      <c r="H2825">
        <f t="shared" ref="H2825:H2888" si="222">(C2825*$A$3+G2825/1000000)/$A$3</f>
        <v>251.08477428607031</v>
      </c>
      <c r="I2825">
        <f t="shared" ref="I2825:I2888" si="223">H2825*$A$3</f>
        <v>233.88397605500001</v>
      </c>
      <c r="J2825">
        <f t="shared" si="220"/>
        <v>233832.365055</v>
      </c>
      <c r="M2825">
        <f t="shared" ref="M2825:M2888" si="224">1000*A2825+B2825</f>
        <v>150101</v>
      </c>
    </row>
    <row r="2826" spans="1:13" x14ac:dyDescent="0.2">
      <c r="A2826">
        <v>149</v>
      </c>
      <c r="B2826">
        <v>102</v>
      </c>
      <c r="C2826">
        <v>251</v>
      </c>
      <c r="D2826" s="51" t="s">
        <v>288</v>
      </c>
      <c r="E2826" t="str">
        <f>VLOOKUP(M2826,'MASS - 2016'!$A$1:$G$3418,6,FALSE)</f>
        <v>82849#</v>
      </c>
      <c r="F2826" t="str">
        <f>VLOOKUP(M2826,'MASS - 2016'!$A$1:$G$3418,7,FALSE)</f>
        <v>114#</v>
      </c>
      <c r="G2826">
        <f t="shared" si="221"/>
        <v>82849.009999999995</v>
      </c>
      <c r="H2826">
        <f t="shared" si="222"/>
        <v>251.08894207002356</v>
      </c>
      <c r="I2826">
        <f t="shared" si="223"/>
        <v>233.88785832099998</v>
      </c>
      <c r="J2826">
        <f t="shared" si="220"/>
        <v>233835.73632099997</v>
      </c>
      <c r="M2826">
        <f t="shared" si="224"/>
        <v>149102</v>
      </c>
    </row>
    <row r="2827" spans="1:13" x14ac:dyDescent="0.2">
      <c r="A2827">
        <v>148</v>
      </c>
      <c r="B2827">
        <v>103</v>
      </c>
      <c r="C2827">
        <v>251</v>
      </c>
      <c r="D2827" s="51" t="s">
        <v>289</v>
      </c>
      <c r="E2827" t="str">
        <f>VLOOKUP(M2827,'MASS - 2016'!$A$1:$G$3418,6,FALSE)</f>
        <v>87728#</v>
      </c>
      <c r="F2827" t="str">
        <f>VLOOKUP(M2827,'MASS - 2016'!$A$1:$G$3418,7,FALSE)</f>
        <v>298#</v>
      </c>
      <c r="G2827">
        <f t="shared" si="221"/>
        <v>87728.01</v>
      </c>
      <c r="H2827">
        <f t="shared" si="222"/>
        <v>251.0941798919317</v>
      </c>
      <c r="I2827">
        <f t="shared" si="223"/>
        <v>233.892737321</v>
      </c>
      <c r="J2827">
        <f t="shared" si="220"/>
        <v>233840.10432099999</v>
      </c>
      <c r="M2827">
        <f t="shared" si="224"/>
        <v>148103</v>
      </c>
    </row>
    <row r="2828" spans="1:13" x14ac:dyDescent="0.2">
      <c r="A2828">
        <v>156</v>
      </c>
      <c r="B2828">
        <v>96</v>
      </c>
      <c r="C2828">
        <v>252</v>
      </c>
      <c r="D2828" s="51" t="s">
        <v>275</v>
      </c>
      <c r="E2828" t="str">
        <f>VLOOKUP(M2828,'MASS - 2016'!$A$1:$G$3418,6,FALSE)</f>
        <v>79056#</v>
      </c>
      <c r="F2828" t="str">
        <f>VLOOKUP(M2828,'MASS - 2016'!$A$1:$G$3418,7,FALSE)</f>
        <v>298#</v>
      </c>
      <c r="G2828">
        <f t="shared" si="221"/>
        <v>79056.009999999995</v>
      </c>
      <c r="H2828">
        <f t="shared" si="222"/>
        <v>252.08487011706237</v>
      </c>
      <c r="I2828">
        <f t="shared" si="223"/>
        <v>234.81555938199998</v>
      </c>
      <c r="J2828">
        <f t="shared" ref="J2828:J2891" si="225">1000*I2828-B2828*0.511</f>
        <v>234766.50338199997</v>
      </c>
      <c r="M2828">
        <f t="shared" si="224"/>
        <v>156096</v>
      </c>
    </row>
    <row r="2829" spans="1:13" x14ac:dyDescent="0.2">
      <c r="A2829">
        <v>155</v>
      </c>
      <c r="B2829">
        <v>97</v>
      </c>
      <c r="C2829">
        <v>252</v>
      </c>
      <c r="D2829" s="51" t="s">
        <v>277</v>
      </c>
      <c r="E2829" t="str">
        <f>VLOOKUP(M2829,'MASS - 2016'!$A$1:$G$3418,6,FALSE)</f>
        <v>78535#</v>
      </c>
      <c r="F2829" t="str">
        <f>VLOOKUP(M2829,'MASS - 2016'!$A$1:$G$3418,7,FALSE)</f>
        <v>200#</v>
      </c>
      <c r="G2829">
        <f t="shared" si="221"/>
        <v>78535.009999999995</v>
      </c>
      <c r="H2829">
        <f t="shared" si="222"/>
        <v>252.08431080056022</v>
      </c>
      <c r="I2829">
        <f t="shared" si="223"/>
        <v>234.81503838199998</v>
      </c>
      <c r="J2829">
        <f t="shared" si="225"/>
        <v>234765.47138199996</v>
      </c>
      <c r="M2829">
        <f t="shared" si="224"/>
        <v>155097</v>
      </c>
    </row>
    <row r="2830" spans="1:13" x14ac:dyDescent="0.2">
      <c r="A2830">
        <v>154</v>
      </c>
      <c r="B2830">
        <v>98</v>
      </c>
      <c r="C2830">
        <v>252</v>
      </c>
      <c r="D2830" s="51" t="s">
        <v>279</v>
      </c>
      <c r="E2830">
        <f>VLOOKUP(M2830,'MASS - 2016'!$A$1:$G$3418,6,FALSE)</f>
        <v>76034.616999999998</v>
      </c>
      <c r="F2830">
        <f>VLOOKUP(M2830,'MASS - 2016'!$A$1:$G$3418,7,FALSE)</f>
        <v>2.3580000000000001</v>
      </c>
      <c r="G2830">
        <f t="shared" si="221"/>
        <v>76034.616999999998</v>
      </c>
      <c r="H2830">
        <f t="shared" si="222"/>
        <v>252.08162651828221</v>
      </c>
      <c r="I2830">
        <f t="shared" si="223"/>
        <v>234.81253798899999</v>
      </c>
      <c r="J2830">
        <f t="shared" si="225"/>
        <v>234762.459989</v>
      </c>
      <c r="M2830">
        <f t="shared" si="224"/>
        <v>154098</v>
      </c>
    </row>
    <row r="2831" spans="1:13" x14ac:dyDescent="0.2">
      <c r="A2831">
        <v>153</v>
      </c>
      <c r="B2831">
        <v>99</v>
      </c>
      <c r="C2831">
        <v>252</v>
      </c>
      <c r="D2831" s="51" t="s">
        <v>280</v>
      </c>
      <c r="E2831">
        <f>VLOOKUP(M2831,'MASS - 2016'!$A$1:$G$3418,6,FALSE)</f>
        <v>77294.616999999998</v>
      </c>
      <c r="F2831">
        <f>VLOOKUP(M2831,'MASS - 2016'!$A$1:$G$3418,7,FALSE)</f>
        <v>50.055999999999997</v>
      </c>
      <c r="G2831">
        <f t="shared" ref="G2831:G2894" si="226">IF(ISNUMBER(E2831),E2831,VALUE(SUBSTITUTE(E2831,"#",".01")))</f>
        <v>77294.616999999998</v>
      </c>
      <c r="H2831">
        <f t="shared" si="222"/>
        <v>252.08297918391131</v>
      </c>
      <c r="I2831">
        <f t="shared" si="223"/>
        <v>234.81379798899999</v>
      </c>
      <c r="J2831">
        <f t="shared" si="225"/>
        <v>234763.20898899998</v>
      </c>
      <c r="M2831">
        <f t="shared" si="224"/>
        <v>153099</v>
      </c>
    </row>
    <row r="2832" spans="1:13" x14ac:dyDescent="0.2">
      <c r="A2832">
        <v>152</v>
      </c>
      <c r="B2832">
        <v>100</v>
      </c>
      <c r="C2832">
        <v>252</v>
      </c>
      <c r="D2832" s="51" t="s">
        <v>283</v>
      </c>
      <c r="E2832">
        <f>VLOOKUP(M2832,'MASS - 2016'!$A$1:$G$3418,6,FALSE)</f>
        <v>76815.626999999993</v>
      </c>
      <c r="F2832">
        <f>VLOOKUP(M2832,'MASS - 2016'!$A$1:$G$3418,7,FALSE)</f>
        <v>5.4980000000000002</v>
      </c>
      <c r="G2832">
        <f t="shared" si="226"/>
        <v>76815.626999999993</v>
      </c>
      <c r="H2832">
        <f t="shared" si="222"/>
        <v>252.08246496699886</v>
      </c>
      <c r="I2832">
        <f t="shared" si="223"/>
        <v>234.81331899899999</v>
      </c>
      <c r="J2832">
        <f t="shared" si="225"/>
        <v>234762.21899899998</v>
      </c>
      <c r="M2832">
        <f t="shared" si="224"/>
        <v>152100</v>
      </c>
    </row>
    <row r="2833" spans="1:13" x14ac:dyDescent="0.2">
      <c r="A2833">
        <v>151</v>
      </c>
      <c r="B2833">
        <v>101</v>
      </c>
      <c r="C2833">
        <v>252</v>
      </c>
      <c r="D2833" s="51" t="s">
        <v>286</v>
      </c>
      <c r="E2833" t="str">
        <f>VLOOKUP(M2833,'MASS - 2016'!$A$1:$G$3418,6,FALSE)</f>
        <v>80510#</v>
      </c>
      <c r="F2833" t="str">
        <f>VLOOKUP(M2833,'MASS - 2016'!$A$1:$G$3418,7,FALSE)</f>
        <v>130#</v>
      </c>
      <c r="G2833">
        <f t="shared" si="226"/>
        <v>80510.009999999995</v>
      </c>
      <c r="H2833">
        <f t="shared" si="222"/>
        <v>252.08643105025658</v>
      </c>
      <c r="I2833">
        <f t="shared" si="223"/>
        <v>234.817013382</v>
      </c>
      <c r="J2833">
        <f t="shared" si="225"/>
        <v>234765.402382</v>
      </c>
      <c r="M2833">
        <f t="shared" si="224"/>
        <v>151101</v>
      </c>
    </row>
    <row r="2834" spans="1:13" x14ac:dyDescent="0.2">
      <c r="A2834">
        <v>150</v>
      </c>
      <c r="B2834">
        <v>102</v>
      </c>
      <c r="C2834">
        <v>252</v>
      </c>
      <c r="D2834" s="51" t="s">
        <v>288</v>
      </c>
      <c r="E2834">
        <f>VLOOKUP(M2834,'MASS - 2016'!$A$1:$G$3418,6,FALSE)</f>
        <v>82871.426999999996</v>
      </c>
      <c r="F2834">
        <f>VLOOKUP(M2834,'MASS - 2016'!$A$1:$G$3418,7,FALSE)</f>
        <v>9.2919999999999998</v>
      </c>
      <c r="G2834">
        <f t="shared" si="226"/>
        <v>82871.426999999996</v>
      </c>
      <c r="H2834">
        <f t="shared" si="222"/>
        <v>252.08896613566276</v>
      </c>
      <c r="I2834">
        <f t="shared" si="223"/>
        <v>234.81937479899997</v>
      </c>
      <c r="J2834">
        <f t="shared" si="225"/>
        <v>234767.25279899998</v>
      </c>
      <c r="M2834">
        <f t="shared" si="224"/>
        <v>150102</v>
      </c>
    </row>
    <row r="2835" spans="1:13" x14ac:dyDescent="0.2">
      <c r="A2835">
        <v>149</v>
      </c>
      <c r="B2835">
        <v>103</v>
      </c>
      <c r="C2835">
        <v>252</v>
      </c>
      <c r="D2835" s="51" t="s">
        <v>289</v>
      </c>
      <c r="E2835" t="str">
        <f>VLOOKUP(M2835,'MASS - 2016'!$A$1:$G$3418,6,FALSE)</f>
        <v>88737#</v>
      </c>
      <c r="F2835" t="str">
        <f>VLOOKUP(M2835,'MASS - 2016'!$A$1:$G$3418,7,FALSE)</f>
        <v>238#</v>
      </c>
      <c r="G2835">
        <f t="shared" si="226"/>
        <v>88737.01</v>
      </c>
      <c r="H2835">
        <f t="shared" si="222"/>
        <v>252.09526309797909</v>
      </c>
      <c r="I2835">
        <f t="shared" si="223"/>
        <v>234.82524038199998</v>
      </c>
      <c r="J2835">
        <f t="shared" si="225"/>
        <v>234772.60738199999</v>
      </c>
      <c r="M2835">
        <f t="shared" si="224"/>
        <v>149103</v>
      </c>
    </row>
    <row r="2836" spans="1:13" x14ac:dyDescent="0.2">
      <c r="A2836">
        <v>156</v>
      </c>
      <c r="B2836">
        <v>97</v>
      </c>
      <c r="C2836">
        <v>253</v>
      </c>
      <c r="D2836" s="51" t="s">
        <v>277</v>
      </c>
      <c r="E2836" t="str">
        <f>VLOOKUP(M2836,'MASS - 2016'!$A$1:$G$3418,6,FALSE)</f>
        <v>80929#</v>
      </c>
      <c r="F2836" t="str">
        <f>VLOOKUP(M2836,'MASS - 2016'!$A$1:$G$3418,7,FALSE)</f>
        <v>359#</v>
      </c>
      <c r="G2836">
        <f t="shared" si="226"/>
        <v>80929.009999999995</v>
      </c>
      <c r="H2836">
        <f t="shared" si="222"/>
        <v>253.08688086525544</v>
      </c>
      <c r="I2836">
        <f t="shared" si="223"/>
        <v>235.74892644299999</v>
      </c>
      <c r="J2836">
        <f t="shared" si="225"/>
        <v>235699.35944299996</v>
      </c>
      <c r="M2836">
        <f t="shared" si="224"/>
        <v>156097</v>
      </c>
    </row>
    <row r="2837" spans="1:13" x14ac:dyDescent="0.2">
      <c r="A2837">
        <v>155</v>
      </c>
      <c r="B2837">
        <v>98</v>
      </c>
      <c r="C2837">
        <v>253</v>
      </c>
      <c r="D2837" s="51" t="s">
        <v>279</v>
      </c>
      <c r="E2837">
        <f>VLOOKUP(M2837,'MASS - 2016'!$A$1:$G$3418,6,FALSE)</f>
        <v>79301.566999999995</v>
      </c>
      <c r="F2837">
        <f>VLOOKUP(M2837,'MASS - 2016'!$A$1:$G$3418,7,FALSE)</f>
        <v>4.2569999999999997</v>
      </c>
      <c r="G2837">
        <f t="shared" si="226"/>
        <v>79301.566999999995</v>
      </c>
      <c r="H2837">
        <f t="shared" si="222"/>
        <v>253.08513373334324</v>
      </c>
      <c r="I2837">
        <f t="shared" si="223"/>
        <v>235.74729899999997</v>
      </c>
      <c r="J2837">
        <f t="shared" si="225"/>
        <v>235697.22099999996</v>
      </c>
      <c r="M2837">
        <f t="shared" si="224"/>
        <v>155098</v>
      </c>
    </row>
    <row r="2838" spans="1:13" x14ac:dyDescent="0.2">
      <c r="A2838">
        <v>154</v>
      </c>
      <c r="B2838">
        <v>99</v>
      </c>
      <c r="C2838">
        <v>253</v>
      </c>
      <c r="D2838" s="51" t="s">
        <v>280</v>
      </c>
      <c r="E2838">
        <f>VLOOKUP(M2838,'MASS - 2016'!$A$1:$G$3418,6,FALSE)</f>
        <v>79010.538</v>
      </c>
      <c r="F2838">
        <f>VLOOKUP(M2838,'MASS - 2016'!$A$1:$G$3418,7,FALSE)</f>
        <v>1.25</v>
      </c>
      <c r="G2838">
        <f t="shared" si="226"/>
        <v>79010.538</v>
      </c>
      <c r="H2838">
        <f t="shared" si="222"/>
        <v>253.08482130086281</v>
      </c>
      <c r="I2838">
        <f t="shared" si="223"/>
        <v>235.74700797099999</v>
      </c>
      <c r="J2838">
        <f t="shared" si="225"/>
        <v>235696.41897099998</v>
      </c>
      <c r="M2838">
        <f t="shared" si="224"/>
        <v>154099</v>
      </c>
    </row>
    <row r="2839" spans="1:13" x14ac:dyDescent="0.2">
      <c r="A2839">
        <v>153</v>
      </c>
      <c r="B2839">
        <v>100</v>
      </c>
      <c r="C2839">
        <v>253</v>
      </c>
      <c r="D2839" s="51" t="s">
        <v>283</v>
      </c>
      <c r="E2839">
        <f>VLOOKUP(M2839,'MASS - 2016'!$A$1:$G$3418,6,FALSE)</f>
        <v>79345.740000000005</v>
      </c>
      <c r="F2839">
        <f>VLOOKUP(M2839,'MASS - 2016'!$A$1:$G$3418,7,FALSE)</f>
        <v>2.9319999999999999</v>
      </c>
      <c r="G2839">
        <f t="shared" si="226"/>
        <v>79345.740000000005</v>
      </c>
      <c r="H2839">
        <f t="shared" si="222"/>
        <v>253.085181155009</v>
      </c>
      <c r="I2839">
        <f t="shared" si="223"/>
        <v>235.74734317299999</v>
      </c>
      <c r="J2839">
        <f t="shared" si="225"/>
        <v>235696.243173</v>
      </c>
      <c r="M2839">
        <f t="shared" si="224"/>
        <v>153100</v>
      </c>
    </row>
    <row r="2840" spans="1:13" x14ac:dyDescent="0.2">
      <c r="A2840">
        <v>152</v>
      </c>
      <c r="B2840">
        <v>101</v>
      </c>
      <c r="C2840">
        <v>253</v>
      </c>
      <c r="D2840" s="51" t="s">
        <v>286</v>
      </c>
      <c r="E2840" t="str">
        <f>VLOOKUP(M2840,'MASS - 2016'!$A$1:$G$3418,6,FALSE)</f>
        <v>81173#</v>
      </c>
      <c r="F2840" t="str">
        <f>VLOOKUP(M2840,'MASS - 2016'!$A$1:$G$3418,7,FALSE)</f>
        <v>31#</v>
      </c>
      <c r="G2840">
        <f t="shared" si="226"/>
        <v>81173.009999999995</v>
      </c>
      <c r="H2840">
        <f t="shared" si="222"/>
        <v>253.08714281002804</v>
      </c>
      <c r="I2840">
        <f t="shared" si="223"/>
        <v>235.74917044299997</v>
      </c>
      <c r="J2840">
        <f t="shared" si="225"/>
        <v>235697.55944299998</v>
      </c>
      <c r="M2840">
        <f t="shared" si="224"/>
        <v>152101</v>
      </c>
    </row>
    <row r="2841" spans="1:13" x14ac:dyDescent="0.2">
      <c r="A2841">
        <v>151</v>
      </c>
      <c r="B2841">
        <v>102</v>
      </c>
      <c r="C2841">
        <v>253</v>
      </c>
      <c r="D2841" s="51" t="s">
        <v>288</v>
      </c>
      <c r="E2841">
        <f>VLOOKUP(M2841,'MASS - 2016'!$A$1:$G$3418,6,FALSE)</f>
        <v>84358.735000000001</v>
      </c>
      <c r="F2841">
        <f>VLOOKUP(M2841,'MASS - 2016'!$A$1:$G$3418,7,FALSE)</f>
        <v>6.9119999999999999</v>
      </c>
      <c r="G2841">
        <f t="shared" si="226"/>
        <v>84358.735000000001</v>
      </c>
      <c r="H2841">
        <f t="shared" si="222"/>
        <v>253.09056282646549</v>
      </c>
      <c r="I2841">
        <f t="shared" si="223"/>
        <v>235.75235616799998</v>
      </c>
      <c r="J2841">
        <f t="shared" si="225"/>
        <v>235700.23416799997</v>
      </c>
      <c r="M2841">
        <f t="shared" si="224"/>
        <v>151102</v>
      </c>
    </row>
    <row r="2842" spans="1:13" x14ac:dyDescent="0.2">
      <c r="A2842">
        <v>150</v>
      </c>
      <c r="B2842">
        <v>103</v>
      </c>
      <c r="C2842">
        <v>253</v>
      </c>
      <c r="D2842" s="51" t="s">
        <v>289</v>
      </c>
      <c r="E2842" t="str">
        <f>VLOOKUP(M2842,'MASS - 2016'!$A$1:$G$3418,6,FALSE)</f>
        <v>88575#</v>
      </c>
      <c r="F2842" t="str">
        <f>VLOOKUP(M2842,'MASS - 2016'!$A$1:$G$3418,7,FALSE)</f>
        <v>202#</v>
      </c>
      <c r="G2842">
        <f t="shared" si="226"/>
        <v>88575.01</v>
      </c>
      <c r="H2842">
        <f t="shared" si="222"/>
        <v>253.09508918382679</v>
      </c>
      <c r="I2842">
        <f t="shared" si="223"/>
        <v>235.75657244299998</v>
      </c>
      <c r="J2842">
        <f t="shared" si="225"/>
        <v>235703.93944299998</v>
      </c>
      <c r="M2842">
        <f t="shared" si="224"/>
        <v>150103</v>
      </c>
    </row>
    <row r="2843" spans="1:13" x14ac:dyDescent="0.2">
      <c r="A2843">
        <v>149</v>
      </c>
      <c r="B2843">
        <v>104</v>
      </c>
      <c r="C2843">
        <v>253</v>
      </c>
      <c r="D2843" s="51" t="s">
        <v>292</v>
      </c>
      <c r="E2843" t="str">
        <f>VLOOKUP(M2843,'MASS - 2016'!$A$1:$G$3418,6,FALSE)</f>
        <v>93557#</v>
      </c>
      <c r="F2843" t="str">
        <f>VLOOKUP(M2843,'MASS - 2016'!$A$1:$G$3418,7,FALSE)</f>
        <v>410#</v>
      </c>
      <c r="G2843">
        <f t="shared" si="226"/>
        <v>93557.01</v>
      </c>
      <c r="H2843">
        <f t="shared" si="222"/>
        <v>253.1004375807824</v>
      </c>
      <c r="I2843">
        <f t="shared" si="223"/>
        <v>235.76155444299999</v>
      </c>
      <c r="J2843">
        <f t="shared" si="225"/>
        <v>235708.410443</v>
      </c>
      <c r="M2843">
        <f t="shared" si="224"/>
        <v>149104</v>
      </c>
    </row>
    <row r="2844" spans="1:13" x14ac:dyDescent="0.2">
      <c r="A2844">
        <v>157</v>
      </c>
      <c r="B2844">
        <v>97</v>
      </c>
      <c r="C2844">
        <v>254</v>
      </c>
      <c r="D2844" s="51" t="s">
        <v>277</v>
      </c>
      <c r="E2844" t="str">
        <f>VLOOKUP(M2844,'MASS - 2016'!$A$1:$G$3418,6,FALSE)</f>
        <v>84393#</v>
      </c>
      <c r="F2844" t="str">
        <f>VLOOKUP(M2844,'MASS - 2016'!$A$1:$G$3418,7,FALSE)</f>
        <v>298#</v>
      </c>
      <c r="G2844">
        <f t="shared" si="226"/>
        <v>84393.01</v>
      </c>
      <c r="H2844">
        <f t="shared" si="222"/>
        <v>254.09059962219129</v>
      </c>
      <c r="I2844">
        <f t="shared" si="223"/>
        <v>236.68388450400002</v>
      </c>
      <c r="J2844">
        <f t="shared" si="225"/>
        <v>236634.31750400001</v>
      </c>
      <c r="M2844">
        <f t="shared" si="224"/>
        <v>157097</v>
      </c>
    </row>
    <row r="2845" spans="1:13" x14ac:dyDescent="0.2">
      <c r="A2845">
        <v>156</v>
      </c>
      <c r="B2845">
        <v>98</v>
      </c>
      <c r="C2845">
        <v>254</v>
      </c>
      <c r="D2845" s="51" t="s">
        <v>279</v>
      </c>
      <c r="E2845">
        <f>VLOOKUP(M2845,'MASS - 2016'!$A$1:$G$3418,6,FALSE)</f>
        <v>81341.400999999998</v>
      </c>
      <c r="F2845">
        <f>VLOOKUP(M2845,'MASS - 2016'!$A$1:$G$3418,7,FALSE)</f>
        <v>11.462</v>
      </c>
      <c r="G2845">
        <f t="shared" si="226"/>
        <v>81341.400999999998</v>
      </c>
      <c r="H2845">
        <f t="shared" si="222"/>
        <v>254.08732358520106</v>
      </c>
      <c r="I2845">
        <f t="shared" si="223"/>
        <v>236.68083289500001</v>
      </c>
      <c r="J2845">
        <f t="shared" si="225"/>
        <v>236630.75489499999</v>
      </c>
      <c r="M2845">
        <f t="shared" si="224"/>
        <v>156098</v>
      </c>
    </row>
    <row r="2846" spans="1:13" x14ac:dyDescent="0.2">
      <c r="A2846">
        <v>155</v>
      </c>
      <c r="B2846">
        <v>99</v>
      </c>
      <c r="C2846">
        <v>254</v>
      </c>
      <c r="D2846" s="51" t="s">
        <v>280</v>
      </c>
      <c r="E2846">
        <f>VLOOKUP(M2846,'MASS - 2016'!$A$1:$G$3418,6,FALSE)</f>
        <v>81990.593999999997</v>
      </c>
      <c r="F2846">
        <f>VLOOKUP(M2846,'MASS - 2016'!$A$1:$G$3418,7,FALSE)</f>
        <v>4.01</v>
      </c>
      <c r="G2846">
        <f t="shared" si="226"/>
        <v>81990.593999999997</v>
      </c>
      <c r="H2846">
        <f t="shared" si="222"/>
        <v>254.08802052254845</v>
      </c>
      <c r="I2846">
        <f t="shared" si="223"/>
        <v>236.681482088</v>
      </c>
      <c r="J2846">
        <f t="shared" si="225"/>
        <v>236630.89308799998</v>
      </c>
      <c r="M2846">
        <f t="shared" si="224"/>
        <v>155099</v>
      </c>
    </row>
    <row r="2847" spans="1:13" x14ac:dyDescent="0.2">
      <c r="A2847">
        <v>154</v>
      </c>
      <c r="B2847">
        <v>100</v>
      </c>
      <c r="C2847">
        <v>254</v>
      </c>
      <c r="D2847" s="51" t="s">
        <v>283</v>
      </c>
      <c r="E2847">
        <f>VLOOKUP(M2847,'MASS - 2016'!$A$1:$G$3418,6,FALSE)</f>
        <v>80902.793999999994</v>
      </c>
      <c r="F2847">
        <f>VLOOKUP(M2847,'MASS - 2016'!$A$1:$G$3418,7,FALSE)</f>
        <v>2.4140000000000001</v>
      </c>
      <c r="G2847">
        <f t="shared" si="226"/>
        <v>80902.793999999994</v>
      </c>
      <c r="H2847">
        <f t="shared" si="222"/>
        <v>254.08685272122202</v>
      </c>
      <c r="I2847">
        <f t="shared" si="223"/>
        <v>236.680394288</v>
      </c>
      <c r="J2847">
        <f t="shared" si="225"/>
        <v>236629.294288</v>
      </c>
      <c r="M2847">
        <f t="shared" si="224"/>
        <v>154100</v>
      </c>
    </row>
    <row r="2848" spans="1:13" x14ac:dyDescent="0.2">
      <c r="A2848">
        <v>153</v>
      </c>
      <c r="B2848">
        <v>101</v>
      </c>
      <c r="C2848">
        <v>254</v>
      </c>
      <c r="D2848" s="51" t="s">
        <v>286</v>
      </c>
      <c r="E2848" t="str">
        <f>VLOOKUP(M2848,'MASS - 2016'!$A$1:$G$3418,6,FALSE)</f>
        <v>83453#</v>
      </c>
      <c r="F2848" t="str">
        <f>VLOOKUP(M2848,'MASS - 2016'!$A$1:$G$3418,7,FALSE)</f>
        <v>100#</v>
      </c>
      <c r="G2848">
        <f t="shared" si="226"/>
        <v>83453.009999999995</v>
      </c>
      <c r="H2848">
        <f t="shared" si="222"/>
        <v>254.0895904906902</v>
      </c>
      <c r="I2848">
        <f t="shared" si="223"/>
        <v>236.68294450400001</v>
      </c>
      <c r="J2848">
        <f t="shared" si="225"/>
        <v>236631.33350400001</v>
      </c>
      <c r="M2848">
        <f t="shared" si="224"/>
        <v>153101</v>
      </c>
    </row>
    <row r="2849" spans="1:13" x14ac:dyDescent="0.2">
      <c r="A2849">
        <v>152</v>
      </c>
      <c r="B2849">
        <v>102</v>
      </c>
      <c r="C2849">
        <v>254</v>
      </c>
      <c r="D2849" s="51" t="s">
        <v>288</v>
      </c>
      <c r="E2849">
        <f>VLOOKUP(M2849,'MASS - 2016'!$A$1:$G$3418,6,FALSE)</f>
        <v>84723.346999999994</v>
      </c>
      <c r="F2849">
        <f>VLOOKUP(M2849,'MASS - 2016'!$A$1:$G$3418,7,FALSE)</f>
        <v>9.6579999999999995</v>
      </c>
      <c r="G2849">
        <f t="shared" si="226"/>
        <v>84723.346999999994</v>
      </c>
      <c r="H2849">
        <f t="shared" si="222"/>
        <v>254.09095425354516</v>
      </c>
      <c r="I2849">
        <f t="shared" si="223"/>
        <v>236.684214841</v>
      </c>
      <c r="J2849">
        <f t="shared" si="225"/>
        <v>236632.09284100001</v>
      </c>
      <c r="M2849">
        <f t="shared" si="224"/>
        <v>152102</v>
      </c>
    </row>
    <row r="2850" spans="1:13" x14ac:dyDescent="0.2">
      <c r="A2850">
        <v>151</v>
      </c>
      <c r="B2850">
        <v>103</v>
      </c>
      <c r="C2850">
        <v>254</v>
      </c>
      <c r="D2850" s="51" t="s">
        <v>289</v>
      </c>
      <c r="E2850" t="str">
        <f>VLOOKUP(M2850,'MASS - 2016'!$A$1:$G$3418,6,FALSE)</f>
        <v>89871#</v>
      </c>
      <c r="F2850" t="str">
        <f>VLOOKUP(M2850,'MASS - 2016'!$A$1:$G$3418,7,FALSE)</f>
        <v>301#</v>
      </c>
      <c r="G2850">
        <f t="shared" si="226"/>
        <v>89871.01</v>
      </c>
      <c r="H2850">
        <f t="shared" si="222"/>
        <v>254.09648049704529</v>
      </c>
      <c r="I2850">
        <f t="shared" si="223"/>
        <v>236.689362504</v>
      </c>
      <c r="J2850">
        <f t="shared" si="225"/>
        <v>236636.72950399999</v>
      </c>
      <c r="M2850">
        <f t="shared" si="224"/>
        <v>151103</v>
      </c>
    </row>
    <row r="2851" spans="1:13" x14ac:dyDescent="0.2">
      <c r="A2851">
        <v>150</v>
      </c>
      <c r="B2851">
        <v>104</v>
      </c>
      <c r="C2851">
        <v>254</v>
      </c>
      <c r="D2851" s="51" t="s">
        <v>292</v>
      </c>
      <c r="E2851" t="str">
        <f>VLOOKUP(M2851,'MASS - 2016'!$A$1:$G$3418,6,FALSE)</f>
        <v>93199#</v>
      </c>
      <c r="F2851" t="str">
        <f>VLOOKUP(M2851,'MASS - 2016'!$A$1:$G$3418,7,FALSE)</f>
        <v>283#</v>
      </c>
      <c r="G2851">
        <f t="shared" si="226"/>
        <v>93199.01</v>
      </c>
      <c r="H2851">
        <f t="shared" si="222"/>
        <v>254.10005325197668</v>
      </c>
      <c r="I2851">
        <f t="shared" si="223"/>
        <v>236.69269050400001</v>
      </c>
      <c r="J2851">
        <f t="shared" si="225"/>
        <v>236639.546504</v>
      </c>
      <c r="M2851">
        <f t="shared" si="224"/>
        <v>150104</v>
      </c>
    </row>
    <row r="2852" spans="1:13" x14ac:dyDescent="0.2">
      <c r="A2852">
        <v>157</v>
      </c>
      <c r="B2852">
        <v>98</v>
      </c>
      <c r="C2852">
        <v>255</v>
      </c>
      <c r="D2852" s="51" t="s">
        <v>279</v>
      </c>
      <c r="E2852" t="str">
        <f>VLOOKUP(M2852,'MASS - 2016'!$A$1:$G$3418,6,FALSE)</f>
        <v>84809#</v>
      </c>
      <c r="F2852" t="str">
        <f>VLOOKUP(M2852,'MASS - 2016'!$A$1:$G$3418,7,FALSE)</f>
        <v>200#</v>
      </c>
      <c r="G2852">
        <f t="shared" si="226"/>
        <v>84809.01</v>
      </c>
      <c r="H2852">
        <f t="shared" si="222"/>
        <v>255.09104621655769</v>
      </c>
      <c r="I2852">
        <f t="shared" si="223"/>
        <v>237.61579456499999</v>
      </c>
      <c r="J2852">
        <f t="shared" si="225"/>
        <v>237565.71656499998</v>
      </c>
      <c r="M2852">
        <f t="shared" si="224"/>
        <v>157098</v>
      </c>
    </row>
    <row r="2853" spans="1:13" x14ac:dyDescent="0.2">
      <c r="A2853">
        <v>156</v>
      </c>
      <c r="B2853">
        <v>99</v>
      </c>
      <c r="C2853">
        <v>255</v>
      </c>
      <c r="D2853" s="51" t="s">
        <v>280</v>
      </c>
      <c r="E2853">
        <f>VLOOKUP(M2853,'MASS - 2016'!$A$1:$G$3418,6,FALSE)</f>
        <v>84089.274000000005</v>
      </c>
      <c r="F2853">
        <f>VLOOKUP(M2853,'MASS - 2016'!$A$1:$G$3418,7,FALSE)</f>
        <v>10.817</v>
      </c>
      <c r="G2853">
        <f t="shared" si="226"/>
        <v>84089.274000000005</v>
      </c>
      <c r="H2853">
        <f t="shared" si="222"/>
        <v>255.09027354818531</v>
      </c>
      <c r="I2853">
        <f t="shared" si="223"/>
        <v>237.61507482900001</v>
      </c>
      <c r="J2853">
        <f t="shared" si="225"/>
        <v>237564.48582900001</v>
      </c>
      <c r="M2853">
        <f t="shared" si="224"/>
        <v>156099</v>
      </c>
    </row>
    <row r="2854" spans="1:13" x14ac:dyDescent="0.2">
      <c r="A2854">
        <v>155</v>
      </c>
      <c r="B2854">
        <v>100</v>
      </c>
      <c r="C2854">
        <v>255</v>
      </c>
      <c r="D2854" s="51" t="s">
        <v>283</v>
      </c>
      <c r="E2854">
        <f>VLOOKUP(M2854,'MASS - 2016'!$A$1:$G$3418,6,FALSE)</f>
        <v>83799.653999999995</v>
      </c>
      <c r="F2854">
        <f>VLOOKUP(M2854,'MASS - 2016'!$A$1:$G$3418,7,FALSE)</f>
        <v>4.2910000000000004</v>
      </c>
      <c r="G2854">
        <f t="shared" si="226"/>
        <v>83799.653999999995</v>
      </c>
      <c r="H2854">
        <f t="shared" si="222"/>
        <v>255.08996262832855</v>
      </c>
      <c r="I2854">
        <f t="shared" si="223"/>
        <v>237.61478520899999</v>
      </c>
      <c r="J2854">
        <f t="shared" si="225"/>
        <v>237563.68520899999</v>
      </c>
      <c r="M2854">
        <f t="shared" si="224"/>
        <v>155100</v>
      </c>
    </row>
    <row r="2855" spans="1:13" x14ac:dyDescent="0.2">
      <c r="A2855">
        <v>154</v>
      </c>
      <c r="B2855">
        <v>101</v>
      </c>
      <c r="C2855">
        <v>255</v>
      </c>
      <c r="D2855" s="51" t="s">
        <v>286</v>
      </c>
      <c r="E2855">
        <f>VLOOKUP(M2855,'MASS - 2016'!$A$1:$G$3418,6,FALSE)</f>
        <v>84843.07</v>
      </c>
      <c r="F2855">
        <f>VLOOKUP(M2855,'MASS - 2016'!$A$1:$G$3418,7,FALSE)</f>
        <v>6.5529999999999999</v>
      </c>
      <c r="G2855">
        <f t="shared" si="226"/>
        <v>84843.07</v>
      </c>
      <c r="H2855">
        <f t="shared" si="222"/>
        <v>255.09108278147144</v>
      </c>
      <c r="I2855">
        <f t="shared" si="223"/>
        <v>237.61582862500001</v>
      </c>
      <c r="J2855">
        <f t="shared" si="225"/>
        <v>237564.21762499999</v>
      </c>
      <c r="M2855">
        <f t="shared" si="224"/>
        <v>154101</v>
      </c>
    </row>
    <row r="2856" spans="1:13" x14ac:dyDescent="0.2">
      <c r="A2856">
        <v>153</v>
      </c>
      <c r="B2856">
        <v>102</v>
      </c>
      <c r="C2856">
        <v>255</v>
      </c>
      <c r="D2856" s="51" t="s">
        <v>288</v>
      </c>
      <c r="E2856">
        <f>VLOOKUP(M2856,'MASS - 2016'!$A$1:$G$3418,6,FALSE)</f>
        <v>86807.233999999997</v>
      </c>
      <c r="F2856">
        <f>VLOOKUP(M2856,'MASS - 2016'!$A$1:$G$3418,7,FALSE)</f>
        <v>14.904</v>
      </c>
      <c r="G2856">
        <f t="shared" si="226"/>
        <v>86807.233999999997</v>
      </c>
      <c r="H2856">
        <f t="shared" si="222"/>
        <v>255.09319139824339</v>
      </c>
      <c r="I2856">
        <f t="shared" si="223"/>
        <v>237.61779278899999</v>
      </c>
      <c r="J2856">
        <f t="shared" si="225"/>
        <v>237565.670789</v>
      </c>
      <c r="M2856">
        <f t="shared" si="224"/>
        <v>153102</v>
      </c>
    </row>
    <row r="2857" spans="1:13" x14ac:dyDescent="0.2">
      <c r="A2857">
        <v>152</v>
      </c>
      <c r="B2857">
        <v>103</v>
      </c>
      <c r="C2857">
        <v>255</v>
      </c>
      <c r="D2857" s="51" t="s">
        <v>289</v>
      </c>
      <c r="E2857">
        <f>VLOOKUP(M2857,'MASS - 2016'!$A$1:$G$3418,6,FALSE)</f>
        <v>89947.3</v>
      </c>
      <c r="F2857">
        <f>VLOOKUP(M2857,'MASS - 2016'!$A$1:$G$3418,7,FALSE)</f>
        <v>17.698</v>
      </c>
      <c r="G2857">
        <f t="shared" si="226"/>
        <v>89947.3</v>
      </c>
      <c r="H2857">
        <f t="shared" si="222"/>
        <v>255.09656239772849</v>
      </c>
      <c r="I2857">
        <f t="shared" si="223"/>
        <v>237.62093285500001</v>
      </c>
      <c r="J2857">
        <f t="shared" si="225"/>
        <v>237568.29985500002</v>
      </c>
      <c r="M2857">
        <f t="shared" si="224"/>
        <v>152103</v>
      </c>
    </row>
    <row r="2858" spans="1:13" x14ac:dyDescent="0.2">
      <c r="A2858">
        <v>151</v>
      </c>
      <c r="B2858">
        <v>104</v>
      </c>
      <c r="C2858">
        <v>255</v>
      </c>
      <c r="D2858" s="51" t="s">
        <v>292</v>
      </c>
      <c r="E2858" t="str">
        <f>VLOOKUP(M2858,'MASS - 2016'!$A$1:$G$3418,6,FALSE)</f>
        <v>94330#</v>
      </c>
      <c r="F2858" t="str">
        <f>VLOOKUP(M2858,'MASS - 2016'!$A$1:$G$3418,7,FALSE)</f>
        <v>115#</v>
      </c>
      <c r="G2858">
        <f t="shared" si="226"/>
        <v>94330.01</v>
      </c>
      <c r="H2858">
        <f t="shared" si="222"/>
        <v>255.10126743041039</v>
      </c>
      <c r="I2858">
        <f t="shared" si="223"/>
        <v>237.62531556499999</v>
      </c>
      <c r="J2858">
        <f t="shared" si="225"/>
        <v>237572.171565</v>
      </c>
      <c r="M2858">
        <f t="shared" si="224"/>
        <v>151104</v>
      </c>
    </row>
    <row r="2859" spans="1:13" x14ac:dyDescent="0.2">
      <c r="A2859">
        <v>150</v>
      </c>
      <c r="B2859">
        <v>105</v>
      </c>
      <c r="C2859">
        <v>255</v>
      </c>
      <c r="D2859" s="51" t="s">
        <v>294</v>
      </c>
      <c r="E2859" t="str">
        <f>VLOOKUP(M2859,'MASS - 2016'!$A$1:$G$3418,6,FALSE)</f>
        <v>99593#</v>
      </c>
      <c r="F2859" t="str">
        <f>VLOOKUP(M2859,'MASS - 2016'!$A$1:$G$3418,7,FALSE)</f>
        <v>359#</v>
      </c>
      <c r="G2859">
        <f t="shared" si="226"/>
        <v>99593.01</v>
      </c>
      <c r="H2859">
        <f t="shared" si="222"/>
        <v>255.10691749327214</v>
      </c>
      <c r="I2859">
        <f t="shared" si="223"/>
        <v>237.63057856500001</v>
      </c>
      <c r="J2859">
        <f t="shared" si="225"/>
        <v>237576.923565</v>
      </c>
      <c r="M2859">
        <f t="shared" si="224"/>
        <v>150105</v>
      </c>
    </row>
    <row r="2860" spans="1:13" x14ac:dyDescent="0.2">
      <c r="A2860">
        <v>158</v>
      </c>
      <c r="B2860">
        <v>98</v>
      </c>
      <c r="C2860">
        <v>256</v>
      </c>
      <c r="D2860" s="51" t="s">
        <v>279</v>
      </c>
      <c r="E2860" t="str">
        <f>VLOOKUP(M2860,'MASS - 2016'!$A$1:$G$3418,6,FALSE)</f>
        <v>87041#</v>
      </c>
      <c r="F2860" t="str">
        <f>VLOOKUP(M2860,'MASS - 2016'!$A$1:$G$3418,7,FALSE)</f>
        <v>314#</v>
      </c>
      <c r="G2860">
        <f t="shared" si="226"/>
        <v>87041.01</v>
      </c>
      <c r="H2860">
        <f t="shared" si="222"/>
        <v>256.09344236710064</v>
      </c>
      <c r="I2860">
        <f t="shared" si="223"/>
        <v>238.54952062600003</v>
      </c>
      <c r="J2860">
        <f t="shared" si="225"/>
        <v>238499.44262600003</v>
      </c>
      <c r="M2860">
        <f t="shared" si="224"/>
        <v>158098</v>
      </c>
    </row>
    <row r="2861" spans="1:13" x14ac:dyDescent="0.2">
      <c r="A2861">
        <v>157</v>
      </c>
      <c r="B2861">
        <v>99</v>
      </c>
      <c r="C2861">
        <v>256</v>
      </c>
      <c r="D2861" s="51" t="s">
        <v>280</v>
      </c>
      <c r="E2861" t="str">
        <f>VLOOKUP(M2861,'MASS - 2016'!$A$1:$G$3418,6,FALSE)</f>
        <v>87187#</v>
      </c>
      <c r="F2861" t="str">
        <f>VLOOKUP(M2861,'MASS - 2016'!$A$1:$G$3418,7,FALSE)</f>
        <v>100#</v>
      </c>
      <c r="G2861">
        <f t="shared" si="226"/>
        <v>87187.01</v>
      </c>
      <c r="H2861">
        <f t="shared" si="222"/>
        <v>256.09359910454651</v>
      </c>
      <c r="I2861">
        <f t="shared" si="223"/>
        <v>238.549666626</v>
      </c>
      <c r="J2861">
        <f t="shared" si="225"/>
        <v>238499.07762599998</v>
      </c>
      <c r="M2861">
        <f t="shared" si="224"/>
        <v>157099</v>
      </c>
    </row>
    <row r="2862" spans="1:13" x14ac:dyDescent="0.2">
      <c r="A2862">
        <v>156</v>
      </c>
      <c r="B2862">
        <v>100</v>
      </c>
      <c r="C2862">
        <v>256</v>
      </c>
      <c r="D2862" s="51" t="s">
        <v>283</v>
      </c>
      <c r="E2862">
        <f>VLOOKUP(M2862,'MASS - 2016'!$A$1:$G$3418,6,FALSE)</f>
        <v>85486.816999999995</v>
      </c>
      <c r="F2862">
        <f>VLOOKUP(M2862,'MASS - 2016'!$A$1:$G$3418,7,FALSE)</f>
        <v>5.6</v>
      </c>
      <c r="G2862">
        <f t="shared" si="226"/>
        <v>85486.816999999995</v>
      </c>
      <c r="H2862">
        <f t="shared" si="222"/>
        <v>256.09177387229738</v>
      </c>
      <c r="I2862">
        <f t="shared" si="223"/>
        <v>238.54796643299997</v>
      </c>
      <c r="J2862">
        <f t="shared" si="225"/>
        <v>238496.86643299996</v>
      </c>
      <c r="M2862">
        <f t="shared" si="224"/>
        <v>156100</v>
      </c>
    </row>
    <row r="2863" spans="1:13" x14ac:dyDescent="0.2">
      <c r="A2863">
        <v>155</v>
      </c>
      <c r="B2863">
        <v>101</v>
      </c>
      <c r="C2863">
        <v>256</v>
      </c>
      <c r="D2863" s="51" t="s">
        <v>286</v>
      </c>
      <c r="E2863" t="str">
        <f>VLOOKUP(M2863,'MASS - 2016'!$A$1:$G$3418,6,FALSE)</f>
        <v>87456#</v>
      </c>
      <c r="F2863" t="str">
        <f>VLOOKUP(M2863,'MASS - 2016'!$A$1:$G$3418,7,FALSE)</f>
        <v>122#</v>
      </c>
      <c r="G2863">
        <f t="shared" si="226"/>
        <v>87456.01</v>
      </c>
      <c r="H2863">
        <f t="shared" si="222"/>
        <v>256.0938878879229</v>
      </c>
      <c r="I2863">
        <f t="shared" si="223"/>
        <v>238.54993562600001</v>
      </c>
      <c r="J2863">
        <f t="shared" si="225"/>
        <v>238498.32462600002</v>
      </c>
      <c r="M2863">
        <f t="shared" si="224"/>
        <v>155101</v>
      </c>
    </row>
    <row r="2864" spans="1:13" x14ac:dyDescent="0.2">
      <c r="A2864">
        <v>154</v>
      </c>
      <c r="B2864">
        <v>102</v>
      </c>
      <c r="C2864">
        <v>256</v>
      </c>
      <c r="D2864" s="51" t="s">
        <v>288</v>
      </c>
      <c r="E2864">
        <f>VLOOKUP(M2864,'MASS - 2016'!$A$1:$G$3418,6,FALSE)</f>
        <v>87822.062000000005</v>
      </c>
      <c r="F2864">
        <f>VLOOKUP(M2864,'MASS - 2016'!$A$1:$G$3418,7,FALSE)</f>
        <v>7.7430000000000003</v>
      </c>
      <c r="G2864">
        <f t="shared" si="226"/>
        <v>87822.062000000005</v>
      </c>
      <c r="H2864">
        <f t="shared" si="222"/>
        <v>256.09428086090611</v>
      </c>
      <c r="I2864">
        <f t="shared" si="223"/>
        <v>238.55030167800001</v>
      </c>
      <c r="J2864">
        <f t="shared" si="225"/>
        <v>238498.17967800001</v>
      </c>
      <c r="M2864">
        <f t="shared" si="224"/>
        <v>154102</v>
      </c>
    </row>
    <row r="2865" spans="1:13" x14ac:dyDescent="0.2">
      <c r="A2865">
        <v>153</v>
      </c>
      <c r="B2865">
        <v>103</v>
      </c>
      <c r="C2865">
        <v>256</v>
      </c>
      <c r="D2865" s="51" t="s">
        <v>289</v>
      </c>
      <c r="E2865">
        <f>VLOOKUP(M2865,'MASS - 2016'!$A$1:$G$3418,6,FALSE)</f>
        <v>91746.597999999998</v>
      </c>
      <c r="F2865">
        <f>VLOOKUP(M2865,'MASS - 2016'!$A$1:$G$3418,7,FALSE)</f>
        <v>82.903000000000006</v>
      </c>
      <c r="G2865">
        <f t="shared" si="226"/>
        <v>91746.597999999998</v>
      </c>
      <c r="H2865">
        <f t="shared" si="222"/>
        <v>256.09849402357059</v>
      </c>
      <c r="I2865">
        <f t="shared" si="223"/>
        <v>238.55422621400001</v>
      </c>
      <c r="J2865">
        <f t="shared" si="225"/>
        <v>238501.59321400002</v>
      </c>
      <c r="M2865">
        <f t="shared" si="224"/>
        <v>153103</v>
      </c>
    </row>
    <row r="2866" spans="1:13" x14ac:dyDescent="0.2">
      <c r="A2866">
        <v>152</v>
      </c>
      <c r="B2866">
        <v>104</v>
      </c>
      <c r="C2866">
        <v>256</v>
      </c>
      <c r="D2866" s="51" t="s">
        <v>292</v>
      </c>
      <c r="E2866">
        <f>VLOOKUP(M2866,'MASS - 2016'!$A$1:$G$3418,6,FALSE)</f>
        <v>94222.048999999999</v>
      </c>
      <c r="F2866">
        <f>VLOOKUP(M2866,'MASS - 2016'!$A$1:$G$3418,7,FALSE)</f>
        <v>17.847999999999999</v>
      </c>
      <c r="G2866">
        <f t="shared" si="226"/>
        <v>94222.048999999999</v>
      </c>
      <c r="H2866">
        <f t="shared" si="222"/>
        <v>256.10115152951039</v>
      </c>
      <c r="I2866">
        <f t="shared" si="223"/>
        <v>238.55670166499999</v>
      </c>
      <c r="J2866">
        <f t="shared" si="225"/>
        <v>238503.557665</v>
      </c>
      <c r="M2866">
        <f t="shared" si="224"/>
        <v>152104</v>
      </c>
    </row>
    <row r="2867" spans="1:13" x14ac:dyDescent="0.2">
      <c r="A2867">
        <v>151</v>
      </c>
      <c r="B2867">
        <v>105</v>
      </c>
      <c r="C2867">
        <v>256</v>
      </c>
      <c r="D2867" s="51" t="s">
        <v>294</v>
      </c>
      <c r="E2867" t="str">
        <f>VLOOKUP(M2867,'MASS - 2016'!$A$1:$G$3418,6,FALSE)</f>
        <v>100498#</v>
      </c>
      <c r="F2867" t="str">
        <f>VLOOKUP(M2867,'MASS - 2016'!$A$1:$G$3418,7,FALSE)</f>
        <v>240#</v>
      </c>
      <c r="G2867">
        <f t="shared" si="226"/>
        <v>100498.01</v>
      </c>
      <c r="H2867">
        <f t="shared" si="222"/>
        <v>256.10788905072792</v>
      </c>
      <c r="I2867">
        <f t="shared" si="223"/>
        <v>238.56297762599999</v>
      </c>
      <c r="J2867">
        <f t="shared" si="225"/>
        <v>238509.32262599998</v>
      </c>
      <c r="M2867">
        <f t="shared" si="224"/>
        <v>151105</v>
      </c>
    </row>
    <row r="2868" spans="1:13" x14ac:dyDescent="0.2">
      <c r="A2868">
        <v>158</v>
      </c>
      <c r="B2868">
        <v>99</v>
      </c>
      <c r="C2868">
        <v>257</v>
      </c>
      <c r="D2868" s="51" t="s">
        <v>280</v>
      </c>
      <c r="E2868" t="str">
        <f>VLOOKUP(M2868,'MASS - 2016'!$A$1:$G$3418,6,FALSE)</f>
        <v>89403#</v>
      </c>
      <c r="F2868" t="str">
        <f>VLOOKUP(M2868,'MASS - 2016'!$A$1:$G$3418,7,FALSE)</f>
        <v>411#</v>
      </c>
      <c r="G2868">
        <f t="shared" si="226"/>
        <v>89403.01</v>
      </c>
      <c r="H2868">
        <f t="shared" si="222"/>
        <v>257.09597807838304</v>
      </c>
      <c r="I2868">
        <f t="shared" si="223"/>
        <v>239.483376687</v>
      </c>
      <c r="J2868">
        <f t="shared" si="225"/>
        <v>239432.787687</v>
      </c>
      <c r="M2868">
        <f t="shared" si="224"/>
        <v>158099</v>
      </c>
    </row>
    <row r="2869" spans="1:13" x14ac:dyDescent="0.2">
      <c r="A2869">
        <v>157</v>
      </c>
      <c r="B2869">
        <v>100</v>
      </c>
      <c r="C2869">
        <v>257</v>
      </c>
      <c r="D2869" s="51" t="s">
        <v>283</v>
      </c>
      <c r="E2869">
        <f>VLOOKUP(M2869,'MASS - 2016'!$A$1:$G$3418,6,FALSE)</f>
        <v>88590.032999999996</v>
      </c>
      <c r="F2869">
        <f>VLOOKUP(M2869,'MASS - 2016'!$A$1:$G$3418,7,FALSE)</f>
        <v>4.4859999999999998</v>
      </c>
      <c r="G2869">
        <f t="shared" si="226"/>
        <v>88590.032999999996</v>
      </c>
      <c r="H2869">
        <f t="shared" si="222"/>
        <v>257.09510531168058</v>
      </c>
      <c r="I2869">
        <f t="shared" si="223"/>
        <v>239.48256371000002</v>
      </c>
      <c r="J2869">
        <f t="shared" si="225"/>
        <v>239431.46371000001</v>
      </c>
      <c r="M2869">
        <f t="shared" si="224"/>
        <v>157100</v>
      </c>
    </row>
    <row r="2870" spans="1:13" x14ac:dyDescent="0.2">
      <c r="A2870">
        <v>156</v>
      </c>
      <c r="B2870">
        <v>101</v>
      </c>
      <c r="C2870">
        <v>257</v>
      </c>
      <c r="D2870" s="51" t="s">
        <v>286</v>
      </c>
      <c r="E2870">
        <f>VLOOKUP(M2870,'MASS - 2016'!$A$1:$G$3418,6,FALSE)</f>
        <v>88993.053</v>
      </c>
      <c r="F2870">
        <f>VLOOKUP(M2870,'MASS - 2016'!$A$1:$G$3418,7,FALSE)</f>
        <v>1.601</v>
      </c>
      <c r="G2870">
        <f t="shared" si="226"/>
        <v>88993.053</v>
      </c>
      <c r="H2870">
        <f t="shared" si="222"/>
        <v>257.09553797144389</v>
      </c>
      <c r="I2870">
        <f t="shared" si="223"/>
        <v>239.48296672999996</v>
      </c>
      <c r="J2870">
        <f t="shared" si="225"/>
        <v>239431.35572999995</v>
      </c>
      <c r="M2870">
        <f t="shared" si="224"/>
        <v>156101</v>
      </c>
    </row>
    <row r="2871" spans="1:13" x14ac:dyDescent="0.2">
      <c r="A2871">
        <v>155</v>
      </c>
      <c r="B2871">
        <v>102</v>
      </c>
      <c r="C2871">
        <v>257</v>
      </c>
      <c r="D2871" s="51" t="s">
        <v>288</v>
      </c>
      <c r="E2871">
        <f>VLOOKUP(M2871,'MASS - 2016'!$A$1:$G$3418,6,FALSE)</f>
        <v>90247.255999999994</v>
      </c>
      <c r="F2871">
        <f>VLOOKUP(M2871,'MASS - 2016'!$A$1:$G$3418,7,FALSE)</f>
        <v>6.6779999999999999</v>
      </c>
      <c r="G2871">
        <f t="shared" si="226"/>
        <v>90247.255999999994</v>
      </c>
      <c r="H2871">
        <f t="shared" si="222"/>
        <v>257.09688441373754</v>
      </c>
      <c r="I2871">
        <f t="shared" si="223"/>
        <v>239.48422093299999</v>
      </c>
      <c r="J2871">
        <f t="shared" si="225"/>
        <v>239432.09893299997</v>
      </c>
      <c r="M2871">
        <f t="shared" si="224"/>
        <v>155102</v>
      </c>
    </row>
    <row r="2872" spans="1:13" x14ac:dyDescent="0.2">
      <c r="A2872">
        <v>154</v>
      </c>
      <c r="B2872">
        <v>103</v>
      </c>
      <c r="C2872">
        <v>257</v>
      </c>
      <c r="D2872" s="51" t="s">
        <v>289</v>
      </c>
      <c r="E2872" t="str">
        <f>VLOOKUP(M2872,'MASS - 2016'!$A$1:$G$3418,6,FALSE)</f>
        <v>92665#</v>
      </c>
      <c r="F2872" t="str">
        <f>VLOOKUP(M2872,'MASS - 2016'!$A$1:$G$3418,7,FALSE)</f>
        <v>44#</v>
      </c>
      <c r="G2872">
        <f t="shared" si="226"/>
        <v>92665.01</v>
      </c>
      <c r="H2872">
        <f t="shared" si="222"/>
        <v>257.09947997940054</v>
      </c>
      <c r="I2872">
        <f t="shared" si="223"/>
        <v>239.48663868700001</v>
      </c>
      <c r="J2872">
        <f t="shared" si="225"/>
        <v>239434.005687</v>
      </c>
      <c r="M2872">
        <f t="shared" si="224"/>
        <v>154103</v>
      </c>
    </row>
    <row r="2873" spans="1:13" x14ac:dyDescent="0.2">
      <c r="A2873">
        <v>153</v>
      </c>
      <c r="B2873">
        <v>104</v>
      </c>
      <c r="C2873">
        <v>257</v>
      </c>
      <c r="D2873" s="51" t="s">
        <v>292</v>
      </c>
      <c r="E2873">
        <f>VLOOKUP(M2873,'MASS - 2016'!$A$1:$G$3418,6,FALSE)</f>
        <v>95866.426999999996</v>
      </c>
      <c r="F2873">
        <f>VLOOKUP(M2873,'MASS - 2016'!$A$1:$G$3418,7,FALSE)</f>
        <v>10.817</v>
      </c>
      <c r="G2873">
        <f t="shared" si="226"/>
        <v>95866.426999999996</v>
      </c>
      <c r="H2873">
        <f t="shared" si="222"/>
        <v>257.10291684189281</v>
      </c>
      <c r="I2873">
        <f t="shared" si="223"/>
        <v>239.48984010400002</v>
      </c>
      <c r="J2873">
        <f t="shared" si="225"/>
        <v>239436.69610400003</v>
      </c>
      <c r="M2873">
        <f t="shared" si="224"/>
        <v>153104</v>
      </c>
    </row>
    <row r="2874" spans="1:13" x14ac:dyDescent="0.2">
      <c r="A2874">
        <v>152</v>
      </c>
      <c r="B2874">
        <v>105</v>
      </c>
      <c r="C2874">
        <v>257</v>
      </c>
      <c r="D2874" s="51" t="s">
        <v>294</v>
      </c>
      <c r="E2874" t="str">
        <f>VLOOKUP(M2874,'MASS - 2016'!$A$1:$G$3418,6,FALSE)</f>
        <v>100207#</v>
      </c>
      <c r="F2874" t="str">
        <f>VLOOKUP(M2874,'MASS - 2016'!$A$1:$G$3418,7,FALSE)</f>
        <v>203#</v>
      </c>
      <c r="G2874">
        <f t="shared" si="226"/>
        <v>100207.01</v>
      </c>
      <c r="H2874">
        <f t="shared" si="222"/>
        <v>257.10757664938023</v>
      </c>
      <c r="I2874">
        <f t="shared" si="223"/>
        <v>239.49418068699995</v>
      </c>
      <c r="J2874">
        <f t="shared" si="225"/>
        <v>239440.52568699996</v>
      </c>
      <c r="M2874">
        <f t="shared" si="224"/>
        <v>152105</v>
      </c>
    </row>
    <row r="2875" spans="1:13" x14ac:dyDescent="0.2">
      <c r="A2875">
        <v>158</v>
      </c>
      <c r="B2875">
        <v>100</v>
      </c>
      <c r="C2875">
        <v>258</v>
      </c>
      <c r="D2875" s="51" t="s">
        <v>283</v>
      </c>
      <c r="E2875" t="str">
        <f>VLOOKUP(M2875,'MASS - 2016'!$A$1:$G$3418,6,FALSE)</f>
        <v>90426#</v>
      </c>
      <c r="F2875" t="str">
        <f>VLOOKUP(M2875,'MASS - 2016'!$A$1:$G$3418,7,FALSE)</f>
        <v>200#</v>
      </c>
      <c r="G2875">
        <f t="shared" si="226"/>
        <v>90426.01</v>
      </c>
      <c r="H2875">
        <f t="shared" si="222"/>
        <v>258.09707631404854</v>
      </c>
      <c r="I2875">
        <f t="shared" si="223"/>
        <v>240.41589374799997</v>
      </c>
      <c r="J2875">
        <f t="shared" si="225"/>
        <v>240364.79374799997</v>
      </c>
      <c r="M2875">
        <f t="shared" si="224"/>
        <v>158100</v>
      </c>
    </row>
    <row r="2876" spans="1:13" x14ac:dyDescent="0.2">
      <c r="A2876">
        <v>157</v>
      </c>
      <c r="B2876">
        <v>101</v>
      </c>
      <c r="C2876">
        <v>258</v>
      </c>
      <c r="D2876" s="51" t="s">
        <v>286</v>
      </c>
      <c r="E2876">
        <f>VLOOKUP(M2876,'MASS - 2016'!$A$1:$G$3418,6,FALSE)</f>
        <v>91686.792000000001</v>
      </c>
      <c r="F2876">
        <f>VLOOKUP(M2876,'MASS - 2016'!$A$1:$G$3418,7,FALSE)</f>
        <v>4.4189999999999996</v>
      </c>
      <c r="G2876">
        <f t="shared" si="226"/>
        <v>91686.792000000001</v>
      </c>
      <c r="H2876">
        <f t="shared" si="222"/>
        <v>258.09842981918911</v>
      </c>
      <c r="I2876">
        <f t="shared" si="223"/>
        <v>240.41715452999995</v>
      </c>
      <c r="J2876">
        <f t="shared" si="225"/>
        <v>240365.54352999994</v>
      </c>
      <c r="M2876">
        <f t="shared" si="224"/>
        <v>157101</v>
      </c>
    </row>
    <row r="2877" spans="1:13" x14ac:dyDescent="0.2">
      <c r="A2877">
        <v>156</v>
      </c>
      <c r="B2877">
        <v>102</v>
      </c>
      <c r="C2877">
        <v>258</v>
      </c>
      <c r="D2877" s="51" t="s">
        <v>288</v>
      </c>
      <c r="E2877" t="str">
        <f>VLOOKUP(M2877,'MASS - 2016'!$A$1:$G$3418,6,FALSE)</f>
        <v>91478#</v>
      </c>
      <c r="F2877" t="str">
        <f>VLOOKUP(M2877,'MASS - 2016'!$A$1:$G$3418,7,FALSE)</f>
        <v>100#</v>
      </c>
      <c r="G2877">
        <f t="shared" si="226"/>
        <v>91478.01</v>
      </c>
      <c r="H2877">
        <f t="shared" si="222"/>
        <v>258.09820568249438</v>
      </c>
      <c r="I2877">
        <f t="shared" si="223"/>
        <v>240.41694574799996</v>
      </c>
      <c r="J2877">
        <f t="shared" si="225"/>
        <v>240364.82374799997</v>
      </c>
      <c r="M2877">
        <f t="shared" si="224"/>
        <v>156102</v>
      </c>
    </row>
    <row r="2878" spans="1:13" x14ac:dyDescent="0.2">
      <c r="A2878">
        <v>155</v>
      </c>
      <c r="B2878">
        <v>103</v>
      </c>
      <c r="C2878">
        <v>258</v>
      </c>
      <c r="D2878" s="51" t="s">
        <v>289</v>
      </c>
      <c r="E2878" t="str">
        <f>VLOOKUP(M2878,'MASS - 2016'!$A$1:$G$3418,6,FALSE)</f>
        <v>94782#</v>
      </c>
      <c r="F2878" t="str">
        <f>VLOOKUP(M2878,'MASS - 2016'!$A$1:$G$3418,7,FALSE)</f>
        <v>102#</v>
      </c>
      <c r="G2878">
        <f t="shared" si="226"/>
        <v>94782.01</v>
      </c>
      <c r="H2878">
        <f t="shared" si="222"/>
        <v>258.10175267236616</v>
      </c>
      <c r="I2878">
        <f t="shared" si="223"/>
        <v>240.42024974799995</v>
      </c>
      <c r="J2878">
        <f t="shared" si="225"/>
        <v>240367.61674799994</v>
      </c>
      <c r="M2878">
        <f t="shared" si="224"/>
        <v>155103</v>
      </c>
    </row>
    <row r="2879" spans="1:13" x14ac:dyDescent="0.2">
      <c r="A2879">
        <v>154</v>
      </c>
      <c r="B2879">
        <v>104</v>
      </c>
      <c r="C2879">
        <v>258</v>
      </c>
      <c r="D2879" s="51" t="s">
        <v>292</v>
      </c>
      <c r="E2879">
        <f>VLOOKUP(M2879,'MASS - 2016'!$A$1:$G$3418,6,FALSE)</f>
        <v>96341.035999999993</v>
      </c>
      <c r="F2879">
        <f>VLOOKUP(M2879,'MASS - 2016'!$A$1:$G$3418,7,FALSE)</f>
        <v>31.966999999999999</v>
      </c>
      <c r="G2879">
        <f t="shared" si="226"/>
        <v>96341.035999999993</v>
      </c>
      <c r="H2879">
        <f t="shared" si="222"/>
        <v>258.10342635560829</v>
      </c>
      <c r="I2879">
        <f t="shared" si="223"/>
        <v>240.421808774</v>
      </c>
      <c r="J2879">
        <f t="shared" si="225"/>
        <v>240368.664774</v>
      </c>
      <c r="M2879">
        <f t="shared" si="224"/>
        <v>154104</v>
      </c>
    </row>
    <row r="2880" spans="1:13" x14ac:dyDescent="0.2">
      <c r="A2880">
        <v>153</v>
      </c>
      <c r="B2880">
        <v>105</v>
      </c>
      <c r="C2880">
        <v>258</v>
      </c>
      <c r="D2880" s="51" t="s">
        <v>294</v>
      </c>
      <c r="E2880" t="str">
        <f>VLOOKUP(M2880,'MASS - 2016'!$A$1:$G$3418,6,FALSE)</f>
        <v>101797#</v>
      </c>
      <c r="F2880" t="str">
        <f>VLOOKUP(M2880,'MASS - 2016'!$A$1:$G$3418,7,FALSE)</f>
        <v>305#</v>
      </c>
      <c r="G2880">
        <f t="shared" si="226"/>
        <v>101797.01</v>
      </c>
      <c r="H2880">
        <f t="shared" si="222"/>
        <v>258.10928358457886</v>
      </c>
      <c r="I2880">
        <f t="shared" si="223"/>
        <v>240.427264748</v>
      </c>
      <c r="J2880">
        <f t="shared" si="225"/>
        <v>240373.60974799999</v>
      </c>
      <c r="M2880">
        <f t="shared" si="224"/>
        <v>153105</v>
      </c>
    </row>
    <row r="2881" spans="1:13" x14ac:dyDescent="0.2">
      <c r="A2881">
        <v>152</v>
      </c>
      <c r="B2881">
        <v>106</v>
      </c>
      <c r="C2881">
        <v>258</v>
      </c>
      <c r="D2881" s="51" t="s">
        <v>296</v>
      </c>
      <c r="E2881" t="str">
        <f>VLOOKUP(M2881,'MASS - 2016'!$A$1:$G$3418,6,FALSE)</f>
        <v>105244#</v>
      </c>
      <c r="F2881" t="str">
        <f>VLOOKUP(M2881,'MASS - 2016'!$A$1:$G$3418,7,FALSE)</f>
        <v>413#</v>
      </c>
      <c r="G2881">
        <f t="shared" si="226"/>
        <v>105244.01</v>
      </c>
      <c r="H2881">
        <f t="shared" si="222"/>
        <v>258.11298409126408</v>
      </c>
      <c r="I2881">
        <f t="shared" si="223"/>
        <v>240.43071174799996</v>
      </c>
      <c r="J2881">
        <f t="shared" si="225"/>
        <v>240376.54574799997</v>
      </c>
      <c r="M2881">
        <f t="shared" si="224"/>
        <v>152106</v>
      </c>
    </row>
    <row r="2882" spans="1:13" x14ac:dyDescent="0.2">
      <c r="A2882">
        <v>159</v>
      </c>
      <c r="B2882">
        <v>100</v>
      </c>
      <c r="C2882">
        <v>259</v>
      </c>
      <c r="D2882" s="51" t="s">
        <v>283</v>
      </c>
      <c r="E2882" t="str">
        <f>VLOOKUP(M2882,'MASS - 2016'!$A$1:$G$3418,6,FALSE)</f>
        <v>93704#</v>
      </c>
      <c r="F2882" t="str">
        <f>VLOOKUP(M2882,'MASS - 2016'!$A$1:$G$3418,7,FALSE)</f>
        <v>283#</v>
      </c>
      <c r="G2882">
        <f t="shared" si="226"/>
        <v>93704.01</v>
      </c>
      <c r="H2882">
        <f t="shared" si="222"/>
        <v>259.10059539177246</v>
      </c>
      <c r="I2882">
        <f t="shared" si="223"/>
        <v>241.35066580900002</v>
      </c>
      <c r="J2882">
        <f t="shared" si="225"/>
        <v>241299.56580900002</v>
      </c>
      <c r="M2882">
        <f t="shared" si="224"/>
        <v>159100</v>
      </c>
    </row>
    <row r="2883" spans="1:13" x14ac:dyDescent="0.2">
      <c r="A2883">
        <v>158</v>
      </c>
      <c r="B2883">
        <v>101</v>
      </c>
      <c r="C2883">
        <v>259</v>
      </c>
      <c r="D2883" s="51" t="s">
        <v>286</v>
      </c>
      <c r="E2883" t="str">
        <f>VLOOKUP(M2883,'MASS - 2016'!$A$1:$G$3418,6,FALSE)</f>
        <v>93624#</v>
      </c>
      <c r="F2883" t="str">
        <f>VLOOKUP(M2883,'MASS - 2016'!$A$1:$G$3418,7,FALSE)</f>
        <v>200#</v>
      </c>
      <c r="G2883">
        <f t="shared" si="226"/>
        <v>93624.01</v>
      </c>
      <c r="H2883">
        <f t="shared" si="222"/>
        <v>259.10050950824046</v>
      </c>
      <c r="I2883">
        <f t="shared" si="223"/>
        <v>241.35058580900002</v>
      </c>
      <c r="J2883">
        <f t="shared" si="225"/>
        <v>241298.97480900001</v>
      </c>
      <c r="M2883">
        <f t="shared" si="224"/>
        <v>158101</v>
      </c>
    </row>
    <row r="2884" spans="1:13" x14ac:dyDescent="0.2">
      <c r="A2884">
        <v>157</v>
      </c>
      <c r="B2884">
        <v>102</v>
      </c>
      <c r="C2884">
        <v>259</v>
      </c>
      <c r="D2884" s="51" t="s">
        <v>288</v>
      </c>
      <c r="E2884">
        <f>VLOOKUP(M2884,'MASS - 2016'!$A$1:$G$3418,6,FALSE)</f>
        <v>94078.569000000003</v>
      </c>
      <c r="F2884">
        <f>VLOOKUP(M2884,'MASS - 2016'!$A$1:$G$3418,7,FALSE)</f>
        <v>6.5890000000000004</v>
      </c>
      <c r="G2884">
        <f t="shared" si="226"/>
        <v>94078.569000000003</v>
      </c>
      <c r="H2884">
        <f t="shared" si="222"/>
        <v>259.10099749739578</v>
      </c>
      <c r="I2884">
        <f t="shared" si="223"/>
        <v>241.35104036800004</v>
      </c>
      <c r="J2884">
        <f t="shared" si="225"/>
        <v>241298.91836800004</v>
      </c>
      <c r="M2884">
        <f t="shared" si="224"/>
        <v>157102</v>
      </c>
    </row>
    <row r="2885" spans="1:13" x14ac:dyDescent="0.2">
      <c r="A2885">
        <v>156</v>
      </c>
      <c r="B2885">
        <v>103</v>
      </c>
      <c r="C2885">
        <v>259</v>
      </c>
      <c r="D2885" s="51" t="s">
        <v>289</v>
      </c>
      <c r="E2885" t="str">
        <f>VLOOKUP(M2885,'MASS - 2016'!$A$1:$G$3418,6,FALSE)</f>
        <v>95852#</v>
      </c>
      <c r="F2885" t="str">
        <f>VLOOKUP(M2885,'MASS - 2016'!$A$1:$G$3418,7,FALSE)</f>
        <v>71#</v>
      </c>
      <c r="G2885">
        <f t="shared" si="226"/>
        <v>95852.01</v>
      </c>
      <c r="H2885">
        <f t="shared" si="222"/>
        <v>259.10290136460679</v>
      </c>
      <c r="I2885">
        <f t="shared" si="223"/>
        <v>241.35281380900003</v>
      </c>
      <c r="J2885">
        <f t="shared" si="225"/>
        <v>241300.18080900001</v>
      </c>
      <c r="M2885">
        <f t="shared" si="224"/>
        <v>156103</v>
      </c>
    </row>
    <row r="2886" spans="1:13" x14ac:dyDescent="0.2">
      <c r="A2886">
        <v>155</v>
      </c>
      <c r="B2886">
        <v>104</v>
      </c>
      <c r="C2886">
        <v>259</v>
      </c>
      <c r="D2886" s="51" t="s">
        <v>292</v>
      </c>
      <c r="E2886" t="str">
        <f>VLOOKUP(M2886,'MASS - 2016'!$A$1:$G$3418,6,FALSE)</f>
        <v>98362#</v>
      </c>
      <c r="F2886" t="str">
        <f>VLOOKUP(M2886,'MASS - 2016'!$A$1:$G$3418,7,FALSE)</f>
        <v>72#</v>
      </c>
      <c r="G2886">
        <f t="shared" si="226"/>
        <v>98362.01</v>
      </c>
      <c r="H2886">
        <f t="shared" si="222"/>
        <v>259.10559596042344</v>
      </c>
      <c r="I2886">
        <f t="shared" si="223"/>
        <v>241.35532380900003</v>
      </c>
      <c r="J2886">
        <f t="shared" si="225"/>
        <v>241302.17980900002</v>
      </c>
      <c r="M2886">
        <f t="shared" si="224"/>
        <v>155104</v>
      </c>
    </row>
    <row r="2887" spans="1:13" x14ac:dyDescent="0.2">
      <c r="A2887">
        <v>154</v>
      </c>
      <c r="B2887">
        <v>105</v>
      </c>
      <c r="C2887">
        <v>259</v>
      </c>
      <c r="D2887" s="51" t="s">
        <v>294</v>
      </c>
      <c r="E2887">
        <f>VLOOKUP(M2887,'MASS - 2016'!$A$1:$G$3418,6,FALSE)</f>
        <v>101991.016</v>
      </c>
      <c r="F2887">
        <f>VLOOKUP(M2887,'MASS - 2016'!$A$1:$G$3418,7,FALSE)</f>
        <v>53.04</v>
      </c>
      <c r="G2887">
        <f t="shared" si="226"/>
        <v>101991.016</v>
      </c>
      <c r="H2887">
        <f t="shared" si="222"/>
        <v>259.10949185858527</v>
      </c>
      <c r="I2887">
        <f t="shared" si="223"/>
        <v>241.35895281500004</v>
      </c>
      <c r="J2887">
        <f t="shared" si="225"/>
        <v>241305.29781500003</v>
      </c>
      <c r="M2887">
        <f t="shared" si="224"/>
        <v>154105</v>
      </c>
    </row>
    <row r="2888" spans="1:13" x14ac:dyDescent="0.2">
      <c r="A2888">
        <v>153</v>
      </c>
      <c r="B2888">
        <v>106</v>
      </c>
      <c r="C2888">
        <v>259</v>
      </c>
      <c r="D2888" s="51" t="s">
        <v>296</v>
      </c>
      <c r="E2888" t="str">
        <f>VLOOKUP(M2888,'MASS - 2016'!$A$1:$G$3418,6,FALSE)</f>
        <v>106520#</v>
      </c>
      <c r="F2888" t="str">
        <f>VLOOKUP(M2888,'MASS - 2016'!$A$1:$G$3418,7,FALSE)</f>
        <v>115#</v>
      </c>
      <c r="G2888">
        <f t="shared" si="226"/>
        <v>106520.01</v>
      </c>
      <c r="H2888">
        <f t="shared" si="222"/>
        <v>259.1143539335996</v>
      </c>
      <c r="I2888">
        <f t="shared" si="223"/>
        <v>241.36348180900001</v>
      </c>
      <c r="J2888">
        <f t="shared" si="225"/>
        <v>241309.31580900002</v>
      </c>
      <c r="M2888">
        <f t="shared" si="224"/>
        <v>153106</v>
      </c>
    </row>
    <row r="2889" spans="1:13" x14ac:dyDescent="0.2">
      <c r="A2889">
        <v>159</v>
      </c>
      <c r="B2889">
        <v>101</v>
      </c>
      <c r="C2889">
        <v>260</v>
      </c>
      <c r="D2889" s="51" t="s">
        <v>286</v>
      </c>
      <c r="E2889" t="str">
        <f>VLOOKUP(M2889,'MASS - 2016'!$A$1:$G$3418,6,FALSE)</f>
        <v>96552#</v>
      </c>
      <c r="F2889" t="str">
        <f>VLOOKUP(M2889,'MASS - 2016'!$A$1:$G$3418,7,FALSE)</f>
        <v>316#</v>
      </c>
      <c r="G2889">
        <f t="shared" si="226"/>
        <v>96552.01</v>
      </c>
      <c r="H2889">
        <f t="shared" ref="H2889:H2944" si="227">(C2889*$A$3+G2889/1000000)/$A$3</f>
        <v>260.10365284551182</v>
      </c>
      <c r="I2889">
        <f t="shared" ref="I2889:I2944" si="228">H2889*$A$3</f>
        <v>242.28500787000002</v>
      </c>
      <c r="J2889">
        <f t="shared" si="225"/>
        <v>242233.39687</v>
      </c>
      <c r="M2889">
        <f t="shared" ref="M2889:M2944" si="229">1000*A2889+B2889</f>
        <v>159101</v>
      </c>
    </row>
    <row r="2890" spans="1:13" x14ac:dyDescent="0.2">
      <c r="A2890">
        <v>158</v>
      </c>
      <c r="B2890">
        <v>102</v>
      </c>
      <c r="C2890">
        <v>260</v>
      </c>
      <c r="D2890" s="51" t="s">
        <v>288</v>
      </c>
      <c r="E2890" t="str">
        <f>VLOOKUP(M2890,'MASS - 2016'!$A$1:$G$3418,6,FALSE)</f>
        <v>95612#</v>
      </c>
      <c r="F2890" t="str">
        <f>VLOOKUP(M2890,'MASS - 2016'!$A$1:$G$3418,7,FALSE)</f>
        <v>200#</v>
      </c>
      <c r="G2890">
        <f t="shared" si="226"/>
        <v>95612.01</v>
      </c>
      <c r="H2890">
        <f t="shared" si="227"/>
        <v>260.10264371401075</v>
      </c>
      <c r="I2890">
        <f t="shared" si="228"/>
        <v>242.28406787</v>
      </c>
      <c r="J2890">
        <f t="shared" si="225"/>
        <v>242231.94587</v>
      </c>
      <c r="M2890">
        <f t="shared" si="229"/>
        <v>158102</v>
      </c>
    </row>
    <row r="2891" spans="1:13" x14ac:dyDescent="0.2">
      <c r="A2891">
        <v>157</v>
      </c>
      <c r="B2891">
        <v>103</v>
      </c>
      <c r="C2891">
        <v>260</v>
      </c>
      <c r="D2891" s="51" t="s">
        <v>289</v>
      </c>
      <c r="E2891" t="str">
        <f>VLOOKUP(M2891,'MASS - 2016'!$A$1:$G$3418,6,FALSE)</f>
        <v>98277#</v>
      </c>
      <c r="F2891" t="str">
        <f>VLOOKUP(M2891,'MASS - 2016'!$A$1:$G$3418,7,FALSE)</f>
        <v>124#</v>
      </c>
      <c r="G2891">
        <f t="shared" si="226"/>
        <v>98277.01</v>
      </c>
      <c r="H2891">
        <f t="shared" si="227"/>
        <v>260.10550470917065</v>
      </c>
      <c r="I2891">
        <f t="shared" si="228"/>
        <v>242.28673286999998</v>
      </c>
      <c r="J2891">
        <f t="shared" si="225"/>
        <v>242234.09986999998</v>
      </c>
      <c r="M2891">
        <f t="shared" si="229"/>
        <v>157103</v>
      </c>
    </row>
    <row r="2892" spans="1:13" x14ac:dyDescent="0.2">
      <c r="A2892">
        <v>156</v>
      </c>
      <c r="B2892">
        <v>104</v>
      </c>
      <c r="C2892">
        <v>260</v>
      </c>
      <c r="D2892" s="51" t="s">
        <v>292</v>
      </c>
      <c r="E2892" t="str">
        <f>VLOOKUP(M2892,'MASS - 2016'!$A$1:$G$3418,6,FALSE)</f>
        <v>99147#</v>
      </c>
      <c r="F2892" t="str">
        <f>VLOOKUP(M2892,'MASS - 2016'!$A$1:$G$3418,7,FALSE)</f>
        <v>200#</v>
      </c>
      <c r="G2892">
        <f t="shared" si="226"/>
        <v>99147.01</v>
      </c>
      <c r="H2892">
        <f t="shared" si="227"/>
        <v>260.10643869258121</v>
      </c>
      <c r="I2892">
        <f t="shared" si="228"/>
        <v>242.28760287</v>
      </c>
      <c r="J2892">
        <f t="shared" ref="J2892:J2944" si="230">1000*I2892-B2892*0.511</f>
        <v>242234.45887</v>
      </c>
      <c r="M2892">
        <f t="shared" si="229"/>
        <v>156104</v>
      </c>
    </row>
    <row r="2893" spans="1:13" x14ac:dyDescent="0.2">
      <c r="A2893">
        <v>155</v>
      </c>
      <c r="B2893">
        <v>105</v>
      </c>
      <c r="C2893">
        <v>260</v>
      </c>
      <c r="D2893" s="51" t="s">
        <v>294</v>
      </c>
      <c r="E2893" t="str">
        <f>VLOOKUP(M2893,'MASS - 2016'!$A$1:$G$3418,6,FALSE)</f>
        <v>103673#</v>
      </c>
      <c r="F2893" t="str">
        <f>VLOOKUP(M2893,'MASS - 2016'!$A$1:$G$3418,7,FALSE)</f>
        <v>93#</v>
      </c>
      <c r="G2893">
        <f t="shared" si="226"/>
        <v>103673.01</v>
      </c>
      <c r="H2893">
        <f t="shared" si="227"/>
        <v>260.11129755340437</v>
      </c>
      <c r="I2893">
        <f t="shared" si="228"/>
        <v>242.29212887</v>
      </c>
      <c r="J2893">
        <f t="shared" si="230"/>
        <v>242238.47386999999</v>
      </c>
      <c r="M2893">
        <f t="shared" si="229"/>
        <v>155105</v>
      </c>
    </row>
    <row r="2894" spans="1:13" x14ac:dyDescent="0.2">
      <c r="A2894">
        <v>154</v>
      </c>
      <c r="B2894">
        <v>106</v>
      </c>
      <c r="C2894">
        <v>260</v>
      </c>
      <c r="D2894" s="51" t="s">
        <v>296</v>
      </c>
      <c r="E2894">
        <f>VLOOKUP(M2894,'MASS - 2016'!$A$1:$G$3418,6,FALSE)</f>
        <v>106547.552</v>
      </c>
      <c r="F2894">
        <f>VLOOKUP(M2894,'MASS - 2016'!$A$1:$G$3418,7,FALSE)</f>
        <v>20.536000000000001</v>
      </c>
      <c r="G2894">
        <f t="shared" si="226"/>
        <v>106547.552</v>
      </c>
      <c r="H2894">
        <f t="shared" si="227"/>
        <v>260.11438350115259</v>
      </c>
      <c r="I2894">
        <f t="shared" si="228"/>
        <v>242.29500341200003</v>
      </c>
      <c r="J2894">
        <f t="shared" si="230"/>
        <v>242240.83741200002</v>
      </c>
      <c r="M2894">
        <f t="shared" si="229"/>
        <v>154106</v>
      </c>
    </row>
    <row r="2895" spans="1:13" x14ac:dyDescent="0.2">
      <c r="A2895">
        <v>153</v>
      </c>
      <c r="B2895">
        <v>107</v>
      </c>
      <c r="C2895">
        <v>260</v>
      </c>
      <c r="D2895" s="51" t="s">
        <v>297</v>
      </c>
      <c r="E2895" t="str">
        <f>VLOOKUP(M2895,'MASS - 2016'!$A$1:$G$3418,6,FALSE)</f>
        <v>113323#</v>
      </c>
      <c r="F2895" t="str">
        <f>VLOOKUP(M2895,'MASS - 2016'!$A$1:$G$3418,7,FALSE)</f>
        <v>245#</v>
      </c>
      <c r="G2895">
        <f t="shared" ref="G2895:G2944" si="231">IF(ISNUMBER(E2895),E2895,VALUE(SUBSTITUTE(E2895,"#",".01")))</f>
        <v>113323.01</v>
      </c>
      <c r="H2895">
        <f t="shared" si="227"/>
        <v>260.12165725445243</v>
      </c>
      <c r="I2895">
        <f t="shared" si="228"/>
        <v>242.30177886999999</v>
      </c>
      <c r="J2895">
        <f t="shared" si="230"/>
        <v>242247.10186999998</v>
      </c>
      <c r="M2895">
        <f t="shared" si="229"/>
        <v>153107</v>
      </c>
    </row>
    <row r="2896" spans="1:13" x14ac:dyDescent="0.2">
      <c r="A2896">
        <v>159</v>
      </c>
      <c r="B2896">
        <v>102</v>
      </c>
      <c r="C2896">
        <v>261</v>
      </c>
      <c r="D2896" s="51" t="s">
        <v>288</v>
      </c>
      <c r="E2896" t="str">
        <f>VLOOKUP(M2896,'MASS - 2016'!$A$1:$G$3418,6,FALSE)</f>
        <v>98455#</v>
      </c>
      <c r="F2896" t="str">
        <f>VLOOKUP(M2896,'MASS - 2016'!$A$1:$G$3418,7,FALSE)</f>
        <v>200#</v>
      </c>
      <c r="G2896">
        <f t="shared" si="231"/>
        <v>98455.01</v>
      </c>
      <c r="H2896">
        <f t="shared" si="227"/>
        <v>261.10569580002937</v>
      </c>
      <c r="I2896">
        <f t="shared" si="228"/>
        <v>243.21840493099998</v>
      </c>
      <c r="J2896">
        <f t="shared" si="230"/>
        <v>243166.28293099997</v>
      </c>
      <c r="M2896">
        <f t="shared" si="229"/>
        <v>159102</v>
      </c>
    </row>
    <row r="2897" spans="1:13" x14ac:dyDescent="0.2">
      <c r="A2897">
        <v>158</v>
      </c>
      <c r="B2897">
        <v>103</v>
      </c>
      <c r="C2897">
        <v>261</v>
      </c>
      <c r="D2897" s="51" t="s">
        <v>289</v>
      </c>
      <c r="E2897" t="str">
        <f>VLOOKUP(M2897,'MASS - 2016'!$A$1:$G$3418,6,FALSE)</f>
        <v>99558#</v>
      </c>
      <c r="F2897" t="str">
        <f>VLOOKUP(M2897,'MASS - 2016'!$A$1:$G$3418,7,FALSE)</f>
        <v>200#</v>
      </c>
      <c r="G2897">
        <f t="shared" si="231"/>
        <v>99558.01</v>
      </c>
      <c r="H2897">
        <f t="shared" si="227"/>
        <v>261.10687991922691</v>
      </c>
      <c r="I2897">
        <f t="shared" si="228"/>
        <v>243.21950793100004</v>
      </c>
      <c r="J2897">
        <f t="shared" si="230"/>
        <v>243166.87493100003</v>
      </c>
      <c r="M2897">
        <f t="shared" si="229"/>
        <v>158103</v>
      </c>
    </row>
    <row r="2898" spans="1:13" x14ac:dyDescent="0.2">
      <c r="A2898">
        <v>157</v>
      </c>
      <c r="B2898">
        <v>104</v>
      </c>
      <c r="C2898">
        <v>261</v>
      </c>
      <c r="D2898" s="51" t="s">
        <v>292</v>
      </c>
      <c r="E2898">
        <f>VLOOKUP(M2898,'MASS - 2016'!$A$1:$G$3418,6,FALSE)</f>
        <v>101318.594</v>
      </c>
      <c r="F2898">
        <f>VLOOKUP(M2898,'MASS - 2016'!$A$1:$G$3418,7,FALSE)</f>
        <v>50.444000000000003</v>
      </c>
      <c r="G2898">
        <f t="shared" si="231"/>
        <v>101318.594</v>
      </c>
      <c r="H2898">
        <f t="shared" si="227"/>
        <v>261.10876998388073</v>
      </c>
      <c r="I2898">
        <f t="shared" si="228"/>
        <v>243.22126851499996</v>
      </c>
      <c r="J2898">
        <f t="shared" si="230"/>
        <v>243168.12451499997</v>
      </c>
      <c r="M2898">
        <f t="shared" si="229"/>
        <v>157104</v>
      </c>
    </row>
    <row r="2899" spans="1:13" x14ac:dyDescent="0.2">
      <c r="A2899">
        <v>156</v>
      </c>
      <c r="B2899">
        <v>105</v>
      </c>
      <c r="C2899">
        <v>261</v>
      </c>
      <c r="D2899" s="51" t="s">
        <v>294</v>
      </c>
      <c r="E2899" t="str">
        <f>VLOOKUP(M2899,'MASS - 2016'!$A$1:$G$3418,6,FALSE)</f>
        <v>104308#</v>
      </c>
      <c r="F2899" t="str">
        <f>VLOOKUP(M2899,'MASS - 2016'!$A$1:$G$3418,7,FALSE)</f>
        <v>110#</v>
      </c>
      <c r="G2899">
        <f t="shared" si="231"/>
        <v>104308.01</v>
      </c>
      <c r="H2899">
        <f t="shared" si="227"/>
        <v>261.11197925393969</v>
      </c>
      <c r="I2899">
        <f t="shared" si="228"/>
        <v>243.22425793100004</v>
      </c>
      <c r="J2899">
        <f t="shared" si="230"/>
        <v>243170.60293100003</v>
      </c>
      <c r="M2899">
        <f t="shared" si="229"/>
        <v>156105</v>
      </c>
    </row>
    <row r="2900" spans="1:13" x14ac:dyDescent="0.2">
      <c r="A2900">
        <v>155</v>
      </c>
      <c r="B2900">
        <v>106</v>
      </c>
      <c r="C2900">
        <v>261</v>
      </c>
      <c r="D2900" s="51" t="s">
        <v>296</v>
      </c>
      <c r="E2900">
        <f>VLOOKUP(M2900,'MASS - 2016'!$A$1:$G$3418,6,FALSE)</f>
        <v>108005.04300000001</v>
      </c>
      <c r="F2900">
        <f>VLOOKUP(M2900,'MASS - 2016'!$A$1:$G$3418,7,FALSE)</f>
        <v>18.494</v>
      </c>
      <c r="G2900">
        <f t="shared" si="231"/>
        <v>108005.04300000001</v>
      </c>
      <c r="H2900">
        <f t="shared" si="227"/>
        <v>261.11594818208937</v>
      </c>
      <c r="I2900">
        <f t="shared" si="228"/>
        <v>243.22795496399999</v>
      </c>
      <c r="J2900">
        <f t="shared" si="230"/>
        <v>243173.78896400001</v>
      </c>
      <c r="M2900">
        <f t="shared" si="229"/>
        <v>155106</v>
      </c>
    </row>
    <row r="2901" spans="1:13" x14ac:dyDescent="0.2">
      <c r="A2901">
        <v>154</v>
      </c>
      <c r="B2901">
        <v>107</v>
      </c>
      <c r="C2901">
        <v>261</v>
      </c>
      <c r="D2901" s="51" t="s">
        <v>297</v>
      </c>
      <c r="E2901" t="str">
        <f>VLOOKUP(M2901,'MASS - 2016'!$A$1:$G$3418,6,FALSE)</f>
        <v>113133#</v>
      </c>
      <c r="F2901" t="str">
        <f>VLOOKUP(M2901,'MASS - 2016'!$A$1:$G$3418,7,FALSE)</f>
        <v>209#</v>
      </c>
      <c r="G2901">
        <f t="shared" si="231"/>
        <v>113133.01</v>
      </c>
      <c r="H2901">
        <f t="shared" si="227"/>
        <v>261.12145328106391</v>
      </c>
      <c r="I2901">
        <f t="shared" si="228"/>
        <v>243.23308293099998</v>
      </c>
      <c r="J2901">
        <f t="shared" si="230"/>
        <v>243178.40593099999</v>
      </c>
      <c r="M2901">
        <f t="shared" si="229"/>
        <v>154107</v>
      </c>
    </row>
    <row r="2902" spans="1:13" x14ac:dyDescent="0.2">
      <c r="A2902">
        <v>160</v>
      </c>
      <c r="B2902">
        <v>102</v>
      </c>
      <c r="C2902">
        <v>262</v>
      </c>
      <c r="D2902" s="51" t="s">
        <v>288</v>
      </c>
      <c r="E2902" t="str">
        <f>VLOOKUP(M2902,'MASS - 2016'!$A$1:$G$3418,6,FALSE)</f>
        <v>100101#</v>
      </c>
      <c r="F2902" t="str">
        <f>VLOOKUP(M2902,'MASS - 2016'!$A$1:$G$3418,7,FALSE)</f>
        <v>361#</v>
      </c>
      <c r="G2902">
        <f t="shared" si="231"/>
        <v>100101.01</v>
      </c>
      <c r="H2902">
        <f t="shared" si="227"/>
        <v>262.10746285370038</v>
      </c>
      <c r="I2902">
        <f t="shared" si="228"/>
        <v>244.15154499200003</v>
      </c>
      <c r="J2902">
        <f t="shared" si="230"/>
        <v>244099.42299200004</v>
      </c>
      <c r="M2902">
        <f t="shared" si="229"/>
        <v>160102</v>
      </c>
    </row>
    <row r="2903" spans="1:13" x14ac:dyDescent="0.2">
      <c r="A2903">
        <v>159</v>
      </c>
      <c r="B2903">
        <v>103</v>
      </c>
      <c r="C2903">
        <v>262</v>
      </c>
      <c r="D2903" s="51" t="s">
        <v>289</v>
      </c>
      <c r="E2903" t="str">
        <f>VLOOKUP(M2903,'MASS - 2016'!$A$1:$G$3418,6,FALSE)</f>
        <v>102102#</v>
      </c>
      <c r="F2903" t="str">
        <f>VLOOKUP(M2903,'MASS - 2016'!$A$1:$G$3418,7,FALSE)</f>
        <v>200#</v>
      </c>
      <c r="G2903">
        <f t="shared" si="231"/>
        <v>102102.01</v>
      </c>
      <c r="H2903">
        <f t="shared" si="227"/>
        <v>262.10961101554466</v>
      </c>
      <c r="I2903">
        <f t="shared" si="228"/>
        <v>244.15354599200003</v>
      </c>
      <c r="J2903">
        <f t="shared" si="230"/>
        <v>244100.91299200003</v>
      </c>
      <c r="M2903">
        <f t="shared" si="229"/>
        <v>159103</v>
      </c>
    </row>
    <row r="2904" spans="1:13" x14ac:dyDescent="0.2">
      <c r="A2904">
        <v>158</v>
      </c>
      <c r="B2904">
        <v>104</v>
      </c>
      <c r="C2904">
        <v>262</v>
      </c>
      <c r="D2904" s="51" t="s">
        <v>292</v>
      </c>
      <c r="E2904" t="str">
        <f>VLOOKUP(M2904,'MASS - 2016'!$A$1:$G$3418,6,FALSE)</f>
        <v>102393#</v>
      </c>
      <c r="F2904" t="str">
        <f>VLOOKUP(M2904,'MASS - 2016'!$A$1:$G$3418,7,FALSE)</f>
        <v>224#</v>
      </c>
      <c r="G2904">
        <f t="shared" si="231"/>
        <v>102393.01</v>
      </c>
      <c r="H2904">
        <f t="shared" si="227"/>
        <v>262.10992341689229</v>
      </c>
      <c r="I2904">
        <f t="shared" si="228"/>
        <v>244.15383699199998</v>
      </c>
      <c r="J2904">
        <f t="shared" si="230"/>
        <v>244100.69299199997</v>
      </c>
      <c r="M2904">
        <f t="shared" si="229"/>
        <v>158104</v>
      </c>
    </row>
    <row r="2905" spans="1:13" x14ac:dyDescent="0.2">
      <c r="A2905">
        <v>157</v>
      </c>
      <c r="B2905">
        <v>105</v>
      </c>
      <c r="C2905">
        <v>262</v>
      </c>
      <c r="D2905" s="51" t="s">
        <v>294</v>
      </c>
      <c r="E2905" t="str">
        <f>VLOOKUP(M2905,'MASS - 2016'!$A$1:$G$3418,6,FALSE)</f>
        <v>106253#</v>
      </c>
      <c r="F2905" t="str">
        <f>VLOOKUP(M2905,'MASS - 2016'!$A$1:$G$3418,7,FALSE)</f>
        <v>143#</v>
      </c>
      <c r="G2905">
        <f t="shared" si="231"/>
        <v>106253.01</v>
      </c>
      <c r="H2905">
        <f t="shared" si="227"/>
        <v>262.11406729731152</v>
      </c>
      <c r="I2905">
        <f t="shared" si="228"/>
        <v>244.15769699200001</v>
      </c>
      <c r="J2905">
        <f t="shared" si="230"/>
        <v>244104.04199200001</v>
      </c>
      <c r="M2905">
        <f t="shared" si="229"/>
        <v>157105</v>
      </c>
    </row>
    <row r="2906" spans="1:13" x14ac:dyDescent="0.2">
      <c r="A2906">
        <v>156</v>
      </c>
      <c r="B2906">
        <v>106</v>
      </c>
      <c r="C2906">
        <v>262</v>
      </c>
      <c r="D2906" s="51" t="s">
        <v>296</v>
      </c>
      <c r="E2906">
        <f>VLOOKUP(M2906,'MASS - 2016'!$A$1:$G$3418,6,FALSE)</f>
        <v>108365.77099999999</v>
      </c>
      <c r="F2906">
        <f>VLOOKUP(M2906,'MASS - 2016'!$A$1:$G$3418,7,FALSE)</f>
        <v>35.411000000000001</v>
      </c>
      <c r="G2906">
        <f t="shared" si="231"/>
        <v>108365.77099999999</v>
      </c>
      <c r="H2906">
        <f t="shared" si="227"/>
        <v>262.11633543952354</v>
      </c>
      <c r="I2906">
        <f t="shared" si="228"/>
        <v>244.15980975299999</v>
      </c>
      <c r="J2906">
        <f t="shared" si="230"/>
        <v>244105.64375299998</v>
      </c>
      <c r="M2906">
        <f t="shared" si="229"/>
        <v>156106</v>
      </c>
    </row>
    <row r="2907" spans="1:13" x14ac:dyDescent="0.2">
      <c r="A2907">
        <v>155</v>
      </c>
      <c r="B2907">
        <v>107</v>
      </c>
      <c r="C2907">
        <v>262</v>
      </c>
      <c r="D2907" s="51" t="s">
        <v>297</v>
      </c>
      <c r="E2907" t="str">
        <f>VLOOKUP(M2907,'MASS - 2016'!$A$1:$G$3418,6,FALSE)</f>
        <v>114541#</v>
      </c>
      <c r="F2907" t="str">
        <f>VLOOKUP(M2907,'MASS - 2016'!$A$1:$G$3418,7,FALSE)</f>
        <v>306#</v>
      </c>
      <c r="G2907">
        <f t="shared" si="231"/>
        <v>114541.01</v>
      </c>
      <c r="H2907">
        <f t="shared" si="227"/>
        <v>262.12296483122719</v>
      </c>
      <c r="I2907">
        <f t="shared" si="228"/>
        <v>244.16598499200001</v>
      </c>
      <c r="J2907">
        <f t="shared" si="230"/>
        <v>244111.30799200002</v>
      </c>
      <c r="M2907">
        <f t="shared" si="229"/>
        <v>155107</v>
      </c>
    </row>
    <row r="2908" spans="1:13" x14ac:dyDescent="0.2">
      <c r="A2908">
        <v>160</v>
      </c>
      <c r="B2908">
        <v>103</v>
      </c>
      <c r="C2908">
        <v>263</v>
      </c>
      <c r="D2908" s="51" t="s">
        <v>289</v>
      </c>
      <c r="E2908" t="str">
        <f>VLOOKUP(M2908,'MASS - 2016'!$A$1:$G$3418,6,FALSE)</f>
        <v>103729#</v>
      </c>
      <c r="F2908" t="str">
        <f>VLOOKUP(M2908,'MASS - 2016'!$A$1:$G$3418,7,FALSE)</f>
        <v>283#</v>
      </c>
      <c r="G2908">
        <f t="shared" si="231"/>
        <v>103729.01</v>
      </c>
      <c r="H2908">
        <f t="shared" si="227"/>
        <v>263.11135767187676</v>
      </c>
      <c r="I2908">
        <f t="shared" si="228"/>
        <v>245.08666705299999</v>
      </c>
      <c r="J2908">
        <f t="shared" si="230"/>
        <v>245034.03405299998</v>
      </c>
      <c r="M2908">
        <f t="shared" si="229"/>
        <v>160103</v>
      </c>
    </row>
    <row r="2909" spans="1:13" x14ac:dyDescent="0.2">
      <c r="A2909">
        <v>159</v>
      </c>
      <c r="B2909">
        <v>104</v>
      </c>
      <c r="C2909">
        <v>263</v>
      </c>
      <c r="D2909" s="51" t="s">
        <v>292</v>
      </c>
      <c r="E2909" t="str">
        <f>VLOOKUP(M2909,'MASS - 2016'!$A$1:$G$3418,6,FALSE)</f>
        <v>104756#</v>
      </c>
      <c r="F2909" t="str">
        <f>VLOOKUP(M2909,'MASS - 2016'!$A$1:$G$3418,7,FALSE)</f>
        <v>153#</v>
      </c>
      <c r="G2909">
        <f t="shared" si="231"/>
        <v>104756.01</v>
      </c>
      <c r="H2909">
        <f t="shared" si="227"/>
        <v>263.11246020171887</v>
      </c>
      <c r="I2909">
        <f t="shared" si="228"/>
        <v>245.08769405299998</v>
      </c>
      <c r="J2909">
        <f t="shared" si="230"/>
        <v>245034.55005299998</v>
      </c>
      <c r="M2909">
        <f t="shared" si="229"/>
        <v>159104</v>
      </c>
    </row>
    <row r="2910" spans="1:13" x14ac:dyDescent="0.2">
      <c r="A2910">
        <v>158</v>
      </c>
      <c r="B2910">
        <v>105</v>
      </c>
      <c r="C2910">
        <v>263</v>
      </c>
      <c r="D2910" s="51" t="s">
        <v>294</v>
      </c>
      <c r="E2910" t="str">
        <f>VLOOKUP(M2910,'MASS - 2016'!$A$1:$G$3418,6,FALSE)</f>
        <v>107111#</v>
      </c>
      <c r="F2910" t="str">
        <f>VLOOKUP(M2910,'MASS - 2016'!$A$1:$G$3418,7,FALSE)</f>
        <v>168#</v>
      </c>
      <c r="G2910">
        <f t="shared" si="231"/>
        <v>107111.01</v>
      </c>
      <c r="H2910">
        <f t="shared" si="227"/>
        <v>263.11498839819228</v>
      </c>
      <c r="I2910">
        <f t="shared" si="228"/>
        <v>245.090049053</v>
      </c>
      <c r="J2910">
        <f t="shared" si="230"/>
        <v>245036.394053</v>
      </c>
      <c r="M2910">
        <f t="shared" si="229"/>
        <v>158105</v>
      </c>
    </row>
    <row r="2911" spans="1:13" x14ac:dyDescent="0.2">
      <c r="A2911">
        <v>157</v>
      </c>
      <c r="B2911">
        <v>106</v>
      </c>
      <c r="C2911">
        <v>263</v>
      </c>
      <c r="D2911" s="51" t="s">
        <v>296</v>
      </c>
      <c r="E2911" t="str">
        <f>VLOOKUP(M2911,'MASS - 2016'!$A$1:$G$3418,6,FALSE)</f>
        <v>110190#</v>
      </c>
      <c r="F2911" t="str">
        <f>VLOOKUP(M2911,'MASS - 2016'!$A$1:$G$3418,7,FALSE)</f>
        <v>95#</v>
      </c>
      <c r="G2911">
        <f t="shared" si="231"/>
        <v>110190.01</v>
      </c>
      <c r="H2911">
        <f t="shared" si="227"/>
        <v>263.11829384063026</v>
      </c>
      <c r="I2911">
        <f t="shared" si="228"/>
        <v>245.09312805299996</v>
      </c>
      <c r="J2911">
        <f t="shared" si="230"/>
        <v>245038.96205299997</v>
      </c>
      <c r="M2911">
        <f t="shared" si="229"/>
        <v>157106</v>
      </c>
    </row>
    <row r="2912" spans="1:13" x14ac:dyDescent="0.2">
      <c r="A2912">
        <v>156</v>
      </c>
      <c r="B2912">
        <v>107</v>
      </c>
      <c r="C2912">
        <v>263</v>
      </c>
      <c r="D2912" s="51" t="s">
        <v>297</v>
      </c>
      <c r="E2912" t="str">
        <f>VLOOKUP(M2912,'MASS - 2016'!$A$1:$G$3418,6,FALSE)</f>
        <v>114496#</v>
      </c>
      <c r="F2912" t="str">
        <f>VLOOKUP(M2912,'MASS - 2016'!$A$1:$G$3418,7,FALSE)</f>
        <v>305#</v>
      </c>
      <c r="G2912">
        <f t="shared" si="231"/>
        <v>114496.01</v>
      </c>
      <c r="H2912">
        <f t="shared" si="227"/>
        <v>263.12291652174042</v>
      </c>
      <c r="I2912">
        <f t="shared" si="228"/>
        <v>245.09743405299997</v>
      </c>
      <c r="J2912">
        <f t="shared" si="230"/>
        <v>245042.75705299998</v>
      </c>
      <c r="M2912">
        <f t="shared" si="229"/>
        <v>156107</v>
      </c>
    </row>
    <row r="2913" spans="1:13" x14ac:dyDescent="0.2">
      <c r="A2913">
        <v>155</v>
      </c>
      <c r="B2913">
        <v>108</v>
      </c>
      <c r="C2913">
        <v>263</v>
      </c>
      <c r="D2913" s="51" t="s">
        <v>298</v>
      </c>
      <c r="E2913" t="str">
        <f>VLOOKUP(M2913,'MASS - 2016'!$A$1:$G$3418,6,FALSE)</f>
        <v>119678#</v>
      </c>
      <c r="F2913" t="str">
        <f>VLOOKUP(M2913,'MASS - 2016'!$A$1:$G$3418,7,FALSE)</f>
        <v>125#</v>
      </c>
      <c r="G2913">
        <f t="shared" si="231"/>
        <v>119678.01</v>
      </c>
      <c r="H2913">
        <f t="shared" si="227"/>
        <v>263.12847962752602</v>
      </c>
      <c r="I2913">
        <f t="shared" si="228"/>
        <v>245.10261605299996</v>
      </c>
      <c r="J2913">
        <f t="shared" si="230"/>
        <v>245047.42805299998</v>
      </c>
      <c r="M2913">
        <f t="shared" si="229"/>
        <v>155108</v>
      </c>
    </row>
    <row r="2914" spans="1:13" x14ac:dyDescent="0.2">
      <c r="A2914">
        <v>160</v>
      </c>
      <c r="B2914">
        <v>104</v>
      </c>
      <c r="C2914">
        <v>264</v>
      </c>
      <c r="D2914" s="51" t="s">
        <v>292</v>
      </c>
      <c r="E2914" t="str">
        <f>VLOOKUP(M2914,'MASS - 2016'!$A$1:$G$3418,6,FALSE)</f>
        <v>106077#</v>
      </c>
      <c r="F2914" t="str">
        <f>VLOOKUP(M2914,'MASS - 2016'!$A$1:$G$3418,7,FALSE)</f>
        <v>361#</v>
      </c>
      <c r="G2914">
        <f t="shared" si="231"/>
        <v>106077.01</v>
      </c>
      <c r="H2914">
        <f t="shared" si="227"/>
        <v>264.11387835354111</v>
      </c>
      <c r="I2914">
        <f t="shared" si="228"/>
        <v>246.02050911399999</v>
      </c>
      <c r="J2914">
        <f t="shared" si="230"/>
        <v>245967.36511399999</v>
      </c>
      <c r="M2914">
        <f t="shared" si="229"/>
        <v>160104</v>
      </c>
    </row>
    <row r="2915" spans="1:13" x14ac:dyDescent="0.2">
      <c r="A2915">
        <v>159</v>
      </c>
      <c r="B2915">
        <v>105</v>
      </c>
      <c r="C2915">
        <v>264</v>
      </c>
      <c r="D2915" s="51" t="s">
        <v>294</v>
      </c>
      <c r="E2915" t="str">
        <f>VLOOKUP(M2915,'MASS - 2016'!$A$1:$G$3418,6,FALSE)</f>
        <v>109362#</v>
      </c>
      <c r="F2915" t="str">
        <f>VLOOKUP(M2915,'MASS - 2016'!$A$1:$G$3418,7,FALSE)</f>
        <v>235#</v>
      </c>
      <c r="G2915">
        <f t="shared" si="231"/>
        <v>109362.01</v>
      </c>
      <c r="H2915">
        <f t="shared" si="227"/>
        <v>264.11740494607403</v>
      </c>
      <c r="I2915">
        <f t="shared" si="228"/>
        <v>246.02379411399997</v>
      </c>
      <c r="J2915">
        <f t="shared" si="230"/>
        <v>245970.13911399996</v>
      </c>
      <c r="M2915">
        <f t="shared" si="229"/>
        <v>159105</v>
      </c>
    </row>
    <row r="2916" spans="1:13" x14ac:dyDescent="0.2">
      <c r="A2916">
        <v>158</v>
      </c>
      <c r="B2916">
        <v>106</v>
      </c>
      <c r="C2916">
        <v>264</v>
      </c>
      <c r="D2916" s="51" t="s">
        <v>296</v>
      </c>
      <c r="E2916" t="str">
        <f>VLOOKUP(M2916,'MASS - 2016'!$A$1:$G$3418,6,FALSE)</f>
        <v>110782#</v>
      </c>
      <c r="F2916" t="str">
        <f>VLOOKUP(M2916,'MASS - 2016'!$A$1:$G$3418,7,FALSE)</f>
        <v>283#</v>
      </c>
      <c r="G2916">
        <f t="shared" si="231"/>
        <v>110782.01</v>
      </c>
      <c r="H2916">
        <f t="shared" si="227"/>
        <v>264.11892937876712</v>
      </c>
      <c r="I2916">
        <f t="shared" si="228"/>
        <v>246.02521411399999</v>
      </c>
      <c r="J2916">
        <f t="shared" si="230"/>
        <v>245971.048114</v>
      </c>
      <c r="M2916">
        <f t="shared" si="229"/>
        <v>158106</v>
      </c>
    </row>
    <row r="2917" spans="1:13" x14ac:dyDescent="0.2">
      <c r="A2917">
        <v>157</v>
      </c>
      <c r="B2917">
        <v>107</v>
      </c>
      <c r="C2917">
        <v>264</v>
      </c>
      <c r="D2917" s="51" t="s">
        <v>297</v>
      </c>
      <c r="E2917" t="str">
        <f>VLOOKUP(M2917,'MASS - 2016'!$A$1:$G$3418,6,FALSE)</f>
        <v>116058#</v>
      </c>
      <c r="F2917" t="str">
        <f>VLOOKUP(M2917,'MASS - 2016'!$A$1:$G$3418,7,FALSE)</f>
        <v>177#</v>
      </c>
      <c r="G2917">
        <f t="shared" si="231"/>
        <v>116058.01</v>
      </c>
      <c r="H2917">
        <f t="shared" si="227"/>
        <v>264.12459339770282</v>
      </c>
      <c r="I2917">
        <f t="shared" si="228"/>
        <v>246.03049011399997</v>
      </c>
      <c r="J2917">
        <f t="shared" si="230"/>
        <v>245975.81311399999</v>
      </c>
      <c r="M2917">
        <f t="shared" si="229"/>
        <v>157107</v>
      </c>
    </row>
    <row r="2918" spans="1:13" x14ac:dyDescent="0.2">
      <c r="A2918">
        <v>156</v>
      </c>
      <c r="B2918">
        <v>108</v>
      </c>
      <c r="C2918">
        <v>264</v>
      </c>
      <c r="D2918" s="51" t="s">
        <v>298</v>
      </c>
      <c r="E2918">
        <f>VLOOKUP(M2918,'MASS - 2016'!$A$1:$G$3418,6,FALSE)</f>
        <v>119563.22199999999</v>
      </c>
      <c r="F2918">
        <f>VLOOKUP(M2918,'MASS - 2016'!$A$1:$G$3418,7,FALSE)</f>
        <v>28.881</v>
      </c>
      <c r="G2918">
        <f t="shared" si="231"/>
        <v>119563.22199999999</v>
      </c>
      <c r="H2918">
        <f t="shared" si="227"/>
        <v>264.12835639754013</v>
      </c>
      <c r="I2918">
        <f t="shared" si="228"/>
        <v>246.033995326</v>
      </c>
      <c r="J2918">
        <f t="shared" si="230"/>
        <v>245978.80732600001</v>
      </c>
      <c r="M2918">
        <f t="shared" si="229"/>
        <v>156108</v>
      </c>
    </row>
    <row r="2919" spans="1:13" x14ac:dyDescent="0.2">
      <c r="A2919">
        <v>160</v>
      </c>
      <c r="B2919">
        <v>105</v>
      </c>
      <c r="C2919">
        <v>265</v>
      </c>
      <c r="D2919" s="51" t="s">
        <v>294</v>
      </c>
      <c r="E2919" t="str">
        <f>VLOOKUP(M2919,'MASS - 2016'!$A$1:$G$3418,6,FALSE)</f>
        <v>110483#</v>
      </c>
      <c r="F2919" t="str">
        <f>VLOOKUP(M2919,'MASS - 2016'!$A$1:$G$3418,7,FALSE)</f>
        <v>224#</v>
      </c>
      <c r="G2919">
        <f t="shared" si="231"/>
        <v>110483.01</v>
      </c>
      <c r="H2919">
        <f t="shared" si="227"/>
        <v>265.11860838906625</v>
      </c>
      <c r="I2919">
        <f t="shared" si="228"/>
        <v>246.95640917499998</v>
      </c>
      <c r="J2919">
        <f t="shared" si="230"/>
        <v>246902.75417499998</v>
      </c>
      <c r="M2919">
        <f t="shared" si="229"/>
        <v>160105</v>
      </c>
    </row>
    <row r="2920" spans="1:13" x14ac:dyDescent="0.2">
      <c r="A2920">
        <v>159</v>
      </c>
      <c r="B2920">
        <v>106</v>
      </c>
      <c r="C2920">
        <v>265</v>
      </c>
      <c r="D2920" s="51" t="s">
        <v>296</v>
      </c>
      <c r="E2920" t="str">
        <f>VLOOKUP(M2920,'MASS - 2016'!$A$1:$G$3418,6,FALSE)</f>
        <v>112794#</v>
      </c>
      <c r="F2920" t="str">
        <f>VLOOKUP(M2920,'MASS - 2016'!$A$1:$G$3418,7,FALSE)</f>
        <v>123#</v>
      </c>
      <c r="G2920">
        <f t="shared" si="231"/>
        <v>112794.01</v>
      </c>
      <c r="H2920">
        <f t="shared" si="227"/>
        <v>265.12108934959707</v>
      </c>
      <c r="I2920">
        <f t="shared" si="228"/>
        <v>246.95872017500002</v>
      </c>
      <c r="J2920">
        <f t="shared" si="230"/>
        <v>246904.55417500003</v>
      </c>
      <c r="M2920">
        <f t="shared" si="229"/>
        <v>159106</v>
      </c>
    </row>
    <row r="2921" spans="1:13" x14ac:dyDescent="0.2">
      <c r="A2921">
        <v>158</v>
      </c>
      <c r="B2921">
        <v>107</v>
      </c>
      <c r="C2921">
        <v>265</v>
      </c>
      <c r="D2921" s="51" t="s">
        <v>297</v>
      </c>
      <c r="E2921" t="str">
        <f>VLOOKUP(M2921,'MASS - 2016'!$A$1:$G$3418,6,FALSE)</f>
        <v>116415#</v>
      </c>
      <c r="F2921" t="str">
        <f>VLOOKUP(M2921,'MASS - 2016'!$A$1:$G$3418,7,FALSE)</f>
        <v>234#</v>
      </c>
      <c r="G2921">
        <f t="shared" si="231"/>
        <v>116415.01</v>
      </c>
      <c r="H2921">
        <f t="shared" si="227"/>
        <v>265.12497665296439</v>
      </c>
      <c r="I2921">
        <f t="shared" si="228"/>
        <v>246.96234117499998</v>
      </c>
      <c r="J2921">
        <f t="shared" si="230"/>
        <v>246907.66417499998</v>
      </c>
      <c r="M2921">
        <f t="shared" si="229"/>
        <v>158107</v>
      </c>
    </row>
    <row r="2922" spans="1:13" x14ac:dyDescent="0.2">
      <c r="A2922">
        <v>157</v>
      </c>
      <c r="B2922">
        <v>108</v>
      </c>
      <c r="C2922">
        <v>265</v>
      </c>
      <c r="D2922" s="51" t="s">
        <v>298</v>
      </c>
      <c r="E2922">
        <f>VLOOKUP(M2922,'MASS - 2016'!$A$1:$G$3418,6,FALSE)</f>
        <v>120900.283</v>
      </c>
      <c r="F2922">
        <f>VLOOKUP(M2922,'MASS - 2016'!$A$1:$G$3418,7,FALSE)</f>
        <v>23.957999999999998</v>
      </c>
      <c r="G2922">
        <f t="shared" si="231"/>
        <v>120900.283</v>
      </c>
      <c r="H2922">
        <f t="shared" si="227"/>
        <v>265.12979179155496</v>
      </c>
      <c r="I2922">
        <f t="shared" si="228"/>
        <v>246.96682644800001</v>
      </c>
      <c r="J2922">
        <f t="shared" si="230"/>
        <v>246911.63844800001</v>
      </c>
      <c r="M2922">
        <f t="shared" si="229"/>
        <v>157108</v>
      </c>
    </row>
    <row r="2923" spans="1:13" x14ac:dyDescent="0.2">
      <c r="A2923">
        <v>156</v>
      </c>
      <c r="B2923">
        <v>109</v>
      </c>
      <c r="C2923">
        <v>265</v>
      </c>
      <c r="D2923" s="51" t="s">
        <v>299</v>
      </c>
      <c r="E2923" t="str">
        <f>VLOOKUP(M2923,'MASS - 2016'!$A$1:$G$3418,6,FALSE)</f>
        <v>126678#</v>
      </c>
      <c r="F2923" t="str">
        <f>VLOOKUP(M2923,'MASS - 2016'!$A$1:$G$3418,7,FALSE)</f>
        <v>451#</v>
      </c>
      <c r="G2923">
        <f t="shared" si="231"/>
        <v>126678.01</v>
      </c>
      <c r="H2923">
        <f t="shared" si="227"/>
        <v>265.13599443657648</v>
      </c>
      <c r="I2923">
        <f t="shared" si="228"/>
        <v>246.97260417500004</v>
      </c>
      <c r="J2923">
        <f t="shared" si="230"/>
        <v>246916.90517500005</v>
      </c>
      <c r="M2923">
        <f t="shared" si="229"/>
        <v>156109</v>
      </c>
    </row>
    <row r="2924" spans="1:13" x14ac:dyDescent="0.2">
      <c r="A2924">
        <v>160</v>
      </c>
      <c r="B2924">
        <v>106</v>
      </c>
      <c r="C2924">
        <v>266</v>
      </c>
      <c r="D2924" s="51" t="s">
        <v>296</v>
      </c>
      <c r="E2924" t="str">
        <f>VLOOKUP(M2924,'MASS - 2016'!$A$1:$G$3418,6,FALSE)</f>
        <v>113618#</v>
      </c>
      <c r="F2924" t="str">
        <f>VLOOKUP(M2924,'MASS - 2016'!$A$1:$G$3418,7,FALSE)</f>
        <v>245#</v>
      </c>
      <c r="G2924">
        <f t="shared" si="231"/>
        <v>113618.01</v>
      </c>
      <c r="H2924">
        <f t="shared" si="227"/>
        <v>266.12197394997673</v>
      </c>
      <c r="I2924">
        <f t="shared" si="228"/>
        <v>247.89103823600004</v>
      </c>
      <c r="J2924">
        <f t="shared" si="230"/>
        <v>247836.87223600005</v>
      </c>
      <c r="M2924">
        <f t="shared" si="229"/>
        <v>160106</v>
      </c>
    </row>
    <row r="2925" spans="1:13" x14ac:dyDescent="0.2">
      <c r="A2925">
        <v>159</v>
      </c>
      <c r="B2925">
        <v>107</v>
      </c>
      <c r="C2925">
        <v>266</v>
      </c>
      <c r="D2925" s="51" t="s">
        <v>297</v>
      </c>
      <c r="E2925" t="str">
        <f>VLOOKUP(M2925,'MASS - 2016'!$A$1:$G$3418,6,FALSE)</f>
        <v>118104#</v>
      </c>
      <c r="F2925" t="str">
        <f>VLOOKUP(M2925,'MASS - 2016'!$A$1:$G$3418,7,FALSE)</f>
        <v>163#</v>
      </c>
      <c r="G2925">
        <f t="shared" si="231"/>
        <v>118104.01</v>
      </c>
      <c r="H2925">
        <f t="shared" si="227"/>
        <v>266.12678986903387</v>
      </c>
      <c r="I2925">
        <f t="shared" si="228"/>
        <v>247.89552423600003</v>
      </c>
      <c r="J2925">
        <f t="shared" si="230"/>
        <v>247840.84723600003</v>
      </c>
      <c r="M2925">
        <f t="shared" si="229"/>
        <v>159107</v>
      </c>
    </row>
    <row r="2926" spans="1:13" x14ac:dyDescent="0.2">
      <c r="A2926">
        <v>158</v>
      </c>
      <c r="B2926">
        <v>108</v>
      </c>
      <c r="C2926">
        <v>266</v>
      </c>
      <c r="D2926" s="51" t="s">
        <v>298</v>
      </c>
      <c r="E2926">
        <f>VLOOKUP(M2926,'MASS - 2016'!$A$1:$G$3418,6,FALSE)</f>
        <v>121136.37300000001</v>
      </c>
      <c r="F2926">
        <f>VLOOKUP(M2926,'MASS - 2016'!$A$1:$G$3418,7,FALSE)</f>
        <v>38.695</v>
      </c>
      <c r="G2926">
        <f t="shared" si="231"/>
        <v>121136.37300000001</v>
      </c>
      <c r="H2926">
        <f t="shared" si="227"/>
        <v>266.13004524459336</v>
      </c>
      <c r="I2926">
        <f t="shared" si="228"/>
        <v>247.89855659900002</v>
      </c>
      <c r="J2926">
        <f t="shared" si="230"/>
        <v>247843.36859900001</v>
      </c>
      <c r="M2926">
        <f t="shared" si="229"/>
        <v>158108</v>
      </c>
    </row>
    <row r="2927" spans="1:13" x14ac:dyDescent="0.2">
      <c r="A2927">
        <v>157</v>
      </c>
      <c r="B2927">
        <v>109</v>
      </c>
      <c r="C2927">
        <v>266</v>
      </c>
      <c r="D2927" s="51" t="s">
        <v>299</v>
      </c>
      <c r="E2927" t="str">
        <f>VLOOKUP(M2927,'MASS - 2016'!$A$1:$G$3418,6,FALSE)</f>
        <v>127962#</v>
      </c>
      <c r="F2927" t="str">
        <f>VLOOKUP(M2927,'MASS - 2016'!$A$1:$G$3418,7,FALSE)</f>
        <v>307#</v>
      </c>
      <c r="G2927">
        <f t="shared" si="231"/>
        <v>127962.01</v>
      </c>
      <c r="H2927">
        <f t="shared" si="227"/>
        <v>266.13737286726513</v>
      </c>
      <c r="I2927">
        <f t="shared" si="228"/>
        <v>247.90538223600001</v>
      </c>
      <c r="J2927">
        <f t="shared" si="230"/>
        <v>247849.68323600001</v>
      </c>
      <c r="M2927">
        <f t="shared" si="229"/>
        <v>157109</v>
      </c>
    </row>
    <row r="2928" spans="1:13" x14ac:dyDescent="0.2">
      <c r="A2928">
        <v>160</v>
      </c>
      <c r="B2928">
        <v>107</v>
      </c>
      <c r="C2928">
        <v>267</v>
      </c>
      <c r="D2928" s="51" t="s">
        <v>297</v>
      </c>
      <c r="E2928" t="str">
        <f>VLOOKUP(M2928,'MASS - 2016'!$A$1:$G$3418,6,FALSE)</f>
        <v>118766#</v>
      </c>
      <c r="F2928" t="str">
        <f>VLOOKUP(M2928,'MASS - 2016'!$A$1:$G$3418,7,FALSE)</f>
        <v>263#</v>
      </c>
      <c r="G2928">
        <f t="shared" si="231"/>
        <v>118766.01</v>
      </c>
      <c r="H2928">
        <f t="shared" si="227"/>
        <v>267.12750055526118</v>
      </c>
      <c r="I2928">
        <f t="shared" si="228"/>
        <v>248.82768029699997</v>
      </c>
      <c r="J2928">
        <f t="shared" si="230"/>
        <v>248773.00329699999</v>
      </c>
      <c r="M2928">
        <f t="shared" si="229"/>
        <v>160107</v>
      </c>
    </row>
    <row r="2929" spans="1:13" x14ac:dyDescent="0.2">
      <c r="A2929">
        <v>159</v>
      </c>
      <c r="B2929">
        <v>108</v>
      </c>
      <c r="C2929">
        <v>267</v>
      </c>
      <c r="D2929" s="51" t="s">
        <v>298</v>
      </c>
      <c r="E2929" t="str">
        <f>VLOOKUP(M2929,'MASS - 2016'!$A$1:$G$3418,6,FALSE)</f>
        <v>122653#</v>
      </c>
      <c r="F2929" t="str">
        <f>VLOOKUP(M2929,'MASS - 2016'!$A$1:$G$3418,7,FALSE)</f>
        <v>96#</v>
      </c>
      <c r="G2929">
        <f t="shared" si="231"/>
        <v>122653.01</v>
      </c>
      <c r="H2929">
        <f t="shared" si="227"/>
        <v>267.13167342137245</v>
      </c>
      <c r="I2929">
        <f t="shared" si="228"/>
        <v>248.83156729699999</v>
      </c>
      <c r="J2929">
        <f t="shared" si="230"/>
        <v>248776.37929700001</v>
      </c>
      <c r="M2929">
        <f t="shared" si="229"/>
        <v>159108</v>
      </c>
    </row>
    <row r="2930" spans="1:13" x14ac:dyDescent="0.2">
      <c r="A2930">
        <v>158</v>
      </c>
      <c r="B2930">
        <v>109</v>
      </c>
      <c r="C2930">
        <v>267</v>
      </c>
      <c r="D2930" s="51" t="s">
        <v>299</v>
      </c>
      <c r="E2930" t="str">
        <f>VLOOKUP(M2930,'MASS - 2016'!$A$1:$G$3418,6,FALSE)</f>
        <v>127791#</v>
      </c>
      <c r="F2930" t="str">
        <f>VLOOKUP(M2930,'MASS - 2016'!$A$1:$G$3418,7,FALSE)</f>
        <v>503#</v>
      </c>
      <c r="G2930">
        <f t="shared" si="231"/>
        <v>127791.01</v>
      </c>
      <c r="H2930">
        <f t="shared" si="227"/>
        <v>267.13718929121546</v>
      </c>
      <c r="I2930">
        <f t="shared" si="228"/>
        <v>248.83670529700001</v>
      </c>
      <c r="J2930">
        <f t="shared" si="230"/>
        <v>248781.00629700001</v>
      </c>
      <c r="M2930">
        <f t="shared" si="229"/>
        <v>158109</v>
      </c>
    </row>
    <row r="2931" spans="1:13" x14ac:dyDescent="0.2">
      <c r="A2931">
        <v>157</v>
      </c>
      <c r="B2931">
        <v>110</v>
      </c>
      <c r="C2931">
        <v>267</v>
      </c>
      <c r="D2931" s="51" t="s">
        <v>300</v>
      </c>
      <c r="E2931" t="str">
        <f>VLOOKUP(M2931,'MASS - 2016'!$A$1:$G$3418,6,FALSE)</f>
        <v>133880#</v>
      </c>
      <c r="F2931" t="str">
        <f>VLOOKUP(M2931,'MASS - 2016'!$A$1:$G$3418,7,FALSE)</f>
        <v>135#</v>
      </c>
      <c r="G2931">
        <f t="shared" si="231"/>
        <v>133880.01</v>
      </c>
      <c r="H2931">
        <f t="shared" si="227"/>
        <v>267.14372610154516</v>
      </c>
      <c r="I2931">
        <f t="shared" si="228"/>
        <v>248.84279429699998</v>
      </c>
      <c r="J2931">
        <f t="shared" si="230"/>
        <v>248786.58429699999</v>
      </c>
      <c r="M2931">
        <f t="shared" si="229"/>
        <v>157110</v>
      </c>
    </row>
    <row r="2932" spans="1:13" x14ac:dyDescent="0.2">
      <c r="A2932">
        <v>160</v>
      </c>
      <c r="B2932">
        <v>108</v>
      </c>
      <c r="C2932">
        <v>268</v>
      </c>
      <c r="D2932" s="51" t="s">
        <v>298</v>
      </c>
      <c r="E2932" t="str">
        <f>VLOOKUP(M2932,'MASS - 2016'!$A$1:$G$3418,6,FALSE)</f>
        <v>122830#</v>
      </c>
      <c r="F2932" t="str">
        <f>VLOOKUP(M2932,'MASS - 2016'!$A$1:$G$3418,7,FALSE)</f>
        <v>283#</v>
      </c>
      <c r="G2932">
        <f t="shared" si="231"/>
        <v>122830.01</v>
      </c>
      <c r="H2932">
        <f t="shared" si="227"/>
        <v>268.13186343868705</v>
      </c>
      <c r="I2932">
        <f t="shared" si="228"/>
        <v>249.76323835800002</v>
      </c>
      <c r="J2932">
        <f t="shared" si="230"/>
        <v>249708.05035800004</v>
      </c>
      <c r="M2932">
        <f t="shared" si="229"/>
        <v>160108</v>
      </c>
    </row>
    <row r="2933" spans="1:13" x14ac:dyDescent="0.2">
      <c r="A2933">
        <v>159</v>
      </c>
      <c r="B2933">
        <v>109</v>
      </c>
      <c r="C2933">
        <v>268</v>
      </c>
      <c r="D2933" s="51" t="s">
        <v>299</v>
      </c>
      <c r="E2933" t="str">
        <f>VLOOKUP(M2933,'MASS - 2016'!$A$1:$G$3418,6,FALSE)</f>
        <v>129151#</v>
      </c>
      <c r="F2933" t="str">
        <f>VLOOKUP(M2933,'MASS - 2016'!$A$1:$G$3418,7,FALSE)</f>
        <v>233#</v>
      </c>
      <c r="G2933">
        <f t="shared" si="231"/>
        <v>129151.01</v>
      </c>
      <c r="H2933">
        <f t="shared" si="227"/>
        <v>268.13864931125954</v>
      </c>
      <c r="I2933">
        <f t="shared" si="228"/>
        <v>249.76955935800001</v>
      </c>
      <c r="J2933">
        <f t="shared" si="230"/>
        <v>249713.86035800001</v>
      </c>
      <c r="M2933">
        <f t="shared" si="229"/>
        <v>159109</v>
      </c>
    </row>
    <row r="2934" spans="1:13" x14ac:dyDescent="0.2">
      <c r="A2934">
        <v>158</v>
      </c>
      <c r="B2934">
        <v>110</v>
      </c>
      <c r="C2934">
        <v>268</v>
      </c>
      <c r="D2934" s="51" t="s">
        <v>300</v>
      </c>
      <c r="E2934" t="str">
        <f>VLOOKUP(M2934,'MASS - 2016'!$A$1:$G$3418,6,FALSE)</f>
        <v>133648#</v>
      </c>
      <c r="F2934" t="str">
        <f>VLOOKUP(M2934,'MASS - 2016'!$A$1:$G$3418,7,FALSE)</f>
        <v>301#</v>
      </c>
      <c r="G2934">
        <f t="shared" si="231"/>
        <v>133648.01</v>
      </c>
      <c r="H2934">
        <f t="shared" si="227"/>
        <v>268.14347703930235</v>
      </c>
      <c r="I2934">
        <f t="shared" si="228"/>
        <v>249.774056358</v>
      </c>
      <c r="J2934">
        <f t="shared" si="230"/>
        <v>249717.84635800001</v>
      </c>
      <c r="M2934">
        <f t="shared" si="229"/>
        <v>158110</v>
      </c>
    </row>
    <row r="2935" spans="1:13" x14ac:dyDescent="0.2">
      <c r="A2935">
        <v>161</v>
      </c>
      <c r="B2935">
        <v>108</v>
      </c>
      <c r="C2935">
        <v>269</v>
      </c>
      <c r="D2935" s="51" t="s">
        <v>298</v>
      </c>
      <c r="E2935" t="str">
        <f>VLOOKUP(M2935,'MASS - 2016'!$A$1:$G$3418,6,FALSE)</f>
        <v>124564#</v>
      </c>
      <c r="F2935" t="str">
        <f>VLOOKUP(M2935,'MASS - 2016'!$A$1:$G$3418,7,FALSE)</f>
        <v>124#</v>
      </c>
      <c r="G2935">
        <f t="shared" si="231"/>
        <v>124564.01</v>
      </c>
      <c r="H2935">
        <f t="shared" si="227"/>
        <v>269.13372496424324</v>
      </c>
      <c r="I2935">
        <f t="shared" si="228"/>
        <v>250.69646641900002</v>
      </c>
      <c r="J2935">
        <f t="shared" si="230"/>
        <v>250641.27841900001</v>
      </c>
      <c r="M2935">
        <f t="shared" si="229"/>
        <v>161108</v>
      </c>
    </row>
    <row r="2936" spans="1:13" x14ac:dyDescent="0.2">
      <c r="A2936">
        <v>160</v>
      </c>
      <c r="B2936">
        <v>109</v>
      </c>
      <c r="C2936">
        <v>269</v>
      </c>
      <c r="D2936" s="51" t="s">
        <v>299</v>
      </c>
      <c r="E2936" t="str">
        <f>VLOOKUP(M2936,'MASS - 2016'!$A$1:$G$3418,6,FALSE)</f>
        <v>129370#</v>
      </c>
      <c r="F2936" t="str">
        <f>VLOOKUP(M2936,'MASS - 2016'!$A$1:$G$3418,7,FALSE)</f>
        <v>463#</v>
      </c>
      <c r="G2936">
        <f t="shared" si="231"/>
        <v>129370.01</v>
      </c>
      <c r="H2936">
        <f t="shared" si="227"/>
        <v>269.13888441742841</v>
      </c>
      <c r="I2936">
        <f t="shared" si="228"/>
        <v>250.70127241900002</v>
      </c>
      <c r="J2936">
        <f t="shared" si="230"/>
        <v>250645.57341900002</v>
      </c>
      <c r="M2936">
        <f t="shared" si="229"/>
        <v>160109</v>
      </c>
    </row>
    <row r="2937" spans="1:13" x14ac:dyDescent="0.2">
      <c r="A2937">
        <v>159</v>
      </c>
      <c r="B2937">
        <v>110</v>
      </c>
      <c r="C2937">
        <v>269</v>
      </c>
      <c r="D2937" s="51" t="s">
        <v>300</v>
      </c>
      <c r="E2937">
        <f>VLOOKUP(M2937,'MASS - 2016'!$A$1:$G$3418,6,FALSE)</f>
        <v>134834.709</v>
      </c>
      <c r="F2937">
        <f>VLOOKUP(M2937,'MASS - 2016'!$A$1:$G$3418,7,FALSE)</f>
        <v>31.402999999999999</v>
      </c>
      <c r="G2937">
        <f t="shared" si="231"/>
        <v>134834.709</v>
      </c>
      <c r="H2937">
        <f t="shared" si="227"/>
        <v>269.14475101307164</v>
      </c>
      <c r="I2937">
        <f t="shared" si="228"/>
        <v>250.70673711799995</v>
      </c>
      <c r="J2937">
        <f t="shared" si="230"/>
        <v>250650.52711799997</v>
      </c>
      <c r="M2937">
        <f t="shared" si="229"/>
        <v>159110</v>
      </c>
    </row>
    <row r="2938" spans="1:13" x14ac:dyDescent="0.2">
      <c r="A2938">
        <v>161</v>
      </c>
      <c r="B2938">
        <v>109</v>
      </c>
      <c r="C2938">
        <v>270</v>
      </c>
      <c r="D2938" s="51" t="s">
        <v>299</v>
      </c>
      <c r="E2938" t="str">
        <f>VLOOKUP(M2938,'MASS - 2016'!$A$1:$G$3418,6,FALSE)</f>
        <v>130710#</v>
      </c>
      <c r="F2938" t="str">
        <f>VLOOKUP(M2938,'MASS - 2016'!$A$1:$G$3418,7,FALSE)</f>
        <v>170#</v>
      </c>
      <c r="G2938">
        <f t="shared" si="231"/>
        <v>130710.01</v>
      </c>
      <c r="H2938">
        <f t="shared" si="227"/>
        <v>270.14032296658945</v>
      </c>
      <c r="I2938">
        <f t="shared" si="228"/>
        <v>251.63410647999996</v>
      </c>
      <c r="J2938">
        <f t="shared" si="230"/>
        <v>251578.40747999997</v>
      </c>
      <c r="M2938">
        <f t="shared" si="229"/>
        <v>161109</v>
      </c>
    </row>
    <row r="2939" spans="1:13" x14ac:dyDescent="0.2">
      <c r="A2939">
        <v>160</v>
      </c>
      <c r="B2939">
        <v>110</v>
      </c>
      <c r="C2939">
        <v>270</v>
      </c>
      <c r="D2939" s="51" t="s">
        <v>300</v>
      </c>
      <c r="E2939">
        <f>VLOOKUP(M2939,'MASS - 2016'!$A$1:$G$3418,6,FALSE)</f>
        <v>134678.28200000001</v>
      </c>
      <c r="F2939">
        <f>VLOOKUP(M2939,'MASS - 2016'!$A$1:$G$3418,7,FALSE)</f>
        <v>48.011000000000003</v>
      </c>
      <c r="G2939">
        <f t="shared" si="231"/>
        <v>134678.28200000001</v>
      </c>
      <c r="H2939">
        <f t="shared" si="227"/>
        <v>270.14458308178092</v>
      </c>
      <c r="I2939">
        <f t="shared" si="228"/>
        <v>251.63807475199999</v>
      </c>
      <c r="J2939">
        <f t="shared" si="230"/>
        <v>251581.86475199999</v>
      </c>
      <c r="M2939">
        <f t="shared" si="229"/>
        <v>160110</v>
      </c>
    </row>
    <row r="2940" spans="1:13" x14ac:dyDescent="0.2">
      <c r="A2940">
        <v>162</v>
      </c>
      <c r="B2940">
        <v>109</v>
      </c>
      <c r="C2940">
        <v>271</v>
      </c>
      <c r="D2940" s="51" t="s">
        <v>299</v>
      </c>
      <c r="E2940" t="str">
        <f>VLOOKUP(M2940,'MASS - 2016'!$A$1:$G$3418,6,FALSE)</f>
        <v>131101#</v>
      </c>
      <c r="F2940" t="str">
        <f>VLOOKUP(M2940,'MASS - 2016'!$A$1:$G$3418,7,FALSE)</f>
        <v>330#</v>
      </c>
      <c r="G2940">
        <f t="shared" si="231"/>
        <v>131101.01</v>
      </c>
      <c r="H2940">
        <f t="shared" si="227"/>
        <v>271.14074272235217</v>
      </c>
      <c r="I2940">
        <f t="shared" si="228"/>
        <v>252.56599154100002</v>
      </c>
      <c r="J2940">
        <f t="shared" si="230"/>
        <v>252510.29254100003</v>
      </c>
      <c r="M2940">
        <f t="shared" si="229"/>
        <v>162109</v>
      </c>
    </row>
    <row r="2941" spans="1:13" x14ac:dyDescent="0.2">
      <c r="A2941">
        <v>161</v>
      </c>
      <c r="B2941">
        <v>110</v>
      </c>
      <c r="C2941">
        <v>271</v>
      </c>
      <c r="D2941" s="51" t="s">
        <v>300</v>
      </c>
      <c r="E2941" t="str">
        <f>VLOOKUP(M2941,'MASS - 2016'!$A$1:$G$3418,6,FALSE)</f>
        <v>135948#</v>
      </c>
      <c r="F2941" t="str">
        <f>VLOOKUP(M2941,'MASS - 2016'!$A$1:$G$3418,7,FALSE)</f>
        <v>97#</v>
      </c>
      <c r="G2941">
        <f t="shared" si="231"/>
        <v>135948.01</v>
      </c>
      <c r="H2941">
        <f t="shared" si="227"/>
        <v>271.1459461908475</v>
      </c>
      <c r="I2941">
        <f t="shared" si="228"/>
        <v>252.570838541</v>
      </c>
      <c r="J2941">
        <f t="shared" si="230"/>
        <v>252514.62854100001</v>
      </c>
      <c r="M2941">
        <f t="shared" si="229"/>
        <v>161110</v>
      </c>
    </row>
    <row r="2942" spans="1:13" x14ac:dyDescent="0.2">
      <c r="A2942">
        <v>162</v>
      </c>
      <c r="B2942">
        <v>110</v>
      </c>
      <c r="C2942">
        <v>272</v>
      </c>
      <c r="D2942" s="51" t="s">
        <v>300</v>
      </c>
      <c r="E2942" t="str">
        <f>VLOOKUP(M2942,'MASS - 2016'!$A$1:$G$3418,6,FALSE)</f>
        <v>136015#</v>
      </c>
      <c r="F2942" t="str">
        <f>VLOOKUP(M2942,'MASS - 2016'!$A$1:$G$3418,7,FALSE)</f>
        <v>413#</v>
      </c>
      <c r="G2942">
        <f t="shared" si="231"/>
        <v>136015.01</v>
      </c>
      <c r="H2942">
        <f t="shared" si="227"/>
        <v>272.14601811830556</v>
      </c>
      <c r="I2942">
        <f t="shared" si="228"/>
        <v>253.50239960200003</v>
      </c>
      <c r="J2942">
        <f t="shared" si="230"/>
        <v>253446.18960200003</v>
      </c>
      <c r="M2942">
        <f t="shared" si="229"/>
        <v>162110</v>
      </c>
    </row>
    <row r="2943" spans="1:13" x14ac:dyDescent="0.2">
      <c r="A2943">
        <v>161</v>
      </c>
      <c r="B2943">
        <v>111</v>
      </c>
      <c r="C2943">
        <v>272</v>
      </c>
      <c r="D2943" s="51" t="s">
        <v>301</v>
      </c>
      <c r="E2943" t="str">
        <f>VLOOKUP(M2943,'MASS - 2016'!$A$1:$G$3418,6,FALSE)</f>
        <v>142773#</v>
      </c>
      <c r="F2943" t="str">
        <f>VLOOKUP(M2943,'MASS - 2016'!$A$1:$G$3418,7,FALSE)</f>
        <v>233#</v>
      </c>
      <c r="G2943">
        <f t="shared" si="231"/>
        <v>142773.01</v>
      </c>
      <c r="H2943">
        <f t="shared" si="227"/>
        <v>272.15327312967162</v>
      </c>
      <c r="I2943">
        <f t="shared" si="228"/>
        <v>253.50915760199999</v>
      </c>
      <c r="J2943">
        <f t="shared" si="230"/>
        <v>253452.436602</v>
      </c>
      <c r="M2943">
        <f t="shared" si="229"/>
        <v>161111</v>
      </c>
    </row>
    <row r="2944" spans="1:13" x14ac:dyDescent="0.2">
      <c r="A2944">
        <v>163</v>
      </c>
      <c r="B2944">
        <v>110</v>
      </c>
      <c r="C2944">
        <v>273</v>
      </c>
      <c r="D2944" s="51" t="s">
        <v>300</v>
      </c>
      <c r="E2944" t="str">
        <f>VLOOKUP(M2944,'MASS - 2016'!$A$1:$G$3418,6,FALSE)</f>
        <v>138356#</v>
      </c>
      <c r="F2944" t="str">
        <f>VLOOKUP(M2944,'MASS - 2016'!$A$1:$G$3418,7,FALSE)</f>
        <v>134#</v>
      </c>
      <c r="G2944">
        <f t="shared" si="231"/>
        <v>138356.01</v>
      </c>
      <c r="H2944">
        <f t="shared" si="227"/>
        <v>273.1485312851608</v>
      </c>
      <c r="I2944">
        <f t="shared" si="228"/>
        <v>254.43623466299996</v>
      </c>
      <c r="J2944">
        <f t="shared" si="230"/>
        <v>254380.02466299996</v>
      </c>
      <c r="M2944">
        <f t="shared" si="229"/>
        <v>163110</v>
      </c>
    </row>
  </sheetData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436"/>
  <sheetViews>
    <sheetView topLeftCell="A3415" workbookViewId="0">
      <selection activeCell="A3416" sqref="A3416"/>
    </sheetView>
  </sheetViews>
  <sheetFormatPr defaultRowHeight="12.75" x14ac:dyDescent="0.2"/>
  <sheetData>
    <row r="1" spans="1:7" x14ac:dyDescent="0.2">
      <c r="A1">
        <f t="shared" ref="A1:A64" si="0">1000*B1+C1</f>
        <v>1</v>
      </c>
      <c r="B1">
        <v>0</v>
      </c>
      <c r="C1">
        <v>1</v>
      </c>
      <c r="D1">
        <v>1</v>
      </c>
      <c r="E1" t="s">
        <v>94</v>
      </c>
      <c r="F1">
        <v>7288.9706100000003</v>
      </c>
      <c r="G1">
        <v>9.0000000000000006E-5</v>
      </c>
    </row>
    <row r="2" spans="1:7" x14ac:dyDescent="0.2">
      <c r="A2">
        <f t="shared" si="0"/>
        <v>3</v>
      </c>
      <c r="B2">
        <v>0</v>
      </c>
      <c r="C2">
        <v>3</v>
      </c>
      <c r="D2">
        <v>3</v>
      </c>
      <c r="E2" t="s">
        <v>0</v>
      </c>
      <c r="F2" t="s">
        <v>603</v>
      </c>
      <c r="G2" t="s">
        <v>604</v>
      </c>
    </row>
    <row r="3" spans="1:7" x14ac:dyDescent="0.2">
      <c r="A3">
        <f t="shared" si="0"/>
        <v>1000</v>
      </c>
      <c r="B3">
        <v>1</v>
      </c>
      <c r="C3">
        <v>0</v>
      </c>
      <c r="D3">
        <v>1</v>
      </c>
      <c r="E3" t="s">
        <v>470</v>
      </c>
      <c r="F3">
        <v>8071.3171300000004</v>
      </c>
      <c r="G3">
        <v>4.6000000000000001E-4</v>
      </c>
    </row>
    <row r="4" spans="1:7" x14ac:dyDescent="0.2">
      <c r="A4">
        <f t="shared" si="0"/>
        <v>1001</v>
      </c>
      <c r="B4">
        <v>1</v>
      </c>
      <c r="C4">
        <v>1</v>
      </c>
      <c r="D4">
        <v>2</v>
      </c>
      <c r="E4" t="s">
        <v>94</v>
      </c>
      <c r="F4">
        <v>13135.72176</v>
      </c>
      <c r="G4">
        <v>1.1E-4</v>
      </c>
    </row>
    <row r="5" spans="1:7" x14ac:dyDescent="0.2">
      <c r="A5">
        <f t="shared" si="0"/>
        <v>1002</v>
      </c>
      <c r="B5">
        <v>1</v>
      </c>
      <c r="C5">
        <v>2</v>
      </c>
      <c r="D5">
        <v>3</v>
      </c>
      <c r="E5" t="s">
        <v>96</v>
      </c>
      <c r="F5">
        <v>14931.217930000001</v>
      </c>
      <c r="G5">
        <v>2.1000000000000001E-4</v>
      </c>
    </row>
    <row r="6" spans="1:7" x14ac:dyDescent="0.2">
      <c r="A6">
        <f t="shared" si="0"/>
        <v>1003</v>
      </c>
      <c r="B6">
        <v>1</v>
      </c>
      <c r="C6">
        <v>3</v>
      </c>
      <c r="D6">
        <v>4</v>
      </c>
      <c r="E6" t="s">
        <v>0</v>
      </c>
      <c r="F6">
        <v>25323.188999999998</v>
      </c>
      <c r="G6">
        <v>212.13200000000001</v>
      </c>
    </row>
    <row r="7" spans="1:7" x14ac:dyDescent="0.2">
      <c r="A7">
        <f t="shared" si="0"/>
        <v>1004</v>
      </c>
      <c r="B7">
        <v>1</v>
      </c>
      <c r="C7">
        <v>4</v>
      </c>
      <c r="D7">
        <v>5</v>
      </c>
      <c r="E7" t="s">
        <v>1</v>
      </c>
      <c r="F7" t="s">
        <v>605</v>
      </c>
      <c r="G7" t="s">
        <v>606</v>
      </c>
    </row>
    <row r="8" spans="1:7" x14ac:dyDescent="0.2">
      <c r="A8">
        <f t="shared" si="0"/>
        <v>1005</v>
      </c>
      <c r="B8">
        <v>1</v>
      </c>
      <c r="C8">
        <v>5</v>
      </c>
      <c r="D8">
        <v>6</v>
      </c>
      <c r="E8" t="s">
        <v>3</v>
      </c>
      <c r="F8" t="s">
        <v>276</v>
      </c>
      <c r="G8" t="s">
        <v>606</v>
      </c>
    </row>
    <row r="9" spans="1:7" x14ac:dyDescent="0.2">
      <c r="A9">
        <f t="shared" si="0"/>
        <v>2001</v>
      </c>
      <c r="B9">
        <v>2</v>
      </c>
      <c r="C9">
        <v>1</v>
      </c>
      <c r="D9">
        <v>3</v>
      </c>
      <c r="E9" t="s">
        <v>94</v>
      </c>
      <c r="F9">
        <v>14949.809929999999</v>
      </c>
      <c r="G9">
        <v>2.2000000000000001E-4</v>
      </c>
    </row>
    <row r="10" spans="1:7" x14ac:dyDescent="0.2">
      <c r="A10">
        <f t="shared" si="0"/>
        <v>2002</v>
      </c>
      <c r="B10">
        <v>2</v>
      </c>
      <c r="C10">
        <v>2</v>
      </c>
      <c r="D10">
        <v>4</v>
      </c>
      <c r="E10" t="s">
        <v>96</v>
      </c>
      <c r="F10">
        <v>2424.91561</v>
      </c>
      <c r="G10">
        <v>6.0000000000000002E-5</v>
      </c>
    </row>
    <row r="11" spans="1:7" x14ac:dyDescent="0.2">
      <c r="A11">
        <f t="shared" si="0"/>
        <v>2003</v>
      </c>
      <c r="B11">
        <v>2</v>
      </c>
      <c r="C11">
        <v>3</v>
      </c>
      <c r="D11">
        <v>5</v>
      </c>
      <c r="E11" t="s">
        <v>0</v>
      </c>
      <c r="F11">
        <v>11678.886</v>
      </c>
      <c r="G11">
        <v>50</v>
      </c>
    </row>
    <row r="12" spans="1:7" x14ac:dyDescent="0.2">
      <c r="A12">
        <f t="shared" si="0"/>
        <v>2004</v>
      </c>
      <c r="B12">
        <v>2</v>
      </c>
      <c r="C12">
        <v>4</v>
      </c>
      <c r="D12">
        <v>6</v>
      </c>
      <c r="E12" t="s">
        <v>1</v>
      </c>
      <c r="F12">
        <v>18375.032999999999</v>
      </c>
      <c r="G12">
        <v>5.4480000000000004</v>
      </c>
    </row>
    <row r="13" spans="1:7" x14ac:dyDescent="0.2">
      <c r="A13">
        <f t="shared" si="0"/>
        <v>2005</v>
      </c>
      <c r="B13">
        <v>2</v>
      </c>
      <c r="C13">
        <v>5</v>
      </c>
      <c r="D13">
        <v>7</v>
      </c>
      <c r="E13" t="s">
        <v>3</v>
      </c>
      <c r="F13">
        <v>27676.55</v>
      </c>
      <c r="G13">
        <v>25.15</v>
      </c>
    </row>
    <row r="14" spans="1:7" x14ac:dyDescent="0.2">
      <c r="A14">
        <f t="shared" si="0"/>
        <v>2006</v>
      </c>
      <c r="B14">
        <v>2</v>
      </c>
      <c r="C14">
        <v>6</v>
      </c>
      <c r="D14">
        <v>8</v>
      </c>
      <c r="E14" t="s">
        <v>4</v>
      </c>
      <c r="F14">
        <v>35064.267999999996</v>
      </c>
      <c r="G14">
        <v>18.242999999999999</v>
      </c>
    </row>
    <row r="15" spans="1:7" x14ac:dyDescent="0.2">
      <c r="A15">
        <f t="shared" si="0"/>
        <v>3001</v>
      </c>
      <c r="B15">
        <v>3</v>
      </c>
      <c r="C15">
        <v>1</v>
      </c>
      <c r="D15">
        <v>4</v>
      </c>
      <c r="E15" t="s">
        <v>94</v>
      </c>
      <c r="F15">
        <v>24621.127</v>
      </c>
      <c r="G15">
        <v>100</v>
      </c>
    </row>
    <row r="16" spans="1:7" x14ac:dyDescent="0.2">
      <c r="A16">
        <f t="shared" si="0"/>
        <v>3002</v>
      </c>
      <c r="B16">
        <v>3</v>
      </c>
      <c r="C16">
        <v>2</v>
      </c>
      <c r="D16">
        <v>5</v>
      </c>
      <c r="E16" t="s">
        <v>96</v>
      </c>
      <c r="F16">
        <v>11231.233</v>
      </c>
      <c r="G16">
        <v>20</v>
      </c>
    </row>
    <row r="17" spans="1:7" x14ac:dyDescent="0.2">
      <c r="A17">
        <f t="shared" si="0"/>
        <v>3003</v>
      </c>
      <c r="B17">
        <v>3</v>
      </c>
      <c r="C17">
        <v>3</v>
      </c>
      <c r="D17">
        <v>6</v>
      </c>
      <c r="E17" t="s">
        <v>0</v>
      </c>
      <c r="F17">
        <v>14086.87895</v>
      </c>
      <c r="G17">
        <v>1.4400000000000001E-3</v>
      </c>
    </row>
    <row r="18" spans="1:7" x14ac:dyDescent="0.2">
      <c r="A18">
        <f t="shared" si="0"/>
        <v>3004</v>
      </c>
      <c r="B18">
        <v>3</v>
      </c>
      <c r="C18">
        <v>4</v>
      </c>
      <c r="D18">
        <v>7</v>
      </c>
      <c r="E18" t="s">
        <v>1</v>
      </c>
      <c r="F18">
        <v>15768.999</v>
      </c>
      <c r="G18">
        <v>7.0999999999999994E-2</v>
      </c>
    </row>
    <row r="19" spans="1:7" x14ac:dyDescent="0.2">
      <c r="A19">
        <f t="shared" si="0"/>
        <v>3005</v>
      </c>
      <c r="B19">
        <v>3</v>
      </c>
      <c r="C19">
        <v>5</v>
      </c>
      <c r="D19">
        <v>8</v>
      </c>
      <c r="E19" t="s">
        <v>3</v>
      </c>
      <c r="F19">
        <v>22921.566999999999</v>
      </c>
      <c r="G19">
        <v>1</v>
      </c>
    </row>
    <row r="20" spans="1:7" x14ac:dyDescent="0.2">
      <c r="A20">
        <f t="shared" si="0"/>
        <v>3006</v>
      </c>
      <c r="B20">
        <v>3</v>
      </c>
      <c r="C20">
        <v>6</v>
      </c>
      <c r="D20">
        <v>9</v>
      </c>
      <c r="E20" t="s">
        <v>4</v>
      </c>
      <c r="F20">
        <v>28910.972000000002</v>
      </c>
      <c r="G20">
        <v>2.137</v>
      </c>
    </row>
    <row r="21" spans="1:7" x14ac:dyDescent="0.2">
      <c r="A21">
        <f t="shared" si="0"/>
        <v>3007</v>
      </c>
      <c r="B21">
        <v>3</v>
      </c>
      <c r="C21">
        <v>7</v>
      </c>
      <c r="D21">
        <v>10</v>
      </c>
      <c r="E21" t="s">
        <v>5</v>
      </c>
      <c r="F21">
        <v>38800.025999999998</v>
      </c>
      <c r="G21">
        <v>400</v>
      </c>
    </row>
    <row r="22" spans="1:7" x14ac:dyDescent="0.2">
      <c r="A22">
        <f t="shared" si="0"/>
        <v>4001</v>
      </c>
      <c r="B22">
        <v>4</v>
      </c>
      <c r="C22">
        <v>1</v>
      </c>
      <c r="D22">
        <v>5</v>
      </c>
      <c r="E22" t="s">
        <v>94</v>
      </c>
      <c r="F22">
        <v>32892.444000000003</v>
      </c>
      <c r="G22">
        <v>89.442999999999998</v>
      </c>
    </row>
    <row r="23" spans="1:7" x14ac:dyDescent="0.2">
      <c r="A23">
        <f t="shared" si="0"/>
        <v>4002</v>
      </c>
      <c r="B23">
        <v>4</v>
      </c>
      <c r="C23">
        <v>2</v>
      </c>
      <c r="D23">
        <v>6</v>
      </c>
      <c r="E23" t="s">
        <v>96</v>
      </c>
      <c r="F23">
        <v>17592.095000000001</v>
      </c>
      <c r="G23">
        <v>5.2999999999999999E-2</v>
      </c>
    </row>
    <row r="24" spans="1:7" x14ac:dyDescent="0.2">
      <c r="A24">
        <f t="shared" si="0"/>
        <v>4003</v>
      </c>
      <c r="B24">
        <v>4</v>
      </c>
      <c r="C24">
        <v>3</v>
      </c>
      <c r="D24">
        <v>7</v>
      </c>
      <c r="E24" t="s">
        <v>0</v>
      </c>
      <c r="F24">
        <v>14907.10529</v>
      </c>
      <c r="G24">
        <v>4.2300000000000003E-3</v>
      </c>
    </row>
    <row r="25" spans="1:7" x14ac:dyDescent="0.2">
      <c r="A25">
        <f t="shared" si="0"/>
        <v>4004</v>
      </c>
      <c r="B25">
        <v>4</v>
      </c>
      <c r="C25">
        <v>4</v>
      </c>
      <c r="D25">
        <v>8</v>
      </c>
      <c r="E25" t="s">
        <v>1</v>
      </c>
      <c r="F25">
        <v>4941.6710000000003</v>
      </c>
      <c r="G25">
        <v>3.5000000000000003E-2</v>
      </c>
    </row>
    <row r="26" spans="1:7" x14ac:dyDescent="0.2">
      <c r="A26">
        <f t="shared" si="0"/>
        <v>4005</v>
      </c>
      <c r="B26">
        <v>4</v>
      </c>
      <c r="C26">
        <v>5</v>
      </c>
      <c r="D26">
        <v>9</v>
      </c>
      <c r="E26" t="s">
        <v>3</v>
      </c>
      <c r="F26">
        <v>12416.487999999999</v>
      </c>
      <c r="G26">
        <v>0.90300000000000002</v>
      </c>
    </row>
    <row r="27" spans="1:7" x14ac:dyDescent="0.2">
      <c r="A27">
        <f t="shared" si="0"/>
        <v>4006</v>
      </c>
      <c r="B27">
        <v>4</v>
      </c>
      <c r="C27">
        <v>6</v>
      </c>
      <c r="D27">
        <v>10</v>
      </c>
      <c r="E27" t="s">
        <v>4</v>
      </c>
      <c r="F27">
        <v>15698.672</v>
      </c>
      <c r="G27">
        <v>7.0000000000000007E-2</v>
      </c>
    </row>
    <row r="28" spans="1:7" x14ac:dyDescent="0.2">
      <c r="A28">
        <f t="shared" si="0"/>
        <v>4007</v>
      </c>
      <c r="B28">
        <v>4</v>
      </c>
      <c r="C28">
        <v>7</v>
      </c>
      <c r="D28">
        <v>11</v>
      </c>
      <c r="E28" t="s">
        <v>5</v>
      </c>
      <c r="F28">
        <v>24303.559000000001</v>
      </c>
      <c r="G28">
        <v>46.154000000000003</v>
      </c>
    </row>
    <row r="29" spans="1:7" x14ac:dyDescent="0.2">
      <c r="A29">
        <f t="shared" si="0"/>
        <v>4008</v>
      </c>
      <c r="B29">
        <v>4</v>
      </c>
      <c r="C29">
        <v>8</v>
      </c>
      <c r="D29">
        <v>12</v>
      </c>
      <c r="E29" t="s">
        <v>6</v>
      </c>
      <c r="F29">
        <v>31914.613000000001</v>
      </c>
      <c r="G29">
        <v>24</v>
      </c>
    </row>
    <row r="30" spans="1:7" x14ac:dyDescent="0.2">
      <c r="A30">
        <f t="shared" si="0"/>
        <v>5001</v>
      </c>
      <c r="B30">
        <v>5</v>
      </c>
      <c r="C30">
        <v>1</v>
      </c>
      <c r="D30">
        <v>6</v>
      </c>
      <c r="E30" t="s">
        <v>94</v>
      </c>
      <c r="F30">
        <v>41875.720999999998</v>
      </c>
      <c r="G30">
        <v>254.12700000000001</v>
      </c>
    </row>
    <row r="31" spans="1:7" x14ac:dyDescent="0.2">
      <c r="A31">
        <f t="shared" si="0"/>
        <v>5002</v>
      </c>
      <c r="B31">
        <v>5</v>
      </c>
      <c r="C31">
        <v>2</v>
      </c>
      <c r="D31">
        <v>7</v>
      </c>
      <c r="E31" t="s">
        <v>96</v>
      </c>
      <c r="F31">
        <v>26073.126</v>
      </c>
      <c r="G31">
        <v>7.5590000000000002</v>
      </c>
    </row>
    <row r="32" spans="1:7" x14ac:dyDescent="0.2">
      <c r="A32">
        <f t="shared" si="0"/>
        <v>5003</v>
      </c>
      <c r="B32">
        <v>5</v>
      </c>
      <c r="C32">
        <v>3</v>
      </c>
      <c r="D32">
        <v>8</v>
      </c>
      <c r="E32" t="s">
        <v>0</v>
      </c>
      <c r="F32">
        <v>20945.804</v>
      </c>
      <c r="G32">
        <v>4.7E-2</v>
      </c>
    </row>
    <row r="33" spans="1:7" x14ac:dyDescent="0.2">
      <c r="A33">
        <f t="shared" si="0"/>
        <v>5004</v>
      </c>
      <c r="B33">
        <v>5</v>
      </c>
      <c r="C33">
        <v>4</v>
      </c>
      <c r="D33">
        <v>9</v>
      </c>
      <c r="E33" t="s">
        <v>1</v>
      </c>
      <c r="F33">
        <v>11348.453</v>
      </c>
      <c r="G33">
        <v>7.6999999999999999E-2</v>
      </c>
    </row>
    <row r="34" spans="1:7" x14ac:dyDescent="0.2">
      <c r="A34">
        <f t="shared" si="0"/>
        <v>5005</v>
      </c>
      <c r="B34">
        <v>5</v>
      </c>
      <c r="C34">
        <v>5</v>
      </c>
      <c r="D34">
        <v>10</v>
      </c>
      <c r="E34" t="s">
        <v>3</v>
      </c>
      <c r="F34">
        <v>12050.609</v>
      </c>
      <c r="G34">
        <v>1.4999999999999999E-2</v>
      </c>
    </row>
    <row r="35" spans="1:7" x14ac:dyDescent="0.2">
      <c r="A35">
        <f t="shared" si="0"/>
        <v>5006</v>
      </c>
      <c r="B35">
        <v>5</v>
      </c>
      <c r="C35">
        <v>6</v>
      </c>
      <c r="D35">
        <v>11</v>
      </c>
      <c r="E35" t="s">
        <v>4</v>
      </c>
      <c r="F35">
        <v>10649.396000000001</v>
      </c>
      <c r="G35">
        <v>0.06</v>
      </c>
    </row>
    <row r="36" spans="1:7" x14ac:dyDescent="0.2">
      <c r="A36">
        <f t="shared" si="0"/>
        <v>5007</v>
      </c>
      <c r="B36">
        <v>5</v>
      </c>
      <c r="C36">
        <v>7</v>
      </c>
      <c r="D36">
        <v>12</v>
      </c>
      <c r="E36" t="s">
        <v>5</v>
      </c>
      <c r="F36">
        <v>17338.067999999999</v>
      </c>
      <c r="G36">
        <v>1</v>
      </c>
    </row>
    <row r="37" spans="1:7" x14ac:dyDescent="0.2">
      <c r="A37">
        <f t="shared" si="0"/>
        <v>5008</v>
      </c>
      <c r="B37">
        <v>5</v>
      </c>
      <c r="C37">
        <v>8</v>
      </c>
      <c r="D37">
        <v>13</v>
      </c>
      <c r="E37" t="s">
        <v>6</v>
      </c>
      <c r="F37">
        <v>23115.432000000001</v>
      </c>
      <c r="G37">
        <v>9.5259999999999998</v>
      </c>
    </row>
    <row r="38" spans="1:7" x14ac:dyDescent="0.2">
      <c r="A38">
        <f t="shared" si="0"/>
        <v>5009</v>
      </c>
      <c r="B38">
        <v>5</v>
      </c>
      <c r="C38">
        <v>9</v>
      </c>
      <c r="D38">
        <v>14</v>
      </c>
      <c r="E38" t="s">
        <v>7</v>
      </c>
      <c r="F38">
        <v>31964.401999999998</v>
      </c>
      <c r="G38">
        <v>41.119</v>
      </c>
    </row>
    <row r="39" spans="1:7" x14ac:dyDescent="0.2">
      <c r="A39">
        <f t="shared" si="0"/>
        <v>5010</v>
      </c>
      <c r="B39">
        <v>5</v>
      </c>
      <c r="C39">
        <v>10</v>
      </c>
      <c r="D39">
        <v>15</v>
      </c>
      <c r="E39" t="s">
        <v>8</v>
      </c>
      <c r="F39">
        <v>40215.373</v>
      </c>
      <c r="G39">
        <v>66.683999999999997</v>
      </c>
    </row>
    <row r="40" spans="1:7" x14ac:dyDescent="0.2">
      <c r="A40">
        <f t="shared" si="0"/>
        <v>6001</v>
      </c>
      <c r="B40">
        <v>6</v>
      </c>
      <c r="C40">
        <v>1</v>
      </c>
      <c r="D40">
        <v>7</v>
      </c>
      <c r="E40" t="s">
        <v>94</v>
      </c>
      <c r="F40" t="s">
        <v>607</v>
      </c>
      <c r="G40" t="s">
        <v>608</v>
      </c>
    </row>
    <row r="41" spans="1:7" x14ac:dyDescent="0.2">
      <c r="A41">
        <f t="shared" si="0"/>
        <v>6002</v>
      </c>
      <c r="B41">
        <v>6</v>
      </c>
      <c r="C41">
        <v>2</v>
      </c>
      <c r="D41">
        <v>8</v>
      </c>
      <c r="E41" t="s">
        <v>96</v>
      </c>
      <c r="F41">
        <v>31609.681</v>
      </c>
      <c r="G41">
        <v>8.8999999999999996E-2</v>
      </c>
    </row>
    <row r="42" spans="1:7" x14ac:dyDescent="0.2">
      <c r="A42">
        <f t="shared" si="0"/>
        <v>6003</v>
      </c>
      <c r="B42">
        <v>6</v>
      </c>
      <c r="C42">
        <v>3</v>
      </c>
      <c r="D42">
        <v>9</v>
      </c>
      <c r="E42" t="s">
        <v>0</v>
      </c>
      <c r="F42">
        <v>24954.901999999998</v>
      </c>
      <c r="G42">
        <v>0.186</v>
      </c>
    </row>
    <row r="43" spans="1:7" x14ac:dyDescent="0.2">
      <c r="A43">
        <f t="shared" si="0"/>
        <v>6004</v>
      </c>
      <c r="B43">
        <v>6</v>
      </c>
      <c r="C43">
        <v>4</v>
      </c>
      <c r="D43">
        <v>10</v>
      </c>
      <c r="E43" t="s">
        <v>1</v>
      </c>
      <c r="F43">
        <v>12607.487999999999</v>
      </c>
      <c r="G43">
        <v>8.1000000000000003E-2</v>
      </c>
    </row>
    <row r="44" spans="1:7" x14ac:dyDescent="0.2">
      <c r="A44">
        <f t="shared" si="0"/>
        <v>6005</v>
      </c>
      <c r="B44">
        <v>6</v>
      </c>
      <c r="C44">
        <v>5</v>
      </c>
      <c r="D44">
        <v>11</v>
      </c>
      <c r="E44" t="s">
        <v>3</v>
      </c>
      <c r="F44">
        <v>8667.7070000000003</v>
      </c>
      <c r="G44">
        <v>1.2E-2</v>
      </c>
    </row>
    <row r="45" spans="1:7" x14ac:dyDescent="0.2">
      <c r="A45">
        <f t="shared" si="0"/>
        <v>6006</v>
      </c>
      <c r="B45">
        <v>6</v>
      </c>
      <c r="C45">
        <v>6</v>
      </c>
      <c r="D45">
        <v>12</v>
      </c>
      <c r="E45" t="s">
        <v>4</v>
      </c>
      <c r="F45">
        <v>0</v>
      </c>
      <c r="G45">
        <v>0</v>
      </c>
    </row>
    <row r="46" spans="1:7" x14ac:dyDescent="0.2">
      <c r="A46">
        <f t="shared" si="0"/>
        <v>6007</v>
      </c>
      <c r="B46">
        <v>6</v>
      </c>
      <c r="C46">
        <v>7</v>
      </c>
      <c r="D46">
        <v>13</v>
      </c>
      <c r="E46" t="s">
        <v>5</v>
      </c>
      <c r="F46">
        <v>5345.4809999999998</v>
      </c>
      <c r="G46">
        <v>0.27</v>
      </c>
    </row>
    <row r="47" spans="1:7" x14ac:dyDescent="0.2">
      <c r="A47">
        <f t="shared" si="0"/>
        <v>6008</v>
      </c>
      <c r="B47">
        <v>6</v>
      </c>
      <c r="C47">
        <v>8</v>
      </c>
      <c r="D47">
        <v>14</v>
      </c>
      <c r="E47" t="s">
        <v>6</v>
      </c>
      <c r="F47">
        <v>8007.7809999999999</v>
      </c>
      <c r="G47">
        <v>2.5000000000000001E-2</v>
      </c>
    </row>
    <row r="48" spans="1:7" x14ac:dyDescent="0.2">
      <c r="A48">
        <f t="shared" si="0"/>
        <v>6009</v>
      </c>
      <c r="B48">
        <v>6</v>
      </c>
      <c r="C48">
        <v>9</v>
      </c>
      <c r="D48">
        <v>15</v>
      </c>
      <c r="E48" t="s">
        <v>7</v>
      </c>
      <c r="F48">
        <v>16566.751</v>
      </c>
      <c r="G48">
        <v>14</v>
      </c>
    </row>
    <row r="49" spans="1:7" x14ac:dyDescent="0.2">
      <c r="A49">
        <f t="shared" si="0"/>
        <v>6010</v>
      </c>
      <c r="B49">
        <v>6</v>
      </c>
      <c r="C49">
        <v>10</v>
      </c>
      <c r="D49">
        <v>16</v>
      </c>
      <c r="E49" t="s">
        <v>8</v>
      </c>
      <c r="F49">
        <v>23986.776000000002</v>
      </c>
      <c r="G49">
        <v>20.48</v>
      </c>
    </row>
    <row r="50" spans="1:7" x14ac:dyDescent="0.2">
      <c r="A50">
        <f t="shared" si="0"/>
        <v>6011</v>
      </c>
      <c r="B50">
        <v>6</v>
      </c>
      <c r="C50">
        <v>11</v>
      </c>
      <c r="D50">
        <v>17</v>
      </c>
      <c r="E50" t="s">
        <v>9</v>
      </c>
      <c r="F50">
        <v>35173.214</v>
      </c>
      <c r="G50">
        <v>1001.356</v>
      </c>
    </row>
    <row r="51" spans="1:7" x14ac:dyDescent="0.2">
      <c r="A51">
        <f t="shared" si="0"/>
        <v>7002</v>
      </c>
      <c r="B51">
        <v>7</v>
      </c>
      <c r="C51">
        <v>2</v>
      </c>
      <c r="D51">
        <v>9</v>
      </c>
      <c r="E51" t="s">
        <v>96</v>
      </c>
      <c r="F51">
        <v>40935.826000000001</v>
      </c>
      <c r="G51">
        <v>46.816000000000003</v>
      </c>
    </row>
    <row r="52" spans="1:7" x14ac:dyDescent="0.2">
      <c r="A52">
        <f t="shared" si="0"/>
        <v>7003</v>
      </c>
      <c r="B52">
        <v>7</v>
      </c>
      <c r="C52">
        <v>3</v>
      </c>
      <c r="D52">
        <v>10</v>
      </c>
      <c r="E52" t="s">
        <v>0</v>
      </c>
      <c r="F52">
        <v>33052.624000000003</v>
      </c>
      <c r="G52">
        <v>12.721</v>
      </c>
    </row>
    <row r="53" spans="1:7" x14ac:dyDescent="0.2">
      <c r="A53">
        <f t="shared" si="0"/>
        <v>7004</v>
      </c>
      <c r="B53">
        <v>7</v>
      </c>
      <c r="C53">
        <v>4</v>
      </c>
      <c r="D53">
        <v>11</v>
      </c>
      <c r="E53" t="s">
        <v>1</v>
      </c>
      <c r="F53">
        <v>20177.167000000001</v>
      </c>
      <c r="G53">
        <v>0.23799999999999999</v>
      </c>
    </row>
    <row r="54" spans="1:7" x14ac:dyDescent="0.2">
      <c r="A54">
        <f t="shared" si="0"/>
        <v>7005</v>
      </c>
      <c r="B54">
        <v>7</v>
      </c>
      <c r="C54">
        <v>5</v>
      </c>
      <c r="D54">
        <v>12</v>
      </c>
      <c r="E54" t="s">
        <v>3</v>
      </c>
      <c r="F54">
        <v>13369.397000000001</v>
      </c>
      <c r="G54">
        <v>1.321</v>
      </c>
    </row>
    <row r="55" spans="1:7" x14ac:dyDescent="0.2">
      <c r="A55">
        <f t="shared" si="0"/>
        <v>7006</v>
      </c>
      <c r="B55">
        <v>7</v>
      </c>
      <c r="C55">
        <v>6</v>
      </c>
      <c r="D55">
        <v>13</v>
      </c>
      <c r="E55" t="s">
        <v>4</v>
      </c>
      <c r="F55">
        <v>3125.0088799999999</v>
      </c>
      <c r="G55">
        <v>2.1000000000000001E-4</v>
      </c>
    </row>
    <row r="56" spans="1:7" x14ac:dyDescent="0.2">
      <c r="A56">
        <f t="shared" si="0"/>
        <v>7007</v>
      </c>
      <c r="B56">
        <v>7</v>
      </c>
      <c r="C56">
        <v>7</v>
      </c>
      <c r="D56">
        <v>14</v>
      </c>
      <c r="E56" t="s">
        <v>5</v>
      </c>
      <c r="F56">
        <v>2863.4167200000002</v>
      </c>
      <c r="G56">
        <v>1.9000000000000001E-4</v>
      </c>
    </row>
    <row r="57" spans="1:7" x14ac:dyDescent="0.2">
      <c r="A57">
        <f t="shared" si="0"/>
        <v>7008</v>
      </c>
      <c r="B57">
        <v>7</v>
      </c>
      <c r="C57">
        <v>8</v>
      </c>
      <c r="D57">
        <v>15</v>
      </c>
      <c r="E57" t="s">
        <v>6</v>
      </c>
      <c r="F57">
        <v>2855.605</v>
      </c>
      <c r="G57">
        <v>0.49099999999999999</v>
      </c>
    </row>
    <row r="58" spans="1:7" x14ac:dyDescent="0.2">
      <c r="A58">
        <f t="shared" si="0"/>
        <v>7009</v>
      </c>
      <c r="B58">
        <v>7</v>
      </c>
      <c r="C58">
        <v>9</v>
      </c>
      <c r="D58">
        <v>16</v>
      </c>
      <c r="E58" t="s">
        <v>7</v>
      </c>
      <c r="F58">
        <v>10680.253000000001</v>
      </c>
      <c r="G58">
        <v>8.3209999999999997</v>
      </c>
    </row>
    <row r="59" spans="1:7" x14ac:dyDescent="0.2">
      <c r="A59">
        <f t="shared" si="0"/>
        <v>7010</v>
      </c>
      <c r="B59">
        <v>7</v>
      </c>
      <c r="C59">
        <v>10</v>
      </c>
      <c r="D59">
        <v>17</v>
      </c>
      <c r="E59" t="s">
        <v>8</v>
      </c>
      <c r="F59">
        <v>16500.447</v>
      </c>
      <c r="G59">
        <v>0.35399999999999998</v>
      </c>
    </row>
    <row r="60" spans="1:7" x14ac:dyDescent="0.2">
      <c r="A60">
        <f t="shared" si="0"/>
        <v>7011</v>
      </c>
      <c r="B60">
        <v>7</v>
      </c>
      <c r="C60">
        <v>11</v>
      </c>
      <c r="D60">
        <v>18</v>
      </c>
      <c r="E60" t="s">
        <v>9</v>
      </c>
      <c r="F60">
        <v>25037.988000000001</v>
      </c>
      <c r="G60">
        <v>93.881</v>
      </c>
    </row>
    <row r="61" spans="1:7" x14ac:dyDescent="0.2">
      <c r="A61">
        <f t="shared" si="0"/>
        <v>7012</v>
      </c>
      <c r="B61">
        <v>7</v>
      </c>
      <c r="C61">
        <v>12</v>
      </c>
      <c r="D61">
        <v>19</v>
      </c>
      <c r="E61" t="s">
        <v>10</v>
      </c>
      <c r="F61">
        <v>31828.388999999999</v>
      </c>
      <c r="G61">
        <v>50.000999999999998</v>
      </c>
    </row>
    <row r="62" spans="1:7" x14ac:dyDescent="0.2">
      <c r="A62">
        <f t="shared" si="0"/>
        <v>8002</v>
      </c>
      <c r="B62">
        <v>8</v>
      </c>
      <c r="C62">
        <v>2</v>
      </c>
      <c r="D62">
        <v>10</v>
      </c>
      <c r="E62" t="s">
        <v>96</v>
      </c>
      <c r="F62">
        <v>49197.142999999996</v>
      </c>
      <c r="G62">
        <v>92.847999999999999</v>
      </c>
    </row>
    <row r="63" spans="1:7" x14ac:dyDescent="0.2">
      <c r="A63">
        <f t="shared" si="0"/>
        <v>8003</v>
      </c>
      <c r="B63">
        <v>8</v>
      </c>
      <c r="C63">
        <v>3</v>
      </c>
      <c r="D63">
        <v>11</v>
      </c>
      <c r="E63" t="s">
        <v>0</v>
      </c>
      <c r="F63">
        <v>40728.254000000001</v>
      </c>
      <c r="G63">
        <v>0.61499999999999999</v>
      </c>
    </row>
    <row r="64" spans="1:7" x14ac:dyDescent="0.2">
      <c r="A64">
        <f t="shared" si="0"/>
        <v>8004</v>
      </c>
      <c r="B64">
        <v>8</v>
      </c>
      <c r="C64">
        <v>4</v>
      </c>
      <c r="D64">
        <v>12</v>
      </c>
      <c r="E64" t="s">
        <v>1</v>
      </c>
      <c r="F64">
        <v>25077.759999999998</v>
      </c>
      <c r="G64">
        <v>1.909</v>
      </c>
    </row>
    <row r="65" spans="1:7" x14ac:dyDescent="0.2">
      <c r="A65">
        <f t="shared" ref="A65:A128" si="1">1000*B65+C65</f>
        <v>8005</v>
      </c>
      <c r="B65">
        <v>8</v>
      </c>
      <c r="C65">
        <v>5</v>
      </c>
      <c r="D65">
        <v>13</v>
      </c>
      <c r="E65" t="s">
        <v>3</v>
      </c>
      <c r="F65">
        <v>16561.947</v>
      </c>
      <c r="G65">
        <v>1</v>
      </c>
    </row>
    <row r="66" spans="1:7" x14ac:dyDescent="0.2">
      <c r="A66">
        <f t="shared" si="1"/>
        <v>8006</v>
      </c>
      <c r="B66">
        <v>8</v>
      </c>
      <c r="C66">
        <v>6</v>
      </c>
      <c r="D66">
        <v>14</v>
      </c>
      <c r="E66" t="s">
        <v>4</v>
      </c>
      <c r="F66">
        <v>3019.8927800000001</v>
      </c>
      <c r="G66">
        <v>3.7599999999999999E-3</v>
      </c>
    </row>
    <row r="67" spans="1:7" x14ac:dyDescent="0.2">
      <c r="A67">
        <f t="shared" si="1"/>
        <v>8007</v>
      </c>
      <c r="B67">
        <v>8</v>
      </c>
      <c r="C67">
        <v>7</v>
      </c>
      <c r="D67">
        <v>15</v>
      </c>
      <c r="E67" t="s">
        <v>5</v>
      </c>
      <c r="F67">
        <v>101.43871</v>
      </c>
      <c r="G67">
        <v>5.9999999999999995E-4</v>
      </c>
    </row>
    <row r="68" spans="1:7" x14ac:dyDescent="0.2">
      <c r="A68">
        <f t="shared" si="1"/>
        <v>8008</v>
      </c>
      <c r="B68">
        <v>8</v>
      </c>
      <c r="C68">
        <v>8</v>
      </c>
      <c r="D68">
        <v>16</v>
      </c>
      <c r="E68" t="s">
        <v>6</v>
      </c>
      <c r="F68">
        <v>-4737.0013499999995</v>
      </c>
      <c r="G68">
        <v>1.6000000000000001E-4</v>
      </c>
    </row>
    <row r="69" spans="1:7" x14ac:dyDescent="0.2">
      <c r="A69">
        <f t="shared" si="1"/>
        <v>8009</v>
      </c>
      <c r="B69">
        <v>8</v>
      </c>
      <c r="C69">
        <v>9</v>
      </c>
      <c r="D69">
        <v>17</v>
      </c>
      <c r="E69" t="s">
        <v>7</v>
      </c>
      <c r="F69">
        <v>1951.702</v>
      </c>
      <c r="G69">
        <v>0.248</v>
      </c>
    </row>
    <row r="70" spans="1:7" x14ac:dyDescent="0.2">
      <c r="A70">
        <f t="shared" si="1"/>
        <v>8010</v>
      </c>
      <c r="B70">
        <v>8</v>
      </c>
      <c r="C70">
        <v>10</v>
      </c>
      <c r="D70">
        <v>18</v>
      </c>
      <c r="E70" t="s">
        <v>8</v>
      </c>
      <c r="F70">
        <v>5317.6139999999996</v>
      </c>
      <c r="G70">
        <v>0.36299999999999999</v>
      </c>
    </row>
    <row r="71" spans="1:7" x14ac:dyDescent="0.2">
      <c r="A71">
        <f t="shared" si="1"/>
        <v>8011</v>
      </c>
      <c r="B71">
        <v>8</v>
      </c>
      <c r="C71">
        <v>11</v>
      </c>
      <c r="D71">
        <v>19</v>
      </c>
      <c r="E71" t="s">
        <v>9</v>
      </c>
      <c r="F71">
        <v>12929.39</v>
      </c>
      <c r="G71">
        <v>10.535</v>
      </c>
    </row>
    <row r="72" spans="1:7" x14ac:dyDescent="0.2">
      <c r="A72">
        <f t="shared" si="1"/>
        <v>8012</v>
      </c>
      <c r="B72">
        <v>8</v>
      </c>
      <c r="C72">
        <v>12</v>
      </c>
      <c r="D72">
        <v>20</v>
      </c>
      <c r="E72" t="s">
        <v>10</v>
      </c>
      <c r="F72">
        <v>17477.691999999999</v>
      </c>
      <c r="G72">
        <v>1.863</v>
      </c>
    </row>
    <row r="73" spans="1:7" x14ac:dyDescent="0.2">
      <c r="A73">
        <f t="shared" si="1"/>
        <v>8013</v>
      </c>
      <c r="B73">
        <v>8</v>
      </c>
      <c r="C73">
        <v>13</v>
      </c>
      <c r="D73">
        <v>21</v>
      </c>
      <c r="E73" t="s">
        <v>11</v>
      </c>
      <c r="F73" t="s">
        <v>615</v>
      </c>
      <c r="G73" t="s">
        <v>211</v>
      </c>
    </row>
    <row r="74" spans="1:7" x14ac:dyDescent="0.2">
      <c r="A74">
        <f t="shared" si="1"/>
        <v>8014</v>
      </c>
      <c r="B74">
        <v>8</v>
      </c>
      <c r="C74">
        <v>14</v>
      </c>
      <c r="D74">
        <v>22</v>
      </c>
      <c r="E74" t="s">
        <v>12</v>
      </c>
      <c r="F74" t="s">
        <v>617</v>
      </c>
      <c r="G74" t="s">
        <v>201</v>
      </c>
    </row>
    <row r="75" spans="1:7" x14ac:dyDescent="0.2">
      <c r="A75">
        <f t="shared" si="1"/>
        <v>9003</v>
      </c>
      <c r="B75">
        <v>9</v>
      </c>
      <c r="C75">
        <v>3</v>
      </c>
      <c r="D75">
        <v>12</v>
      </c>
      <c r="E75" t="s">
        <v>0</v>
      </c>
      <c r="F75">
        <v>49009.571000000004</v>
      </c>
      <c r="G75">
        <v>30.006</v>
      </c>
    </row>
    <row r="76" spans="1:7" x14ac:dyDescent="0.2">
      <c r="A76">
        <f t="shared" si="1"/>
        <v>9004</v>
      </c>
      <c r="B76">
        <v>9</v>
      </c>
      <c r="C76">
        <v>4</v>
      </c>
      <c r="D76">
        <v>13</v>
      </c>
      <c r="E76" t="s">
        <v>1</v>
      </c>
      <c r="F76">
        <v>33659.076999999997</v>
      </c>
      <c r="G76">
        <v>10.18</v>
      </c>
    </row>
    <row r="77" spans="1:7" x14ac:dyDescent="0.2">
      <c r="A77">
        <f t="shared" si="1"/>
        <v>9005</v>
      </c>
      <c r="B77">
        <v>9</v>
      </c>
      <c r="C77">
        <v>5</v>
      </c>
      <c r="D77">
        <v>14</v>
      </c>
      <c r="E77" t="s">
        <v>3</v>
      </c>
      <c r="F77">
        <v>23663.685000000001</v>
      </c>
      <c r="G77">
        <v>21.213000000000001</v>
      </c>
    </row>
    <row r="78" spans="1:7" x14ac:dyDescent="0.2">
      <c r="A78">
        <f t="shared" si="1"/>
        <v>9006</v>
      </c>
      <c r="B78">
        <v>9</v>
      </c>
      <c r="C78">
        <v>6</v>
      </c>
      <c r="D78">
        <v>15</v>
      </c>
      <c r="E78" t="s">
        <v>4</v>
      </c>
      <c r="F78">
        <v>9873.1440000000002</v>
      </c>
      <c r="G78">
        <v>0.8</v>
      </c>
    </row>
    <row r="79" spans="1:7" x14ac:dyDescent="0.2">
      <c r="A79">
        <f t="shared" si="1"/>
        <v>9007</v>
      </c>
      <c r="B79">
        <v>9</v>
      </c>
      <c r="C79">
        <v>7</v>
      </c>
      <c r="D79">
        <v>16</v>
      </c>
      <c r="E79" t="s">
        <v>5</v>
      </c>
      <c r="F79">
        <v>5683.9070000000002</v>
      </c>
      <c r="G79">
        <v>2.3010000000000002</v>
      </c>
    </row>
    <row r="80" spans="1:7" x14ac:dyDescent="0.2">
      <c r="A80">
        <f t="shared" si="1"/>
        <v>9008</v>
      </c>
      <c r="B80">
        <v>9</v>
      </c>
      <c r="C80">
        <v>8</v>
      </c>
      <c r="D80">
        <v>17</v>
      </c>
      <c r="E80" t="s">
        <v>6</v>
      </c>
      <c r="F80">
        <v>-808.76347999999996</v>
      </c>
      <c r="G80">
        <v>6.6E-4</v>
      </c>
    </row>
    <row r="81" spans="1:7" x14ac:dyDescent="0.2">
      <c r="A81">
        <f t="shared" si="1"/>
        <v>9009</v>
      </c>
      <c r="B81">
        <v>9</v>
      </c>
      <c r="C81">
        <v>9</v>
      </c>
      <c r="D81">
        <v>18</v>
      </c>
      <c r="E81" t="s">
        <v>7</v>
      </c>
      <c r="F81">
        <v>873.11300000000006</v>
      </c>
      <c r="G81">
        <v>0.46300000000000002</v>
      </c>
    </row>
    <row r="82" spans="1:7" x14ac:dyDescent="0.2">
      <c r="A82">
        <f t="shared" si="1"/>
        <v>9010</v>
      </c>
      <c r="B82">
        <v>9</v>
      </c>
      <c r="C82">
        <v>10</v>
      </c>
      <c r="D82">
        <v>19</v>
      </c>
      <c r="E82" t="s">
        <v>8</v>
      </c>
      <c r="F82">
        <v>1752.05</v>
      </c>
      <c r="G82">
        <v>0.16</v>
      </c>
    </row>
    <row r="83" spans="1:7" x14ac:dyDescent="0.2">
      <c r="A83">
        <f t="shared" si="1"/>
        <v>9011</v>
      </c>
      <c r="B83">
        <v>9</v>
      </c>
      <c r="C83">
        <v>11</v>
      </c>
      <c r="D83">
        <v>20</v>
      </c>
      <c r="E83" t="s">
        <v>9</v>
      </c>
      <c r="F83">
        <v>6850.6040000000003</v>
      </c>
      <c r="G83">
        <v>1.1140000000000001</v>
      </c>
    </row>
    <row r="84" spans="1:7" x14ac:dyDescent="0.2">
      <c r="A84">
        <f t="shared" si="1"/>
        <v>9012</v>
      </c>
      <c r="B84">
        <v>9</v>
      </c>
      <c r="C84">
        <v>12</v>
      </c>
      <c r="D84">
        <v>21</v>
      </c>
      <c r="E84" t="s">
        <v>10</v>
      </c>
      <c r="F84">
        <v>10903.85</v>
      </c>
      <c r="G84">
        <v>0.755</v>
      </c>
    </row>
    <row r="85" spans="1:7" x14ac:dyDescent="0.2">
      <c r="A85">
        <f t="shared" si="1"/>
        <v>9013</v>
      </c>
      <c r="B85">
        <v>9</v>
      </c>
      <c r="C85">
        <v>13</v>
      </c>
      <c r="D85">
        <v>22</v>
      </c>
      <c r="E85" t="s">
        <v>11</v>
      </c>
      <c r="F85" t="s">
        <v>616</v>
      </c>
      <c r="G85" t="s">
        <v>199</v>
      </c>
    </row>
    <row r="86" spans="1:7" x14ac:dyDescent="0.2">
      <c r="A86">
        <f t="shared" si="1"/>
        <v>9014</v>
      </c>
      <c r="B86">
        <v>9</v>
      </c>
      <c r="C86">
        <v>14</v>
      </c>
      <c r="D86">
        <v>23</v>
      </c>
      <c r="E86" t="s">
        <v>12</v>
      </c>
      <c r="F86" t="s">
        <v>619</v>
      </c>
      <c r="G86" t="s">
        <v>201</v>
      </c>
    </row>
    <row r="87" spans="1:7" x14ac:dyDescent="0.2">
      <c r="A87">
        <f t="shared" si="1"/>
        <v>9015</v>
      </c>
      <c r="B87">
        <v>9</v>
      </c>
      <c r="C87">
        <v>15</v>
      </c>
      <c r="D87">
        <v>24</v>
      </c>
      <c r="E87" t="s">
        <v>13</v>
      </c>
      <c r="F87" t="s">
        <v>621</v>
      </c>
      <c r="G87" t="s">
        <v>201</v>
      </c>
    </row>
    <row r="88" spans="1:7" x14ac:dyDescent="0.2">
      <c r="A88">
        <f t="shared" si="1"/>
        <v>10003</v>
      </c>
      <c r="B88">
        <v>10</v>
      </c>
      <c r="C88">
        <v>3</v>
      </c>
      <c r="D88">
        <v>13</v>
      </c>
      <c r="E88" t="s">
        <v>0</v>
      </c>
      <c r="F88">
        <v>56980.887999999999</v>
      </c>
      <c r="G88">
        <v>70.003</v>
      </c>
    </row>
    <row r="89" spans="1:7" x14ac:dyDescent="0.2">
      <c r="A89">
        <f t="shared" si="1"/>
        <v>10004</v>
      </c>
      <c r="B89">
        <v>10</v>
      </c>
      <c r="C89">
        <v>4</v>
      </c>
      <c r="D89">
        <v>14</v>
      </c>
      <c r="E89" t="s">
        <v>1</v>
      </c>
      <c r="F89">
        <v>39954.498</v>
      </c>
      <c r="G89">
        <v>132.245</v>
      </c>
    </row>
    <row r="90" spans="1:7" x14ac:dyDescent="0.2">
      <c r="A90">
        <f t="shared" si="1"/>
        <v>10005</v>
      </c>
      <c r="B90">
        <v>10</v>
      </c>
      <c r="C90">
        <v>5</v>
      </c>
      <c r="D90">
        <v>15</v>
      </c>
      <c r="E90" t="s">
        <v>3</v>
      </c>
      <c r="F90">
        <v>28958.241999999998</v>
      </c>
      <c r="G90">
        <v>21.032</v>
      </c>
    </row>
    <row r="91" spans="1:7" x14ac:dyDescent="0.2">
      <c r="A91">
        <f t="shared" si="1"/>
        <v>10006</v>
      </c>
      <c r="B91">
        <v>10</v>
      </c>
      <c r="C91">
        <v>6</v>
      </c>
      <c r="D91">
        <v>16</v>
      </c>
      <c r="E91" t="s">
        <v>4</v>
      </c>
      <c r="F91">
        <v>13694.132</v>
      </c>
      <c r="G91">
        <v>3.5779999999999998</v>
      </c>
    </row>
    <row r="92" spans="1:7" x14ac:dyDescent="0.2">
      <c r="A92">
        <f t="shared" si="1"/>
        <v>10007</v>
      </c>
      <c r="B92">
        <v>10</v>
      </c>
      <c r="C92">
        <v>7</v>
      </c>
      <c r="D92">
        <v>17</v>
      </c>
      <c r="E92" t="s">
        <v>5</v>
      </c>
      <c r="F92">
        <v>7870.0789999999997</v>
      </c>
      <c r="G92">
        <v>15</v>
      </c>
    </row>
    <row r="93" spans="1:7" x14ac:dyDescent="0.2">
      <c r="A93">
        <f t="shared" si="1"/>
        <v>10008</v>
      </c>
      <c r="B93">
        <v>10</v>
      </c>
      <c r="C93">
        <v>8</v>
      </c>
      <c r="D93">
        <v>18</v>
      </c>
      <c r="E93" t="s">
        <v>6</v>
      </c>
      <c r="F93">
        <v>-782.81560000000002</v>
      </c>
      <c r="G93">
        <v>7.1000000000000002E-4</v>
      </c>
    </row>
    <row r="94" spans="1:7" x14ac:dyDescent="0.2">
      <c r="A94">
        <f t="shared" si="1"/>
        <v>10009</v>
      </c>
      <c r="B94">
        <v>10</v>
      </c>
      <c r="C94">
        <v>9</v>
      </c>
      <c r="D94">
        <v>19</v>
      </c>
      <c r="E94" t="s">
        <v>7</v>
      </c>
      <c r="F94">
        <v>-1487.4441999999999</v>
      </c>
      <c r="G94">
        <v>8.5999999999999998E-4</v>
      </c>
    </row>
    <row r="95" spans="1:7" x14ac:dyDescent="0.2">
      <c r="A95">
        <f t="shared" si="1"/>
        <v>10010</v>
      </c>
      <c r="B95">
        <v>10</v>
      </c>
      <c r="C95">
        <v>10</v>
      </c>
      <c r="D95">
        <v>20</v>
      </c>
      <c r="E95" t="s">
        <v>8</v>
      </c>
      <c r="F95">
        <v>-7041.93055</v>
      </c>
      <c r="G95">
        <v>1.57E-3</v>
      </c>
    </row>
    <row r="96" spans="1:7" x14ac:dyDescent="0.2">
      <c r="A96">
        <f t="shared" si="1"/>
        <v>10011</v>
      </c>
      <c r="B96">
        <v>10</v>
      </c>
      <c r="C96">
        <v>11</v>
      </c>
      <c r="D96">
        <v>21</v>
      </c>
      <c r="E96" t="s">
        <v>9</v>
      </c>
      <c r="F96">
        <v>-2184.6309999999999</v>
      </c>
      <c r="G96">
        <v>9.8000000000000004E-2</v>
      </c>
    </row>
    <row r="97" spans="1:7" x14ac:dyDescent="0.2">
      <c r="A97">
        <f t="shared" si="1"/>
        <v>10012</v>
      </c>
      <c r="B97">
        <v>10</v>
      </c>
      <c r="C97">
        <v>12</v>
      </c>
      <c r="D97">
        <v>22</v>
      </c>
      <c r="E97" t="s">
        <v>10</v>
      </c>
      <c r="F97">
        <v>-399.93299999999999</v>
      </c>
      <c r="G97">
        <v>0.313</v>
      </c>
    </row>
    <row r="98" spans="1:7" x14ac:dyDescent="0.2">
      <c r="A98">
        <f t="shared" si="1"/>
        <v>10013</v>
      </c>
      <c r="B98">
        <v>10</v>
      </c>
      <c r="C98">
        <v>13</v>
      </c>
      <c r="D98">
        <v>23</v>
      </c>
      <c r="E98" t="s">
        <v>11</v>
      </c>
      <c r="F98">
        <v>6748.07</v>
      </c>
      <c r="G98">
        <v>0.34499999999999997</v>
      </c>
    </row>
    <row r="99" spans="1:7" x14ac:dyDescent="0.2">
      <c r="A99">
        <f t="shared" si="1"/>
        <v>10014</v>
      </c>
      <c r="B99">
        <v>10</v>
      </c>
      <c r="C99">
        <v>14</v>
      </c>
      <c r="D99">
        <v>24</v>
      </c>
      <c r="E99" t="s">
        <v>12</v>
      </c>
      <c r="F99">
        <v>10745.195</v>
      </c>
      <c r="G99">
        <v>19.472000000000001</v>
      </c>
    </row>
    <row r="100" spans="1:7" x14ac:dyDescent="0.2">
      <c r="A100">
        <f t="shared" si="1"/>
        <v>10015</v>
      </c>
      <c r="B100">
        <v>10</v>
      </c>
      <c r="C100">
        <v>15</v>
      </c>
      <c r="D100">
        <v>25</v>
      </c>
      <c r="E100" t="s">
        <v>13</v>
      </c>
      <c r="F100" t="s">
        <v>623</v>
      </c>
      <c r="G100" t="s">
        <v>199</v>
      </c>
    </row>
    <row r="101" spans="1:7" x14ac:dyDescent="0.2">
      <c r="A101">
        <f t="shared" si="1"/>
        <v>10016</v>
      </c>
      <c r="B101">
        <v>10</v>
      </c>
      <c r="C101">
        <v>16</v>
      </c>
      <c r="D101">
        <v>26</v>
      </c>
      <c r="E101" t="s">
        <v>14</v>
      </c>
      <c r="F101" t="s">
        <v>624</v>
      </c>
      <c r="G101" t="s">
        <v>211</v>
      </c>
    </row>
    <row r="102" spans="1:7" x14ac:dyDescent="0.2">
      <c r="A102">
        <f t="shared" si="1"/>
        <v>11004</v>
      </c>
      <c r="B102">
        <v>11</v>
      </c>
      <c r="C102">
        <v>4</v>
      </c>
      <c r="D102">
        <v>15</v>
      </c>
      <c r="E102" t="s">
        <v>1</v>
      </c>
      <c r="F102">
        <v>49825.815000000002</v>
      </c>
      <c r="G102">
        <v>165.797</v>
      </c>
    </row>
    <row r="103" spans="1:7" x14ac:dyDescent="0.2">
      <c r="A103">
        <f t="shared" si="1"/>
        <v>11005</v>
      </c>
      <c r="B103">
        <v>11</v>
      </c>
      <c r="C103">
        <v>5</v>
      </c>
      <c r="D103">
        <v>16</v>
      </c>
      <c r="E103" t="s">
        <v>3</v>
      </c>
      <c r="F103">
        <v>37112.51</v>
      </c>
      <c r="G103">
        <v>24.568999999999999</v>
      </c>
    </row>
    <row r="104" spans="1:7" x14ac:dyDescent="0.2">
      <c r="A104">
        <f t="shared" si="1"/>
        <v>11006</v>
      </c>
      <c r="B104">
        <v>11</v>
      </c>
      <c r="C104">
        <v>6</v>
      </c>
      <c r="D104">
        <v>17</v>
      </c>
      <c r="E104" t="s">
        <v>609</v>
      </c>
      <c r="F104">
        <v>21031.898000000001</v>
      </c>
      <c r="G104">
        <v>17.364999999999998</v>
      </c>
    </row>
    <row r="105" spans="1:7" x14ac:dyDescent="0.2">
      <c r="A105">
        <f t="shared" si="1"/>
        <v>11007</v>
      </c>
      <c r="B105">
        <v>11</v>
      </c>
      <c r="C105">
        <v>7</v>
      </c>
      <c r="D105">
        <v>18</v>
      </c>
      <c r="E105" t="s">
        <v>5</v>
      </c>
      <c r="F105">
        <v>13113.168</v>
      </c>
      <c r="G105">
        <v>18.57</v>
      </c>
    </row>
    <row r="106" spans="1:7" x14ac:dyDescent="0.2">
      <c r="A106">
        <f t="shared" si="1"/>
        <v>11008</v>
      </c>
      <c r="B106">
        <v>11</v>
      </c>
      <c r="C106">
        <v>8</v>
      </c>
      <c r="D106">
        <v>19</v>
      </c>
      <c r="E106" t="s">
        <v>6</v>
      </c>
      <c r="F106">
        <v>3332.8580000000002</v>
      </c>
      <c r="G106">
        <v>2.637</v>
      </c>
    </row>
    <row r="107" spans="1:7" x14ac:dyDescent="0.2">
      <c r="A107">
        <f t="shared" si="1"/>
        <v>11009</v>
      </c>
      <c r="B107">
        <v>11</v>
      </c>
      <c r="C107">
        <v>9</v>
      </c>
      <c r="D107">
        <v>20</v>
      </c>
      <c r="E107" t="s">
        <v>7</v>
      </c>
      <c r="F107">
        <v>-17.463000000000001</v>
      </c>
      <c r="G107">
        <v>0.03</v>
      </c>
    </row>
    <row r="108" spans="1:7" x14ac:dyDescent="0.2">
      <c r="A108">
        <f t="shared" si="1"/>
        <v>11010</v>
      </c>
      <c r="B108">
        <v>11</v>
      </c>
      <c r="C108">
        <v>10</v>
      </c>
      <c r="D108">
        <v>21</v>
      </c>
      <c r="E108" t="s">
        <v>8</v>
      </c>
      <c r="F108">
        <v>-5731.7759999999998</v>
      </c>
      <c r="G108">
        <v>3.7999999999999999E-2</v>
      </c>
    </row>
    <row r="109" spans="1:7" x14ac:dyDescent="0.2">
      <c r="A109">
        <f t="shared" si="1"/>
        <v>11011</v>
      </c>
      <c r="B109">
        <v>11</v>
      </c>
      <c r="C109">
        <v>11</v>
      </c>
      <c r="D109">
        <v>22</v>
      </c>
      <c r="E109" t="s">
        <v>9</v>
      </c>
      <c r="F109">
        <v>-5181.5110000000004</v>
      </c>
      <c r="G109">
        <v>0.17100000000000001</v>
      </c>
    </row>
    <row r="110" spans="1:7" x14ac:dyDescent="0.2">
      <c r="A110">
        <f t="shared" si="1"/>
        <v>11012</v>
      </c>
      <c r="B110">
        <v>11</v>
      </c>
      <c r="C110">
        <v>12</v>
      </c>
      <c r="D110">
        <v>23</v>
      </c>
      <c r="E110" t="s">
        <v>10</v>
      </c>
      <c r="F110">
        <v>-5473.5129999999999</v>
      </c>
      <c r="G110">
        <v>0.158</v>
      </c>
    </row>
    <row r="111" spans="1:7" x14ac:dyDescent="0.2">
      <c r="A111">
        <f t="shared" si="1"/>
        <v>11013</v>
      </c>
      <c r="B111">
        <v>11</v>
      </c>
      <c r="C111">
        <v>13</v>
      </c>
      <c r="D111">
        <v>24</v>
      </c>
      <c r="E111" t="s">
        <v>11</v>
      </c>
      <c r="F111">
        <v>-48.865000000000002</v>
      </c>
      <c r="G111">
        <v>0.23300000000000001</v>
      </c>
    </row>
    <row r="112" spans="1:7" x14ac:dyDescent="0.2">
      <c r="A112">
        <f t="shared" si="1"/>
        <v>11014</v>
      </c>
      <c r="B112">
        <v>11</v>
      </c>
      <c r="C112">
        <v>14</v>
      </c>
      <c r="D112">
        <v>25</v>
      </c>
      <c r="E112" t="s">
        <v>12</v>
      </c>
      <c r="F112">
        <v>3827.3240000000001</v>
      </c>
      <c r="G112">
        <v>10</v>
      </c>
    </row>
    <row r="113" spans="1:7" x14ac:dyDescent="0.2">
      <c r="A113">
        <f t="shared" si="1"/>
        <v>11015</v>
      </c>
      <c r="B113">
        <v>11</v>
      </c>
      <c r="C113">
        <v>15</v>
      </c>
      <c r="D113">
        <v>26</v>
      </c>
      <c r="E113" t="s">
        <v>13</v>
      </c>
      <c r="F113" t="s">
        <v>207</v>
      </c>
      <c r="G113" t="s">
        <v>206</v>
      </c>
    </row>
    <row r="114" spans="1:7" x14ac:dyDescent="0.2">
      <c r="A114">
        <f t="shared" si="1"/>
        <v>11016</v>
      </c>
      <c r="B114">
        <v>11</v>
      </c>
      <c r="C114">
        <v>16</v>
      </c>
      <c r="D114">
        <v>27</v>
      </c>
      <c r="E114" t="s">
        <v>14</v>
      </c>
      <c r="F114" t="s">
        <v>626</v>
      </c>
      <c r="G114" t="s">
        <v>199</v>
      </c>
    </row>
    <row r="115" spans="1:7" x14ac:dyDescent="0.2">
      <c r="A115">
        <f t="shared" si="1"/>
        <v>11017</v>
      </c>
      <c r="B115">
        <v>11</v>
      </c>
      <c r="C115">
        <v>17</v>
      </c>
      <c r="D115">
        <v>28</v>
      </c>
      <c r="E115" t="s">
        <v>15</v>
      </c>
      <c r="F115" t="s">
        <v>628</v>
      </c>
      <c r="G115" t="s">
        <v>211</v>
      </c>
    </row>
    <row r="116" spans="1:7" x14ac:dyDescent="0.2">
      <c r="A116">
        <f t="shared" si="1"/>
        <v>12004</v>
      </c>
      <c r="B116">
        <v>12</v>
      </c>
      <c r="C116">
        <v>4</v>
      </c>
      <c r="D116">
        <v>16</v>
      </c>
      <c r="E116" t="s">
        <v>1</v>
      </c>
      <c r="F116">
        <v>57447.131999999998</v>
      </c>
      <c r="G116">
        <v>165.797</v>
      </c>
    </row>
    <row r="117" spans="1:7" x14ac:dyDescent="0.2">
      <c r="A117">
        <f t="shared" si="1"/>
        <v>12005</v>
      </c>
      <c r="B117">
        <v>12</v>
      </c>
      <c r="C117">
        <v>5</v>
      </c>
      <c r="D117">
        <v>17</v>
      </c>
      <c r="E117" t="s">
        <v>3</v>
      </c>
      <c r="F117">
        <v>43716.317000000003</v>
      </c>
      <c r="G117">
        <v>204.10400000000001</v>
      </c>
    </row>
    <row r="118" spans="1:7" x14ac:dyDescent="0.2">
      <c r="A118">
        <f t="shared" si="1"/>
        <v>12006</v>
      </c>
      <c r="B118">
        <v>12</v>
      </c>
      <c r="C118">
        <v>6</v>
      </c>
      <c r="D118">
        <v>18</v>
      </c>
      <c r="E118" t="s">
        <v>4</v>
      </c>
      <c r="F118">
        <v>24919.263999999999</v>
      </c>
      <c r="G118">
        <v>30</v>
      </c>
    </row>
    <row r="119" spans="1:7" x14ac:dyDescent="0.2">
      <c r="A119">
        <f t="shared" si="1"/>
        <v>12007</v>
      </c>
      <c r="B119">
        <v>12</v>
      </c>
      <c r="C119">
        <v>7</v>
      </c>
      <c r="D119">
        <v>19</v>
      </c>
      <c r="E119" t="s">
        <v>610</v>
      </c>
      <c r="F119">
        <v>15856.281999999999</v>
      </c>
      <c r="G119">
        <v>16.404</v>
      </c>
    </row>
    <row r="120" spans="1:7" x14ac:dyDescent="0.2">
      <c r="A120">
        <f t="shared" si="1"/>
        <v>12008</v>
      </c>
      <c r="B120">
        <v>12</v>
      </c>
      <c r="C120">
        <v>8</v>
      </c>
      <c r="D120">
        <v>20</v>
      </c>
      <c r="E120" t="s">
        <v>6</v>
      </c>
      <c r="F120">
        <v>3796.172</v>
      </c>
      <c r="G120">
        <v>0.88500000000000001</v>
      </c>
    </row>
    <row r="121" spans="1:7" x14ac:dyDescent="0.2">
      <c r="A121">
        <f t="shared" si="1"/>
        <v>12009</v>
      </c>
      <c r="B121">
        <v>12</v>
      </c>
      <c r="C121">
        <v>9</v>
      </c>
      <c r="D121">
        <v>21</v>
      </c>
      <c r="E121" t="s">
        <v>7</v>
      </c>
      <c r="F121">
        <v>-47.604999999999997</v>
      </c>
      <c r="G121">
        <v>1.8</v>
      </c>
    </row>
    <row r="122" spans="1:7" x14ac:dyDescent="0.2">
      <c r="A122">
        <f t="shared" si="1"/>
        <v>12010</v>
      </c>
      <c r="B122">
        <v>12</v>
      </c>
      <c r="C122">
        <v>10</v>
      </c>
      <c r="D122">
        <v>22</v>
      </c>
      <c r="E122" t="s">
        <v>8</v>
      </c>
      <c r="F122">
        <v>-8024.7190000000001</v>
      </c>
      <c r="G122">
        <v>1.7999999999999999E-2</v>
      </c>
    </row>
    <row r="123" spans="1:7" x14ac:dyDescent="0.2">
      <c r="A123">
        <f t="shared" si="1"/>
        <v>12011</v>
      </c>
      <c r="B123">
        <v>12</v>
      </c>
      <c r="C123">
        <v>11</v>
      </c>
      <c r="D123">
        <v>23</v>
      </c>
      <c r="E123" t="s">
        <v>9</v>
      </c>
      <c r="F123">
        <v>-9529.8524799999996</v>
      </c>
      <c r="G123">
        <v>1.81E-3</v>
      </c>
    </row>
    <row r="124" spans="1:7" x14ac:dyDescent="0.2">
      <c r="A124">
        <f t="shared" si="1"/>
        <v>12012</v>
      </c>
      <c r="B124">
        <v>12</v>
      </c>
      <c r="C124">
        <v>12</v>
      </c>
      <c r="D124">
        <v>24</v>
      </c>
      <c r="E124" t="s">
        <v>10</v>
      </c>
      <c r="F124">
        <v>-13933.569</v>
      </c>
      <c r="G124">
        <v>1.2999999999999999E-2</v>
      </c>
    </row>
    <row r="125" spans="1:7" x14ac:dyDescent="0.2">
      <c r="A125">
        <f t="shared" si="1"/>
        <v>12013</v>
      </c>
      <c r="B125">
        <v>12</v>
      </c>
      <c r="C125">
        <v>13</v>
      </c>
      <c r="D125">
        <v>25</v>
      </c>
      <c r="E125" t="s">
        <v>11</v>
      </c>
      <c r="F125">
        <v>-8915.9750000000004</v>
      </c>
      <c r="G125">
        <v>6.5000000000000002E-2</v>
      </c>
    </row>
    <row r="126" spans="1:7" x14ac:dyDescent="0.2">
      <c r="A126">
        <f t="shared" si="1"/>
        <v>12014</v>
      </c>
      <c r="B126">
        <v>12</v>
      </c>
      <c r="C126">
        <v>14</v>
      </c>
      <c r="D126">
        <v>26</v>
      </c>
      <c r="E126" t="s">
        <v>12</v>
      </c>
      <c r="F126">
        <v>-7141.0150000000003</v>
      </c>
      <c r="G126">
        <v>0.108</v>
      </c>
    </row>
    <row r="127" spans="1:7" x14ac:dyDescent="0.2">
      <c r="A127">
        <f t="shared" si="1"/>
        <v>12015</v>
      </c>
      <c r="B127">
        <v>12</v>
      </c>
      <c r="C127">
        <v>15</v>
      </c>
      <c r="D127">
        <v>27</v>
      </c>
      <c r="E127" t="s">
        <v>13</v>
      </c>
      <c r="F127">
        <v>-722.45799999999997</v>
      </c>
      <c r="G127">
        <v>26.34</v>
      </c>
    </row>
    <row r="128" spans="1:7" x14ac:dyDescent="0.2">
      <c r="A128">
        <f t="shared" si="1"/>
        <v>12016</v>
      </c>
      <c r="B128">
        <v>12</v>
      </c>
      <c r="C128">
        <v>16</v>
      </c>
      <c r="D128">
        <v>28</v>
      </c>
      <c r="E128" t="s">
        <v>14</v>
      </c>
      <c r="F128">
        <v>4073.2060000000001</v>
      </c>
      <c r="G128">
        <v>160</v>
      </c>
    </row>
    <row r="129" spans="1:7" x14ac:dyDescent="0.2">
      <c r="A129">
        <f t="shared" ref="A129:A192" si="2">1000*B129+C129</f>
        <v>12017</v>
      </c>
      <c r="B129">
        <v>12</v>
      </c>
      <c r="C129">
        <v>17</v>
      </c>
      <c r="D129">
        <v>29</v>
      </c>
      <c r="E129" t="s">
        <v>15</v>
      </c>
      <c r="F129">
        <v>13162.175999999999</v>
      </c>
      <c r="G129">
        <v>188.68</v>
      </c>
    </row>
    <row r="130" spans="1:7" x14ac:dyDescent="0.2">
      <c r="A130">
        <f t="shared" si="2"/>
        <v>12018</v>
      </c>
      <c r="B130">
        <v>12</v>
      </c>
      <c r="C130">
        <v>18</v>
      </c>
      <c r="D130">
        <v>30</v>
      </c>
      <c r="E130" t="s">
        <v>16</v>
      </c>
      <c r="F130">
        <v>20931.147000000001</v>
      </c>
      <c r="G130">
        <v>206.155</v>
      </c>
    </row>
    <row r="131" spans="1:7" x14ac:dyDescent="0.2">
      <c r="A131">
        <f t="shared" si="2"/>
        <v>13005</v>
      </c>
      <c r="B131">
        <v>13</v>
      </c>
      <c r="C131">
        <v>5</v>
      </c>
      <c r="D131">
        <v>18</v>
      </c>
      <c r="E131" t="s">
        <v>3</v>
      </c>
      <c r="F131">
        <v>51792.633999999998</v>
      </c>
      <c r="G131">
        <v>204.16499999999999</v>
      </c>
    </row>
    <row r="132" spans="1:7" x14ac:dyDescent="0.2">
      <c r="A132">
        <f t="shared" si="2"/>
        <v>13006</v>
      </c>
      <c r="B132">
        <v>13</v>
      </c>
      <c r="C132">
        <v>6</v>
      </c>
      <c r="D132">
        <v>19</v>
      </c>
      <c r="E132" t="s">
        <v>4</v>
      </c>
      <c r="F132">
        <v>32413.752</v>
      </c>
      <c r="G132">
        <v>98.388999999999996</v>
      </c>
    </row>
    <row r="133" spans="1:7" x14ac:dyDescent="0.2">
      <c r="A133">
        <f t="shared" si="2"/>
        <v>13007</v>
      </c>
      <c r="B133">
        <v>13</v>
      </c>
      <c r="C133">
        <v>7</v>
      </c>
      <c r="D133">
        <v>20</v>
      </c>
      <c r="E133" t="s">
        <v>5</v>
      </c>
      <c r="F133">
        <v>21766.495999999999</v>
      </c>
      <c r="G133">
        <v>78.894000000000005</v>
      </c>
    </row>
    <row r="134" spans="1:7" x14ac:dyDescent="0.2">
      <c r="A134">
        <f t="shared" si="2"/>
        <v>13008</v>
      </c>
      <c r="B134">
        <v>13</v>
      </c>
      <c r="C134">
        <v>8</v>
      </c>
      <c r="D134">
        <v>21</v>
      </c>
      <c r="E134" t="s">
        <v>6</v>
      </c>
      <c r="F134">
        <v>8062.0349999999999</v>
      </c>
      <c r="G134">
        <v>12</v>
      </c>
    </row>
    <row r="135" spans="1:7" x14ac:dyDescent="0.2">
      <c r="A135">
        <f t="shared" si="2"/>
        <v>13009</v>
      </c>
      <c r="B135">
        <v>13</v>
      </c>
      <c r="C135">
        <v>9</v>
      </c>
      <c r="D135">
        <v>22</v>
      </c>
      <c r="E135" t="s">
        <v>7</v>
      </c>
      <c r="F135">
        <v>2793.373</v>
      </c>
      <c r="G135">
        <v>12.398999999999999</v>
      </c>
    </row>
    <row r="136" spans="1:7" x14ac:dyDescent="0.2">
      <c r="A136">
        <f t="shared" si="2"/>
        <v>13010</v>
      </c>
      <c r="B136">
        <v>13</v>
      </c>
      <c r="C136">
        <v>10</v>
      </c>
      <c r="D136">
        <v>23</v>
      </c>
      <c r="E136" t="s">
        <v>8</v>
      </c>
      <c r="F136">
        <v>-5154.049</v>
      </c>
      <c r="G136">
        <v>0.104</v>
      </c>
    </row>
    <row r="137" spans="1:7" x14ac:dyDescent="0.2">
      <c r="A137">
        <f t="shared" si="2"/>
        <v>13011</v>
      </c>
      <c r="B137">
        <v>13</v>
      </c>
      <c r="C137">
        <v>11</v>
      </c>
      <c r="D137">
        <v>24</v>
      </c>
      <c r="E137" t="s">
        <v>9</v>
      </c>
      <c r="F137">
        <v>-8417.9009999999998</v>
      </c>
      <c r="G137">
        <v>1.7000000000000001E-2</v>
      </c>
    </row>
    <row r="138" spans="1:7" x14ac:dyDescent="0.2">
      <c r="A138">
        <f t="shared" si="2"/>
        <v>13012</v>
      </c>
      <c r="B138">
        <v>13</v>
      </c>
      <c r="C138">
        <v>12</v>
      </c>
      <c r="D138">
        <v>25</v>
      </c>
      <c r="E138" t="s">
        <v>10</v>
      </c>
      <c r="F138">
        <v>-13192.782999999999</v>
      </c>
      <c r="G138">
        <v>4.7E-2</v>
      </c>
    </row>
    <row r="139" spans="1:7" x14ac:dyDescent="0.2">
      <c r="A139">
        <f t="shared" si="2"/>
        <v>13013</v>
      </c>
      <c r="B139">
        <v>13</v>
      </c>
      <c r="C139">
        <v>13</v>
      </c>
      <c r="D139">
        <v>26</v>
      </c>
      <c r="E139" t="s">
        <v>11</v>
      </c>
      <c r="F139">
        <v>-12210.151</v>
      </c>
      <c r="G139">
        <v>6.7000000000000004E-2</v>
      </c>
    </row>
    <row r="140" spans="1:7" x14ac:dyDescent="0.2">
      <c r="A140">
        <f t="shared" si="2"/>
        <v>13014</v>
      </c>
      <c r="B140">
        <v>13</v>
      </c>
      <c r="C140">
        <v>14</v>
      </c>
      <c r="D140">
        <v>27</v>
      </c>
      <c r="E140" t="s">
        <v>12</v>
      </c>
      <c r="F140">
        <v>-12384.503000000001</v>
      </c>
      <c r="G140">
        <v>0.107</v>
      </c>
    </row>
    <row r="141" spans="1:7" x14ac:dyDescent="0.2">
      <c r="A141">
        <f t="shared" si="2"/>
        <v>13015</v>
      </c>
      <c r="B141">
        <v>13</v>
      </c>
      <c r="C141">
        <v>15</v>
      </c>
      <c r="D141">
        <v>28</v>
      </c>
      <c r="E141" t="s">
        <v>13</v>
      </c>
      <c r="F141">
        <v>-7147.74</v>
      </c>
      <c r="G141">
        <v>1.1519999999999999</v>
      </c>
    </row>
    <row r="142" spans="1:7" x14ac:dyDescent="0.2">
      <c r="A142">
        <f t="shared" si="2"/>
        <v>13016</v>
      </c>
      <c r="B142">
        <v>13</v>
      </c>
      <c r="C142">
        <v>16</v>
      </c>
      <c r="D142">
        <v>29</v>
      </c>
      <c r="E142" t="s">
        <v>14</v>
      </c>
      <c r="F142">
        <v>-3156.4160000000002</v>
      </c>
      <c r="G142">
        <v>50</v>
      </c>
    </row>
    <row r="143" spans="1:7" x14ac:dyDescent="0.2">
      <c r="A143">
        <f t="shared" si="2"/>
        <v>13017</v>
      </c>
      <c r="B143">
        <v>13</v>
      </c>
      <c r="C143">
        <v>17</v>
      </c>
      <c r="D143">
        <v>30</v>
      </c>
      <c r="E143" t="s">
        <v>15</v>
      </c>
      <c r="F143" t="s">
        <v>209</v>
      </c>
      <c r="G143" t="s">
        <v>206</v>
      </c>
    </row>
    <row r="144" spans="1:7" x14ac:dyDescent="0.2">
      <c r="A144">
        <f t="shared" si="2"/>
        <v>13018</v>
      </c>
      <c r="B144">
        <v>13</v>
      </c>
      <c r="C144">
        <v>18</v>
      </c>
      <c r="D144">
        <v>31</v>
      </c>
      <c r="E144" t="s">
        <v>16</v>
      </c>
      <c r="F144" t="s">
        <v>632</v>
      </c>
      <c r="G144" t="s">
        <v>204</v>
      </c>
    </row>
    <row r="145" spans="1:7" x14ac:dyDescent="0.2">
      <c r="A145">
        <f t="shared" si="2"/>
        <v>13019</v>
      </c>
      <c r="B145">
        <v>13</v>
      </c>
      <c r="C145">
        <v>19</v>
      </c>
      <c r="D145">
        <v>32</v>
      </c>
      <c r="E145" t="s">
        <v>17</v>
      </c>
      <c r="F145" t="s">
        <v>634</v>
      </c>
      <c r="G145" t="s">
        <v>199</v>
      </c>
    </row>
    <row r="146" spans="1:7" x14ac:dyDescent="0.2">
      <c r="A146">
        <f t="shared" si="2"/>
        <v>14005</v>
      </c>
      <c r="B146">
        <v>14</v>
      </c>
      <c r="C146">
        <v>5</v>
      </c>
      <c r="D146">
        <v>19</v>
      </c>
      <c r="E146" t="s">
        <v>3</v>
      </c>
      <c r="F146">
        <v>59770.243999999999</v>
      </c>
      <c r="G146">
        <v>525.36300000000006</v>
      </c>
    </row>
    <row r="147" spans="1:7" x14ac:dyDescent="0.2">
      <c r="A147">
        <f t="shared" si="2"/>
        <v>14006</v>
      </c>
      <c r="B147">
        <v>14</v>
      </c>
      <c r="C147">
        <v>6</v>
      </c>
      <c r="D147">
        <v>20</v>
      </c>
      <c r="E147" t="s">
        <v>4</v>
      </c>
      <c r="F147">
        <v>37503.563000000002</v>
      </c>
      <c r="G147">
        <v>230.625</v>
      </c>
    </row>
    <row r="148" spans="1:7" x14ac:dyDescent="0.2">
      <c r="A148">
        <f t="shared" si="2"/>
        <v>14007</v>
      </c>
      <c r="B148">
        <v>14</v>
      </c>
      <c r="C148">
        <v>7</v>
      </c>
      <c r="D148">
        <v>21</v>
      </c>
      <c r="E148" t="s">
        <v>5</v>
      </c>
      <c r="F148">
        <v>25231.913</v>
      </c>
      <c r="G148">
        <v>134.048</v>
      </c>
    </row>
    <row r="149" spans="1:7" x14ac:dyDescent="0.2">
      <c r="A149">
        <f t="shared" si="2"/>
        <v>14008</v>
      </c>
      <c r="B149">
        <v>14</v>
      </c>
      <c r="C149">
        <v>8</v>
      </c>
      <c r="D149">
        <v>22</v>
      </c>
      <c r="E149" t="s">
        <v>6</v>
      </c>
      <c r="F149">
        <v>9283.0329999999994</v>
      </c>
      <c r="G149">
        <v>56.920999999999999</v>
      </c>
    </row>
    <row r="150" spans="1:7" x14ac:dyDescent="0.2">
      <c r="A150">
        <f t="shared" si="2"/>
        <v>14009</v>
      </c>
      <c r="B150">
        <v>14</v>
      </c>
      <c r="C150">
        <v>9</v>
      </c>
      <c r="D150">
        <v>23</v>
      </c>
      <c r="E150" t="s">
        <v>7</v>
      </c>
      <c r="F150">
        <v>3285.2629999999999</v>
      </c>
      <c r="G150">
        <v>33.32</v>
      </c>
    </row>
    <row r="151" spans="1:7" x14ac:dyDescent="0.2">
      <c r="A151">
        <f t="shared" si="2"/>
        <v>14010</v>
      </c>
      <c r="B151">
        <v>14</v>
      </c>
      <c r="C151">
        <v>10</v>
      </c>
      <c r="D151">
        <v>24</v>
      </c>
      <c r="E151" t="s">
        <v>8</v>
      </c>
      <c r="F151">
        <v>-5951.6459999999997</v>
      </c>
      <c r="G151">
        <v>0.51300000000000001</v>
      </c>
    </row>
    <row r="152" spans="1:7" x14ac:dyDescent="0.2">
      <c r="A152">
        <f t="shared" si="2"/>
        <v>14011</v>
      </c>
      <c r="B152">
        <v>14</v>
      </c>
      <c r="C152">
        <v>11</v>
      </c>
      <c r="D152">
        <v>25</v>
      </c>
      <c r="E152" t="s">
        <v>9</v>
      </c>
      <c r="F152">
        <v>-9357.8130000000001</v>
      </c>
      <c r="G152">
        <v>1.2</v>
      </c>
    </row>
    <row r="153" spans="1:7" x14ac:dyDescent="0.2">
      <c r="A153">
        <f t="shared" si="2"/>
        <v>14012</v>
      </c>
      <c r="B153">
        <v>14</v>
      </c>
      <c r="C153">
        <v>12</v>
      </c>
      <c r="D153">
        <v>26</v>
      </c>
      <c r="E153" t="s">
        <v>10</v>
      </c>
      <c r="F153">
        <v>-16214.541999999999</v>
      </c>
      <c r="G153">
        <v>0.03</v>
      </c>
    </row>
    <row r="154" spans="1:7" x14ac:dyDescent="0.2">
      <c r="A154">
        <f t="shared" si="2"/>
        <v>14013</v>
      </c>
      <c r="B154">
        <v>14</v>
      </c>
      <c r="C154">
        <v>13</v>
      </c>
      <c r="D154">
        <v>27</v>
      </c>
      <c r="E154" t="s">
        <v>11</v>
      </c>
      <c r="F154">
        <v>-17196.861000000001</v>
      </c>
      <c r="G154">
        <v>4.7E-2</v>
      </c>
    </row>
    <row r="155" spans="1:7" x14ac:dyDescent="0.2">
      <c r="A155">
        <f t="shared" si="2"/>
        <v>14014</v>
      </c>
      <c r="B155">
        <v>14</v>
      </c>
      <c r="C155">
        <v>14</v>
      </c>
      <c r="D155">
        <v>28</v>
      </c>
      <c r="E155" t="s">
        <v>12</v>
      </c>
      <c r="F155">
        <v>-21492.794300000001</v>
      </c>
      <c r="G155">
        <v>4.8999999999999998E-4</v>
      </c>
    </row>
    <row r="156" spans="1:7" x14ac:dyDescent="0.2">
      <c r="A156">
        <f t="shared" si="2"/>
        <v>14015</v>
      </c>
      <c r="B156">
        <v>14</v>
      </c>
      <c r="C156">
        <v>15</v>
      </c>
      <c r="D156">
        <v>29</v>
      </c>
      <c r="E156" t="s">
        <v>13</v>
      </c>
      <c r="F156">
        <v>-16952.848000000002</v>
      </c>
      <c r="G156">
        <v>0.35899999999999999</v>
      </c>
    </row>
    <row r="157" spans="1:7" x14ac:dyDescent="0.2">
      <c r="A157">
        <f t="shared" si="2"/>
        <v>14016</v>
      </c>
      <c r="B157">
        <v>14</v>
      </c>
      <c r="C157">
        <v>16</v>
      </c>
      <c r="D157">
        <v>30</v>
      </c>
      <c r="E157" t="s">
        <v>14</v>
      </c>
      <c r="F157">
        <v>-14059.253000000001</v>
      </c>
      <c r="G157">
        <v>0.20599999999999999</v>
      </c>
    </row>
    <row r="158" spans="1:7" x14ac:dyDescent="0.2">
      <c r="A158">
        <f t="shared" si="2"/>
        <v>14017</v>
      </c>
      <c r="B158">
        <v>14</v>
      </c>
      <c r="C158">
        <v>17</v>
      </c>
      <c r="D158">
        <v>31</v>
      </c>
      <c r="E158" t="s">
        <v>15</v>
      </c>
      <c r="F158">
        <v>-7034.5510000000004</v>
      </c>
      <c r="G158">
        <v>3.4470000000000001</v>
      </c>
    </row>
    <row r="159" spans="1:7" x14ac:dyDescent="0.2">
      <c r="A159">
        <f t="shared" si="2"/>
        <v>14018</v>
      </c>
      <c r="B159">
        <v>14</v>
      </c>
      <c r="C159">
        <v>18</v>
      </c>
      <c r="D159">
        <v>32</v>
      </c>
      <c r="E159" t="s">
        <v>16</v>
      </c>
      <c r="F159">
        <v>-2200.3510000000001</v>
      </c>
      <c r="G159">
        <v>1.77</v>
      </c>
    </row>
    <row r="160" spans="1:7" x14ac:dyDescent="0.2">
      <c r="A160">
        <f t="shared" si="2"/>
        <v>14019</v>
      </c>
      <c r="B160">
        <v>14</v>
      </c>
      <c r="C160">
        <v>19</v>
      </c>
      <c r="D160">
        <v>33</v>
      </c>
      <c r="E160" t="s">
        <v>17</v>
      </c>
      <c r="F160" t="s">
        <v>636</v>
      </c>
      <c r="G160" t="s">
        <v>206</v>
      </c>
    </row>
    <row r="161" spans="1:7" x14ac:dyDescent="0.2">
      <c r="A161">
        <f t="shared" si="2"/>
        <v>14020</v>
      </c>
      <c r="B161">
        <v>14</v>
      </c>
      <c r="C161">
        <v>20</v>
      </c>
      <c r="D161">
        <v>34</v>
      </c>
      <c r="E161" t="s">
        <v>18</v>
      </c>
      <c r="F161" t="s">
        <v>640</v>
      </c>
      <c r="G161" t="s">
        <v>202</v>
      </c>
    </row>
    <row r="162" spans="1:7" x14ac:dyDescent="0.2">
      <c r="A162">
        <f t="shared" si="2"/>
        <v>15005</v>
      </c>
      <c r="B162">
        <v>15</v>
      </c>
      <c r="C162">
        <v>5</v>
      </c>
      <c r="D162">
        <v>20</v>
      </c>
      <c r="E162" t="s">
        <v>3</v>
      </c>
      <c r="F162" t="s">
        <v>611</v>
      </c>
      <c r="G162" t="s">
        <v>612</v>
      </c>
    </row>
    <row r="163" spans="1:7" x14ac:dyDescent="0.2">
      <c r="A163">
        <f t="shared" si="2"/>
        <v>15006</v>
      </c>
      <c r="B163">
        <v>15</v>
      </c>
      <c r="C163">
        <v>6</v>
      </c>
      <c r="D163">
        <v>21</v>
      </c>
      <c r="E163" t="s">
        <v>4</v>
      </c>
      <c r="F163" t="s">
        <v>614</v>
      </c>
      <c r="G163" t="s">
        <v>211</v>
      </c>
    </row>
    <row r="164" spans="1:7" x14ac:dyDescent="0.2">
      <c r="A164">
        <f t="shared" si="2"/>
        <v>15007</v>
      </c>
      <c r="B164">
        <v>15</v>
      </c>
      <c r="C164">
        <v>7</v>
      </c>
      <c r="D164">
        <v>22</v>
      </c>
      <c r="E164" t="s">
        <v>5</v>
      </c>
      <c r="F164">
        <v>31764.800999999999</v>
      </c>
      <c r="G164">
        <v>207.779</v>
      </c>
    </row>
    <row r="165" spans="1:7" x14ac:dyDescent="0.2">
      <c r="A165">
        <f t="shared" si="2"/>
        <v>15008</v>
      </c>
      <c r="B165">
        <v>15</v>
      </c>
      <c r="C165">
        <v>8</v>
      </c>
      <c r="D165">
        <v>23</v>
      </c>
      <c r="E165" t="s">
        <v>6</v>
      </c>
      <c r="F165">
        <v>14621.369000000001</v>
      </c>
      <c r="G165">
        <v>121.712</v>
      </c>
    </row>
    <row r="166" spans="1:7" x14ac:dyDescent="0.2">
      <c r="A166">
        <f t="shared" si="2"/>
        <v>15009</v>
      </c>
      <c r="B166">
        <v>15</v>
      </c>
      <c r="C166">
        <v>9</v>
      </c>
      <c r="D166">
        <v>24</v>
      </c>
      <c r="E166" t="s">
        <v>7</v>
      </c>
      <c r="F166">
        <v>7544.5150000000003</v>
      </c>
      <c r="G166">
        <v>97.67</v>
      </c>
    </row>
    <row r="167" spans="1:7" x14ac:dyDescent="0.2">
      <c r="A167">
        <f t="shared" si="2"/>
        <v>15010</v>
      </c>
      <c r="B167">
        <v>15</v>
      </c>
      <c r="C167">
        <v>10</v>
      </c>
      <c r="D167">
        <v>25</v>
      </c>
      <c r="E167" t="s">
        <v>8</v>
      </c>
      <c r="F167">
        <v>-2035.502</v>
      </c>
      <c r="G167">
        <v>29.045000000000002</v>
      </c>
    </row>
    <row r="168" spans="1:7" x14ac:dyDescent="0.2">
      <c r="A168">
        <f t="shared" si="2"/>
        <v>15011</v>
      </c>
      <c r="B168">
        <v>15</v>
      </c>
      <c r="C168">
        <v>11</v>
      </c>
      <c r="D168">
        <v>26</v>
      </c>
      <c r="E168" t="s">
        <v>9</v>
      </c>
      <c r="F168">
        <v>-6860.78</v>
      </c>
      <c r="G168">
        <v>3.5019999999999998</v>
      </c>
    </row>
    <row r="169" spans="1:7" x14ac:dyDescent="0.2">
      <c r="A169">
        <f t="shared" si="2"/>
        <v>15012</v>
      </c>
      <c r="B169">
        <v>15</v>
      </c>
      <c r="C169">
        <v>12</v>
      </c>
      <c r="D169">
        <v>27</v>
      </c>
      <c r="E169" t="s">
        <v>10</v>
      </c>
      <c r="F169">
        <v>-14586.611000000001</v>
      </c>
      <c r="G169">
        <v>0.05</v>
      </c>
    </row>
    <row r="170" spans="1:7" x14ac:dyDescent="0.2">
      <c r="A170">
        <f t="shared" si="2"/>
        <v>15013</v>
      </c>
      <c r="B170">
        <v>15</v>
      </c>
      <c r="C170">
        <v>13</v>
      </c>
      <c r="D170">
        <v>28</v>
      </c>
      <c r="E170" t="s">
        <v>11</v>
      </c>
      <c r="F170">
        <v>-16850.645</v>
      </c>
      <c r="G170">
        <v>7.6999999999999999E-2</v>
      </c>
    </row>
    <row r="171" spans="1:7" x14ac:dyDescent="0.2">
      <c r="A171">
        <f t="shared" si="2"/>
        <v>15014</v>
      </c>
      <c r="B171">
        <v>15</v>
      </c>
      <c r="C171">
        <v>14</v>
      </c>
      <c r="D171">
        <v>29</v>
      </c>
      <c r="E171" t="s">
        <v>12</v>
      </c>
      <c r="F171">
        <v>-21895.078379999999</v>
      </c>
      <c r="G171">
        <v>5.5999999999999995E-4</v>
      </c>
    </row>
    <row r="172" spans="1:7" x14ac:dyDescent="0.2">
      <c r="A172">
        <f t="shared" si="2"/>
        <v>15015</v>
      </c>
      <c r="B172">
        <v>15</v>
      </c>
      <c r="C172">
        <v>15</v>
      </c>
      <c r="D172">
        <v>30</v>
      </c>
      <c r="E172" t="s">
        <v>13</v>
      </c>
      <c r="F172">
        <v>-20200.853999999999</v>
      </c>
      <c r="G172">
        <v>6.5000000000000002E-2</v>
      </c>
    </row>
    <row r="173" spans="1:7" x14ac:dyDescent="0.2">
      <c r="A173">
        <f t="shared" si="2"/>
        <v>15016</v>
      </c>
      <c r="B173">
        <v>15</v>
      </c>
      <c r="C173">
        <v>16</v>
      </c>
      <c r="D173">
        <v>31</v>
      </c>
      <c r="E173" t="s">
        <v>14</v>
      </c>
      <c r="F173">
        <v>-19042.525000000001</v>
      </c>
      <c r="G173">
        <v>0.22900000000000001</v>
      </c>
    </row>
    <row r="174" spans="1:7" x14ac:dyDescent="0.2">
      <c r="A174">
        <f t="shared" si="2"/>
        <v>15017</v>
      </c>
      <c r="B174">
        <v>15</v>
      </c>
      <c r="C174">
        <v>17</v>
      </c>
      <c r="D174">
        <v>32</v>
      </c>
      <c r="E174" t="s">
        <v>15</v>
      </c>
      <c r="F174">
        <v>-13334.674000000001</v>
      </c>
      <c r="G174">
        <v>0.56200000000000006</v>
      </c>
    </row>
    <row r="175" spans="1:7" x14ac:dyDescent="0.2">
      <c r="A175">
        <f t="shared" si="2"/>
        <v>15018</v>
      </c>
      <c r="B175">
        <v>15</v>
      </c>
      <c r="C175">
        <v>18</v>
      </c>
      <c r="D175">
        <v>33</v>
      </c>
      <c r="E175" t="s">
        <v>16</v>
      </c>
      <c r="F175">
        <v>-9384.2919999999995</v>
      </c>
      <c r="G175">
        <v>0.40100000000000002</v>
      </c>
    </row>
    <row r="176" spans="1:7" x14ac:dyDescent="0.2">
      <c r="A176">
        <f t="shared" si="2"/>
        <v>15019</v>
      </c>
      <c r="B176">
        <v>15</v>
      </c>
      <c r="C176">
        <v>19</v>
      </c>
      <c r="D176">
        <v>34</v>
      </c>
      <c r="E176" t="s">
        <v>17</v>
      </c>
      <c r="F176" t="s">
        <v>639</v>
      </c>
      <c r="G176" t="s">
        <v>206</v>
      </c>
    </row>
    <row r="177" spans="1:7" x14ac:dyDescent="0.2">
      <c r="A177">
        <f t="shared" si="2"/>
        <v>15020</v>
      </c>
      <c r="B177">
        <v>15</v>
      </c>
      <c r="C177">
        <v>20</v>
      </c>
      <c r="D177">
        <v>35</v>
      </c>
      <c r="E177" t="s">
        <v>18</v>
      </c>
      <c r="F177" t="s">
        <v>644</v>
      </c>
      <c r="G177" t="s">
        <v>206</v>
      </c>
    </row>
    <row r="178" spans="1:7" x14ac:dyDescent="0.2">
      <c r="A178">
        <f t="shared" si="2"/>
        <v>15021</v>
      </c>
      <c r="B178">
        <v>15</v>
      </c>
      <c r="C178">
        <v>21</v>
      </c>
      <c r="D178">
        <v>36</v>
      </c>
      <c r="E178" t="s">
        <v>19</v>
      </c>
      <c r="F178" t="s">
        <v>647</v>
      </c>
      <c r="G178" t="s">
        <v>202</v>
      </c>
    </row>
    <row r="179" spans="1:7" x14ac:dyDescent="0.2">
      <c r="A179">
        <f t="shared" si="2"/>
        <v>16005</v>
      </c>
      <c r="B179">
        <v>16</v>
      </c>
      <c r="C179">
        <v>5</v>
      </c>
      <c r="D179">
        <v>21</v>
      </c>
      <c r="E179" t="s">
        <v>3</v>
      </c>
      <c r="F179" t="s">
        <v>613</v>
      </c>
      <c r="G179" t="s">
        <v>225</v>
      </c>
    </row>
    <row r="180" spans="1:7" x14ac:dyDescent="0.2">
      <c r="A180">
        <f t="shared" si="2"/>
        <v>16006</v>
      </c>
      <c r="B180">
        <v>16</v>
      </c>
      <c r="C180">
        <v>6</v>
      </c>
      <c r="D180">
        <v>22</v>
      </c>
      <c r="E180" t="s">
        <v>4</v>
      </c>
      <c r="F180">
        <v>53611.197</v>
      </c>
      <c r="G180">
        <v>231.49</v>
      </c>
    </row>
    <row r="181" spans="1:7" x14ac:dyDescent="0.2">
      <c r="A181">
        <f t="shared" si="2"/>
        <v>16007</v>
      </c>
      <c r="B181">
        <v>16</v>
      </c>
      <c r="C181">
        <v>7</v>
      </c>
      <c r="D181">
        <v>23</v>
      </c>
      <c r="E181" t="s">
        <v>5</v>
      </c>
      <c r="F181">
        <v>36720.425000000003</v>
      </c>
      <c r="G181">
        <v>420.57</v>
      </c>
    </row>
    <row r="182" spans="1:7" x14ac:dyDescent="0.2">
      <c r="A182">
        <f t="shared" si="2"/>
        <v>16008</v>
      </c>
      <c r="B182">
        <v>16</v>
      </c>
      <c r="C182">
        <v>8</v>
      </c>
      <c r="D182">
        <v>24</v>
      </c>
      <c r="E182" t="s">
        <v>6</v>
      </c>
      <c r="F182">
        <v>18500.401999999998</v>
      </c>
      <c r="G182">
        <v>164.874</v>
      </c>
    </row>
    <row r="183" spans="1:7" x14ac:dyDescent="0.2">
      <c r="A183">
        <f t="shared" si="2"/>
        <v>16009</v>
      </c>
      <c r="B183">
        <v>16</v>
      </c>
      <c r="C183">
        <v>9</v>
      </c>
      <c r="D183">
        <v>25</v>
      </c>
      <c r="E183" t="s">
        <v>7</v>
      </c>
      <c r="F183">
        <v>11334.165999999999</v>
      </c>
      <c r="G183">
        <v>96.441999999999993</v>
      </c>
    </row>
    <row r="184" spans="1:7" x14ac:dyDescent="0.2">
      <c r="A184">
        <f t="shared" si="2"/>
        <v>16010</v>
      </c>
      <c r="B184">
        <v>16</v>
      </c>
      <c r="C184">
        <v>10</v>
      </c>
      <c r="D184">
        <v>26</v>
      </c>
      <c r="E184" t="s">
        <v>8</v>
      </c>
      <c r="F184">
        <v>481.11399999999998</v>
      </c>
      <c r="G184">
        <v>18.428999999999998</v>
      </c>
    </row>
    <row r="185" spans="1:7" x14ac:dyDescent="0.2">
      <c r="A185">
        <f t="shared" si="2"/>
        <v>16011</v>
      </c>
      <c r="B185">
        <v>16</v>
      </c>
      <c r="C185">
        <v>11</v>
      </c>
      <c r="D185">
        <v>27</v>
      </c>
      <c r="E185" t="s">
        <v>9</v>
      </c>
      <c r="F185">
        <v>-5517.79</v>
      </c>
      <c r="G185">
        <v>3.726</v>
      </c>
    </row>
    <row r="186" spans="1:7" x14ac:dyDescent="0.2">
      <c r="A186">
        <f t="shared" si="2"/>
        <v>16012</v>
      </c>
      <c r="B186">
        <v>16</v>
      </c>
      <c r="C186">
        <v>12</v>
      </c>
      <c r="D186">
        <v>28</v>
      </c>
      <c r="E186" t="s">
        <v>10</v>
      </c>
      <c r="F186">
        <v>-15018.844999999999</v>
      </c>
      <c r="G186">
        <v>2.0009999999999999</v>
      </c>
    </row>
    <row r="187" spans="1:7" x14ac:dyDescent="0.2">
      <c r="A187">
        <f t="shared" si="2"/>
        <v>16013</v>
      </c>
      <c r="B187">
        <v>16</v>
      </c>
      <c r="C187">
        <v>13</v>
      </c>
      <c r="D187">
        <v>29</v>
      </c>
      <c r="E187" t="s">
        <v>11</v>
      </c>
      <c r="F187">
        <v>-18207.759999999998</v>
      </c>
      <c r="G187">
        <v>0.34499999999999997</v>
      </c>
    </row>
    <row r="188" spans="1:7" x14ac:dyDescent="0.2">
      <c r="A188">
        <f t="shared" si="2"/>
        <v>16014</v>
      </c>
      <c r="B188">
        <v>16</v>
      </c>
      <c r="C188">
        <v>14</v>
      </c>
      <c r="D188">
        <v>30</v>
      </c>
      <c r="E188" t="s">
        <v>12</v>
      </c>
      <c r="F188">
        <v>-24432.959999999999</v>
      </c>
      <c r="G188">
        <v>2.1999999999999999E-2</v>
      </c>
    </row>
    <row r="189" spans="1:7" x14ac:dyDescent="0.2">
      <c r="A189">
        <f t="shared" si="2"/>
        <v>16015</v>
      </c>
      <c r="B189">
        <v>16</v>
      </c>
      <c r="C189">
        <v>15</v>
      </c>
      <c r="D189">
        <v>31</v>
      </c>
      <c r="E189" t="s">
        <v>13</v>
      </c>
      <c r="F189">
        <v>-24440.540949999999</v>
      </c>
      <c r="G189">
        <v>6.7000000000000002E-4</v>
      </c>
    </row>
    <row r="190" spans="1:7" x14ac:dyDescent="0.2">
      <c r="A190">
        <f t="shared" si="2"/>
        <v>16016</v>
      </c>
      <c r="B190">
        <v>16</v>
      </c>
      <c r="C190">
        <v>16</v>
      </c>
      <c r="D190">
        <v>32</v>
      </c>
      <c r="E190" t="s">
        <v>14</v>
      </c>
      <c r="F190">
        <v>-26015.53355</v>
      </c>
      <c r="G190">
        <v>1.32E-3</v>
      </c>
    </row>
    <row r="191" spans="1:7" x14ac:dyDescent="0.2">
      <c r="A191">
        <f t="shared" si="2"/>
        <v>16017</v>
      </c>
      <c r="B191">
        <v>16</v>
      </c>
      <c r="C191">
        <v>17</v>
      </c>
      <c r="D191">
        <v>33</v>
      </c>
      <c r="E191" t="s">
        <v>15</v>
      </c>
      <c r="F191">
        <v>-21003.337</v>
      </c>
      <c r="G191">
        <v>0.39100000000000001</v>
      </c>
    </row>
    <row r="192" spans="1:7" x14ac:dyDescent="0.2">
      <c r="A192">
        <f t="shared" si="2"/>
        <v>16018</v>
      </c>
      <c r="B192">
        <v>16</v>
      </c>
      <c r="C192">
        <v>18</v>
      </c>
      <c r="D192">
        <v>34</v>
      </c>
      <c r="E192" t="s">
        <v>16</v>
      </c>
      <c r="F192">
        <v>-18378.29</v>
      </c>
      <c r="G192">
        <v>7.8E-2</v>
      </c>
    </row>
    <row r="193" spans="1:7" x14ac:dyDescent="0.2">
      <c r="A193">
        <f t="shared" ref="A193:A256" si="3">1000*B193+C193</f>
        <v>16019</v>
      </c>
      <c r="B193">
        <v>16</v>
      </c>
      <c r="C193">
        <v>19</v>
      </c>
      <c r="D193">
        <v>35</v>
      </c>
      <c r="E193" t="s">
        <v>17</v>
      </c>
      <c r="F193">
        <v>-11172.891</v>
      </c>
      <c r="G193">
        <v>0.51200000000000001</v>
      </c>
    </row>
    <row r="194" spans="1:7" x14ac:dyDescent="0.2">
      <c r="A194">
        <f t="shared" si="3"/>
        <v>16020</v>
      </c>
      <c r="B194">
        <v>16</v>
      </c>
      <c r="C194">
        <v>20</v>
      </c>
      <c r="D194">
        <v>36</v>
      </c>
      <c r="E194" t="s">
        <v>18</v>
      </c>
      <c r="F194">
        <v>-6451.1490000000003</v>
      </c>
      <c r="G194">
        <v>40</v>
      </c>
    </row>
    <row r="195" spans="1:7" x14ac:dyDescent="0.2">
      <c r="A195">
        <f t="shared" si="3"/>
        <v>16021</v>
      </c>
      <c r="B195">
        <v>16</v>
      </c>
      <c r="C195">
        <v>21</v>
      </c>
      <c r="D195">
        <v>37</v>
      </c>
      <c r="E195" t="s">
        <v>19</v>
      </c>
      <c r="F195" t="s">
        <v>651</v>
      </c>
      <c r="G195" t="s">
        <v>235</v>
      </c>
    </row>
    <row r="196" spans="1:7" x14ac:dyDescent="0.2">
      <c r="A196">
        <f t="shared" si="3"/>
        <v>16022</v>
      </c>
      <c r="B196">
        <v>16</v>
      </c>
      <c r="C196">
        <v>22</v>
      </c>
      <c r="D196">
        <v>38</v>
      </c>
      <c r="E196" t="s">
        <v>20</v>
      </c>
      <c r="F196" t="s">
        <v>654</v>
      </c>
      <c r="G196" t="s">
        <v>235</v>
      </c>
    </row>
    <row r="197" spans="1:7" x14ac:dyDescent="0.2">
      <c r="A197">
        <f t="shared" si="3"/>
        <v>17006</v>
      </c>
      <c r="B197">
        <v>17</v>
      </c>
      <c r="C197">
        <v>6</v>
      </c>
      <c r="D197">
        <v>23</v>
      </c>
      <c r="E197" t="s">
        <v>4</v>
      </c>
      <c r="F197" t="s">
        <v>618</v>
      </c>
      <c r="G197" t="s">
        <v>198</v>
      </c>
    </row>
    <row r="198" spans="1:7" x14ac:dyDescent="0.2">
      <c r="A198">
        <f t="shared" si="3"/>
        <v>17007</v>
      </c>
      <c r="B198">
        <v>17</v>
      </c>
      <c r="C198">
        <v>7</v>
      </c>
      <c r="D198">
        <v>24</v>
      </c>
      <c r="E198" t="s">
        <v>5</v>
      </c>
      <c r="F198" t="s">
        <v>620</v>
      </c>
      <c r="G198" t="s">
        <v>199</v>
      </c>
    </row>
    <row r="199" spans="1:7" x14ac:dyDescent="0.2">
      <c r="A199">
        <f t="shared" si="3"/>
        <v>17008</v>
      </c>
      <c r="B199">
        <v>17</v>
      </c>
      <c r="C199">
        <v>8</v>
      </c>
      <c r="D199">
        <v>25</v>
      </c>
      <c r="E199" t="s">
        <v>6</v>
      </c>
      <c r="F199">
        <v>27329.026999999998</v>
      </c>
      <c r="G199">
        <v>165.084</v>
      </c>
    </row>
    <row r="200" spans="1:7" x14ac:dyDescent="0.2">
      <c r="A200">
        <f t="shared" si="3"/>
        <v>17009</v>
      </c>
      <c r="B200">
        <v>17</v>
      </c>
      <c r="C200">
        <v>9</v>
      </c>
      <c r="D200">
        <v>26</v>
      </c>
      <c r="E200" t="s">
        <v>7</v>
      </c>
      <c r="F200">
        <v>18648.875</v>
      </c>
      <c r="G200">
        <v>111.199</v>
      </c>
    </row>
    <row r="201" spans="1:7" x14ac:dyDescent="0.2">
      <c r="A201">
        <f t="shared" si="3"/>
        <v>17010</v>
      </c>
      <c r="B201">
        <v>17</v>
      </c>
      <c r="C201">
        <v>10</v>
      </c>
      <c r="D201">
        <v>27</v>
      </c>
      <c r="E201" t="s">
        <v>8</v>
      </c>
      <c r="F201">
        <v>7050.9089999999997</v>
      </c>
      <c r="G201">
        <v>90.77</v>
      </c>
    </row>
    <row r="202" spans="1:7" x14ac:dyDescent="0.2">
      <c r="A202">
        <f t="shared" si="3"/>
        <v>17011</v>
      </c>
      <c r="B202">
        <v>17</v>
      </c>
      <c r="C202">
        <v>11</v>
      </c>
      <c r="D202">
        <v>28</v>
      </c>
      <c r="E202" t="s">
        <v>9</v>
      </c>
      <c r="F202">
        <v>-988.31500000000005</v>
      </c>
      <c r="G202">
        <v>10.246</v>
      </c>
    </row>
    <row r="203" spans="1:7" x14ac:dyDescent="0.2">
      <c r="A203">
        <f t="shared" si="3"/>
        <v>17012</v>
      </c>
      <c r="B203">
        <v>17</v>
      </c>
      <c r="C203">
        <v>12</v>
      </c>
      <c r="D203">
        <v>29</v>
      </c>
      <c r="E203" t="s">
        <v>10</v>
      </c>
      <c r="F203">
        <v>-10602.829</v>
      </c>
      <c r="G203">
        <v>11.4</v>
      </c>
    </row>
    <row r="204" spans="1:7" x14ac:dyDescent="0.2">
      <c r="A204">
        <f t="shared" si="3"/>
        <v>17013</v>
      </c>
      <c r="B204">
        <v>17</v>
      </c>
      <c r="C204">
        <v>13</v>
      </c>
      <c r="D204">
        <v>30</v>
      </c>
      <c r="E204" t="s">
        <v>11</v>
      </c>
      <c r="F204">
        <v>-15864.843999999999</v>
      </c>
      <c r="G204">
        <v>2.8879999999999999</v>
      </c>
    </row>
    <row r="205" spans="1:7" x14ac:dyDescent="0.2">
      <c r="A205">
        <f t="shared" si="3"/>
        <v>17014</v>
      </c>
      <c r="B205">
        <v>17</v>
      </c>
      <c r="C205">
        <v>14</v>
      </c>
      <c r="D205">
        <v>31</v>
      </c>
      <c r="E205" t="s">
        <v>12</v>
      </c>
      <c r="F205">
        <v>-22949.036</v>
      </c>
      <c r="G205">
        <v>4.2999999999999997E-2</v>
      </c>
    </row>
    <row r="206" spans="1:7" x14ac:dyDescent="0.2">
      <c r="A206">
        <f t="shared" si="3"/>
        <v>17015</v>
      </c>
      <c r="B206">
        <v>17</v>
      </c>
      <c r="C206">
        <v>15</v>
      </c>
      <c r="D206">
        <v>32</v>
      </c>
      <c r="E206" t="s">
        <v>13</v>
      </c>
      <c r="F206">
        <v>-24304.874</v>
      </c>
      <c r="G206">
        <v>0.04</v>
      </c>
    </row>
    <row r="207" spans="1:7" x14ac:dyDescent="0.2">
      <c r="A207">
        <f t="shared" si="3"/>
        <v>17016</v>
      </c>
      <c r="B207">
        <v>17</v>
      </c>
      <c r="C207">
        <v>16</v>
      </c>
      <c r="D207">
        <v>33</v>
      </c>
      <c r="E207" t="s">
        <v>14</v>
      </c>
      <c r="F207">
        <v>-26585.854340000002</v>
      </c>
      <c r="G207">
        <v>1.3500000000000001E-3</v>
      </c>
    </row>
    <row r="208" spans="1:7" x14ac:dyDescent="0.2">
      <c r="A208">
        <f t="shared" si="3"/>
        <v>17017</v>
      </c>
      <c r="B208">
        <v>17</v>
      </c>
      <c r="C208">
        <v>17</v>
      </c>
      <c r="D208">
        <v>34</v>
      </c>
      <c r="E208" t="s">
        <v>15</v>
      </c>
      <c r="F208">
        <v>-24440.081999999999</v>
      </c>
      <c r="G208">
        <v>4.9000000000000002E-2</v>
      </c>
    </row>
    <row r="209" spans="1:7" x14ac:dyDescent="0.2">
      <c r="A209">
        <f t="shared" si="3"/>
        <v>17018</v>
      </c>
      <c r="B209">
        <v>17</v>
      </c>
      <c r="C209">
        <v>18</v>
      </c>
      <c r="D209">
        <v>35</v>
      </c>
      <c r="E209" t="s">
        <v>16</v>
      </c>
      <c r="F209">
        <v>-23047.284</v>
      </c>
      <c r="G209">
        <v>0.68</v>
      </c>
    </row>
    <row r="210" spans="1:7" x14ac:dyDescent="0.2">
      <c r="A210">
        <f t="shared" si="3"/>
        <v>17019</v>
      </c>
      <c r="B210">
        <v>17</v>
      </c>
      <c r="C210">
        <v>19</v>
      </c>
      <c r="D210">
        <v>36</v>
      </c>
      <c r="E210" t="s">
        <v>17</v>
      </c>
      <c r="F210">
        <v>-17417.064999999999</v>
      </c>
      <c r="G210">
        <v>0.34100000000000003</v>
      </c>
    </row>
    <row r="211" spans="1:7" x14ac:dyDescent="0.2">
      <c r="A211">
        <f t="shared" si="3"/>
        <v>17020</v>
      </c>
      <c r="B211">
        <v>17</v>
      </c>
      <c r="C211">
        <v>20</v>
      </c>
      <c r="D211">
        <v>37</v>
      </c>
      <c r="E211" t="s">
        <v>18</v>
      </c>
      <c r="F211">
        <v>-13136.066000000001</v>
      </c>
      <c r="G211">
        <v>0.63400000000000001</v>
      </c>
    </row>
    <row r="212" spans="1:7" x14ac:dyDescent="0.2">
      <c r="A212">
        <f t="shared" si="3"/>
        <v>17021</v>
      </c>
      <c r="B212">
        <v>17</v>
      </c>
      <c r="C212">
        <v>21</v>
      </c>
      <c r="D212">
        <v>38</v>
      </c>
      <c r="E212" t="s">
        <v>19</v>
      </c>
      <c r="F212" t="s">
        <v>653</v>
      </c>
      <c r="G212" t="s">
        <v>204</v>
      </c>
    </row>
    <row r="213" spans="1:7" x14ac:dyDescent="0.2">
      <c r="A213">
        <f t="shared" si="3"/>
        <v>17022</v>
      </c>
      <c r="B213">
        <v>17</v>
      </c>
      <c r="C213">
        <v>22</v>
      </c>
      <c r="D213">
        <v>39</v>
      </c>
      <c r="E213" t="s">
        <v>20</v>
      </c>
      <c r="F213" t="s">
        <v>659</v>
      </c>
      <c r="G213" t="s">
        <v>204</v>
      </c>
    </row>
    <row r="214" spans="1:7" x14ac:dyDescent="0.2">
      <c r="A214">
        <f t="shared" si="3"/>
        <v>17023</v>
      </c>
      <c r="B214">
        <v>17</v>
      </c>
      <c r="C214">
        <v>23</v>
      </c>
      <c r="D214">
        <v>40</v>
      </c>
      <c r="E214" t="s">
        <v>21</v>
      </c>
      <c r="F214" t="s">
        <v>662</v>
      </c>
      <c r="G214" t="s">
        <v>235</v>
      </c>
    </row>
    <row r="215" spans="1:7" x14ac:dyDescent="0.2">
      <c r="A215">
        <f t="shared" si="3"/>
        <v>18007</v>
      </c>
      <c r="B215">
        <v>18</v>
      </c>
      <c r="C215">
        <v>7</v>
      </c>
      <c r="D215">
        <v>25</v>
      </c>
      <c r="E215" t="s">
        <v>5</v>
      </c>
      <c r="F215" t="s">
        <v>622</v>
      </c>
      <c r="G215" t="s">
        <v>201</v>
      </c>
    </row>
    <row r="216" spans="1:7" x14ac:dyDescent="0.2">
      <c r="A216">
        <f t="shared" si="3"/>
        <v>18008</v>
      </c>
      <c r="B216">
        <v>18</v>
      </c>
      <c r="C216">
        <v>8</v>
      </c>
      <c r="D216">
        <v>26</v>
      </c>
      <c r="E216" t="s">
        <v>6</v>
      </c>
      <c r="F216">
        <v>34661.036999999997</v>
      </c>
      <c r="G216">
        <v>164.95</v>
      </c>
    </row>
    <row r="217" spans="1:7" x14ac:dyDescent="0.2">
      <c r="A217">
        <f t="shared" si="3"/>
        <v>18009</v>
      </c>
      <c r="B217">
        <v>18</v>
      </c>
      <c r="C217">
        <v>9</v>
      </c>
      <c r="D217">
        <v>27</v>
      </c>
      <c r="E217" t="s">
        <v>7</v>
      </c>
      <c r="F217">
        <v>25450.278999999999</v>
      </c>
      <c r="G217">
        <v>389.83</v>
      </c>
    </row>
    <row r="218" spans="1:7" x14ac:dyDescent="0.2">
      <c r="A218">
        <f t="shared" si="3"/>
        <v>18010</v>
      </c>
      <c r="B218">
        <v>18</v>
      </c>
      <c r="C218">
        <v>10</v>
      </c>
      <c r="D218">
        <v>28</v>
      </c>
      <c r="E218" t="s">
        <v>8</v>
      </c>
      <c r="F218">
        <v>11299.736999999999</v>
      </c>
      <c r="G218">
        <v>126.068</v>
      </c>
    </row>
    <row r="219" spans="1:7" x14ac:dyDescent="0.2">
      <c r="A219">
        <f t="shared" si="3"/>
        <v>18011</v>
      </c>
      <c r="B219">
        <v>18</v>
      </c>
      <c r="C219">
        <v>11</v>
      </c>
      <c r="D219">
        <v>29</v>
      </c>
      <c r="E219" t="s">
        <v>9</v>
      </c>
      <c r="F219">
        <v>2679.9940000000001</v>
      </c>
      <c r="G219">
        <v>7.3369999999999997</v>
      </c>
    </row>
    <row r="220" spans="1:7" x14ac:dyDescent="0.2">
      <c r="A220">
        <f t="shared" si="3"/>
        <v>18012</v>
      </c>
      <c r="B220">
        <v>18</v>
      </c>
      <c r="C220">
        <v>12</v>
      </c>
      <c r="D220">
        <v>30</v>
      </c>
      <c r="E220" t="s">
        <v>10</v>
      </c>
      <c r="F220">
        <v>-8883.82</v>
      </c>
      <c r="G220">
        <v>3.4470000000000001</v>
      </c>
    </row>
    <row r="221" spans="1:7" x14ac:dyDescent="0.2">
      <c r="A221">
        <f t="shared" si="3"/>
        <v>18013</v>
      </c>
      <c r="B221">
        <v>18</v>
      </c>
      <c r="C221">
        <v>13</v>
      </c>
      <c r="D221">
        <v>31</v>
      </c>
      <c r="E221" t="s">
        <v>11</v>
      </c>
      <c r="F221">
        <v>-14950.706</v>
      </c>
      <c r="G221">
        <v>2.2360000000000002</v>
      </c>
    </row>
    <row r="222" spans="1:7" x14ac:dyDescent="0.2">
      <c r="A222">
        <f t="shared" si="3"/>
        <v>18014</v>
      </c>
      <c r="B222">
        <v>18</v>
      </c>
      <c r="C222">
        <v>14</v>
      </c>
      <c r="D222">
        <v>32</v>
      </c>
      <c r="E222" t="s">
        <v>12</v>
      </c>
      <c r="F222">
        <v>-24077.686000000002</v>
      </c>
      <c r="G222">
        <v>0.29799999999999999</v>
      </c>
    </row>
    <row r="223" spans="1:7" x14ac:dyDescent="0.2">
      <c r="A223">
        <f t="shared" si="3"/>
        <v>18015</v>
      </c>
      <c r="B223">
        <v>18</v>
      </c>
      <c r="C223">
        <v>15</v>
      </c>
      <c r="D223">
        <v>33</v>
      </c>
      <c r="E223" t="s">
        <v>13</v>
      </c>
      <c r="F223">
        <v>-26337.346000000001</v>
      </c>
      <c r="G223">
        <v>1.0900000000000001</v>
      </c>
    </row>
    <row r="224" spans="1:7" x14ac:dyDescent="0.2">
      <c r="A224">
        <f t="shared" si="3"/>
        <v>18016</v>
      </c>
      <c r="B224">
        <v>18</v>
      </c>
      <c r="C224">
        <v>16</v>
      </c>
      <c r="D224">
        <v>34</v>
      </c>
      <c r="E224" t="s">
        <v>14</v>
      </c>
      <c r="F224">
        <v>-29931.685000000001</v>
      </c>
      <c r="G224">
        <v>4.4999999999999998E-2</v>
      </c>
    </row>
    <row r="225" spans="1:7" x14ac:dyDescent="0.2">
      <c r="A225">
        <f t="shared" si="3"/>
        <v>18017</v>
      </c>
      <c r="B225">
        <v>18</v>
      </c>
      <c r="C225">
        <v>17</v>
      </c>
      <c r="D225">
        <v>35</v>
      </c>
      <c r="E225" t="s">
        <v>15</v>
      </c>
      <c r="F225">
        <v>-29013.527999999998</v>
      </c>
      <c r="G225">
        <v>3.5000000000000003E-2</v>
      </c>
    </row>
    <row r="226" spans="1:7" x14ac:dyDescent="0.2">
      <c r="A226">
        <f t="shared" si="3"/>
        <v>18018</v>
      </c>
      <c r="B226">
        <v>18</v>
      </c>
      <c r="C226">
        <v>18</v>
      </c>
      <c r="D226">
        <v>36</v>
      </c>
      <c r="E226" t="s">
        <v>16</v>
      </c>
      <c r="F226">
        <v>-30231.54</v>
      </c>
      <c r="G226">
        <v>2.7E-2</v>
      </c>
    </row>
    <row r="227" spans="1:7" x14ac:dyDescent="0.2">
      <c r="A227">
        <f t="shared" si="3"/>
        <v>18019</v>
      </c>
      <c r="B227">
        <v>18</v>
      </c>
      <c r="C227">
        <v>19</v>
      </c>
      <c r="D227">
        <v>37</v>
      </c>
      <c r="E227" t="s">
        <v>17</v>
      </c>
      <c r="F227">
        <v>-24800.199000000001</v>
      </c>
      <c r="G227">
        <v>9.4E-2</v>
      </c>
    </row>
    <row r="228" spans="1:7" x14ac:dyDescent="0.2">
      <c r="A228">
        <f t="shared" si="3"/>
        <v>18020</v>
      </c>
      <c r="B228">
        <v>18</v>
      </c>
      <c r="C228">
        <v>20</v>
      </c>
      <c r="D228">
        <v>38</v>
      </c>
      <c r="E228" t="s">
        <v>18</v>
      </c>
      <c r="F228">
        <v>-22058.499</v>
      </c>
      <c r="G228">
        <v>0.19400000000000001</v>
      </c>
    </row>
    <row r="229" spans="1:7" x14ac:dyDescent="0.2">
      <c r="A229">
        <f t="shared" si="3"/>
        <v>18021</v>
      </c>
      <c r="B229">
        <v>18</v>
      </c>
      <c r="C229">
        <v>21</v>
      </c>
      <c r="D229">
        <v>39</v>
      </c>
      <c r="E229" t="s">
        <v>658</v>
      </c>
      <c r="F229">
        <v>-14172.709000000001</v>
      </c>
      <c r="G229">
        <v>24</v>
      </c>
    </row>
    <row r="230" spans="1:7" x14ac:dyDescent="0.2">
      <c r="A230">
        <f t="shared" si="3"/>
        <v>18022</v>
      </c>
      <c r="B230">
        <v>18</v>
      </c>
      <c r="C230">
        <v>22</v>
      </c>
      <c r="D230">
        <v>40</v>
      </c>
      <c r="E230" t="s">
        <v>20</v>
      </c>
      <c r="F230">
        <v>-8850.384</v>
      </c>
      <c r="G230">
        <v>160</v>
      </c>
    </row>
    <row r="231" spans="1:7" x14ac:dyDescent="0.2">
      <c r="A231">
        <f t="shared" si="3"/>
        <v>18023</v>
      </c>
      <c r="B231">
        <v>18</v>
      </c>
      <c r="C231">
        <v>23</v>
      </c>
      <c r="D231">
        <v>41</v>
      </c>
      <c r="E231" t="s">
        <v>21</v>
      </c>
      <c r="F231" t="s">
        <v>664</v>
      </c>
      <c r="G231" t="s">
        <v>204</v>
      </c>
    </row>
    <row r="232" spans="1:7" x14ac:dyDescent="0.2">
      <c r="A232">
        <f t="shared" si="3"/>
        <v>18024</v>
      </c>
      <c r="B232">
        <v>18</v>
      </c>
      <c r="C232">
        <v>24</v>
      </c>
      <c r="D232">
        <v>42</v>
      </c>
      <c r="E232" t="s">
        <v>22</v>
      </c>
      <c r="F232" t="s">
        <v>669</v>
      </c>
      <c r="G232" t="s">
        <v>197</v>
      </c>
    </row>
    <row r="233" spans="1:7" x14ac:dyDescent="0.2">
      <c r="A233">
        <f t="shared" si="3"/>
        <v>19008</v>
      </c>
      <c r="B233">
        <v>19</v>
      </c>
      <c r="C233">
        <v>8</v>
      </c>
      <c r="D233">
        <v>27</v>
      </c>
      <c r="E233" t="s">
        <v>6</v>
      </c>
      <c r="F233" t="s">
        <v>625</v>
      </c>
      <c r="G233" t="s">
        <v>245</v>
      </c>
    </row>
    <row r="234" spans="1:7" x14ac:dyDescent="0.2">
      <c r="A234">
        <f t="shared" si="3"/>
        <v>19009</v>
      </c>
      <c r="B234">
        <v>19</v>
      </c>
      <c r="C234">
        <v>9</v>
      </c>
      <c r="D234">
        <v>28</v>
      </c>
      <c r="E234" t="s">
        <v>7</v>
      </c>
      <c r="F234">
        <v>33741.595999999998</v>
      </c>
      <c r="G234">
        <v>393.024</v>
      </c>
    </row>
    <row r="235" spans="1:7" x14ac:dyDescent="0.2">
      <c r="A235">
        <f t="shared" si="3"/>
        <v>19010</v>
      </c>
      <c r="B235">
        <v>19</v>
      </c>
      <c r="C235">
        <v>10</v>
      </c>
      <c r="D235">
        <v>29</v>
      </c>
      <c r="E235" t="s">
        <v>8</v>
      </c>
      <c r="F235">
        <v>18399.800999999999</v>
      </c>
      <c r="G235">
        <v>149.505</v>
      </c>
    </row>
    <row r="236" spans="1:7" x14ac:dyDescent="0.2">
      <c r="A236">
        <f t="shared" si="3"/>
        <v>19011</v>
      </c>
      <c r="B236">
        <v>19</v>
      </c>
      <c r="C236">
        <v>11</v>
      </c>
      <c r="D236">
        <v>30</v>
      </c>
      <c r="E236" t="s">
        <v>9</v>
      </c>
      <c r="F236">
        <v>8474.67</v>
      </c>
      <c r="G236">
        <v>4.7270000000000003</v>
      </c>
    </row>
    <row r="237" spans="1:7" x14ac:dyDescent="0.2">
      <c r="A237">
        <f t="shared" si="3"/>
        <v>19012</v>
      </c>
      <c r="B237">
        <v>19</v>
      </c>
      <c r="C237">
        <v>12</v>
      </c>
      <c r="D237">
        <v>31</v>
      </c>
      <c r="E237" t="s">
        <v>10</v>
      </c>
      <c r="F237">
        <v>-3122.1509999999998</v>
      </c>
      <c r="G237">
        <v>3.0739999999999998</v>
      </c>
    </row>
    <row r="238" spans="1:7" x14ac:dyDescent="0.2">
      <c r="A238">
        <f t="shared" si="3"/>
        <v>19013</v>
      </c>
      <c r="B238">
        <v>19</v>
      </c>
      <c r="C238">
        <v>13</v>
      </c>
      <c r="D238">
        <v>32</v>
      </c>
      <c r="E238" t="s">
        <v>11</v>
      </c>
      <c r="F238">
        <v>-11099.367</v>
      </c>
      <c r="G238">
        <v>7.173</v>
      </c>
    </row>
    <row r="239" spans="1:7" x14ac:dyDescent="0.2">
      <c r="A239">
        <f t="shared" si="3"/>
        <v>19014</v>
      </c>
      <c r="B239">
        <v>19</v>
      </c>
      <c r="C239">
        <v>14</v>
      </c>
      <c r="D239">
        <v>33</v>
      </c>
      <c r="E239" t="s">
        <v>12</v>
      </c>
      <c r="F239">
        <v>-20514.325000000001</v>
      </c>
      <c r="G239">
        <v>0.69899999999999995</v>
      </c>
    </row>
    <row r="240" spans="1:7" x14ac:dyDescent="0.2">
      <c r="A240">
        <f t="shared" si="3"/>
        <v>19015</v>
      </c>
      <c r="B240">
        <v>19</v>
      </c>
      <c r="C240">
        <v>15</v>
      </c>
      <c r="D240">
        <v>34</v>
      </c>
      <c r="E240" t="s">
        <v>13</v>
      </c>
      <c r="F240">
        <v>-24548.698</v>
      </c>
      <c r="G240">
        <v>0.81</v>
      </c>
    </row>
    <row r="241" spans="1:7" x14ac:dyDescent="0.2">
      <c r="A241">
        <f t="shared" si="3"/>
        <v>19016</v>
      </c>
      <c r="B241">
        <v>19</v>
      </c>
      <c r="C241">
        <v>16</v>
      </c>
      <c r="D241">
        <v>35</v>
      </c>
      <c r="E241" t="s">
        <v>14</v>
      </c>
      <c r="F241">
        <v>-28846.205999999998</v>
      </c>
      <c r="G241">
        <v>0.04</v>
      </c>
    </row>
    <row r="242" spans="1:7" x14ac:dyDescent="0.2">
      <c r="A242">
        <f t="shared" si="3"/>
        <v>19017</v>
      </c>
      <c r="B242">
        <v>19</v>
      </c>
      <c r="C242">
        <v>17</v>
      </c>
      <c r="D242">
        <v>36</v>
      </c>
      <c r="E242" t="s">
        <v>15</v>
      </c>
      <c r="F242">
        <v>-29522.005000000001</v>
      </c>
      <c r="G242">
        <v>3.5999999999999997E-2</v>
      </c>
    </row>
    <row r="243" spans="1:7" x14ac:dyDescent="0.2">
      <c r="A243">
        <f t="shared" si="3"/>
        <v>19018</v>
      </c>
      <c r="B243">
        <v>19</v>
      </c>
      <c r="C243">
        <v>18</v>
      </c>
      <c r="D243">
        <v>37</v>
      </c>
      <c r="E243" t="s">
        <v>16</v>
      </c>
      <c r="F243">
        <v>-30947.664000000001</v>
      </c>
      <c r="G243">
        <v>0.20699999999999999</v>
      </c>
    </row>
    <row r="244" spans="1:7" x14ac:dyDescent="0.2">
      <c r="A244">
        <f t="shared" si="3"/>
        <v>19019</v>
      </c>
      <c r="B244">
        <v>19</v>
      </c>
      <c r="C244">
        <v>19</v>
      </c>
      <c r="D244">
        <v>38</v>
      </c>
      <c r="E244" t="s">
        <v>17</v>
      </c>
      <c r="F244">
        <v>-28800.755000000001</v>
      </c>
      <c r="G244">
        <v>0.19500000000000001</v>
      </c>
    </row>
    <row r="245" spans="1:7" x14ac:dyDescent="0.2">
      <c r="A245">
        <f t="shared" si="3"/>
        <v>19020</v>
      </c>
      <c r="B245">
        <v>19</v>
      </c>
      <c r="C245">
        <v>20</v>
      </c>
      <c r="D245">
        <v>39</v>
      </c>
      <c r="E245" t="s">
        <v>18</v>
      </c>
      <c r="F245">
        <v>-27282.702000000001</v>
      </c>
      <c r="G245">
        <v>0.59599999999999997</v>
      </c>
    </row>
    <row r="246" spans="1:7" x14ac:dyDescent="0.2">
      <c r="A246">
        <f t="shared" si="3"/>
        <v>19021</v>
      </c>
      <c r="B246">
        <v>19</v>
      </c>
      <c r="C246">
        <v>21</v>
      </c>
      <c r="D246">
        <v>40</v>
      </c>
      <c r="E246" t="s">
        <v>19</v>
      </c>
      <c r="F246">
        <v>-20523.334999999999</v>
      </c>
      <c r="G246">
        <v>2.8279999999999998</v>
      </c>
    </row>
    <row r="247" spans="1:7" x14ac:dyDescent="0.2">
      <c r="A247">
        <f t="shared" si="3"/>
        <v>19022</v>
      </c>
      <c r="B247">
        <v>19</v>
      </c>
      <c r="C247">
        <v>22</v>
      </c>
      <c r="D247">
        <v>41</v>
      </c>
      <c r="E247" t="s">
        <v>20</v>
      </c>
      <c r="F247">
        <v>-15697.537</v>
      </c>
      <c r="G247">
        <v>27.945</v>
      </c>
    </row>
    <row r="248" spans="1:7" x14ac:dyDescent="0.2">
      <c r="A248">
        <f t="shared" si="3"/>
        <v>19023</v>
      </c>
      <c r="B248">
        <v>19</v>
      </c>
      <c r="C248">
        <v>23</v>
      </c>
      <c r="D248">
        <v>42</v>
      </c>
      <c r="E248" t="s">
        <v>21</v>
      </c>
      <c r="F248" t="s">
        <v>668</v>
      </c>
      <c r="G248" t="s">
        <v>206</v>
      </c>
    </row>
    <row r="249" spans="1:7" x14ac:dyDescent="0.2">
      <c r="A249">
        <f t="shared" si="3"/>
        <v>19024</v>
      </c>
      <c r="B249">
        <v>19</v>
      </c>
      <c r="C249">
        <v>24</v>
      </c>
      <c r="D249">
        <v>43</v>
      </c>
      <c r="E249" t="s">
        <v>22</v>
      </c>
      <c r="F249" t="s">
        <v>673</v>
      </c>
      <c r="G249" t="s">
        <v>197</v>
      </c>
    </row>
    <row r="250" spans="1:7" x14ac:dyDescent="0.2">
      <c r="A250">
        <f t="shared" si="3"/>
        <v>19025</v>
      </c>
      <c r="B250">
        <v>19</v>
      </c>
      <c r="C250">
        <v>25</v>
      </c>
      <c r="D250">
        <v>44</v>
      </c>
      <c r="E250" t="s">
        <v>23</v>
      </c>
      <c r="F250" t="s">
        <v>677</v>
      </c>
      <c r="G250" t="s">
        <v>245</v>
      </c>
    </row>
    <row r="251" spans="1:7" x14ac:dyDescent="0.2">
      <c r="A251">
        <f t="shared" si="3"/>
        <v>19026</v>
      </c>
      <c r="B251">
        <v>19</v>
      </c>
      <c r="C251">
        <v>26</v>
      </c>
      <c r="D251">
        <v>45</v>
      </c>
      <c r="E251" t="s">
        <v>24</v>
      </c>
      <c r="F251" t="s">
        <v>682</v>
      </c>
      <c r="G251" t="s">
        <v>197</v>
      </c>
    </row>
    <row r="252" spans="1:7" x14ac:dyDescent="0.2">
      <c r="A252">
        <f t="shared" si="3"/>
        <v>20008</v>
      </c>
      <c r="B252">
        <v>20</v>
      </c>
      <c r="C252">
        <v>8</v>
      </c>
      <c r="D252">
        <v>28</v>
      </c>
      <c r="E252" t="s">
        <v>6</v>
      </c>
      <c r="F252" t="s">
        <v>627</v>
      </c>
      <c r="G252" t="s">
        <v>212</v>
      </c>
    </row>
    <row r="253" spans="1:7" x14ac:dyDescent="0.2">
      <c r="A253">
        <f t="shared" si="3"/>
        <v>20009</v>
      </c>
      <c r="B253">
        <v>20</v>
      </c>
      <c r="C253">
        <v>9</v>
      </c>
      <c r="D253">
        <v>29</v>
      </c>
      <c r="E253" t="s">
        <v>7</v>
      </c>
      <c r="F253">
        <v>40150.186000000002</v>
      </c>
      <c r="G253">
        <v>525.36300000000006</v>
      </c>
    </row>
    <row r="254" spans="1:7" x14ac:dyDescent="0.2">
      <c r="A254">
        <f t="shared" si="3"/>
        <v>20010</v>
      </c>
      <c r="B254">
        <v>20</v>
      </c>
      <c r="C254">
        <v>10</v>
      </c>
      <c r="D254">
        <v>30</v>
      </c>
      <c r="E254" t="s">
        <v>8</v>
      </c>
      <c r="F254">
        <v>23280.116999999998</v>
      </c>
      <c r="G254">
        <v>253.25</v>
      </c>
    </row>
    <row r="255" spans="1:7" x14ac:dyDescent="0.2">
      <c r="A255">
        <f t="shared" si="3"/>
        <v>20011</v>
      </c>
      <c r="B255">
        <v>20</v>
      </c>
      <c r="C255">
        <v>11</v>
      </c>
      <c r="D255">
        <v>31</v>
      </c>
      <c r="E255" t="s">
        <v>9</v>
      </c>
      <c r="F255">
        <v>12246.031000000001</v>
      </c>
      <c r="G255">
        <v>13.972</v>
      </c>
    </row>
    <row r="256" spans="1:7" x14ac:dyDescent="0.2">
      <c r="A256">
        <f t="shared" si="3"/>
        <v>20012</v>
      </c>
      <c r="B256">
        <v>20</v>
      </c>
      <c r="C256">
        <v>12</v>
      </c>
      <c r="D256">
        <v>32</v>
      </c>
      <c r="E256" t="s">
        <v>10</v>
      </c>
      <c r="F256">
        <v>-828.9</v>
      </c>
      <c r="G256">
        <v>3.26</v>
      </c>
    </row>
    <row r="257" spans="1:7" x14ac:dyDescent="0.2">
      <c r="A257">
        <f t="shared" ref="A257:A320" si="4">1000*B257+C257</f>
        <v>20013</v>
      </c>
      <c r="B257">
        <v>20</v>
      </c>
      <c r="C257">
        <v>13</v>
      </c>
      <c r="D257">
        <v>33</v>
      </c>
      <c r="E257" t="s">
        <v>11</v>
      </c>
      <c r="F257">
        <v>-8497.3799999999992</v>
      </c>
      <c r="G257">
        <v>6.9859999999999998</v>
      </c>
    </row>
    <row r="258" spans="1:7" x14ac:dyDescent="0.2">
      <c r="A258">
        <f t="shared" si="4"/>
        <v>20014</v>
      </c>
      <c r="B258">
        <v>20</v>
      </c>
      <c r="C258">
        <v>14</v>
      </c>
      <c r="D258">
        <v>34</v>
      </c>
      <c r="E258" t="s">
        <v>12</v>
      </c>
      <c r="F258">
        <v>-19956.851999999999</v>
      </c>
      <c r="G258">
        <v>14.118</v>
      </c>
    </row>
    <row r="259" spans="1:7" x14ac:dyDescent="0.2">
      <c r="A259">
        <f t="shared" si="4"/>
        <v>20015</v>
      </c>
      <c r="B259">
        <v>20</v>
      </c>
      <c r="C259">
        <v>15</v>
      </c>
      <c r="D259">
        <v>35</v>
      </c>
      <c r="E259" t="s">
        <v>13</v>
      </c>
      <c r="F259">
        <v>-24857.798999999999</v>
      </c>
      <c r="G259">
        <v>1.8660000000000001</v>
      </c>
    </row>
    <row r="260" spans="1:7" x14ac:dyDescent="0.2">
      <c r="A260">
        <f t="shared" si="4"/>
        <v>20016</v>
      </c>
      <c r="B260">
        <v>20</v>
      </c>
      <c r="C260">
        <v>16</v>
      </c>
      <c r="D260">
        <v>36</v>
      </c>
      <c r="E260" t="s">
        <v>14</v>
      </c>
      <c r="F260">
        <v>-30664.131000000001</v>
      </c>
      <c r="G260">
        <v>0.188</v>
      </c>
    </row>
    <row r="261" spans="1:7" x14ac:dyDescent="0.2">
      <c r="A261">
        <f t="shared" si="4"/>
        <v>20017</v>
      </c>
      <c r="B261">
        <v>20</v>
      </c>
      <c r="C261">
        <v>17</v>
      </c>
      <c r="D261">
        <v>37</v>
      </c>
      <c r="E261" t="s">
        <v>15</v>
      </c>
      <c r="F261">
        <v>-31761.538</v>
      </c>
      <c r="G261">
        <v>5.1999999999999998E-2</v>
      </c>
    </row>
    <row r="262" spans="1:7" x14ac:dyDescent="0.2">
      <c r="A262">
        <f t="shared" si="4"/>
        <v>20018</v>
      </c>
      <c r="B262">
        <v>20</v>
      </c>
      <c r="C262">
        <v>18</v>
      </c>
      <c r="D262">
        <v>38</v>
      </c>
      <c r="E262" t="s">
        <v>16</v>
      </c>
      <c r="F262">
        <v>-34714.821000000004</v>
      </c>
      <c r="G262">
        <v>0.19500000000000001</v>
      </c>
    </row>
    <row r="263" spans="1:7" x14ac:dyDescent="0.2">
      <c r="A263">
        <f t="shared" si="4"/>
        <v>20019</v>
      </c>
      <c r="B263">
        <v>20</v>
      </c>
      <c r="C263">
        <v>19</v>
      </c>
      <c r="D263">
        <v>39</v>
      </c>
      <c r="E263" t="s">
        <v>17</v>
      </c>
      <c r="F263">
        <v>-33807.1901</v>
      </c>
      <c r="G263">
        <v>4.5799999999999999E-3</v>
      </c>
    </row>
    <row r="264" spans="1:7" x14ac:dyDescent="0.2">
      <c r="A264">
        <f t="shared" si="4"/>
        <v>20020</v>
      </c>
      <c r="B264">
        <v>20</v>
      </c>
      <c r="C264">
        <v>20</v>
      </c>
      <c r="D264">
        <v>40</v>
      </c>
      <c r="E264" t="s">
        <v>18</v>
      </c>
      <c r="F264">
        <v>-34846.383999999998</v>
      </c>
      <c r="G264">
        <v>2.1000000000000001E-2</v>
      </c>
    </row>
    <row r="265" spans="1:7" x14ac:dyDescent="0.2">
      <c r="A265">
        <f t="shared" si="4"/>
        <v>20021</v>
      </c>
      <c r="B265">
        <v>20</v>
      </c>
      <c r="C265">
        <v>21</v>
      </c>
      <c r="D265">
        <v>41</v>
      </c>
      <c r="E265" t="s">
        <v>19</v>
      </c>
      <c r="F265">
        <v>-28642.412</v>
      </c>
      <c r="G265">
        <v>8.3000000000000004E-2</v>
      </c>
    </row>
    <row r="266" spans="1:7" x14ac:dyDescent="0.2">
      <c r="A266">
        <f t="shared" si="4"/>
        <v>20022</v>
      </c>
      <c r="B266">
        <v>20</v>
      </c>
      <c r="C266">
        <v>22</v>
      </c>
      <c r="D266">
        <v>42</v>
      </c>
      <c r="E266" t="s">
        <v>20</v>
      </c>
      <c r="F266">
        <v>-25104.673999999999</v>
      </c>
      <c r="G266">
        <v>0.27700000000000002</v>
      </c>
    </row>
    <row r="267" spans="1:7" x14ac:dyDescent="0.2">
      <c r="A267">
        <f t="shared" si="4"/>
        <v>20023</v>
      </c>
      <c r="B267">
        <v>20</v>
      </c>
      <c r="C267">
        <v>23</v>
      </c>
      <c r="D267">
        <v>43</v>
      </c>
      <c r="E267" t="s">
        <v>21</v>
      </c>
      <c r="F267">
        <v>-17916.356</v>
      </c>
      <c r="G267">
        <v>42.848999999999997</v>
      </c>
    </row>
    <row r="268" spans="1:7" x14ac:dyDescent="0.2">
      <c r="A268">
        <f t="shared" si="4"/>
        <v>20024</v>
      </c>
      <c r="B268">
        <v>20</v>
      </c>
      <c r="C268">
        <v>24</v>
      </c>
      <c r="D268">
        <v>44</v>
      </c>
      <c r="E268" t="s">
        <v>22</v>
      </c>
      <c r="F268" t="s">
        <v>676</v>
      </c>
      <c r="G268" t="s">
        <v>235</v>
      </c>
    </row>
    <row r="269" spans="1:7" x14ac:dyDescent="0.2">
      <c r="A269">
        <f t="shared" si="4"/>
        <v>20025</v>
      </c>
      <c r="B269">
        <v>20</v>
      </c>
      <c r="C269">
        <v>25</v>
      </c>
      <c r="D269">
        <v>45</v>
      </c>
      <c r="E269" t="s">
        <v>23</v>
      </c>
      <c r="F269" t="s">
        <v>681</v>
      </c>
      <c r="G269" t="s">
        <v>197</v>
      </c>
    </row>
    <row r="270" spans="1:7" x14ac:dyDescent="0.2">
      <c r="A270">
        <f t="shared" si="4"/>
        <v>20026</v>
      </c>
      <c r="B270">
        <v>20</v>
      </c>
      <c r="C270">
        <v>26</v>
      </c>
      <c r="D270">
        <v>46</v>
      </c>
      <c r="E270" t="s">
        <v>24</v>
      </c>
      <c r="F270" t="s">
        <v>686</v>
      </c>
      <c r="G270" t="s">
        <v>245</v>
      </c>
    </row>
    <row r="271" spans="1:7" x14ac:dyDescent="0.2">
      <c r="A271">
        <f t="shared" si="4"/>
        <v>20027</v>
      </c>
      <c r="B271">
        <v>20</v>
      </c>
      <c r="C271">
        <v>27</v>
      </c>
      <c r="D271">
        <v>47</v>
      </c>
      <c r="E271" t="s">
        <v>25</v>
      </c>
      <c r="F271" t="s">
        <v>691</v>
      </c>
      <c r="G271" t="s">
        <v>666</v>
      </c>
    </row>
    <row r="272" spans="1:7" x14ac:dyDescent="0.2">
      <c r="A272">
        <f t="shared" si="4"/>
        <v>20028</v>
      </c>
      <c r="B272">
        <v>20</v>
      </c>
      <c r="C272">
        <v>28</v>
      </c>
      <c r="D272">
        <v>48</v>
      </c>
      <c r="E272" t="s">
        <v>26</v>
      </c>
      <c r="F272" t="s">
        <v>696</v>
      </c>
      <c r="G272" t="s">
        <v>697</v>
      </c>
    </row>
    <row r="273" spans="1:7" x14ac:dyDescent="0.2">
      <c r="A273">
        <f t="shared" si="4"/>
        <v>21009</v>
      </c>
      <c r="B273">
        <v>21</v>
      </c>
      <c r="C273">
        <v>9</v>
      </c>
      <c r="D273">
        <v>30</v>
      </c>
      <c r="E273" t="s">
        <v>7</v>
      </c>
      <c r="F273" t="s">
        <v>629</v>
      </c>
      <c r="G273" t="s">
        <v>211</v>
      </c>
    </row>
    <row r="274" spans="1:7" x14ac:dyDescent="0.2">
      <c r="A274">
        <f t="shared" si="4"/>
        <v>21010</v>
      </c>
      <c r="B274">
        <v>21</v>
      </c>
      <c r="C274">
        <v>10</v>
      </c>
      <c r="D274">
        <v>31</v>
      </c>
      <c r="E274" t="s">
        <v>8</v>
      </c>
      <c r="F274">
        <v>31181.591</v>
      </c>
      <c r="G274">
        <v>266.19499999999999</v>
      </c>
    </row>
    <row r="275" spans="1:7" x14ac:dyDescent="0.2">
      <c r="A275">
        <f t="shared" si="4"/>
        <v>21011</v>
      </c>
      <c r="B275">
        <v>21</v>
      </c>
      <c r="C275">
        <v>11</v>
      </c>
      <c r="D275">
        <v>32</v>
      </c>
      <c r="E275" t="s">
        <v>9</v>
      </c>
      <c r="F275">
        <v>18640.151000000002</v>
      </c>
      <c r="G275">
        <v>37.26</v>
      </c>
    </row>
    <row r="276" spans="1:7" x14ac:dyDescent="0.2">
      <c r="A276">
        <f t="shared" si="4"/>
        <v>21012</v>
      </c>
      <c r="B276">
        <v>21</v>
      </c>
      <c r="C276">
        <v>12</v>
      </c>
      <c r="D276">
        <v>33</v>
      </c>
      <c r="E276" t="s">
        <v>10</v>
      </c>
      <c r="F276">
        <v>4962.2969999999996</v>
      </c>
      <c r="G276">
        <v>2.8879999999999999</v>
      </c>
    </row>
    <row r="277" spans="1:7" x14ac:dyDescent="0.2">
      <c r="A277">
        <f t="shared" si="4"/>
        <v>21013</v>
      </c>
      <c r="B277">
        <v>21</v>
      </c>
      <c r="C277">
        <v>13</v>
      </c>
      <c r="D277">
        <v>34</v>
      </c>
      <c r="E277" t="s">
        <v>11</v>
      </c>
      <c r="F277">
        <v>-3000.2890000000002</v>
      </c>
      <c r="G277">
        <v>3.0739999999999998</v>
      </c>
    </row>
    <row r="278" spans="1:7" x14ac:dyDescent="0.2">
      <c r="A278">
        <f t="shared" si="4"/>
        <v>21014</v>
      </c>
      <c r="B278">
        <v>21</v>
      </c>
      <c r="C278">
        <v>14</v>
      </c>
      <c r="D278">
        <v>35</v>
      </c>
      <c r="E278" t="s">
        <v>643</v>
      </c>
      <c r="F278">
        <v>-14391.457</v>
      </c>
      <c r="G278">
        <v>35.856999999999999</v>
      </c>
    </row>
    <row r="279" spans="1:7" x14ac:dyDescent="0.2">
      <c r="A279">
        <f t="shared" si="4"/>
        <v>21015</v>
      </c>
      <c r="B279">
        <v>21</v>
      </c>
      <c r="C279">
        <v>15</v>
      </c>
      <c r="D279">
        <v>36</v>
      </c>
      <c r="E279" t="s">
        <v>13</v>
      </c>
      <c r="F279">
        <v>-20251.034</v>
      </c>
      <c r="G279">
        <v>13.114000000000001</v>
      </c>
    </row>
    <row r="280" spans="1:7" x14ac:dyDescent="0.2">
      <c r="A280">
        <f t="shared" si="4"/>
        <v>21016</v>
      </c>
      <c r="B280">
        <v>21</v>
      </c>
      <c r="C280">
        <v>16</v>
      </c>
      <c r="D280">
        <v>37</v>
      </c>
      <c r="E280" t="s">
        <v>14</v>
      </c>
      <c r="F280">
        <v>-26896.417000000001</v>
      </c>
      <c r="G280">
        <v>0.19800000000000001</v>
      </c>
    </row>
    <row r="281" spans="1:7" x14ac:dyDescent="0.2">
      <c r="A281">
        <f t="shared" si="4"/>
        <v>21017</v>
      </c>
      <c r="B281">
        <v>21</v>
      </c>
      <c r="C281">
        <v>17</v>
      </c>
      <c r="D281">
        <v>38</v>
      </c>
      <c r="E281" t="s">
        <v>15</v>
      </c>
      <c r="F281">
        <v>-29798.102999999999</v>
      </c>
      <c r="G281">
        <v>9.8000000000000004E-2</v>
      </c>
    </row>
    <row r="282" spans="1:7" x14ac:dyDescent="0.2">
      <c r="A282">
        <f t="shared" si="4"/>
        <v>21018</v>
      </c>
      <c r="B282">
        <v>21</v>
      </c>
      <c r="C282">
        <v>18</v>
      </c>
      <c r="D282">
        <v>39</v>
      </c>
      <c r="E282" t="s">
        <v>16</v>
      </c>
      <c r="F282">
        <v>-33242.19</v>
      </c>
      <c r="G282">
        <v>5</v>
      </c>
    </row>
    <row r="283" spans="1:7" x14ac:dyDescent="0.2">
      <c r="A283">
        <f t="shared" si="4"/>
        <v>21019</v>
      </c>
      <c r="B283">
        <v>21</v>
      </c>
      <c r="C283">
        <v>19</v>
      </c>
      <c r="D283">
        <v>40</v>
      </c>
      <c r="E283" t="s">
        <v>17</v>
      </c>
      <c r="F283">
        <v>-33535.491999999998</v>
      </c>
      <c r="G283">
        <v>5.6000000000000001E-2</v>
      </c>
    </row>
    <row r="284" spans="1:7" x14ac:dyDescent="0.2">
      <c r="A284">
        <f t="shared" si="4"/>
        <v>21020</v>
      </c>
      <c r="B284">
        <v>21</v>
      </c>
      <c r="C284">
        <v>20</v>
      </c>
      <c r="D284">
        <v>41</v>
      </c>
      <c r="E284" t="s">
        <v>18</v>
      </c>
      <c r="F284">
        <v>-35137.89</v>
      </c>
      <c r="G284">
        <v>0.13800000000000001</v>
      </c>
    </row>
    <row r="285" spans="1:7" x14ac:dyDescent="0.2">
      <c r="A285">
        <f t="shared" si="4"/>
        <v>21021</v>
      </c>
      <c r="B285">
        <v>21</v>
      </c>
      <c r="C285">
        <v>21</v>
      </c>
      <c r="D285">
        <v>42</v>
      </c>
      <c r="E285" t="s">
        <v>19</v>
      </c>
      <c r="F285">
        <v>-32121.152999999998</v>
      </c>
      <c r="G285">
        <v>0.16900000000000001</v>
      </c>
    </row>
    <row r="286" spans="1:7" x14ac:dyDescent="0.2">
      <c r="A286">
        <f t="shared" si="4"/>
        <v>21022</v>
      </c>
      <c r="B286">
        <v>21</v>
      </c>
      <c r="C286">
        <v>22</v>
      </c>
      <c r="D286">
        <v>43</v>
      </c>
      <c r="E286" t="s">
        <v>672</v>
      </c>
      <c r="F286">
        <v>-29321.081999999999</v>
      </c>
      <c r="G286">
        <v>7.2450000000000001</v>
      </c>
    </row>
    <row r="287" spans="1:7" x14ac:dyDescent="0.2">
      <c r="A287">
        <f t="shared" si="4"/>
        <v>21023</v>
      </c>
      <c r="B287">
        <v>21</v>
      </c>
      <c r="C287">
        <v>23</v>
      </c>
      <c r="D287">
        <v>44</v>
      </c>
      <c r="E287" t="s">
        <v>21</v>
      </c>
      <c r="F287">
        <v>-24116.38</v>
      </c>
      <c r="G287">
        <v>181.64099999999999</v>
      </c>
    </row>
    <row r="288" spans="1:7" x14ac:dyDescent="0.2">
      <c r="A288">
        <f t="shared" si="4"/>
        <v>21024</v>
      </c>
      <c r="B288">
        <v>21</v>
      </c>
      <c r="C288">
        <v>24</v>
      </c>
      <c r="D288">
        <v>45</v>
      </c>
      <c r="E288" t="s">
        <v>22</v>
      </c>
      <c r="F288">
        <v>-19514.798999999999</v>
      </c>
      <c r="G288">
        <v>35.396999999999998</v>
      </c>
    </row>
    <row r="289" spans="1:7" x14ac:dyDescent="0.2">
      <c r="A289">
        <f t="shared" si="4"/>
        <v>21025</v>
      </c>
      <c r="B289">
        <v>21</v>
      </c>
      <c r="C289">
        <v>25</v>
      </c>
      <c r="D289">
        <v>46</v>
      </c>
      <c r="E289" t="s">
        <v>23</v>
      </c>
      <c r="F289" t="s">
        <v>685</v>
      </c>
      <c r="G289" t="s">
        <v>197</v>
      </c>
    </row>
    <row r="290" spans="1:7" x14ac:dyDescent="0.2">
      <c r="A290">
        <f t="shared" si="4"/>
        <v>21026</v>
      </c>
      <c r="B290">
        <v>21</v>
      </c>
      <c r="C290">
        <v>26</v>
      </c>
      <c r="D290">
        <v>47</v>
      </c>
      <c r="E290" t="s">
        <v>24</v>
      </c>
      <c r="F290" t="s">
        <v>690</v>
      </c>
      <c r="G290" t="s">
        <v>245</v>
      </c>
    </row>
    <row r="291" spans="1:7" x14ac:dyDescent="0.2">
      <c r="A291">
        <f t="shared" si="4"/>
        <v>21027</v>
      </c>
      <c r="B291">
        <v>21</v>
      </c>
      <c r="C291">
        <v>27</v>
      </c>
      <c r="D291">
        <v>48</v>
      </c>
      <c r="E291" t="s">
        <v>25</v>
      </c>
      <c r="F291" t="s">
        <v>695</v>
      </c>
      <c r="G291" t="s">
        <v>245</v>
      </c>
    </row>
    <row r="292" spans="1:7" x14ac:dyDescent="0.2">
      <c r="A292">
        <f t="shared" si="4"/>
        <v>21028</v>
      </c>
      <c r="B292">
        <v>21</v>
      </c>
      <c r="C292">
        <v>28</v>
      </c>
      <c r="D292">
        <v>49</v>
      </c>
      <c r="E292" t="s">
        <v>26</v>
      </c>
      <c r="F292" t="s">
        <v>703</v>
      </c>
      <c r="G292" t="s">
        <v>666</v>
      </c>
    </row>
    <row r="293" spans="1:7" x14ac:dyDescent="0.2">
      <c r="A293">
        <f t="shared" si="4"/>
        <v>22009</v>
      </c>
      <c r="B293">
        <v>22</v>
      </c>
      <c r="C293">
        <v>9</v>
      </c>
      <c r="D293">
        <v>31</v>
      </c>
      <c r="E293" t="s">
        <v>7</v>
      </c>
      <c r="F293" t="s">
        <v>630</v>
      </c>
      <c r="G293" t="s">
        <v>631</v>
      </c>
    </row>
    <row r="294" spans="1:7" x14ac:dyDescent="0.2">
      <c r="A294">
        <f t="shared" si="4"/>
        <v>22010</v>
      </c>
      <c r="B294">
        <v>22</v>
      </c>
      <c r="C294">
        <v>10</v>
      </c>
      <c r="D294">
        <v>32</v>
      </c>
      <c r="E294" t="s">
        <v>8</v>
      </c>
      <c r="F294" t="s">
        <v>633</v>
      </c>
      <c r="G294" t="s">
        <v>201</v>
      </c>
    </row>
    <row r="295" spans="1:7" x14ac:dyDescent="0.2">
      <c r="A295">
        <f t="shared" si="4"/>
        <v>22011</v>
      </c>
      <c r="B295">
        <v>22</v>
      </c>
      <c r="C295">
        <v>11</v>
      </c>
      <c r="D295">
        <v>33</v>
      </c>
      <c r="E295" t="s">
        <v>9</v>
      </c>
      <c r="F295">
        <v>23780.11</v>
      </c>
      <c r="G295">
        <v>449.91199999999998</v>
      </c>
    </row>
    <row r="296" spans="1:7" x14ac:dyDescent="0.2">
      <c r="A296">
        <f t="shared" si="4"/>
        <v>22012</v>
      </c>
      <c r="B296">
        <v>22</v>
      </c>
      <c r="C296">
        <v>12</v>
      </c>
      <c r="D296">
        <v>34</v>
      </c>
      <c r="E296" t="s">
        <v>10</v>
      </c>
      <c r="F296">
        <v>8323.348</v>
      </c>
      <c r="G296">
        <v>28.876000000000001</v>
      </c>
    </row>
    <row r="297" spans="1:7" x14ac:dyDescent="0.2">
      <c r="A297">
        <f t="shared" si="4"/>
        <v>22013</v>
      </c>
      <c r="B297">
        <v>22</v>
      </c>
      <c r="C297">
        <v>13</v>
      </c>
      <c r="D297">
        <v>35</v>
      </c>
      <c r="E297" t="s">
        <v>11</v>
      </c>
      <c r="F297">
        <v>-223.72800000000001</v>
      </c>
      <c r="G297">
        <v>7.359</v>
      </c>
    </row>
    <row r="298" spans="1:7" x14ac:dyDescent="0.2">
      <c r="A298">
        <f t="shared" si="4"/>
        <v>22014</v>
      </c>
      <c r="B298">
        <v>22</v>
      </c>
      <c r="C298">
        <v>14</v>
      </c>
      <c r="D298">
        <v>36</v>
      </c>
      <c r="E298" t="s">
        <v>12</v>
      </c>
      <c r="F298">
        <v>-12436.124</v>
      </c>
      <c r="G298">
        <v>71.796999999999997</v>
      </c>
    </row>
    <row r="299" spans="1:7" x14ac:dyDescent="0.2">
      <c r="A299">
        <f t="shared" si="4"/>
        <v>22015</v>
      </c>
      <c r="B299">
        <v>22</v>
      </c>
      <c r="C299">
        <v>15</v>
      </c>
      <c r="D299">
        <v>37</v>
      </c>
      <c r="E299" t="s">
        <v>650</v>
      </c>
      <c r="F299">
        <v>-18995.998</v>
      </c>
      <c r="G299">
        <v>37.948</v>
      </c>
    </row>
    <row r="300" spans="1:7" x14ac:dyDescent="0.2">
      <c r="A300">
        <f t="shared" si="4"/>
        <v>22016</v>
      </c>
      <c r="B300">
        <v>22</v>
      </c>
      <c r="C300">
        <v>16</v>
      </c>
      <c r="D300">
        <v>38</v>
      </c>
      <c r="E300" t="s">
        <v>14</v>
      </c>
      <c r="F300">
        <v>-26861.203000000001</v>
      </c>
      <c r="G300">
        <v>7.1719999999999997</v>
      </c>
    </row>
    <row r="301" spans="1:7" x14ac:dyDescent="0.2">
      <c r="A301">
        <f t="shared" si="4"/>
        <v>22017</v>
      </c>
      <c r="B301">
        <v>22</v>
      </c>
      <c r="C301">
        <v>17</v>
      </c>
      <c r="D301">
        <v>39</v>
      </c>
      <c r="E301" t="s">
        <v>15</v>
      </c>
      <c r="F301">
        <v>-29800.205000000002</v>
      </c>
      <c r="G301">
        <v>1.732</v>
      </c>
    </row>
    <row r="302" spans="1:7" x14ac:dyDescent="0.2">
      <c r="A302">
        <f t="shared" si="4"/>
        <v>22018</v>
      </c>
      <c r="B302">
        <v>22</v>
      </c>
      <c r="C302">
        <v>18</v>
      </c>
      <c r="D302">
        <v>40</v>
      </c>
      <c r="E302" t="s">
        <v>16</v>
      </c>
      <c r="F302">
        <v>-35039.894639999999</v>
      </c>
      <c r="G302">
        <v>2.2399999999999998E-3</v>
      </c>
    </row>
    <row r="303" spans="1:7" x14ac:dyDescent="0.2">
      <c r="A303">
        <f t="shared" si="4"/>
        <v>22019</v>
      </c>
      <c r="B303">
        <v>22</v>
      </c>
      <c r="C303">
        <v>19</v>
      </c>
      <c r="D303">
        <v>41</v>
      </c>
      <c r="E303" t="s">
        <v>17</v>
      </c>
      <c r="F303">
        <v>-35559.543310000001</v>
      </c>
      <c r="G303">
        <v>3.8E-3</v>
      </c>
    </row>
    <row r="304" spans="1:7" x14ac:dyDescent="0.2">
      <c r="A304">
        <f t="shared" si="4"/>
        <v>22020</v>
      </c>
      <c r="B304">
        <v>22</v>
      </c>
      <c r="C304">
        <v>20</v>
      </c>
      <c r="D304">
        <v>42</v>
      </c>
      <c r="E304" t="s">
        <v>18</v>
      </c>
      <c r="F304">
        <v>-38547.245000000003</v>
      </c>
      <c r="G304">
        <v>0.14899999999999999</v>
      </c>
    </row>
    <row r="305" spans="1:7" x14ac:dyDescent="0.2">
      <c r="A305">
        <f t="shared" si="4"/>
        <v>22021</v>
      </c>
      <c r="B305">
        <v>22</v>
      </c>
      <c r="C305">
        <v>21</v>
      </c>
      <c r="D305">
        <v>43</v>
      </c>
      <c r="E305" t="s">
        <v>19</v>
      </c>
      <c r="F305">
        <v>-36188.101999999999</v>
      </c>
      <c r="G305">
        <v>1.863</v>
      </c>
    </row>
    <row r="306" spans="1:7" x14ac:dyDescent="0.2">
      <c r="A306">
        <f t="shared" si="4"/>
        <v>22022</v>
      </c>
      <c r="B306">
        <v>22</v>
      </c>
      <c r="C306">
        <v>22</v>
      </c>
      <c r="D306">
        <v>44</v>
      </c>
      <c r="E306" t="s">
        <v>20</v>
      </c>
      <c r="F306">
        <v>-37548.569000000003</v>
      </c>
      <c r="G306">
        <v>0.7</v>
      </c>
    </row>
    <row r="307" spans="1:7" x14ac:dyDescent="0.2">
      <c r="A307">
        <f t="shared" si="4"/>
        <v>22023</v>
      </c>
      <c r="B307">
        <v>22</v>
      </c>
      <c r="C307">
        <v>23</v>
      </c>
      <c r="D307">
        <v>45</v>
      </c>
      <c r="E307" t="s">
        <v>21</v>
      </c>
      <c r="F307">
        <v>-31886.016</v>
      </c>
      <c r="G307">
        <v>0.872</v>
      </c>
    </row>
    <row r="308" spans="1:7" x14ac:dyDescent="0.2">
      <c r="A308">
        <f t="shared" si="4"/>
        <v>22024</v>
      </c>
      <c r="B308">
        <v>22</v>
      </c>
      <c r="C308">
        <v>24</v>
      </c>
      <c r="D308">
        <v>46</v>
      </c>
      <c r="E308" t="s">
        <v>22</v>
      </c>
      <c r="F308">
        <v>-29471.566999999999</v>
      </c>
      <c r="G308">
        <v>11.452999999999999</v>
      </c>
    </row>
    <row r="309" spans="1:7" x14ac:dyDescent="0.2">
      <c r="A309">
        <f t="shared" si="4"/>
        <v>22025</v>
      </c>
      <c r="B309">
        <v>22</v>
      </c>
      <c r="C309">
        <v>25</v>
      </c>
      <c r="D309">
        <v>47</v>
      </c>
      <c r="E309" t="s">
        <v>23</v>
      </c>
      <c r="F309">
        <v>-22566.374</v>
      </c>
      <c r="G309">
        <v>31.670999999999999</v>
      </c>
    </row>
    <row r="310" spans="1:7" x14ac:dyDescent="0.2">
      <c r="A310">
        <f t="shared" si="4"/>
        <v>22026</v>
      </c>
      <c r="B310">
        <v>22</v>
      </c>
      <c r="C310">
        <v>26</v>
      </c>
      <c r="D310">
        <v>48</v>
      </c>
      <c r="E310" t="s">
        <v>24</v>
      </c>
      <c r="F310" t="s">
        <v>694</v>
      </c>
      <c r="G310" t="s">
        <v>197</v>
      </c>
    </row>
    <row r="311" spans="1:7" x14ac:dyDescent="0.2">
      <c r="A311">
        <f t="shared" si="4"/>
        <v>22027</v>
      </c>
      <c r="B311">
        <v>22</v>
      </c>
      <c r="C311">
        <v>27</v>
      </c>
      <c r="D311">
        <v>49</v>
      </c>
      <c r="E311" t="s">
        <v>25</v>
      </c>
      <c r="F311" t="s">
        <v>702</v>
      </c>
      <c r="G311" t="s">
        <v>245</v>
      </c>
    </row>
    <row r="312" spans="1:7" x14ac:dyDescent="0.2">
      <c r="A312">
        <f t="shared" si="4"/>
        <v>22028</v>
      </c>
      <c r="B312">
        <v>22</v>
      </c>
      <c r="C312">
        <v>28</v>
      </c>
      <c r="D312">
        <v>50</v>
      </c>
      <c r="E312" t="s">
        <v>26</v>
      </c>
      <c r="F312" t="s">
        <v>707</v>
      </c>
      <c r="G312" t="s">
        <v>245</v>
      </c>
    </row>
    <row r="313" spans="1:7" x14ac:dyDescent="0.2">
      <c r="A313">
        <f t="shared" si="4"/>
        <v>23010</v>
      </c>
      <c r="B313">
        <v>23</v>
      </c>
      <c r="C313">
        <v>10</v>
      </c>
      <c r="D313">
        <v>33</v>
      </c>
      <c r="E313" t="s">
        <v>8</v>
      </c>
      <c r="F313" t="s">
        <v>635</v>
      </c>
      <c r="G313" t="s">
        <v>211</v>
      </c>
    </row>
    <row r="314" spans="1:7" x14ac:dyDescent="0.2">
      <c r="A314">
        <f t="shared" si="4"/>
        <v>23011</v>
      </c>
      <c r="B314">
        <v>23</v>
      </c>
      <c r="C314">
        <v>11</v>
      </c>
      <c r="D314">
        <v>34</v>
      </c>
      <c r="E314" t="s">
        <v>9</v>
      </c>
      <c r="F314">
        <v>31680.111000000001</v>
      </c>
      <c r="G314">
        <v>599.41600000000005</v>
      </c>
    </row>
    <row r="315" spans="1:7" x14ac:dyDescent="0.2">
      <c r="A315">
        <f t="shared" si="4"/>
        <v>23012</v>
      </c>
      <c r="B315">
        <v>23</v>
      </c>
      <c r="C315">
        <v>12</v>
      </c>
      <c r="D315">
        <v>35</v>
      </c>
      <c r="E315" t="s">
        <v>10</v>
      </c>
      <c r="F315">
        <v>15639.784</v>
      </c>
      <c r="G315">
        <v>269.66800000000001</v>
      </c>
    </row>
    <row r="316" spans="1:7" x14ac:dyDescent="0.2">
      <c r="A316">
        <f t="shared" si="4"/>
        <v>23013</v>
      </c>
      <c r="B316">
        <v>23</v>
      </c>
      <c r="C316">
        <v>13</v>
      </c>
      <c r="D316">
        <v>36</v>
      </c>
      <c r="E316" t="s">
        <v>11</v>
      </c>
      <c r="F316">
        <v>5950.384</v>
      </c>
      <c r="G316">
        <v>149.505</v>
      </c>
    </row>
    <row r="317" spans="1:7" x14ac:dyDescent="0.2">
      <c r="A317">
        <f t="shared" si="4"/>
        <v>23014</v>
      </c>
      <c r="B317">
        <v>23</v>
      </c>
      <c r="C317">
        <v>14</v>
      </c>
      <c r="D317">
        <v>37</v>
      </c>
      <c r="E317" t="s">
        <v>12</v>
      </c>
      <c r="F317">
        <v>-6571.5110000000004</v>
      </c>
      <c r="G317">
        <v>113.809</v>
      </c>
    </row>
    <row r="318" spans="1:7" x14ac:dyDescent="0.2">
      <c r="A318">
        <f t="shared" si="4"/>
        <v>23015</v>
      </c>
      <c r="B318">
        <v>23</v>
      </c>
      <c r="C318">
        <v>15</v>
      </c>
      <c r="D318">
        <v>38</v>
      </c>
      <c r="E318" t="s">
        <v>13</v>
      </c>
      <c r="F318">
        <v>-14621.563</v>
      </c>
      <c r="G318">
        <v>72.581000000000003</v>
      </c>
    </row>
    <row r="319" spans="1:7" x14ac:dyDescent="0.2">
      <c r="A319">
        <f t="shared" si="4"/>
        <v>23016</v>
      </c>
      <c r="B319">
        <v>23</v>
      </c>
      <c r="C319">
        <v>16</v>
      </c>
      <c r="D319">
        <v>39</v>
      </c>
      <c r="E319" t="s">
        <v>657</v>
      </c>
      <c r="F319">
        <v>-23162.667000000001</v>
      </c>
      <c r="G319">
        <v>50</v>
      </c>
    </row>
    <row r="320" spans="1:7" x14ac:dyDescent="0.2">
      <c r="A320">
        <f t="shared" si="4"/>
        <v>23017</v>
      </c>
      <c r="B320">
        <v>23</v>
      </c>
      <c r="C320">
        <v>17</v>
      </c>
      <c r="D320">
        <v>40</v>
      </c>
      <c r="E320" t="s">
        <v>15</v>
      </c>
      <c r="F320">
        <v>-27557.812999999998</v>
      </c>
      <c r="G320">
        <v>32.066000000000003</v>
      </c>
    </row>
    <row r="321" spans="1:7" x14ac:dyDescent="0.2">
      <c r="A321">
        <f t="shared" ref="A321:A384" si="5">1000*B321+C321</f>
        <v>23018</v>
      </c>
      <c r="B321">
        <v>23</v>
      </c>
      <c r="C321">
        <v>18</v>
      </c>
      <c r="D321">
        <v>41</v>
      </c>
      <c r="E321" t="s">
        <v>16</v>
      </c>
      <c r="F321">
        <v>-33067.504999999997</v>
      </c>
      <c r="G321">
        <v>0.34699999999999998</v>
      </c>
    </row>
    <row r="322" spans="1:7" x14ac:dyDescent="0.2">
      <c r="A322">
        <f t="shared" si="5"/>
        <v>23019</v>
      </c>
      <c r="B322">
        <v>23</v>
      </c>
      <c r="C322">
        <v>19</v>
      </c>
      <c r="D322">
        <v>42</v>
      </c>
      <c r="E322" t="s">
        <v>17</v>
      </c>
      <c r="F322">
        <v>-35022.025999999998</v>
      </c>
      <c r="G322">
        <v>0.106</v>
      </c>
    </row>
    <row r="323" spans="1:7" x14ac:dyDescent="0.2">
      <c r="A323">
        <f t="shared" si="5"/>
        <v>23020</v>
      </c>
      <c r="B323">
        <v>23</v>
      </c>
      <c r="C323">
        <v>20</v>
      </c>
      <c r="D323">
        <v>43</v>
      </c>
      <c r="E323" t="s">
        <v>18</v>
      </c>
      <c r="F323">
        <v>-38408.822</v>
      </c>
      <c r="G323">
        <v>0.22800000000000001</v>
      </c>
    </row>
    <row r="324" spans="1:7" x14ac:dyDescent="0.2">
      <c r="A324">
        <f t="shared" si="5"/>
        <v>23021</v>
      </c>
      <c r="B324">
        <v>23</v>
      </c>
      <c r="C324">
        <v>21</v>
      </c>
      <c r="D324">
        <v>44</v>
      </c>
      <c r="E324" t="s">
        <v>19</v>
      </c>
      <c r="F324">
        <v>-37815.985000000001</v>
      </c>
      <c r="G324">
        <v>1.756</v>
      </c>
    </row>
    <row r="325" spans="1:7" x14ac:dyDescent="0.2">
      <c r="A325">
        <f t="shared" si="5"/>
        <v>23022</v>
      </c>
      <c r="B325">
        <v>23</v>
      </c>
      <c r="C325">
        <v>22</v>
      </c>
      <c r="D325">
        <v>45</v>
      </c>
      <c r="E325" t="s">
        <v>20</v>
      </c>
      <c r="F325">
        <v>-39009.839999999997</v>
      </c>
      <c r="G325">
        <v>0.84499999999999997</v>
      </c>
    </row>
    <row r="326" spans="1:7" x14ac:dyDescent="0.2">
      <c r="A326">
        <f t="shared" si="5"/>
        <v>23023</v>
      </c>
      <c r="B326">
        <v>23</v>
      </c>
      <c r="C326">
        <v>23</v>
      </c>
      <c r="D326">
        <v>46</v>
      </c>
      <c r="E326" t="s">
        <v>21</v>
      </c>
      <c r="F326">
        <v>-37075.351000000002</v>
      </c>
      <c r="G326">
        <v>0.20200000000000001</v>
      </c>
    </row>
    <row r="327" spans="1:7" x14ac:dyDescent="0.2">
      <c r="A327">
        <f t="shared" si="5"/>
        <v>23024</v>
      </c>
      <c r="B327">
        <v>23</v>
      </c>
      <c r="C327">
        <v>24</v>
      </c>
      <c r="D327">
        <v>47</v>
      </c>
      <c r="E327" t="s">
        <v>22</v>
      </c>
      <c r="F327">
        <v>-34562.578000000001</v>
      </c>
      <c r="G327">
        <v>6.03</v>
      </c>
    </row>
    <row r="328" spans="1:7" x14ac:dyDescent="0.2">
      <c r="A328">
        <f t="shared" si="5"/>
        <v>23025</v>
      </c>
      <c r="B328">
        <v>23</v>
      </c>
      <c r="C328">
        <v>25</v>
      </c>
      <c r="D328">
        <v>48</v>
      </c>
      <c r="E328" t="s">
        <v>23</v>
      </c>
      <c r="F328">
        <v>-29296.338</v>
      </c>
      <c r="G328">
        <v>6.9390000000000001</v>
      </c>
    </row>
    <row r="329" spans="1:7" x14ac:dyDescent="0.2">
      <c r="A329">
        <f t="shared" si="5"/>
        <v>23026</v>
      </c>
      <c r="B329">
        <v>23</v>
      </c>
      <c r="C329">
        <v>26</v>
      </c>
      <c r="D329">
        <v>49</v>
      </c>
      <c r="E329" t="s">
        <v>24</v>
      </c>
      <c r="F329">
        <v>-24750.726999999999</v>
      </c>
      <c r="G329">
        <v>24.219000000000001</v>
      </c>
    </row>
    <row r="330" spans="1:7" x14ac:dyDescent="0.2">
      <c r="A330">
        <f t="shared" si="5"/>
        <v>23027</v>
      </c>
      <c r="B330">
        <v>23</v>
      </c>
      <c r="C330">
        <v>27</v>
      </c>
      <c r="D330">
        <v>50</v>
      </c>
      <c r="E330" t="s">
        <v>25</v>
      </c>
      <c r="F330" t="s">
        <v>706</v>
      </c>
      <c r="G330" t="s">
        <v>197</v>
      </c>
    </row>
    <row r="331" spans="1:7" x14ac:dyDescent="0.2">
      <c r="A331">
        <f t="shared" si="5"/>
        <v>23028</v>
      </c>
      <c r="B331">
        <v>23</v>
      </c>
      <c r="C331">
        <v>28</v>
      </c>
      <c r="D331">
        <v>51</v>
      </c>
      <c r="E331" t="s">
        <v>26</v>
      </c>
      <c r="F331" t="s">
        <v>711</v>
      </c>
      <c r="G331" t="s">
        <v>245</v>
      </c>
    </row>
    <row r="332" spans="1:7" x14ac:dyDescent="0.2">
      <c r="A332">
        <f t="shared" si="5"/>
        <v>23029</v>
      </c>
      <c r="B332">
        <v>23</v>
      </c>
      <c r="C332">
        <v>29</v>
      </c>
      <c r="D332">
        <v>52</v>
      </c>
      <c r="E332" t="s">
        <v>27</v>
      </c>
      <c r="F332" t="s">
        <v>714</v>
      </c>
      <c r="G332" t="s">
        <v>666</v>
      </c>
    </row>
    <row r="333" spans="1:7" x14ac:dyDescent="0.2">
      <c r="A333">
        <f t="shared" si="5"/>
        <v>24010</v>
      </c>
      <c r="B333">
        <v>24</v>
      </c>
      <c r="C333">
        <v>10</v>
      </c>
      <c r="D333">
        <v>34</v>
      </c>
      <c r="E333" t="s">
        <v>8</v>
      </c>
      <c r="F333" t="s">
        <v>637</v>
      </c>
      <c r="G333" t="s">
        <v>638</v>
      </c>
    </row>
    <row r="334" spans="1:7" x14ac:dyDescent="0.2">
      <c r="A334">
        <f t="shared" si="5"/>
        <v>24011</v>
      </c>
      <c r="B334">
        <v>24</v>
      </c>
      <c r="C334">
        <v>11</v>
      </c>
      <c r="D334">
        <v>35</v>
      </c>
      <c r="E334" t="s">
        <v>9</v>
      </c>
      <c r="F334" t="s">
        <v>641</v>
      </c>
      <c r="G334" t="s">
        <v>642</v>
      </c>
    </row>
    <row r="335" spans="1:7" x14ac:dyDescent="0.2">
      <c r="A335">
        <f t="shared" si="5"/>
        <v>24012</v>
      </c>
      <c r="B335">
        <v>24</v>
      </c>
      <c r="C335">
        <v>12</v>
      </c>
      <c r="D335">
        <v>36</v>
      </c>
      <c r="E335" t="s">
        <v>10</v>
      </c>
      <c r="F335">
        <v>20380.156999999999</v>
      </c>
      <c r="G335">
        <v>690.23699999999997</v>
      </c>
    </row>
    <row r="336" spans="1:7" x14ac:dyDescent="0.2">
      <c r="A336">
        <f t="shared" si="5"/>
        <v>24013</v>
      </c>
      <c r="B336">
        <v>24</v>
      </c>
      <c r="C336">
        <v>13</v>
      </c>
      <c r="D336">
        <v>37</v>
      </c>
      <c r="E336" t="s">
        <v>11</v>
      </c>
      <c r="F336">
        <v>9809.5630000000001</v>
      </c>
      <c r="G336">
        <v>180.244</v>
      </c>
    </row>
    <row r="337" spans="1:7" x14ac:dyDescent="0.2">
      <c r="A337">
        <f t="shared" si="5"/>
        <v>24014</v>
      </c>
      <c r="B337">
        <v>24</v>
      </c>
      <c r="C337">
        <v>14</v>
      </c>
      <c r="D337">
        <v>38</v>
      </c>
      <c r="E337" t="s">
        <v>12</v>
      </c>
      <c r="F337">
        <v>-4170.299</v>
      </c>
      <c r="G337">
        <v>104.79300000000001</v>
      </c>
    </row>
    <row r="338" spans="1:7" x14ac:dyDescent="0.2">
      <c r="A338">
        <f t="shared" si="5"/>
        <v>24015</v>
      </c>
      <c r="B338">
        <v>24</v>
      </c>
      <c r="C338">
        <v>15</v>
      </c>
      <c r="D338">
        <v>39</v>
      </c>
      <c r="E338" t="s">
        <v>13</v>
      </c>
      <c r="F338">
        <v>-12774.634</v>
      </c>
      <c r="G338">
        <v>112.645</v>
      </c>
    </row>
    <row r="339" spans="1:7" x14ac:dyDescent="0.2">
      <c r="A339">
        <f t="shared" si="5"/>
        <v>24016</v>
      </c>
      <c r="B339">
        <v>24</v>
      </c>
      <c r="C339">
        <v>16</v>
      </c>
      <c r="D339">
        <v>40</v>
      </c>
      <c r="E339" t="s">
        <v>14</v>
      </c>
      <c r="F339">
        <v>-22837.846000000001</v>
      </c>
      <c r="G339">
        <v>3.9820000000000002</v>
      </c>
    </row>
    <row r="340" spans="1:7" x14ac:dyDescent="0.2">
      <c r="A340">
        <f t="shared" si="5"/>
        <v>24017</v>
      </c>
      <c r="B340">
        <v>24</v>
      </c>
      <c r="C340">
        <v>17</v>
      </c>
      <c r="D340">
        <v>41</v>
      </c>
      <c r="E340" t="s">
        <v>15</v>
      </c>
      <c r="F340">
        <v>-27307.188999999998</v>
      </c>
      <c r="G340">
        <v>68.722999999999999</v>
      </c>
    </row>
    <row r="341" spans="1:7" x14ac:dyDescent="0.2">
      <c r="A341">
        <f t="shared" si="5"/>
        <v>24018</v>
      </c>
      <c r="B341">
        <v>24</v>
      </c>
      <c r="C341">
        <v>18</v>
      </c>
      <c r="D341">
        <v>42</v>
      </c>
      <c r="E341" t="s">
        <v>16</v>
      </c>
      <c r="F341">
        <v>-34422.675000000003</v>
      </c>
      <c r="G341">
        <v>5.7750000000000004</v>
      </c>
    </row>
    <row r="342" spans="1:7" x14ac:dyDescent="0.2">
      <c r="A342">
        <f t="shared" si="5"/>
        <v>24019</v>
      </c>
      <c r="B342">
        <v>24</v>
      </c>
      <c r="C342">
        <v>19</v>
      </c>
      <c r="D342">
        <v>43</v>
      </c>
      <c r="E342" t="s">
        <v>17</v>
      </c>
      <c r="F342">
        <v>-36575.389000000003</v>
      </c>
      <c r="G342">
        <v>0.41</v>
      </c>
    </row>
    <row r="343" spans="1:7" x14ac:dyDescent="0.2">
      <c r="A343">
        <f t="shared" si="5"/>
        <v>24020</v>
      </c>
      <c r="B343">
        <v>24</v>
      </c>
      <c r="C343">
        <v>20</v>
      </c>
      <c r="D343">
        <v>44</v>
      </c>
      <c r="E343" t="s">
        <v>18</v>
      </c>
      <c r="F343">
        <v>-41468.675000000003</v>
      </c>
      <c r="G343">
        <v>0.32500000000000001</v>
      </c>
    </row>
    <row r="344" spans="1:7" x14ac:dyDescent="0.2">
      <c r="A344">
        <f t="shared" si="5"/>
        <v>24021</v>
      </c>
      <c r="B344">
        <v>24</v>
      </c>
      <c r="C344">
        <v>21</v>
      </c>
      <c r="D344">
        <v>45</v>
      </c>
      <c r="E344" t="s">
        <v>19</v>
      </c>
      <c r="F344">
        <v>-41071.896000000001</v>
      </c>
      <c r="G344">
        <v>0.67500000000000004</v>
      </c>
    </row>
    <row r="345" spans="1:7" x14ac:dyDescent="0.2">
      <c r="A345">
        <f t="shared" si="5"/>
        <v>24022</v>
      </c>
      <c r="B345">
        <v>24</v>
      </c>
      <c r="C345">
        <v>22</v>
      </c>
      <c r="D345">
        <v>46</v>
      </c>
      <c r="E345" t="s">
        <v>20</v>
      </c>
      <c r="F345">
        <v>-44127.798999999999</v>
      </c>
      <c r="G345">
        <v>0.16500000000000001</v>
      </c>
    </row>
    <row r="346" spans="1:7" x14ac:dyDescent="0.2">
      <c r="A346">
        <f t="shared" si="5"/>
        <v>24023</v>
      </c>
      <c r="B346">
        <v>24</v>
      </c>
      <c r="C346">
        <v>23</v>
      </c>
      <c r="D346">
        <v>47</v>
      </c>
      <c r="E346" t="s">
        <v>21</v>
      </c>
      <c r="F346">
        <v>-42006.618000000002</v>
      </c>
      <c r="G346">
        <v>0.16900000000000001</v>
      </c>
    </row>
    <row r="347" spans="1:7" x14ac:dyDescent="0.2">
      <c r="A347">
        <f t="shared" si="5"/>
        <v>24024</v>
      </c>
      <c r="B347">
        <v>24</v>
      </c>
      <c r="C347">
        <v>24</v>
      </c>
      <c r="D347">
        <v>48</v>
      </c>
      <c r="E347" t="s">
        <v>22</v>
      </c>
      <c r="F347">
        <v>-42822.02</v>
      </c>
      <c r="G347">
        <v>7.3239999999999998</v>
      </c>
    </row>
    <row r="348" spans="1:7" x14ac:dyDescent="0.2">
      <c r="A348">
        <f t="shared" si="5"/>
        <v>24025</v>
      </c>
      <c r="B348">
        <v>24</v>
      </c>
      <c r="C348">
        <v>25</v>
      </c>
      <c r="D348">
        <v>49</v>
      </c>
      <c r="E348" t="s">
        <v>23</v>
      </c>
      <c r="F348">
        <v>-37620.633999999998</v>
      </c>
      <c r="G348">
        <v>2.2549999999999999</v>
      </c>
    </row>
    <row r="349" spans="1:7" x14ac:dyDescent="0.2">
      <c r="A349">
        <f t="shared" si="5"/>
        <v>24026</v>
      </c>
      <c r="B349">
        <v>24</v>
      </c>
      <c r="C349">
        <v>26</v>
      </c>
      <c r="D349">
        <v>50</v>
      </c>
      <c r="E349" t="s">
        <v>24</v>
      </c>
      <c r="F349">
        <v>-34476.455999999998</v>
      </c>
      <c r="G349">
        <v>8.3829999999999991</v>
      </c>
    </row>
    <row r="350" spans="1:7" x14ac:dyDescent="0.2">
      <c r="A350">
        <f t="shared" si="5"/>
        <v>24027</v>
      </c>
      <c r="B350">
        <v>24</v>
      </c>
      <c r="C350">
        <v>27</v>
      </c>
      <c r="D350">
        <v>51</v>
      </c>
      <c r="E350" t="s">
        <v>25</v>
      </c>
      <c r="F350">
        <v>-27342.143</v>
      </c>
      <c r="G350">
        <v>48.438000000000002</v>
      </c>
    </row>
    <row r="351" spans="1:7" x14ac:dyDescent="0.2">
      <c r="A351">
        <f t="shared" si="5"/>
        <v>24028</v>
      </c>
      <c r="B351">
        <v>24</v>
      </c>
      <c r="C351">
        <v>28</v>
      </c>
      <c r="D351">
        <v>52</v>
      </c>
      <c r="E351" t="s">
        <v>26</v>
      </c>
      <c r="F351" t="s">
        <v>713</v>
      </c>
      <c r="G351" t="s">
        <v>197</v>
      </c>
    </row>
    <row r="352" spans="1:7" x14ac:dyDescent="0.2">
      <c r="A352">
        <f t="shared" si="5"/>
        <v>24029</v>
      </c>
      <c r="B352">
        <v>24</v>
      </c>
      <c r="C352">
        <v>29</v>
      </c>
      <c r="D352">
        <v>53</v>
      </c>
      <c r="E352" t="s">
        <v>27</v>
      </c>
      <c r="F352" t="s">
        <v>716</v>
      </c>
      <c r="G352" t="s">
        <v>245</v>
      </c>
    </row>
    <row r="353" spans="1:7" x14ac:dyDescent="0.2">
      <c r="A353">
        <f t="shared" si="5"/>
        <v>24030</v>
      </c>
      <c r="B353">
        <v>24</v>
      </c>
      <c r="C353">
        <v>30</v>
      </c>
      <c r="D353">
        <v>54</v>
      </c>
      <c r="E353" t="s">
        <v>28</v>
      </c>
      <c r="F353" t="s">
        <v>719</v>
      </c>
      <c r="G353" t="s">
        <v>197</v>
      </c>
    </row>
    <row r="354" spans="1:7" x14ac:dyDescent="0.2">
      <c r="A354">
        <f t="shared" si="5"/>
        <v>25011</v>
      </c>
      <c r="B354">
        <v>25</v>
      </c>
      <c r="C354">
        <v>11</v>
      </c>
      <c r="D354">
        <v>36</v>
      </c>
      <c r="E354" t="s">
        <v>9</v>
      </c>
      <c r="F354" t="s">
        <v>645</v>
      </c>
      <c r="G354" t="s">
        <v>646</v>
      </c>
    </row>
    <row r="355" spans="1:7" x14ac:dyDescent="0.2">
      <c r="A355">
        <f t="shared" si="5"/>
        <v>25012</v>
      </c>
      <c r="B355">
        <v>25</v>
      </c>
      <c r="C355">
        <v>12</v>
      </c>
      <c r="D355">
        <v>37</v>
      </c>
      <c r="E355" t="s">
        <v>10</v>
      </c>
      <c r="F355">
        <v>28211.473999999998</v>
      </c>
      <c r="G355">
        <v>698.947</v>
      </c>
    </row>
    <row r="356" spans="1:7" x14ac:dyDescent="0.2">
      <c r="A356">
        <f t="shared" si="5"/>
        <v>25013</v>
      </c>
      <c r="B356">
        <v>25</v>
      </c>
      <c r="C356">
        <v>13</v>
      </c>
      <c r="D356">
        <v>38</v>
      </c>
      <c r="E356" t="s">
        <v>11</v>
      </c>
      <c r="F356">
        <v>16209.859</v>
      </c>
      <c r="G356">
        <v>374.46100000000001</v>
      </c>
    </row>
    <row r="357" spans="1:7" x14ac:dyDescent="0.2">
      <c r="A357">
        <f t="shared" si="5"/>
        <v>25014</v>
      </c>
      <c r="B357">
        <v>25</v>
      </c>
      <c r="C357">
        <v>14</v>
      </c>
      <c r="D357">
        <v>39</v>
      </c>
      <c r="E357" t="s">
        <v>12</v>
      </c>
      <c r="F357">
        <v>2320.3519999999999</v>
      </c>
      <c r="G357">
        <v>135.53200000000001</v>
      </c>
    </row>
    <row r="358" spans="1:7" x14ac:dyDescent="0.2">
      <c r="A358">
        <f t="shared" si="5"/>
        <v>25015</v>
      </c>
      <c r="B358">
        <v>25</v>
      </c>
      <c r="C358">
        <v>15</v>
      </c>
      <c r="D358">
        <v>40</v>
      </c>
      <c r="E358" t="s">
        <v>13</v>
      </c>
      <c r="F358">
        <v>-8114.37</v>
      </c>
      <c r="G358">
        <v>153.58199999999999</v>
      </c>
    </row>
    <row r="359" spans="1:7" x14ac:dyDescent="0.2">
      <c r="A359">
        <f t="shared" si="5"/>
        <v>25016</v>
      </c>
      <c r="B359">
        <v>25</v>
      </c>
      <c r="C359">
        <v>16</v>
      </c>
      <c r="D359">
        <v>41</v>
      </c>
      <c r="E359" t="s">
        <v>14</v>
      </c>
      <c r="F359">
        <v>-19008.577000000001</v>
      </c>
      <c r="G359">
        <v>4.0990000000000002</v>
      </c>
    </row>
    <row r="360" spans="1:7" x14ac:dyDescent="0.2">
      <c r="A360">
        <f t="shared" si="5"/>
        <v>25017</v>
      </c>
      <c r="B360">
        <v>25</v>
      </c>
      <c r="C360">
        <v>17</v>
      </c>
      <c r="D360">
        <v>42</v>
      </c>
      <c r="E360" t="s">
        <v>15</v>
      </c>
      <c r="F360">
        <v>-24831.767</v>
      </c>
      <c r="G360">
        <v>59.616</v>
      </c>
    </row>
    <row r="361" spans="1:7" x14ac:dyDescent="0.2">
      <c r="A361">
        <f t="shared" si="5"/>
        <v>25018</v>
      </c>
      <c r="B361">
        <v>25</v>
      </c>
      <c r="C361">
        <v>18</v>
      </c>
      <c r="D361">
        <v>43</v>
      </c>
      <c r="E361" t="s">
        <v>16</v>
      </c>
      <c r="F361">
        <v>-32009.808000000001</v>
      </c>
      <c r="G361">
        <v>5.31</v>
      </c>
    </row>
    <row r="362" spans="1:7" x14ac:dyDescent="0.2">
      <c r="A362">
        <f t="shared" si="5"/>
        <v>25019</v>
      </c>
      <c r="B362">
        <v>25</v>
      </c>
      <c r="C362">
        <v>19</v>
      </c>
      <c r="D362">
        <v>44</v>
      </c>
      <c r="E362" t="s">
        <v>17</v>
      </c>
      <c r="F362">
        <v>-35781.491999999998</v>
      </c>
      <c r="G362">
        <v>0.41899999999999998</v>
      </c>
    </row>
    <row r="363" spans="1:7" x14ac:dyDescent="0.2">
      <c r="A363">
        <f t="shared" si="5"/>
        <v>25020</v>
      </c>
      <c r="B363">
        <v>25</v>
      </c>
      <c r="C363">
        <v>20</v>
      </c>
      <c r="D363">
        <v>45</v>
      </c>
      <c r="E363" t="s">
        <v>18</v>
      </c>
      <c r="F363">
        <v>-40812.173999999999</v>
      </c>
      <c r="G363">
        <v>0.36599999999999999</v>
      </c>
    </row>
    <row r="364" spans="1:7" x14ac:dyDescent="0.2">
      <c r="A364">
        <f t="shared" si="5"/>
        <v>25021</v>
      </c>
      <c r="B364">
        <v>25</v>
      </c>
      <c r="C364">
        <v>21</v>
      </c>
      <c r="D364">
        <v>46</v>
      </c>
      <c r="E364" t="s">
        <v>19</v>
      </c>
      <c r="F364">
        <v>-41761.218999999997</v>
      </c>
      <c r="G364">
        <v>0.68300000000000005</v>
      </c>
    </row>
    <row r="365" spans="1:7" x14ac:dyDescent="0.2">
      <c r="A365">
        <f t="shared" si="5"/>
        <v>25022</v>
      </c>
      <c r="B365">
        <v>25</v>
      </c>
      <c r="C365">
        <v>22</v>
      </c>
      <c r="D365">
        <v>47</v>
      </c>
      <c r="E365" t="s">
        <v>20</v>
      </c>
      <c r="F365">
        <v>-44937.364000000001</v>
      </c>
      <c r="G365">
        <v>0.115</v>
      </c>
    </row>
    <row r="366" spans="1:7" x14ac:dyDescent="0.2">
      <c r="A366">
        <f t="shared" si="5"/>
        <v>25023</v>
      </c>
      <c r="B366">
        <v>25</v>
      </c>
      <c r="C366">
        <v>23</v>
      </c>
      <c r="D366">
        <v>48</v>
      </c>
      <c r="E366" t="s">
        <v>21</v>
      </c>
      <c r="F366">
        <v>-44477.694000000003</v>
      </c>
      <c r="G366">
        <v>0.97499999999999998</v>
      </c>
    </row>
    <row r="367" spans="1:7" x14ac:dyDescent="0.2">
      <c r="A367">
        <f t="shared" si="5"/>
        <v>25024</v>
      </c>
      <c r="B367">
        <v>25</v>
      </c>
      <c r="C367">
        <v>24</v>
      </c>
      <c r="D367">
        <v>49</v>
      </c>
      <c r="E367" t="s">
        <v>22</v>
      </c>
      <c r="F367">
        <v>-45333.06</v>
      </c>
      <c r="G367">
        <v>2.2429999999999999</v>
      </c>
    </row>
    <row r="368" spans="1:7" x14ac:dyDescent="0.2">
      <c r="A368">
        <f t="shared" si="5"/>
        <v>25025</v>
      </c>
      <c r="B368">
        <v>25</v>
      </c>
      <c r="C368">
        <v>25</v>
      </c>
      <c r="D368">
        <v>50</v>
      </c>
      <c r="E368" t="s">
        <v>23</v>
      </c>
      <c r="F368">
        <v>-42627.595000000001</v>
      </c>
      <c r="G368">
        <v>0.442</v>
      </c>
    </row>
    <row r="369" spans="1:7" x14ac:dyDescent="0.2">
      <c r="A369">
        <f t="shared" si="5"/>
        <v>25026</v>
      </c>
      <c r="B369">
        <v>25</v>
      </c>
      <c r="C369">
        <v>26</v>
      </c>
      <c r="D369">
        <v>51</v>
      </c>
      <c r="E369" t="s">
        <v>24</v>
      </c>
      <c r="F369">
        <v>-40202.555</v>
      </c>
      <c r="G369">
        <v>8.9640000000000004</v>
      </c>
    </row>
    <row r="370" spans="1:7" x14ac:dyDescent="0.2">
      <c r="A370">
        <f t="shared" si="5"/>
        <v>25027</v>
      </c>
      <c r="B370">
        <v>25</v>
      </c>
      <c r="C370">
        <v>27</v>
      </c>
      <c r="D370">
        <v>52</v>
      </c>
      <c r="E370" t="s">
        <v>25</v>
      </c>
      <c r="F370">
        <v>-34360.951000000001</v>
      </c>
      <c r="G370">
        <v>8.3829999999999991</v>
      </c>
    </row>
    <row r="371" spans="1:7" x14ac:dyDescent="0.2">
      <c r="A371">
        <f t="shared" si="5"/>
        <v>25028</v>
      </c>
      <c r="B371">
        <v>25</v>
      </c>
      <c r="C371">
        <v>28</v>
      </c>
      <c r="D371">
        <v>53</v>
      </c>
      <c r="E371" t="s">
        <v>26</v>
      </c>
      <c r="F371">
        <v>-29630.824000000001</v>
      </c>
      <c r="G371">
        <v>25.15</v>
      </c>
    </row>
    <row r="372" spans="1:7" x14ac:dyDescent="0.2">
      <c r="A372">
        <f t="shared" si="5"/>
        <v>25029</v>
      </c>
      <c r="B372">
        <v>25</v>
      </c>
      <c r="C372">
        <v>29</v>
      </c>
      <c r="D372">
        <v>54</v>
      </c>
      <c r="E372" t="s">
        <v>27</v>
      </c>
      <c r="F372" t="s">
        <v>718</v>
      </c>
      <c r="G372" t="s">
        <v>197</v>
      </c>
    </row>
    <row r="373" spans="1:7" x14ac:dyDescent="0.2">
      <c r="A373">
        <f t="shared" si="5"/>
        <v>25030</v>
      </c>
      <c r="B373">
        <v>25</v>
      </c>
      <c r="C373">
        <v>30</v>
      </c>
      <c r="D373">
        <v>55</v>
      </c>
      <c r="E373" t="s">
        <v>28</v>
      </c>
      <c r="F373" t="s">
        <v>721</v>
      </c>
      <c r="G373" t="s">
        <v>197</v>
      </c>
    </row>
    <row r="374" spans="1:7" x14ac:dyDescent="0.2">
      <c r="A374">
        <f t="shared" si="5"/>
        <v>25031</v>
      </c>
      <c r="B374">
        <v>25</v>
      </c>
      <c r="C374">
        <v>31</v>
      </c>
      <c r="D374">
        <v>56</v>
      </c>
      <c r="E374" t="s">
        <v>29</v>
      </c>
      <c r="F374" t="s">
        <v>725</v>
      </c>
      <c r="G374" t="s">
        <v>245</v>
      </c>
    </row>
    <row r="375" spans="1:7" x14ac:dyDescent="0.2">
      <c r="A375">
        <f t="shared" si="5"/>
        <v>26011</v>
      </c>
      <c r="B375">
        <v>26</v>
      </c>
      <c r="C375">
        <v>11</v>
      </c>
      <c r="D375">
        <v>37</v>
      </c>
      <c r="E375" t="s">
        <v>9</v>
      </c>
      <c r="F375" t="s">
        <v>648</v>
      </c>
      <c r="G375" t="s">
        <v>649</v>
      </c>
    </row>
    <row r="376" spans="1:7" x14ac:dyDescent="0.2">
      <c r="A376">
        <f t="shared" si="5"/>
        <v>26012</v>
      </c>
      <c r="B376">
        <v>26</v>
      </c>
      <c r="C376">
        <v>12</v>
      </c>
      <c r="D376">
        <v>38</v>
      </c>
      <c r="E376" t="s">
        <v>10</v>
      </c>
      <c r="F376" t="s">
        <v>652</v>
      </c>
      <c r="G376" t="s">
        <v>201</v>
      </c>
    </row>
    <row r="377" spans="1:7" x14ac:dyDescent="0.2">
      <c r="A377">
        <f t="shared" si="5"/>
        <v>26013</v>
      </c>
      <c r="B377">
        <v>26</v>
      </c>
      <c r="C377">
        <v>13</v>
      </c>
      <c r="D377">
        <v>39</v>
      </c>
      <c r="E377" t="s">
        <v>11</v>
      </c>
      <c r="F377" t="s">
        <v>656</v>
      </c>
      <c r="G377" t="s">
        <v>197</v>
      </c>
    </row>
    <row r="378" spans="1:7" x14ac:dyDescent="0.2">
      <c r="A378">
        <f t="shared" si="5"/>
        <v>26014</v>
      </c>
      <c r="B378">
        <v>26</v>
      </c>
      <c r="C378">
        <v>14</v>
      </c>
      <c r="D378">
        <v>40</v>
      </c>
      <c r="E378" t="s">
        <v>12</v>
      </c>
      <c r="F378">
        <v>5429.6790000000001</v>
      </c>
      <c r="G378">
        <v>345.11900000000003</v>
      </c>
    </row>
    <row r="379" spans="1:7" x14ac:dyDescent="0.2">
      <c r="A379">
        <f t="shared" si="5"/>
        <v>26015</v>
      </c>
      <c r="B379">
        <v>26</v>
      </c>
      <c r="C379">
        <v>15</v>
      </c>
      <c r="D379">
        <v>41</v>
      </c>
      <c r="E379" t="s">
        <v>13</v>
      </c>
      <c r="F379">
        <v>-4979.7669999999998</v>
      </c>
      <c r="G379">
        <v>120.163</v>
      </c>
    </row>
    <row r="380" spans="1:7" x14ac:dyDescent="0.2">
      <c r="A380">
        <f t="shared" si="5"/>
        <v>26016</v>
      </c>
      <c r="B380">
        <v>26</v>
      </c>
      <c r="C380">
        <v>16</v>
      </c>
      <c r="D380">
        <v>42</v>
      </c>
      <c r="E380" t="s">
        <v>14</v>
      </c>
      <c r="F380">
        <v>-17637.745999999999</v>
      </c>
      <c r="G380">
        <v>2.794</v>
      </c>
    </row>
    <row r="381" spans="1:7" x14ac:dyDescent="0.2">
      <c r="A381">
        <f t="shared" si="5"/>
        <v>26017</v>
      </c>
      <c r="B381">
        <v>26</v>
      </c>
      <c r="C381">
        <v>17</v>
      </c>
      <c r="D381">
        <v>43</v>
      </c>
      <c r="E381" t="s">
        <v>15</v>
      </c>
      <c r="F381">
        <v>-24159.508000000002</v>
      </c>
      <c r="G381">
        <v>61.857999999999997</v>
      </c>
    </row>
    <row r="382" spans="1:7" x14ac:dyDescent="0.2">
      <c r="A382">
        <f t="shared" si="5"/>
        <v>26018</v>
      </c>
      <c r="B382">
        <v>26</v>
      </c>
      <c r="C382">
        <v>18</v>
      </c>
      <c r="D382">
        <v>44</v>
      </c>
      <c r="E382" t="s">
        <v>16</v>
      </c>
      <c r="F382">
        <v>-32673.255000000001</v>
      </c>
      <c r="G382">
        <v>1.5840000000000001</v>
      </c>
    </row>
    <row r="383" spans="1:7" x14ac:dyDescent="0.2">
      <c r="A383">
        <f t="shared" si="5"/>
        <v>26019</v>
      </c>
      <c r="B383">
        <v>26</v>
      </c>
      <c r="C383">
        <v>19</v>
      </c>
      <c r="D383">
        <v>45</v>
      </c>
      <c r="E383" t="s">
        <v>17</v>
      </c>
      <c r="F383">
        <v>-36615.637999999999</v>
      </c>
      <c r="G383">
        <v>0.52200000000000002</v>
      </c>
    </row>
    <row r="384" spans="1:7" x14ac:dyDescent="0.2">
      <c r="A384">
        <f t="shared" si="5"/>
        <v>26020</v>
      </c>
      <c r="B384">
        <v>26</v>
      </c>
      <c r="C384">
        <v>20</v>
      </c>
      <c r="D384">
        <v>46</v>
      </c>
      <c r="E384" t="s">
        <v>18</v>
      </c>
      <c r="F384">
        <v>-43139.360999999997</v>
      </c>
      <c r="G384">
        <v>2.2349999999999999</v>
      </c>
    </row>
    <row r="385" spans="1:7" x14ac:dyDescent="0.2">
      <c r="A385">
        <f t="shared" ref="A385:A448" si="6">1000*B385+C385</f>
        <v>26021</v>
      </c>
      <c r="B385">
        <v>26</v>
      </c>
      <c r="C385">
        <v>21</v>
      </c>
      <c r="D385">
        <v>47</v>
      </c>
      <c r="E385" t="s">
        <v>19</v>
      </c>
      <c r="F385">
        <v>-44336.595000000001</v>
      </c>
      <c r="G385">
        <v>1.9330000000000001</v>
      </c>
    </row>
    <row r="386" spans="1:7" x14ac:dyDescent="0.2">
      <c r="A386">
        <f t="shared" si="6"/>
        <v>26022</v>
      </c>
      <c r="B386">
        <v>26</v>
      </c>
      <c r="C386">
        <v>22</v>
      </c>
      <c r="D386">
        <v>48</v>
      </c>
      <c r="E386" t="s">
        <v>20</v>
      </c>
      <c r="F386">
        <v>-48492.709000000003</v>
      </c>
      <c r="G386">
        <v>0.109</v>
      </c>
    </row>
    <row r="387" spans="1:7" x14ac:dyDescent="0.2">
      <c r="A387">
        <f t="shared" si="6"/>
        <v>26023</v>
      </c>
      <c r="B387">
        <v>26</v>
      </c>
      <c r="C387">
        <v>23</v>
      </c>
      <c r="D387">
        <v>49</v>
      </c>
      <c r="E387" t="s">
        <v>21</v>
      </c>
      <c r="F387">
        <v>-47961.930999999997</v>
      </c>
      <c r="G387">
        <v>0.82799999999999996</v>
      </c>
    </row>
    <row r="388" spans="1:7" x14ac:dyDescent="0.2">
      <c r="A388">
        <f t="shared" si="6"/>
        <v>26024</v>
      </c>
      <c r="B388">
        <v>26</v>
      </c>
      <c r="C388">
        <v>24</v>
      </c>
      <c r="D388">
        <v>50</v>
      </c>
      <c r="E388" t="s">
        <v>22</v>
      </c>
      <c r="F388">
        <v>-50262.072</v>
      </c>
      <c r="G388">
        <v>0.437</v>
      </c>
    </row>
    <row r="389" spans="1:7" x14ac:dyDescent="0.2">
      <c r="A389">
        <f t="shared" si="6"/>
        <v>26025</v>
      </c>
      <c r="B389">
        <v>26</v>
      </c>
      <c r="C389">
        <v>25</v>
      </c>
      <c r="D389">
        <v>51</v>
      </c>
      <c r="E389" t="s">
        <v>23</v>
      </c>
      <c r="F389">
        <v>-48243.877</v>
      </c>
      <c r="G389">
        <v>0.502</v>
      </c>
    </row>
    <row r="390" spans="1:7" x14ac:dyDescent="0.2">
      <c r="A390">
        <f t="shared" si="6"/>
        <v>26026</v>
      </c>
      <c r="B390">
        <v>26</v>
      </c>
      <c r="C390">
        <v>26</v>
      </c>
      <c r="D390">
        <v>52</v>
      </c>
      <c r="E390" t="s">
        <v>24</v>
      </c>
      <c r="F390">
        <v>-48330.362999999998</v>
      </c>
      <c r="G390">
        <v>5.117</v>
      </c>
    </row>
    <row r="391" spans="1:7" x14ac:dyDescent="0.2">
      <c r="A391">
        <f t="shared" si="6"/>
        <v>26027</v>
      </c>
      <c r="B391">
        <v>26</v>
      </c>
      <c r="C391">
        <v>27</v>
      </c>
      <c r="D391">
        <v>53</v>
      </c>
      <c r="E391" t="s">
        <v>25</v>
      </c>
      <c r="F391">
        <v>-42659.428</v>
      </c>
      <c r="G391">
        <v>1.7130000000000001</v>
      </c>
    </row>
    <row r="392" spans="1:7" x14ac:dyDescent="0.2">
      <c r="A392">
        <f t="shared" si="6"/>
        <v>26028</v>
      </c>
      <c r="B392">
        <v>26</v>
      </c>
      <c r="C392">
        <v>28</v>
      </c>
      <c r="D392">
        <v>54</v>
      </c>
      <c r="E392" t="s">
        <v>26</v>
      </c>
      <c r="F392">
        <v>-39278.307999999997</v>
      </c>
      <c r="G392">
        <v>4.657</v>
      </c>
    </row>
    <row r="393" spans="1:7" x14ac:dyDescent="0.2">
      <c r="A393">
        <f t="shared" si="6"/>
        <v>26029</v>
      </c>
      <c r="B393">
        <v>26</v>
      </c>
      <c r="C393">
        <v>29</v>
      </c>
      <c r="D393">
        <v>55</v>
      </c>
      <c r="E393" t="s">
        <v>27</v>
      </c>
      <c r="F393">
        <v>-31635.399000000001</v>
      </c>
      <c r="G393">
        <v>155.559</v>
      </c>
    </row>
    <row r="394" spans="1:7" x14ac:dyDescent="0.2">
      <c r="A394">
        <f t="shared" si="6"/>
        <v>26030</v>
      </c>
      <c r="B394">
        <v>26</v>
      </c>
      <c r="C394">
        <v>30</v>
      </c>
      <c r="D394">
        <v>56</v>
      </c>
      <c r="E394" t="s">
        <v>28</v>
      </c>
      <c r="F394" t="s">
        <v>724</v>
      </c>
      <c r="G394" t="s">
        <v>197</v>
      </c>
    </row>
    <row r="395" spans="1:7" x14ac:dyDescent="0.2">
      <c r="A395">
        <f t="shared" si="6"/>
        <v>26031</v>
      </c>
      <c r="B395">
        <v>26</v>
      </c>
      <c r="C395">
        <v>31</v>
      </c>
      <c r="D395">
        <v>57</v>
      </c>
      <c r="E395" t="s">
        <v>29</v>
      </c>
      <c r="F395" t="s">
        <v>728</v>
      </c>
      <c r="G395" t="s">
        <v>197</v>
      </c>
    </row>
    <row r="396" spans="1:7" x14ac:dyDescent="0.2">
      <c r="A396">
        <f t="shared" si="6"/>
        <v>26032</v>
      </c>
      <c r="B396">
        <v>26</v>
      </c>
      <c r="C396">
        <v>32</v>
      </c>
      <c r="D396">
        <v>58</v>
      </c>
      <c r="E396" t="s">
        <v>30</v>
      </c>
      <c r="F396" t="s">
        <v>732</v>
      </c>
      <c r="G396" t="s">
        <v>245</v>
      </c>
    </row>
    <row r="397" spans="1:7" x14ac:dyDescent="0.2">
      <c r="A397">
        <f t="shared" si="6"/>
        <v>27012</v>
      </c>
      <c r="B397">
        <v>27</v>
      </c>
      <c r="C397">
        <v>12</v>
      </c>
      <c r="D397">
        <v>39</v>
      </c>
      <c r="E397" t="s">
        <v>10</v>
      </c>
      <c r="F397" t="s">
        <v>655</v>
      </c>
      <c r="G397" t="s">
        <v>638</v>
      </c>
    </row>
    <row r="398" spans="1:7" x14ac:dyDescent="0.2">
      <c r="A398">
        <f t="shared" si="6"/>
        <v>27013</v>
      </c>
      <c r="B398">
        <v>27</v>
      </c>
      <c r="C398">
        <v>13</v>
      </c>
      <c r="D398">
        <v>40</v>
      </c>
      <c r="E398" t="s">
        <v>11</v>
      </c>
      <c r="F398" t="s">
        <v>661</v>
      </c>
      <c r="G398" t="s">
        <v>197</v>
      </c>
    </row>
    <row r="399" spans="1:7" x14ac:dyDescent="0.2">
      <c r="A399">
        <f t="shared" si="6"/>
        <v>27014</v>
      </c>
      <c r="B399">
        <v>27</v>
      </c>
      <c r="C399">
        <v>14</v>
      </c>
      <c r="D399">
        <v>41</v>
      </c>
      <c r="E399" t="s">
        <v>12</v>
      </c>
      <c r="F399">
        <v>12119.668</v>
      </c>
      <c r="G399">
        <v>554.70500000000004</v>
      </c>
    </row>
    <row r="400" spans="1:7" x14ac:dyDescent="0.2">
      <c r="A400">
        <f t="shared" si="6"/>
        <v>27015</v>
      </c>
      <c r="B400">
        <v>27</v>
      </c>
      <c r="C400">
        <v>15</v>
      </c>
      <c r="D400">
        <v>42</v>
      </c>
      <c r="E400" t="s">
        <v>13</v>
      </c>
      <c r="F400">
        <v>1009.74</v>
      </c>
      <c r="G400">
        <v>314.37900000000002</v>
      </c>
    </row>
    <row r="401" spans="1:7" x14ac:dyDescent="0.2">
      <c r="A401">
        <f t="shared" si="6"/>
        <v>27016</v>
      </c>
      <c r="B401">
        <v>27</v>
      </c>
      <c r="C401">
        <v>16</v>
      </c>
      <c r="D401">
        <v>43</v>
      </c>
      <c r="E401" t="s">
        <v>14</v>
      </c>
      <c r="F401">
        <v>-12195.459000000001</v>
      </c>
      <c r="G401">
        <v>4.97</v>
      </c>
    </row>
    <row r="402" spans="1:7" x14ac:dyDescent="0.2">
      <c r="A402">
        <f t="shared" si="6"/>
        <v>27017</v>
      </c>
      <c r="B402">
        <v>27</v>
      </c>
      <c r="C402">
        <v>17</v>
      </c>
      <c r="D402">
        <v>44</v>
      </c>
      <c r="E402" t="s">
        <v>15</v>
      </c>
      <c r="F402">
        <v>-20384.523000000001</v>
      </c>
      <c r="G402">
        <v>136.321</v>
      </c>
    </row>
    <row r="403" spans="1:7" x14ac:dyDescent="0.2">
      <c r="A403">
        <f t="shared" si="6"/>
        <v>27018</v>
      </c>
      <c r="B403">
        <v>27</v>
      </c>
      <c r="C403">
        <v>18</v>
      </c>
      <c r="D403">
        <v>45</v>
      </c>
      <c r="E403" t="s">
        <v>16</v>
      </c>
      <c r="F403">
        <v>-29770.795999999998</v>
      </c>
      <c r="G403">
        <v>0.51200000000000001</v>
      </c>
    </row>
    <row r="404" spans="1:7" x14ac:dyDescent="0.2">
      <c r="A404">
        <f t="shared" si="6"/>
        <v>27019</v>
      </c>
      <c r="B404">
        <v>27</v>
      </c>
      <c r="C404">
        <v>19</v>
      </c>
      <c r="D404">
        <v>46</v>
      </c>
      <c r="E404" t="s">
        <v>17</v>
      </c>
      <c r="F404">
        <v>-35413.923999999999</v>
      </c>
      <c r="G404">
        <v>0.72699999999999998</v>
      </c>
    </row>
    <row r="405" spans="1:7" x14ac:dyDescent="0.2">
      <c r="A405">
        <f t="shared" si="6"/>
        <v>27020</v>
      </c>
      <c r="B405">
        <v>27</v>
      </c>
      <c r="C405">
        <v>20</v>
      </c>
      <c r="D405">
        <v>47</v>
      </c>
      <c r="E405" t="s">
        <v>18</v>
      </c>
      <c r="F405">
        <v>-42344.417999999998</v>
      </c>
      <c r="G405">
        <v>2.222</v>
      </c>
    </row>
    <row r="406" spans="1:7" x14ac:dyDescent="0.2">
      <c r="A406">
        <f t="shared" si="6"/>
        <v>27021</v>
      </c>
      <c r="B406">
        <v>27</v>
      </c>
      <c r="C406">
        <v>21</v>
      </c>
      <c r="D406">
        <v>48</v>
      </c>
      <c r="E406" t="s">
        <v>19</v>
      </c>
      <c r="F406">
        <v>-44503.841999999997</v>
      </c>
      <c r="G406">
        <v>4.9509999999999996</v>
      </c>
    </row>
    <row r="407" spans="1:7" x14ac:dyDescent="0.2">
      <c r="A407">
        <f t="shared" si="6"/>
        <v>27022</v>
      </c>
      <c r="B407">
        <v>27</v>
      </c>
      <c r="C407">
        <v>22</v>
      </c>
      <c r="D407">
        <v>49</v>
      </c>
      <c r="E407" t="s">
        <v>20</v>
      </c>
      <c r="F407">
        <v>-48563.786999999997</v>
      </c>
      <c r="G407">
        <v>0.114</v>
      </c>
    </row>
    <row r="408" spans="1:7" x14ac:dyDescent="0.2">
      <c r="A408">
        <f t="shared" si="6"/>
        <v>27023</v>
      </c>
      <c r="B408">
        <v>27</v>
      </c>
      <c r="C408">
        <v>23</v>
      </c>
      <c r="D408">
        <v>50</v>
      </c>
      <c r="E408" t="s">
        <v>21</v>
      </c>
      <c r="F408">
        <v>-49224.012999999999</v>
      </c>
      <c r="G408">
        <v>0.40899999999999997</v>
      </c>
    </row>
    <row r="409" spans="1:7" x14ac:dyDescent="0.2">
      <c r="A409">
        <f t="shared" si="6"/>
        <v>27024</v>
      </c>
      <c r="B409">
        <v>27</v>
      </c>
      <c r="C409">
        <v>24</v>
      </c>
      <c r="D409">
        <v>51</v>
      </c>
      <c r="E409" t="s">
        <v>22</v>
      </c>
      <c r="F409">
        <v>-51451.394999999997</v>
      </c>
      <c r="G409">
        <v>0.4</v>
      </c>
    </row>
    <row r="410" spans="1:7" x14ac:dyDescent="0.2">
      <c r="A410">
        <f t="shared" si="6"/>
        <v>27025</v>
      </c>
      <c r="B410">
        <v>27</v>
      </c>
      <c r="C410">
        <v>25</v>
      </c>
      <c r="D410">
        <v>52</v>
      </c>
      <c r="E410" t="s">
        <v>23</v>
      </c>
      <c r="F410">
        <v>-50707.284</v>
      </c>
      <c r="G410">
        <v>1.845</v>
      </c>
    </row>
    <row r="411" spans="1:7" x14ac:dyDescent="0.2">
      <c r="A411">
        <f t="shared" si="6"/>
        <v>27026</v>
      </c>
      <c r="B411">
        <v>27</v>
      </c>
      <c r="C411">
        <v>26</v>
      </c>
      <c r="D411">
        <v>53</v>
      </c>
      <c r="E411" t="s">
        <v>24</v>
      </c>
      <c r="F411">
        <v>-50947.53</v>
      </c>
      <c r="G411">
        <v>1.6559999999999999</v>
      </c>
    </row>
    <row r="412" spans="1:7" x14ac:dyDescent="0.2">
      <c r="A412">
        <f t="shared" si="6"/>
        <v>27027</v>
      </c>
      <c r="B412">
        <v>27</v>
      </c>
      <c r="C412">
        <v>27</v>
      </c>
      <c r="D412">
        <v>54</v>
      </c>
      <c r="E412" t="s">
        <v>25</v>
      </c>
      <c r="F412">
        <v>-48009.953000000001</v>
      </c>
      <c r="G412">
        <v>0.38300000000000001</v>
      </c>
    </row>
    <row r="413" spans="1:7" x14ac:dyDescent="0.2">
      <c r="A413">
        <f t="shared" si="6"/>
        <v>27028</v>
      </c>
      <c r="B413">
        <v>27</v>
      </c>
      <c r="C413">
        <v>28</v>
      </c>
      <c r="D413">
        <v>55</v>
      </c>
      <c r="E413" t="s">
        <v>26</v>
      </c>
      <c r="F413">
        <v>-45335.849000000002</v>
      </c>
      <c r="G413">
        <v>0.71899999999999997</v>
      </c>
    </row>
    <row r="414" spans="1:7" x14ac:dyDescent="0.2">
      <c r="A414">
        <f t="shared" si="6"/>
        <v>27029</v>
      </c>
      <c r="B414">
        <v>27</v>
      </c>
      <c r="C414">
        <v>29</v>
      </c>
      <c r="D414">
        <v>56</v>
      </c>
      <c r="E414" t="s">
        <v>27</v>
      </c>
      <c r="F414">
        <v>-38643.029000000002</v>
      </c>
      <c r="G414">
        <v>14.904</v>
      </c>
    </row>
    <row r="415" spans="1:7" x14ac:dyDescent="0.2">
      <c r="A415">
        <f t="shared" si="6"/>
        <v>27030</v>
      </c>
      <c r="B415">
        <v>27</v>
      </c>
      <c r="C415">
        <v>30</v>
      </c>
      <c r="D415">
        <v>57</v>
      </c>
      <c r="E415" t="s">
        <v>28</v>
      </c>
      <c r="F415" t="s">
        <v>727</v>
      </c>
      <c r="G415" t="s">
        <v>204</v>
      </c>
    </row>
    <row r="416" spans="1:7" x14ac:dyDescent="0.2">
      <c r="A416">
        <f t="shared" si="6"/>
        <v>27031</v>
      </c>
      <c r="B416">
        <v>27</v>
      </c>
      <c r="C416">
        <v>31</v>
      </c>
      <c r="D416">
        <v>58</v>
      </c>
      <c r="E416" t="s">
        <v>29</v>
      </c>
      <c r="F416" t="s">
        <v>731</v>
      </c>
      <c r="G416" t="s">
        <v>235</v>
      </c>
    </row>
    <row r="417" spans="1:7" x14ac:dyDescent="0.2">
      <c r="A417">
        <f t="shared" si="6"/>
        <v>27032</v>
      </c>
      <c r="B417">
        <v>27</v>
      </c>
      <c r="C417">
        <v>32</v>
      </c>
      <c r="D417">
        <v>59</v>
      </c>
      <c r="E417" t="s">
        <v>30</v>
      </c>
      <c r="F417" t="s">
        <v>737</v>
      </c>
      <c r="G417" t="s">
        <v>197</v>
      </c>
    </row>
    <row r="418" spans="1:7" x14ac:dyDescent="0.2">
      <c r="A418">
        <f t="shared" si="6"/>
        <v>27033</v>
      </c>
      <c r="B418">
        <v>27</v>
      </c>
      <c r="C418">
        <v>33</v>
      </c>
      <c r="D418">
        <v>60</v>
      </c>
      <c r="E418" t="s">
        <v>31</v>
      </c>
      <c r="F418" t="s">
        <v>741</v>
      </c>
      <c r="G418" t="s">
        <v>197</v>
      </c>
    </row>
    <row r="419" spans="1:7" x14ac:dyDescent="0.2">
      <c r="A419">
        <f t="shared" si="6"/>
        <v>28012</v>
      </c>
      <c r="B419">
        <v>28</v>
      </c>
      <c r="C419">
        <v>12</v>
      </c>
      <c r="D419">
        <v>40</v>
      </c>
      <c r="E419" t="s">
        <v>10</v>
      </c>
      <c r="F419" t="s">
        <v>660</v>
      </c>
      <c r="G419" t="s">
        <v>245</v>
      </c>
    </row>
    <row r="420" spans="1:7" x14ac:dyDescent="0.2">
      <c r="A420">
        <f t="shared" si="6"/>
        <v>28013</v>
      </c>
      <c r="B420">
        <v>28</v>
      </c>
      <c r="C420">
        <v>13</v>
      </c>
      <c r="D420">
        <v>41</v>
      </c>
      <c r="E420" t="s">
        <v>11</v>
      </c>
      <c r="F420" t="s">
        <v>663</v>
      </c>
      <c r="G420" t="s">
        <v>245</v>
      </c>
    </row>
    <row r="421" spans="1:7" x14ac:dyDescent="0.2">
      <c r="A421">
        <f t="shared" si="6"/>
        <v>28014</v>
      </c>
      <c r="B421">
        <v>28</v>
      </c>
      <c r="C421">
        <v>14</v>
      </c>
      <c r="D421">
        <v>42</v>
      </c>
      <c r="E421" t="s">
        <v>12</v>
      </c>
      <c r="F421" t="s">
        <v>667</v>
      </c>
      <c r="G421" t="s">
        <v>245</v>
      </c>
    </row>
    <row r="422" spans="1:7" x14ac:dyDescent="0.2">
      <c r="A422">
        <f t="shared" si="6"/>
        <v>28015</v>
      </c>
      <c r="B422">
        <v>28</v>
      </c>
      <c r="C422">
        <v>15</v>
      </c>
      <c r="D422">
        <v>43</v>
      </c>
      <c r="E422" t="s">
        <v>13</v>
      </c>
      <c r="F422">
        <v>4679.826</v>
      </c>
      <c r="G422">
        <v>554.70500000000004</v>
      </c>
    </row>
    <row r="423" spans="1:7" x14ac:dyDescent="0.2">
      <c r="A423">
        <f t="shared" si="6"/>
        <v>28016</v>
      </c>
      <c r="B423">
        <v>28</v>
      </c>
      <c r="C423">
        <v>16</v>
      </c>
      <c r="D423">
        <v>44</v>
      </c>
      <c r="E423" t="s">
        <v>14</v>
      </c>
      <c r="F423">
        <v>-9204.2330000000002</v>
      </c>
      <c r="G423">
        <v>5.2160000000000002</v>
      </c>
    </row>
    <row r="424" spans="1:7" x14ac:dyDescent="0.2">
      <c r="A424">
        <f t="shared" si="6"/>
        <v>28017</v>
      </c>
      <c r="B424">
        <v>28</v>
      </c>
      <c r="C424">
        <v>17</v>
      </c>
      <c r="D424">
        <v>45</v>
      </c>
      <c r="E424" t="s">
        <v>15</v>
      </c>
      <c r="F424">
        <v>-18262.543000000001</v>
      </c>
      <c r="G424">
        <v>136.16300000000001</v>
      </c>
    </row>
    <row r="425" spans="1:7" x14ac:dyDescent="0.2">
      <c r="A425">
        <f t="shared" si="6"/>
        <v>28018</v>
      </c>
      <c r="B425">
        <v>28</v>
      </c>
      <c r="C425">
        <v>18</v>
      </c>
      <c r="D425">
        <v>46</v>
      </c>
      <c r="E425" t="s">
        <v>16</v>
      </c>
      <c r="F425">
        <v>-29772.925999999999</v>
      </c>
      <c r="G425">
        <v>1.1180000000000001</v>
      </c>
    </row>
    <row r="426" spans="1:7" x14ac:dyDescent="0.2">
      <c r="A426">
        <f t="shared" si="6"/>
        <v>28019</v>
      </c>
      <c r="B426">
        <v>28</v>
      </c>
      <c r="C426">
        <v>19</v>
      </c>
      <c r="D426">
        <v>47</v>
      </c>
      <c r="E426" t="s">
        <v>17</v>
      </c>
      <c r="F426">
        <v>-35711.976000000002</v>
      </c>
      <c r="G426">
        <v>1.397</v>
      </c>
    </row>
    <row r="427" spans="1:7" x14ac:dyDescent="0.2">
      <c r="A427">
        <f t="shared" si="6"/>
        <v>28020</v>
      </c>
      <c r="B427">
        <v>28</v>
      </c>
      <c r="C427">
        <v>20</v>
      </c>
      <c r="D427">
        <v>48</v>
      </c>
      <c r="E427" t="s">
        <v>18</v>
      </c>
      <c r="F427">
        <v>-44224.629000000001</v>
      </c>
      <c r="G427">
        <v>9.6000000000000002E-2</v>
      </c>
    </row>
    <row r="428" spans="1:7" x14ac:dyDescent="0.2">
      <c r="A428">
        <f t="shared" si="6"/>
        <v>28021</v>
      </c>
      <c r="B428">
        <v>28</v>
      </c>
      <c r="C428">
        <v>21</v>
      </c>
      <c r="D428">
        <v>49</v>
      </c>
      <c r="E428" t="s">
        <v>19</v>
      </c>
      <c r="F428">
        <v>-46561.264999999999</v>
      </c>
      <c r="G428">
        <v>2.698</v>
      </c>
    </row>
    <row r="429" spans="1:7" x14ac:dyDescent="0.2">
      <c r="A429">
        <f t="shared" si="6"/>
        <v>28022</v>
      </c>
      <c r="B429">
        <v>28</v>
      </c>
      <c r="C429">
        <v>22</v>
      </c>
      <c r="D429">
        <v>50</v>
      </c>
      <c r="E429" t="s">
        <v>20</v>
      </c>
      <c r="F429">
        <v>-51431.66</v>
      </c>
      <c r="G429">
        <v>0.121</v>
      </c>
    </row>
    <row r="430" spans="1:7" x14ac:dyDescent="0.2">
      <c r="A430">
        <f t="shared" si="6"/>
        <v>28023</v>
      </c>
      <c r="B430">
        <v>28</v>
      </c>
      <c r="C430">
        <v>23</v>
      </c>
      <c r="D430">
        <v>51</v>
      </c>
      <c r="E430" t="s">
        <v>21</v>
      </c>
      <c r="F430">
        <v>-52203.841999999997</v>
      </c>
      <c r="G430">
        <v>0.40100000000000002</v>
      </c>
    </row>
    <row r="431" spans="1:7" x14ac:dyDescent="0.2">
      <c r="A431">
        <f t="shared" si="6"/>
        <v>28024</v>
      </c>
      <c r="B431">
        <v>28</v>
      </c>
      <c r="C431">
        <v>24</v>
      </c>
      <c r="D431">
        <v>52</v>
      </c>
      <c r="E431" t="s">
        <v>22</v>
      </c>
      <c r="F431">
        <v>-55419.241999999998</v>
      </c>
      <c r="G431">
        <v>0.34</v>
      </c>
    </row>
    <row r="432" spans="1:7" x14ac:dyDescent="0.2">
      <c r="A432">
        <f t="shared" si="6"/>
        <v>28025</v>
      </c>
      <c r="B432">
        <v>28</v>
      </c>
      <c r="C432">
        <v>25</v>
      </c>
      <c r="D432">
        <v>53</v>
      </c>
      <c r="E432" t="s">
        <v>23</v>
      </c>
      <c r="F432">
        <v>-54690.116000000002</v>
      </c>
      <c r="G432">
        <v>0.45</v>
      </c>
    </row>
    <row r="433" spans="1:7" x14ac:dyDescent="0.2">
      <c r="A433">
        <f t="shared" si="6"/>
        <v>28026</v>
      </c>
      <c r="B433">
        <v>28</v>
      </c>
      <c r="C433">
        <v>26</v>
      </c>
      <c r="D433">
        <v>54</v>
      </c>
      <c r="E433" t="s">
        <v>24</v>
      </c>
      <c r="F433">
        <v>-56254.5</v>
      </c>
      <c r="G433">
        <v>0.372</v>
      </c>
    </row>
    <row r="434" spans="1:7" x14ac:dyDescent="0.2">
      <c r="A434">
        <f t="shared" si="6"/>
        <v>28027</v>
      </c>
      <c r="B434">
        <v>28</v>
      </c>
      <c r="C434">
        <v>27</v>
      </c>
      <c r="D434">
        <v>55</v>
      </c>
      <c r="E434" t="s">
        <v>25</v>
      </c>
      <c r="F434">
        <v>-54029.883000000002</v>
      </c>
      <c r="G434">
        <v>0.42799999999999999</v>
      </c>
    </row>
    <row r="435" spans="1:7" x14ac:dyDescent="0.2">
      <c r="A435">
        <f t="shared" si="6"/>
        <v>28028</v>
      </c>
      <c r="B435">
        <v>28</v>
      </c>
      <c r="C435">
        <v>28</v>
      </c>
      <c r="D435">
        <v>56</v>
      </c>
      <c r="E435" t="s">
        <v>26</v>
      </c>
      <c r="F435">
        <v>-53907.538999999997</v>
      </c>
      <c r="G435">
        <v>0.42199999999999999</v>
      </c>
    </row>
    <row r="436" spans="1:7" x14ac:dyDescent="0.2">
      <c r="A436">
        <f t="shared" si="6"/>
        <v>28029</v>
      </c>
      <c r="B436">
        <v>28</v>
      </c>
      <c r="C436">
        <v>29</v>
      </c>
      <c r="D436">
        <v>57</v>
      </c>
      <c r="E436" t="s">
        <v>27</v>
      </c>
      <c r="F436">
        <v>-47308.885999999999</v>
      </c>
      <c r="G436">
        <v>0.51900000000000002</v>
      </c>
    </row>
    <row r="437" spans="1:7" x14ac:dyDescent="0.2">
      <c r="A437">
        <f t="shared" si="6"/>
        <v>28030</v>
      </c>
      <c r="B437">
        <v>28</v>
      </c>
      <c r="C437">
        <v>30</v>
      </c>
      <c r="D437">
        <v>58</v>
      </c>
      <c r="E437" t="s">
        <v>28</v>
      </c>
      <c r="F437">
        <v>-42298.743999999999</v>
      </c>
      <c r="G437">
        <v>50.000999999999998</v>
      </c>
    </row>
    <row r="438" spans="1:7" x14ac:dyDescent="0.2">
      <c r="A438">
        <f t="shared" si="6"/>
        <v>28031</v>
      </c>
      <c r="B438">
        <v>28</v>
      </c>
      <c r="C438">
        <v>31</v>
      </c>
      <c r="D438">
        <v>59</v>
      </c>
      <c r="E438" t="s">
        <v>29</v>
      </c>
      <c r="F438" t="s">
        <v>735</v>
      </c>
      <c r="G438" t="s">
        <v>736</v>
      </c>
    </row>
    <row r="439" spans="1:7" x14ac:dyDescent="0.2">
      <c r="A439">
        <f t="shared" si="6"/>
        <v>28032</v>
      </c>
      <c r="B439">
        <v>28</v>
      </c>
      <c r="C439">
        <v>32</v>
      </c>
      <c r="D439">
        <v>60</v>
      </c>
      <c r="E439" t="s">
        <v>30</v>
      </c>
      <c r="F439" t="s">
        <v>740</v>
      </c>
      <c r="G439" t="s">
        <v>235</v>
      </c>
    </row>
    <row r="440" spans="1:7" x14ac:dyDescent="0.2">
      <c r="A440">
        <f t="shared" si="6"/>
        <v>28033</v>
      </c>
      <c r="B440">
        <v>28</v>
      </c>
      <c r="C440">
        <v>33</v>
      </c>
      <c r="D440">
        <v>61</v>
      </c>
      <c r="E440" t="s">
        <v>31</v>
      </c>
      <c r="F440" t="s">
        <v>744</v>
      </c>
      <c r="G440" t="s">
        <v>235</v>
      </c>
    </row>
    <row r="441" spans="1:7" x14ac:dyDescent="0.2">
      <c r="A441">
        <f t="shared" si="6"/>
        <v>29013</v>
      </c>
      <c r="B441">
        <v>29</v>
      </c>
      <c r="C441">
        <v>13</v>
      </c>
      <c r="D441">
        <v>42</v>
      </c>
      <c r="E441" t="s">
        <v>11</v>
      </c>
      <c r="F441" t="s">
        <v>665</v>
      </c>
      <c r="G441" t="s">
        <v>666</v>
      </c>
    </row>
    <row r="442" spans="1:7" x14ac:dyDescent="0.2">
      <c r="A442">
        <f t="shared" si="6"/>
        <v>29014</v>
      </c>
      <c r="B442">
        <v>29</v>
      </c>
      <c r="C442">
        <v>14</v>
      </c>
      <c r="D442">
        <v>43</v>
      </c>
      <c r="E442" t="s">
        <v>12</v>
      </c>
      <c r="F442" t="s">
        <v>671</v>
      </c>
      <c r="G442" t="s">
        <v>211</v>
      </c>
    </row>
    <row r="443" spans="1:7" x14ac:dyDescent="0.2">
      <c r="A443">
        <f t="shared" si="6"/>
        <v>29015</v>
      </c>
      <c r="B443">
        <v>29</v>
      </c>
      <c r="C443">
        <v>15</v>
      </c>
      <c r="D443">
        <v>44</v>
      </c>
      <c r="E443" t="s">
        <v>13</v>
      </c>
      <c r="F443" t="s">
        <v>675</v>
      </c>
      <c r="G443" t="s">
        <v>245</v>
      </c>
    </row>
    <row r="444" spans="1:7" x14ac:dyDescent="0.2">
      <c r="A444">
        <f t="shared" si="6"/>
        <v>29016</v>
      </c>
      <c r="B444">
        <v>29</v>
      </c>
      <c r="C444">
        <v>16</v>
      </c>
      <c r="D444">
        <v>45</v>
      </c>
      <c r="E444" t="s">
        <v>14</v>
      </c>
      <c r="F444">
        <v>-3989.5889999999999</v>
      </c>
      <c r="G444">
        <v>1035.356</v>
      </c>
    </row>
    <row r="445" spans="1:7" x14ac:dyDescent="0.2">
      <c r="A445">
        <f t="shared" si="6"/>
        <v>29017</v>
      </c>
      <c r="B445">
        <v>29</v>
      </c>
      <c r="C445">
        <v>17</v>
      </c>
      <c r="D445">
        <v>46</v>
      </c>
      <c r="E445" t="s">
        <v>15</v>
      </c>
      <c r="F445">
        <v>-13859.397999999999</v>
      </c>
      <c r="G445">
        <v>208.661</v>
      </c>
    </row>
    <row r="446" spans="1:7" x14ac:dyDescent="0.2">
      <c r="A446">
        <f t="shared" si="6"/>
        <v>29018</v>
      </c>
      <c r="B446">
        <v>29</v>
      </c>
      <c r="C446">
        <v>18</v>
      </c>
      <c r="D446">
        <v>47</v>
      </c>
      <c r="E446" t="s">
        <v>16</v>
      </c>
      <c r="F446">
        <v>-25366.338</v>
      </c>
      <c r="G446">
        <v>1.1180000000000001</v>
      </c>
    </row>
    <row r="447" spans="1:7" x14ac:dyDescent="0.2">
      <c r="A447">
        <f t="shared" si="6"/>
        <v>29019</v>
      </c>
      <c r="B447">
        <v>29</v>
      </c>
      <c r="C447">
        <v>19</v>
      </c>
      <c r="D447">
        <v>48</v>
      </c>
      <c r="E447" t="s">
        <v>17</v>
      </c>
      <c r="F447">
        <v>-32284.476999999999</v>
      </c>
      <c r="G447">
        <v>0.77300000000000002</v>
      </c>
    </row>
    <row r="448" spans="1:7" x14ac:dyDescent="0.2">
      <c r="A448">
        <f t="shared" si="6"/>
        <v>29020</v>
      </c>
      <c r="B448">
        <v>29</v>
      </c>
      <c r="C448">
        <v>20</v>
      </c>
      <c r="D448">
        <v>49</v>
      </c>
      <c r="E448" t="s">
        <v>18</v>
      </c>
      <c r="F448">
        <v>-41299.764999999999</v>
      </c>
      <c r="G448">
        <v>0.20100000000000001</v>
      </c>
    </row>
    <row r="449" spans="1:7" x14ac:dyDescent="0.2">
      <c r="A449">
        <f t="shared" ref="A449:A512" si="7">1000*B449+C449</f>
        <v>29021</v>
      </c>
      <c r="B449">
        <v>29</v>
      </c>
      <c r="C449">
        <v>21</v>
      </c>
      <c r="D449">
        <v>50</v>
      </c>
      <c r="E449" t="s">
        <v>19</v>
      </c>
      <c r="F449">
        <v>-44547.381999999998</v>
      </c>
      <c r="G449">
        <v>15</v>
      </c>
    </row>
    <row r="450" spans="1:7" x14ac:dyDescent="0.2">
      <c r="A450">
        <f t="shared" si="7"/>
        <v>29022</v>
      </c>
      <c r="B450">
        <v>29</v>
      </c>
      <c r="C450">
        <v>22</v>
      </c>
      <c r="D450">
        <v>51</v>
      </c>
      <c r="E450" t="s">
        <v>20</v>
      </c>
      <c r="F450">
        <v>-49732.837</v>
      </c>
      <c r="G450">
        <v>0.505</v>
      </c>
    </row>
    <row r="451" spans="1:7" x14ac:dyDescent="0.2">
      <c r="A451">
        <f t="shared" si="7"/>
        <v>29023</v>
      </c>
      <c r="B451">
        <v>29</v>
      </c>
      <c r="C451">
        <v>23</v>
      </c>
      <c r="D451">
        <v>52</v>
      </c>
      <c r="E451" t="s">
        <v>21</v>
      </c>
      <c r="F451">
        <v>-51443.769</v>
      </c>
      <c r="G451">
        <v>0.42</v>
      </c>
    </row>
    <row r="452" spans="1:7" x14ac:dyDescent="0.2">
      <c r="A452">
        <f t="shared" si="7"/>
        <v>29024</v>
      </c>
      <c r="B452">
        <v>29</v>
      </c>
      <c r="C452">
        <v>24</v>
      </c>
      <c r="D452">
        <v>53</v>
      </c>
      <c r="E452" t="s">
        <v>22</v>
      </c>
      <c r="F452">
        <v>-55286.999000000003</v>
      </c>
      <c r="G452">
        <v>0.34799999999999998</v>
      </c>
    </row>
    <row r="453" spans="1:7" x14ac:dyDescent="0.2">
      <c r="A453">
        <f t="shared" si="7"/>
        <v>29025</v>
      </c>
      <c r="B453">
        <v>29</v>
      </c>
      <c r="C453">
        <v>25</v>
      </c>
      <c r="D453">
        <v>54</v>
      </c>
      <c r="E453" t="s">
        <v>23</v>
      </c>
      <c r="F453">
        <v>-55557.629000000001</v>
      </c>
      <c r="G453">
        <v>1.0589999999999999</v>
      </c>
    </row>
    <row r="454" spans="1:7" x14ac:dyDescent="0.2">
      <c r="A454">
        <f t="shared" si="7"/>
        <v>29026</v>
      </c>
      <c r="B454">
        <v>29</v>
      </c>
      <c r="C454">
        <v>26</v>
      </c>
      <c r="D454">
        <v>55</v>
      </c>
      <c r="E454" t="s">
        <v>24</v>
      </c>
      <c r="F454">
        <v>-57481.3</v>
      </c>
      <c r="G454">
        <v>0.34200000000000003</v>
      </c>
    </row>
    <row r="455" spans="1:7" x14ac:dyDescent="0.2">
      <c r="A455">
        <f t="shared" si="7"/>
        <v>29027</v>
      </c>
      <c r="B455">
        <v>29</v>
      </c>
      <c r="C455">
        <v>27</v>
      </c>
      <c r="D455">
        <v>56</v>
      </c>
      <c r="E455" t="s">
        <v>25</v>
      </c>
      <c r="F455">
        <v>-56040.402000000002</v>
      </c>
      <c r="G455">
        <v>0.49299999999999999</v>
      </c>
    </row>
    <row r="456" spans="1:7" x14ac:dyDescent="0.2">
      <c r="A456">
        <f t="shared" si="7"/>
        <v>29028</v>
      </c>
      <c r="B456">
        <v>29</v>
      </c>
      <c r="C456">
        <v>28</v>
      </c>
      <c r="D456">
        <v>57</v>
      </c>
      <c r="E456" t="s">
        <v>26</v>
      </c>
      <c r="F456">
        <v>-56083.832999999999</v>
      </c>
      <c r="G456">
        <v>0.58199999999999996</v>
      </c>
    </row>
    <row r="457" spans="1:7" x14ac:dyDescent="0.2">
      <c r="A457">
        <f t="shared" si="7"/>
        <v>29029</v>
      </c>
      <c r="B457">
        <v>29</v>
      </c>
      <c r="C457">
        <v>29</v>
      </c>
      <c r="D457">
        <v>58</v>
      </c>
      <c r="E457" t="s">
        <v>27</v>
      </c>
      <c r="F457">
        <v>-51667.724999999999</v>
      </c>
      <c r="G457">
        <v>0.57799999999999996</v>
      </c>
    </row>
    <row r="458" spans="1:7" x14ac:dyDescent="0.2">
      <c r="A458">
        <f t="shared" si="7"/>
        <v>29030</v>
      </c>
      <c r="B458">
        <v>29</v>
      </c>
      <c r="C458">
        <v>30</v>
      </c>
      <c r="D458">
        <v>59</v>
      </c>
      <c r="E458" t="s">
        <v>28</v>
      </c>
      <c r="F458">
        <v>-47215.550999999999</v>
      </c>
      <c r="G458">
        <v>0.77100000000000002</v>
      </c>
    </row>
    <row r="459" spans="1:7" x14ac:dyDescent="0.2">
      <c r="A459">
        <f t="shared" si="7"/>
        <v>29031</v>
      </c>
      <c r="B459">
        <v>29</v>
      </c>
      <c r="C459">
        <v>31</v>
      </c>
      <c r="D459">
        <v>60</v>
      </c>
      <c r="E459" t="s">
        <v>29</v>
      </c>
      <c r="F459" t="s">
        <v>739</v>
      </c>
      <c r="G459" t="s">
        <v>204</v>
      </c>
    </row>
    <row r="460" spans="1:7" x14ac:dyDescent="0.2">
      <c r="A460">
        <f t="shared" si="7"/>
        <v>29032</v>
      </c>
      <c r="B460">
        <v>29</v>
      </c>
      <c r="C460">
        <v>32</v>
      </c>
      <c r="D460">
        <v>61</v>
      </c>
      <c r="E460" t="s">
        <v>30</v>
      </c>
      <c r="F460" t="s">
        <v>743</v>
      </c>
      <c r="G460" t="s">
        <v>235</v>
      </c>
    </row>
    <row r="461" spans="1:7" x14ac:dyDescent="0.2">
      <c r="A461">
        <f t="shared" si="7"/>
        <v>29033</v>
      </c>
      <c r="B461">
        <v>29</v>
      </c>
      <c r="C461">
        <v>33</v>
      </c>
      <c r="D461">
        <v>62</v>
      </c>
      <c r="E461" t="s">
        <v>31</v>
      </c>
      <c r="F461" t="s">
        <v>748</v>
      </c>
      <c r="G461" t="s">
        <v>235</v>
      </c>
    </row>
    <row r="462" spans="1:7" x14ac:dyDescent="0.2">
      <c r="A462">
        <f t="shared" si="7"/>
        <v>30013</v>
      </c>
      <c r="B462">
        <v>30</v>
      </c>
      <c r="C462">
        <v>13</v>
      </c>
      <c r="D462">
        <v>43</v>
      </c>
      <c r="E462" t="s">
        <v>11</v>
      </c>
      <c r="F462" t="s">
        <v>670</v>
      </c>
      <c r="G462" t="s">
        <v>612</v>
      </c>
    </row>
    <row r="463" spans="1:7" x14ac:dyDescent="0.2">
      <c r="A463">
        <f t="shared" si="7"/>
        <v>30014</v>
      </c>
      <c r="B463">
        <v>30</v>
      </c>
      <c r="C463">
        <v>14</v>
      </c>
      <c r="D463">
        <v>44</v>
      </c>
      <c r="E463" t="s">
        <v>12</v>
      </c>
      <c r="F463" t="s">
        <v>674</v>
      </c>
      <c r="G463" t="s">
        <v>211</v>
      </c>
    </row>
    <row r="464" spans="1:7" x14ac:dyDescent="0.2">
      <c r="A464">
        <f t="shared" si="7"/>
        <v>30015</v>
      </c>
      <c r="B464">
        <v>30</v>
      </c>
      <c r="C464">
        <v>15</v>
      </c>
      <c r="D464">
        <v>45</v>
      </c>
      <c r="E464" t="s">
        <v>13</v>
      </c>
      <c r="F464" t="s">
        <v>680</v>
      </c>
      <c r="G464" t="s">
        <v>245</v>
      </c>
    </row>
    <row r="465" spans="1:7" x14ac:dyDescent="0.2">
      <c r="A465">
        <f t="shared" si="7"/>
        <v>30016</v>
      </c>
      <c r="B465">
        <v>30</v>
      </c>
      <c r="C465">
        <v>16</v>
      </c>
      <c r="D465">
        <v>46</v>
      </c>
      <c r="E465" t="s">
        <v>14</v>
      </c>
      <c r="F465" t="s">
        <v>684</v>
      </c>
      <c r="G465" t="s">
        <v>245</v>
      </c>
    </row>
    <row r="466" spans="1:7" x14ac:dyDescent="0.2">
      <c r="A466">
        <f t="shared" si="7"/>
        <v>30017</v>
      </c>
      <c r="B466">
        <v>30</v>
      </c>
      <c r="C466">
        <v>17</v>
      </c>
      <c r="D466">
        <v>47</v>
      </c>
      <c r="E466" t="s">
        <v>15</v>
      </c>
      <c r="F466" t="s">
        <v>689</v>
      </c>
      <c r="G466" t="s">
        <v>197</v>
      </c>
    </row>
    <row r="467" spans="1:7" x14ac:dyDescent="0.2">
      <c r="A467">
        <f t="shared" si="7"/>
        <v>30018</v>
      </c>
      <c r="B467">
        <v>30</v>
      </c>
      <c r="C467">
        <v>18</v>
      </c>
      <c r="D467">
        <v>48</v>
      </c>
      <c r="E467" t="s">
        <v>16</v>
      </c>
      <c r="F467">
        <v>-22281.337</v>
      </c>
      <c r="G467">
        <v>307.39299999999997</v>
      </c>
    </row>
    <row r="468" spans="1:7" x14ac:dyDescent="0.2">
      <c r="A468">
        <f t="shared" si="7"/>
        <v>30019</v>
      </c>
      <c r="B468">
        <v>30</v>
      </c>
      <c r="C468">
        <v>19</v>
      </c>
      <c r="D468">
        <v>49</v>
      </c>
      <c r="E468" t="s">
        <v>17</v>
      </c>
      <c r="F468">
        <v>-29611.49</v>
      </c>
      <c r="G468">
        <v>0.80100000000000005</v>
      </c>
    </row>
    <row r="469" spans="1:7" x14ac:dyDescent="0.2">
      <c r="A469">
        <f t="shared" si="7"/>
        <v>30020</v>
      </c>
      <c r="B469">
        <v>30</v>
      </c>
      <c r="C469">
        <v>20</v>
      </c>
      <c r="D469">
        <v>50</v>
      </c>
      <c r="E469" t="s">
        <v>18</v>
      </c>
      <c r="F469">
        <v>-39589.224000000002</v>
      </c>
      <c r="G469">
        <v>1.5840000000000001</v>
      </c>
    </row>
    <row r="470" spans="1:7" x14ac:dyDescent="0.2">
      <c r="A470">
        <f t="shared" si="7"/>
        <v>30021</v>
      </c>
      <c r="B470">
        <v>30</v>
      </c>
      <c r="C470">
        <v>21</v>
      </c>
      <c r="D470">
        <v>51</v>
      </c>
      <c r="E470" t="s">
        <v>710</v>
      </c>
      <c r="F470">
        <v>-43228.684000000001</v>
      </c>
      <c r="G470">
        <v>20</v>
      </c>
    </row>
    <row r="471" spans="1:7" x14ac:dyDescent="0.2">
      <c r="A471">
        <f t="shared" si="7"/>
        <v>30022</v>
      </c>
      <c r="B471">
        <v>30</v>
      </c>
      <c r="C471">
        <v>22</v>
      </c>
      <c r="D471">
        <v>52</v>
      </c>
      <c r="E471" t="s">
        <v>20</v>
      </c>
      <c r="F471">
        <v>-49469.82</v>
      </c>
      <c r="G471">
        <v>7.0720000000000001</v>
      </c>
    </row>
    <row r="472" spans="1:7" x14ac:dyDescent="0.2">
      <c r="A472">
        <f t="shared" si="7"/>
        <v>30023</v>
      </c>
      <c r="B472">
        <v>30</v>
      </c>
      <c r="C472">
        <v>23</v>
      </c>
      <c r="D472">
        <v>53</v>
      </c>
      <c r="E472" t="s">
        <v>21</v>
      </c>
      <c r="F472">
        <v>-51851.061000000002</v>
      </c>
      <c r="G472">
        <v>3.12</v>
      </c>
    </row>
    <row r="473" spans="1:7" x14ac:dyDescent="0.2">
      <c r="A473">
        <f t="shared" si="7"/>
        <v>30024</v>
      </c>
      <c r="B473">
        <v>30</v>
      </c>
      <c r="C473">
        <v>24</v>
      </c>
      <c r="D473">
        <v>54</v>
      </c>
      <c r="E473" t="s">
        <v>22</v>
      </c>
      <c r="F473">
        <v>-56934.764999999999</v>
      </c>
      <c r="G473">
        <v>0.35299999999999998</v>
      </c>
    </row>
    <row r="474" spans="1:7" x14ac:dyDescent="0.2">
      <c r="A474">
        <f t="shared" si="7"/>
        <v>30025</v>
      </c>
      <c r="B474">
        <v>30</v>
      </c>
      <c r="C474">
        <v>25</v>
      </c>
      <c r="D474">
        <v>55</v>
      </c>
      <c r="E474" t="s">
        <v>23</v>
      </c>
      <c r="F474">
        <v>-57712.413</v>
      </c>
      <c r="G474">
        <v>0.30299999999999999</v>
      </c>
    </row>
    <row r="475" spans="1:7" x14ac:dyDescent="0.2">
      <c r="A475">
        <f t="shared" si="7"/>
        <v>30026</v>
      </c>
      <c r="B475">
        <v>30</v>
      </c>
      <c r="C475">
        <v>26</v>
      </c>
      <c r="D475">
        <v>56</v>
      </c>
      <c r="E475" t="s">
        <v>24</v>
      </c>
      <c r="F475">
        <v>-60607.082000000002</v>
      </c>
      <c r="G475">
        <v>0.30199999999999999</v>
      </c>
    </row>
    <row r="476" spans="1:7" x14ac:dyDescent="0.2">
      <c r="A476">
        <f t="shared" si="7"/>
        <v>30027</v>
      </c>
      <c r="B476">
        <v>30</v>
      </c>
      <c r="C476">
        <v>27</v>
      </c>
      <c r="D476">
        <v>57</v>
      </c>
      <c r="E476" t="s">
        <v>25</v>
      </c>
      <c r="F476">
        <v>-59345.563999999998</v>
      </c>
      <c r="G476">
        <v>0.53300000000000003</v>
      </c>
    </row>
    <row r="477" spans="1:7" x14ac:dyDescent="0.2">
      <c r="A477">
        <f t="shared" si="7"/>
        <v>30028</v>
      </c>
      <c r="B477">
        <v>30</v>
      </c>
      <c r="C477">
        <v>28</v>
      </c>
      <c r="D477">
        <v>58</v>
      </c>
      <c r="E477" t="s">
        <v>26</v>
      </c>
      <c r="F477">
        <v>-60228.743999999999</v>
      </c>
      <c r="G477">
        <v>0.373</v>
      </c>
    </row>
    <row r="478" spans="1:7" x14ac:dyDescent="0.2">
      <c r="A478">
        <f t="shared" si="7"/>
        <v>30029</v>
      </c>
      <c r="B478">
        <v>30</v>
      </c>
      <c r="C478">
        <v>29</v>
      </c>
      <c r="D478">
        <v>59</v>
      </c>
      <c r="E478" t="s">
        <v>27</v>
      </c>
      <c r="F478">
        <v>-56358.326999999997</v>
      </c>
      <c r="G478">
        <v>0.54400000000000004</v>
      </c>
    </row>
    <row r="479" spans="1:7" x14ac:dyDescent="0.2">
      <c r="A479">
        <f t="shared" si="7"/>
        <v>30030</v>
      </c>
      <c r="B479">
        <v>30</v>
      </c>
      <c r="C479">
        <v>30</v>
      </c>
      <c r="D479">
        <v>60</v>
      </c>
      <c r="E479" t="s">
        <v>28</v>
      </c>
      <c r="F479">
        <v>-54174.34</v>
      </c>
      <c r="G479">
        <v>0.56399999999999995</v>
      </c>
    </row>
    <row r="480" spans="1:7" x14ac:dyDescent="0.2">
      <c r="A480">
        <f t="shared" si="7"/>
        <v>30031</v>
      </c>
      <c r="B480">
        <v>30</v>
      </c>
      <c r="C480">
        <v>31</v>
      </c>
      <c r="D480">
        <v>61</v>
      </c>
      <c r="E480" t="s">
        <v>29</v>
      </c>
      <c r="F480">
        <v>-47134.659</v>
      </c>
      <c r="G480">
        <v>37.994</v>
      </c>
    </row>
    <row r="481" spans="1:7" x14ac:dyDescent="0.2">
      <c r="A481">
        <f t="shared" si="7"/>
        <v>30032</v>
      </c>
      <c r="B481">
        <v>30</v>
      </c>
      <c r="C481">
        <v>32</v>
      </c>
      <c r="D481">
        <v>62</v>
      </c>
      <c r="E481" t="s">
        <v>30</v>
      </c>
      <c r="F481" t="s">
        <v>747</v>
      </c>
      <c r="G481" t="s">
        <v>222</v>
      </c>
    </row>
    <row r="482" spans="1:7" x14ac:dyDescent="0.2">
      <c r="A482">
        <f t="shared" si="7"/>
        <v>30033</v>
      </c>
      <c r="B482">
        <v>30</v>
      </c>
      <c r="C482">
        <v>33</v>
      </c>
      <c r="D482">
        <v>63</v>
      </c>
      <c r="E482" t="s">
        <v>31</v>
      </c>
      <c r="F482" t="s">
        <v>751</v>
      </c>
      <c r="G482" t="s">
        <v>204</v>
      </c>
    </row>
    <row r="483" spans="1:7" x14ac:dyDescent="0.2">
      <c r="A483">
        <f t="shared" si="7"/>
        <v>30034</v>
      </c>
      <c r="B483">
        <v>30</v>
      </c>
      <c r="C483">
        <v>34</v>
      </c>
      <c r="D483">
        <v>64</v>
      </c>
      <c r="E483" t="s">
        <v>32</v>
      </c>
      <c r="F483" t="s">
        <v>755</v>
      </c>
      <c r="G483" t="s">
        <v>201</v>
      </c>
    </row>
    <row r="484" spans="1:7" x14ac:dyDescent="0.2">
      <c r="A484">
        <f t="shared" si="7"/>
        <v>31014</v>
      </c>
      <c r="B484">
        <v>31</v>
      </c>
      <c r="C484">
        <v>14</v>
      </c>
      <c r="D484">
        <v>45</v>
      </c>
      <c r="E484" t="s">
        <v>12</v>
      </c>
      <c r="F484" t="s">
        <v>678</v>
      </c>
      <c r="G484" t="s">
        <v>679</v>
      </c>
    </row>
    <row r="485" spans="1:7" x14ac:dyDescent="0.2">
      <c r="A485">
        <f t="shared" si="7"/>
        <v>31015</v>
      </c>
      <c r="B485">
        <v>31</v>
      </c>
      <c r="C485">
        <v>15</v>
      </c>
      <c r="D485">
        <v>46</v>
      </c>
      <c r="E485" t="s">
        <v>13</v>
      </c>
      <c r="F485" t="s">
        <v>683</v>
      </c>
      <c r="G485" t="s">
        <v>679</v>
      </c>
    </row>
    <row r="486" spans="1:7" x14ac:dyDescent="0.2">
      <c r="A486">
        <f t="shared" si="7"/>
        <v>31016</v>
      </c>
      <c r="B486">
        <v>31</v>
      </c>
      <c r="C486">
        <v>16</v>
      </c>
      <c r="D486">
        <v>47</v>
      </c>
      <c r="E486" t="s">
        <v>14</v>
      </c>
      <c r="F486" t="s">
        <v>688</v>
      </c>
      <c r="G486" t="s">
        <v>245</v>
      </c>
    </row>
    <row r="487" spans="1:7" x14ac:dyDescent="0.2">
      <c r="A487">
        <f t="shared" si="7"/>
        <v>31017</v>
      </c>
      <c r="B487">
        <v>31</v>
      </c>
      <c r="C487">
        <v>17</v>
      </c>
      <c r="D487">
        <v>48</v>
      </c>
      <c r="E487" t="s">
        <v>15</v>
      </c>
      <c r="F487" t="s">
        <v>693</v>
      </c>
      <c r="G487" t="s">
        <v>245</v>
      </c>
    </row>
    <row r="488" spans="1:7" x14ac:dyDescent="0.2">
      <c r="A488">
        <f t="shared" si="7"/>
        <v>31018</v>
      </c>
      <c r="B488">
        <v>31</v>
      </c>
      <c r="C488">
        <v>18</v>
      </c>
      <c r="D488">
        <v>49</v>
      </c>
      <c r="E488" t="s">
        <v>16</v>
      </c>
      <c r="F488" t="s">
        <v>701</v>
      </c>
      <c r="G488" t="s">
        <v>197</v>
      </c>
    </row>
    <row r="489" spans="1:7" x14ac:dyDescent="0.2">
      <c r="A489">
        <f t="shared" si="7"/>
        <v>31019</v>
      </c>
      <c r="B489">
        <v>31</v>
      </c>
      <c r="C489">
        <v>19</v>
      </c>
      <c r="D489">
        <v>50</v>
      </c>
      <c r="E489" t="s">
        <v>17</v>
      </c>
      <c r="F489">
        <v>-25727.848000000002</v>
      </c>
      <c r="G489">
        <v>7.7309999999999999</v>
      </c>
    </row>
    <row r="490" spans="1:7" x14ac:dyDescent="0.2">
      <c r="A490">
        <f t="shared" si="7"/>
        <v>31020</v>
      </c>
      <c r="B490">
        <v>31</v>
      </c>
      <c r="C490">
        <v>20</v>
      </c>
      <c r="D490">
        <v>51</v>
      </c>
      <c r="E490" t="s">
        <v>18</v>
      </c>
      <c r="F490">
        <v>-36332.303999999996</v>
      </c>
      <c r="G490">
        <v>0.52200000000000002</v>
      </c>
    </row>
    <row r="491" spans="1:7" x14ac:dyDescent="0.2">
      <c r="A491">
        <f t="shared" si="7"/>
        <v>31021</v>
      </c>
      <c r="B491">
        <v>31</v>
      </c>
      <c r="C491">
        <v>21</v>
      </c>
      <c r="D491">
        <v>52</v>
      </c>
      <c r="E491" t="s">
        <v>19</v>
      </c>
      <c r="F491">
        <v>-40443.279000000002</v>
      </c>
      <c r="G491">
        <v>81.852000000000004</v>
      </c>
    </row>
    <row r="492" spans="1:7" x14ac:dyDescent="0.2">
      <c r="A492">
        <f t="shared" si="7"/>
        <v>31022</v>
      </c>
      <c r="B492">
        <v>31</v>
      </c>
      <c r="C492">
        <v>22</v>
      </c>
      <c r="D492">
        <v>53</v>
      </c>
      <c r="E492" t="s">
        <v>20</v>
      </c>
      <c r="F492">
        <v>-46831.061000000002</v>
      </c>
      <c r="G492">
        <v>100.04900000000001</v>
      </c>
    </row>
    <row r="493" spans="1:7" x14ac:dyDescent="0.2">
      <c r="A493">
        <f t="shared" si="7"/>
        <v>31023</v>
      </c>
      <c r="B493">
        <v>31</v>
      </c>
      <c r="C493">
        <v>23</v>
      </c>
      <c r="D493">
        <v>54</v>
      </c>
      <c r="E493" t="s">
        <v>21</v>
      </c>
      <c r="F493">
        <v>-49893.173000000003</v>
      </c>
      <c r="G493">
        <v>15.004</v>
      </c>
    </row>
    <row r="494" spans="1:7" x14ac:dyDescent="0.2">
      <c r="A494">
        <f t="shared" si="7"/>
        <v>31024</v>
      </c>
      <c r="B494">
        <v>31</v>
      </c>
      <c r="C494">
        <v>24</v>
      </c>
      <c r="D494">
        <v>55</v>
      </c>
      <c r="E494" t="s">
        <v>22</v>
      </c>
      <c r="F494">
        <v>-55109.71</v>
      </c>
      <c r="G494">
        <v>0.39900000000000002</v>
      </c>
    </row>
    <row r="495" spans="1:7" x14ac:dyDescent="0.2">
      <c r="A495">
        <f t="shared" si="7"/>
        <v>31025</v>
      </c>
      <c r="B495">
        <v>31</v>
      </c>
      <c r="C495">
        <v>25</v>
      </c>
      <c r="D495">
        <v>56</v>
      </c>
      <c r="E495" t="s">
        <v>23</v>
      </c>
      <c r="F495">
        <v>-56911.538</v>
      </c>
      <c r="G495">
        <v>0.33100000000000002</v>
      </c>
    </row>
    <row r="496" spans="1:7" x14ac:dyDescent="0.2">
      <c r="A496">
        <f t="shared" si="7"/>
        <v>31026</v>
      </c>
      <c r="B496">
        <v>31</v>
      </c>
      <c r="C496">
        <v>26</v>
      </c>
      <c r="D496">
        <v>57</v>
      </c>
      <c r="E496" t="s">
        <v>24</v>
      </c>
      <c r="F496">
        <v>-60181.839</v>
      </c>
      <c r="G496">
        <v>0.30399999999999999</v>
      </c>
    </row>
    <row r="497" spans="1:7" x14ac:dyDescent="0.2">
      <c r="A497">
        <f t="shared" si="7"/>
        <v>31027</v>
      </c>
      <c r="B497">
        <v>31</v>
      </c>
      <c r="C497">
        <v>27</v>
      </c>
      <c r="D497">
        <v>58</v>
      </c>
      <c r="E497" t="s">
        <v>25</v>
      </c>
      <c r="F497">
        <v>-59847.158000000003</v>
      </c>
      <c r="G497">
        <v>1.1599999999999999</v>
      </c>
    </row>
    <row r="498" spans="1:7" x14ac:dyDescent="0.2">
      <c r="A498">
        <f t="shared" si="7"/>
        <v>31028</v>
      </c>
      <c r="B498">
        <v>31</v>
      </c>
      <c r="C498">
        <v>28</v>
      </c>
      <c r="D498">
        <v>59</v>
      </c>
      <c r="E498" t="s">
        <v>26</v>
      </c>
      <c r="F498">
        <v>-61156.707000000002</v>
      </c>
      <c r="G498">
        <v>0.374</v>
      </c>
    </row>
    <row r="499" spans="1:7" x14ac:dyDescent="0.2">
      <c r="A499">
        <f t="shared" si="7"/>
        <v>31029</v>
      </c>
      <c r="B499">
        <v>31</v>
      </c>
      <c r="C499">
        <v>29</v>
      </c>
      <c r="D499">
        <v>60</v>
      </c>
      <c r="E499" t="s">
        <v>27</v>
      </c>
      <c r="F499">
        <v>-58345.137000000002</v>
      </c>
      <c r="G499">
        <v>1.6180000000000001</v>
      </c>
    </row>
    <row r="500" spans="1:7" x14ac:dyDescent="0.2">
      <c r="A500">
        <f t="shared" si="7"/>
        <v>31030</v>
      </c>
      <c r="B500">
        <v>31</v>
      </c>
      <c r="C500">
        <v>30</v>
      </c>
      <c r="D500">
        <v>61</v>
      </c>
      <c r="E500" t="s">
        <v>28</v>
      </c>
      <c r="F500">
        <v>-56348.902999999998</v>
      </c>
      <c r="G500">
        <v>15.898999999999999</v>
      </c>
    </row>
    <row r="501" spans="1:7" x14ac:dyDescent="0.2">
      <c r="A501">
        <f t="shared" si="7"/>
        <v>31031</v>
      </c>
      <c r="B501">
        <v>31</v>
      </c>
      <c r="C501">
        <v>31</v>
      </c>
      <c r="D501">
        <v>62</v>
      </c>
      <c r="E501" t="s">
        <v>29</v>
      </c>
      <c r="F501">
        <v>-51986.906000000003</v>
      </c>
      <c r="G501">
        <v>0.64700000000000002</v>
      </c>
    </row>
    <row r="502" spans="1:7" x14ac:dyDescent="0.2">
      <c r="A502">
        <f t="shared" si="7"/>
        <v>31032</v>
      </c>
      <c r="B502">
        <v>31</v>
      </c>
      <c r="C502">
        <v>32</v>
      </c>
      <c r="D502">
        <v>63</v>
      </c>
      <c r="E502" t="s">
        <v>30</v>
      </c>
      <c r="F502">
        <v>-46921.216</v>
      </c>
      <c r="G502">
        <v>37.26</v>
      </c>
    </row>
    <row r="503" spans="1:7" x14ac:dyDescent="0.2">
      <c r="A503">
        <f t="shared" si="7"/>
        <v>31033</v>
      </c>
      <c r="B503">
        <v>31</v>
      </c>
      <c r="C503">
        <v>33</v>
      </c>
      <c r="D503">
        <v>64</v>
      </c>
      <c r="E503" t="s">
        <v>31</v>
      </c>
      <c r="F503" t="s">
        <v>754</v>
      </c>
      <c r="G503" t="s">
        <v>208</v>
      </c>
    </row>
    <row r="504" spans="1:7" x14ac:dyDescent="0.2">
      <c r="A504">
        <f t="shared" si="7"/>
        <v>31034</v>
      </c>
      <c r="B504">
        <v>31</v>
      </c>
      <c r="C504">
        <v>34</v>
      </c>
      <c r="D504">
        <v>65</v>
      </c>
      <c r="E504" t="s">
        <v>32</v>
      </c>
      <c r="F504" t="s">
        <v>758</v>
      </c>
      <c r="G504" t="s">
        <v>235</v>
      </c>
    </row>
    <row r="505" spans="1:7" x14ac:dyDescent="0.2">
      <c r="A505">
        <f t="shared" si="7"/>
        <v>32015</v>
      </c>
      <c r="B505">
        <v>32</v>
      </c>
      <c r="C505">
        <v>15</v>
      </c>
      <c r="D505">
        <v>47</v>
      </c>
      <c r="E505" t="s">
        <v>13</v>
      </c>
      <c r="F505" t="s">
        <v>687</v>
      </c>
      <c r="G505" t="s">
        <v>612</v>
      </c>
    </row>
    <row r="506" spans="1:7" x14ac:dyDescent="0.2">
      <c r="A506">
        <f t="shared" si="7"/>
        <v>32016</v>
      </c>
      <c r="B506">
        <v>32</v>
      </c>
      <c r="C506">
        <v>16</v>
      </c>
      <c r="D506">
        <v>48</v>
      </c>
      <c r="E506" t="s">
        <v>14</v>
      </c>
      <c r="F506" t="s">
        <v>692</v>
      </c>
      <c r="G506" t="s">
        <v>211</v>
      </c>
    </row>
    <row r="507" spans="1:7" x14ac:dyDescent="0.2">
      <c r="A507">
        <f t="shared" si="7"/>
        <v>32017</v>
      </c>
      <c r="B507">
        <v>32</v>
      </c>
      <c r="C507">
        <v>17</v>
      </c>
      <c r="D507">
        <v>49</v>
      </c>
      <c r="E507" t="s">
        <v>15</v>
      </c>
      <c r="F507" t="s">
        <v>700</v>
      </c>
      <c r="G507" t="s">
        <v>666</v>
      </c>
    </row>
    <row r="508" spans="1:7" x14ac:dyDescent="0.2">
      <c r="A508">
        <f t="shared" si="7"/>
        <v>32018</v>
      </c>
      <c r="B508">
        <v>32</v>
      </c>
      <c r="C508">
        <v>18</v>
      </c>
      <c r="D508">
        <v>50</v>
      </c>
      <c r="E508" t="s">
        <v>16</v>
      </c>
      <c r="F508" t="s">
        <v>705</v>
      </c>
      <c r="G508" t="s">
        <v>245</v>
      </c>
    </row>
    <row r="509" spans="1:7" x14ac:dyDescent="0.2">
      <c r="A509">
        <f t="shared" si="7"/>
        <v>32019</v>
      </c>
      <c r="B509">
        <v>32</v>
      </c>
      <c r="C509">
        <v>19</v>
      </c>
      <c r="D509">
        <v>51</v>
      </c>
      <c r="E509" t="s">
        <v>17</v>
      </c>
      <c r="F509">
        <v>-22516.196</v>
      </c>
      <c r="G509">
        <v>13.047000000000001</v>
      </c>
    </row>
    <row r="510" spans="1:7" x14ac:dyDescent="0.2">
      <c r="A510">
        <f t="shared" si="7"/>
        <v>32020</v>
      </c>
      <c r="B510">
        <v>32</v>
      </c>
      <c r="C510">
        <v>20</v>
      </c>
      <c r="D510">
        <v>52</v>
      </c>
      <c r="E510" t="s">
        <v>18</v>
      </c>
      <c r="F510">
        <v>-34266.266000000003</v>
      </c>
      <c r="G510">
        <v>0.67100000000000004</v>
      </c>
    </row>
    <row r="511" spans="1:7" x14ac:dyDescent="0.2">
      <c r="A511">
        <f t="shared" si="7"/>
        <v>32021</v>
      </c>
      <c r="B511">
        <v>32</v>
      </c>
      <c r="C511">
        <v>21</v>
      </c>
      <c r="D511">
        <v>53</v>
      </c>
      <c r="E511" t="s">
        <v>19</v>
      </c>
      <c r="F511">
        <v>-38906.807999999997</v>
      </c>
      <c r="G511">
        <v>94.087000000000003</v>
      </c>
    </row>
    <row r="512" spans="1:7" x14ac:dyDescent="0.2">
      <c r="A512">
        <f t="shared" si="7"/>
        <v>32022</v>
      </c>
      <c r="B512">
        <v>32</v>
      </c>
      <c r="C512">
        <v>22</v>
      </c>
      <c r="D512">
        <v>54</v>
      </c>
      <c r="E512" t="s">
        <v>20</v>
      </c>
      <c r="F512">
        <v>-45621.981</v>
      </c>
      <c r="G512">
        <v>82.460999999999999</v>
      </c>
    </row>
    <row r="513" spans="1:7" x14ac:dyDescent="0.2">
      <c r="A513">
        <f t="shared" ref="A513:A576" si="8">1000*B513+C513</f>
        <v>32023</v>
      </c>
      <c r="B513">
        <v>32</v>
      </c>
      <c r="C513">
        <v>23</v>
      </c>
      <c r="D513">
        <v>55</v>
      </c>
      <c r="E513" t="s">
        <v>21</v>
      </c>
      <c r="F513">
        <v>-49144.586000000003</v>
      </c>
      <c r="G513">
        <v>95.103999999999999</v>
      </c>
    </row>
    <row r="514" spans="1:7" x14ac:dyDescent="0.2">
      <c r="A514">
        <f t="shared" si="8"/>
        <v>32024</v>
      </c>
      <c r="B514">
        <v>32</v>
      </c>
      <c r="C514">
        <v>24</v>
      </c>
      <c r="D514">
        <v>56</v>
      </c>
      <c r="E514" t="s">
        <v>22</v>
      </c>
      <c r="F514">
        <v>-55285.000999999997</v>
      </c>
      <c r="G514">
        <v>0.60299999999999998</v>
      </c>
    </row>
    <row r="515" spans="1:7" x14ac:dyDescent="0.2">
      <c r="A515">
        <f t="shared" si="8"/>
        <v>32025</v>
      </c>
      <c r="B515">
        <v>32</v>
      </c>
      <c r="C515">
        <v>25</v>
      </c>
      <c r="D515">
        <v>57</v>
      </c>
      <c r="E515" t="s">
        <v>23</v>
      </c>
      <c r="F515">
        <v>-57486.250999999997</v>
      </c>
      <c r="G515">
        <v>1.5049999999999999</v>
      </c>
    </row>
    <row r="516" spans="1:7" x14ac:dyDescent="0.2">
      <c r="A516">
        <f t="shared" si="8"/>
        <v>32026</v>
      </c>
      <c r="B516">
        <v>32</v>
      </c>
      <c r="C516">
        <v>26</v>
      </c>
      <c r="D516">
        <v>58</v>
      </c>
      <c r="E516" t="s">
        <v>24</v>
      </c>
      <c r="F516">
        <v>-62155.112999999998</v>
      </c>
      <c r="G516">
        <v>0.34300000000000003</v>
      </c>
    </row>
    <row r="517" spans="1:7" x14ac:dyDescent="0.2">
      <c r="A517">
        <f t="shared" si="8"/>
        <v>32027</v>
      </c>
      <c r="B517">
        <v>32</v>
      </c>
      <c r="C517">
        <v>27</v>
      </c>
      <c r="D517">
        <v>59</v>
      </c>
      <c r="E517" t="s">
        <v>25</v>
      </c>
      <c r="F517">
        <v>-62229.709000000003</v>
      </c>
      <c r="G517">
        <v>0.41799999999999998</v>
      </c>
    </row>
    <row r="518" spans="1:7" x14ac:dyDescent="0.2">
      <c r="A518">
        <f t="shared" si="8"/>
        <v>32028</v>
      </c>
      <c r="B518">
        <v>32</v>
      </c>
      <c r="C518">
        <v>28</v>
      </c>
      <c r="D518">
        <v>60</v>
      </c>
      <c r="E518" t="s">
        <v>26</v>
      </c>
      <c r="F518">
        <v>-64473.118000000002</v>
      </c>
      <c r="G518">
        <v>0.376</v>
      </c>
    </row>
    <row r="519" spans="1:7" x14ac:dyDescent="0.2">
      <c r="A519">
        <f t="shared" si="8"/>
        <v>32029</v>
      </c>
      <c r="B519">
        <v>32</v>
      </c>
      <c r="C519">
        <v>29</v>
      </c>
      <c r="D519">
        <v>61</v>
      </c>
      <c r="E519" t="s">
        <v>27</v>
      </c>
      <c r="F519">
        <v>-61984.059000000001</v>
      </c>
      <c r="G519">
        <v>0.95299999999999996</v>
      </c>
    </row>
    <row r="520" spans="1:7" x14ac:dyDescent="0.2">
      <c r="A520">
        <f t="shared" si="8"/>
        <v>32030</v>
      </c>
      <c r="B520">
        <v>32</v>
      </c>
      <c r="C520">
        <v>30</v>
      </c>
      <c r="D520">
        <v>62</v>
      </c>
      <c r="E520" t="s">
        <v>28</v>
      </c>
      <c r="F520">
        <v>-61167.972000000002</v>
      </c>
      <c r="G520">
        <v>0.625</v>
      </c>
    </row>
    <row r="521" spans="1:7" x14ac:dyDescent="0.2">
      <c r="A521">
        <f t="shared" si="8"/>
        <v>32031</v>
      </c>
      <c r="B521">
        <v>32</v>
      </c>
      <c r="C521">
        <v>31</v>
      </c>
      <c r="D521">
        <v>63</v>
      </c>
      <c r="E521" t="s">
        <v>29</v>
      </c>
      <c r="F521">
        <v>-56547.093000000001</v>
      </c>
      <c r="G521">
        <v>1.304</v>
      </c>
    </row>
    <row r="522" spans="1:7" x14ac:dyDescent="0.2">
      <c r="A522">
        <f t="shared" si="8"/>
        <v>32032</v>
      </c>
      <c r="B522">
        <v>32</v>
      </c>
      <c r="C522">
        <v>32</v>
      </c>
      <c r="D522">
        <v>64</v>
      </c>
      <c r="E522" t="s">
        <v>30</v>
      </c>
      <c r="F522">
        <v>-54315.495999999999</v>
      </c>
      <c r="G522">
        <v>3.726</v>
      </c>
    </row>
    <row r="523" spans="1:7" x14ac:dyDescent="0.2">
      <c r="A523">
        <f t="shared" si="8"/>
        <v>32033</v>
      </c>
      <c r="B523">
        <v>32</v>
      </c>
      <c r="C523">
        <v>33</v>
      </c>
      <c r="D523">
        <v>65</v>
      </c>
      <c r="E523" t="s">
        <v>31</v>
      </c>
      <c r="F523">
        <v>-46937.050999999999</v>
      </c>
      <c r="G523">
        <v>84.766000000000005</v>
      </c>
    </row>
    <row r="524" spans="1:7" x14ac:dyDescent="0.2">
      <c r="A524">
        <f t="shared" si="8"/>
        <v>32034</v>
      </c>
      <c r="B524">
        <v>32</v>
      </c>
      <c r="C524">
        <v>34</v>
      </c>
      <c r="D524">
        <v>66</v>
      </c>
      <c r="E524" t="s">
        <v>32</v>
      </c>
      <c r="F524" t="s">
        <v>761</v>
      </c>
      <c r="G524" t="s">
        <v>204</v>
      </c>
    </row>
    <row r="525" spans="1:7" x14ac:dyDescent="0.2">
      <c r="A525">
        <f t="shared" si="8"/>
        <v>32035</v>
      </c>
      <c r="B525">
        <v>32</v>
      </c>
      <c r="C525">
        <v>35</v>
      </c>
      <c r="D525">
        <v>67</v>
      </c>
      <c r="E525" t="s">
        <v>33</v>
      </c>
      <c r="F525" t="s">
        <v>766</v>
      </c>
      <c r="G525" t="s">
        <v>197</v>
      </c>
    </row>
    <row r="526" spans="1:7" x14ac:dyDescent="0.2">
      <c r="A526">
        <f t="shared" si="8"/>
        <v>33016</v>
      </c>
      <c r="B526">
        <v>33</v>
      </c>
      <c r="C526">
        <v>16</v>
      </c>
      <c r="D526">
        <v>49</v>
      </c>
      <c r="E526" t="s">
        <v>14</v>
      </c>
      <c r="F526" t="s">
        <v>698</v>
      </c>
      <c r="G526" t="s">
        <v>699</v>
      </c>
    </row>
    <row r="527" spans="1:7" x14ac:dyDescent="0.2">
      <c r="A527">
        <f t="shared" si="8"/>
        <v>33017</v>
      </c>
      <c r="B527">
        <v>33</v>
      </c>
      <c r="C527">
        <v>17</v>
      </c>
      <c r="D527">
        <v>50</v>
      </c>
      <c r="E527" t="s">
        <v>15</v>
      </c>
      <c r="F527" t="s">
        <v>704</v>
      </c>
      <c r="G527" t="s">
        <v>666</v>
      </c>
    </row>
    <row r="528" spans="1:7" x14ac:dyDescent="0.2">
      <c r="A528">
        <f t="shared" si="8"/>
        <v>33018</v>
      </c>
      <c r="B528">
        <v>33</v>
      </c>
      <c r="C528">
        <v>18</v>
      </c>
      <c r="D528">
        <v>51</v>
      </c>
      <c r="E528" t="s">
        <v>16</v>
      </c>
      <c r="F528" t="s">
        <v>709</v>
      </c>
      <c r="G528" t="s">
        <v>666</v>
      </c>
    </row>
    <row r="529" spans="1:7" x14ac:dyDescent="0.2">
      <c r="A529">
        <f t="shared" si="8"/>
        <v>33019</v>
      </c>
      <c r="B529">
        <v>33</v>
      </c>
      <c r="C529">
        <v>19</v>
      </c>
      <c r="D529">
        <v>52</v>
      </c>
      <c r="E529" t="s">
        <v>17</v>
      </c>
      <c r="F529">
        <v>-17137.627</v>
      </c>
      <c r="G529">
        <v>33.533999999999999</v>
      </c>
    </row>
    <row r="530" spans="1:7" x14ac:dyDescent="0.2">
      <c r="A530">
        <f t="shared" si="8"/>
        <v>33020</v>
      </c>
      <c r="B530">
        <v>33</v>
      </c>
      <c r="C530">
        <v>20</v>
      </c>
      <c r="D530">
        <v>53</v>
      </c>
      <c r="E530" t="s">
        <v>18</v>
      </c>
      <c r="F530">
        <v>-29387.704000000002</v>
      </c>
      <c r="G530">
        <v>43.78</v>
      </c>
    </row>
    <row r="531" spans="1:7" x14ac:dyDescent="0.2">
      <c r="A531">
        <f t="shared" si="8"/>
        <v>33021</v>
      </c>
      <c r="B531">
        <v>33</v>
      </c>
      <c r="C531">
        <v>21</v>
      </c>
      <c r="D531">
        <v>54</v>
      </c>
      <c r="E531" t="s">
        <v>19</v>
      </c>
      <c r="F531">
        <v>-33890.9</v>
      </c>
      <c r="G531">
        <v>272.8</v>
      </c>
    </row>
    <row r="532" spans="1:7" x14ac:dyDescent="0.2">
      <c r="A532">
        <f t="shared" si="8"/>
        <v>33022</v>
      </c>
      <c r="B532">
        <v>33</v>
      </c>
      <c r="C532">
        <v>22</v>
      </c>
      <c r="D532">
        <v>55</v>
      </c>
      <c r="E532" t="s">
        <v>20</v>
      </c>
      <c r="F532">
        <v>-41668.088000000003</v>
      </c>
      <c r="G532">
        <v>161.602</v>
      </c>
    </row>
    <row r="533" spans="1:7" x14ac:dyDescent="0.2">
      <c r="A533">
        <f t="shared" si="8"/>
        <v>33023</v>
      </c>
      <c r="B533">
        <v>33</v>
      </c>
      <c r="C533">
        <v>23</v>
      </c>
      <c r="D533">
        <v>56</v>
      </c>
      <c r="E533" t="s">
        <v>21</v>
      </c>
      <c r="F533">
        <v>-46154.881000000001</v>
      </c>
      <c r="G533">
        <v>176.898</v>
      </c>
    </row>
    <row r="534" spans="1:7" x14ac:dyDescent="0.2">
      <c r="A534">
        <f t="shared" si="8"/>
        <v>33024</v>
      </c>
      <c r="B534">
        <v>33</v>
      </c>
      <c r="C534">
        <v>24</v>
      </c>
      <c r="D534">
        <v>57</v>
      </c>
      <c r="E534" t="s">
        <v>22</v>
      </c>
      <c r="F534">
        <v>-52524.701999999997</v>
      </c>
      <c r="G534">
        <v>1.0680000000000001</v>
      </c>
    </row>
    <row r="535" spans="1:7" x14ac:dyDescent="0.2">
      <c r="A535">
        <f t="shared" si="8"/>
        <v>33025</v>
      </c>
      <c r="B535">
        <v>33</v>
      </c>
      <c r="C535">
        <v>25</v>
      </c>
      <c r="D535">
        <v>58</v>
      </c>
      <c r="E535" t="s">
        <v>23</v>
      </c>
      <c r="F535">
        <v>-55827.56</v>
      </c>
      <c r="G535">
        <v>2.7010000000000001</v>
      </c>
    </row>
    <row r="536" spans="1:7" x14ac:dyDescent="0.2">
      <c r="A536">
        <f t="shared" si="8"/>
        <v>33026</v>
      </c>
      <c r="B536">
        <v>33</v>
      </c>
      <c r="C536">
        <v>26</v>
      </c>
      <c r="D536">
        <v>59</v>
      </c>
      <c r="E536" t="s">
        <v>24</v>
      </c>
      <c r="F536">
        <v>-60664.805</v>
      </c>
      <c r="G536">
        <v>0.35499999999999998</v>
      </c>
    </row>
    <row r="537" spans="1:7" x14ac:dyDescent="0.2">
      <c r="A537">
        <f t="shared" si="8"/>
        <v>33027</v>
      </c>
      <c r="B537">
        <v>33</v>
      </c>
      <c r="C537">
        <v>27</v>
      </c>
      <c r="D537">
        <v>60</v>
      </c>
      <c r="E537" t="s">
        <v>25</v>
      </c>
      <c r="F537">
        <v>-61650.309000000001</v>
      </c>
      <c r="G537">
        <v>0.42399999999999999</v>
      </c>
    </row>
    <row r="538" spans="1:7" x14ac:dyDescent="0.2">
      <c r="A538">
        <f t="shared" si="8"/>
        <v>33028</v>
      </c>
      <c r="B538">
        <v>33</v>
      </c>
      <c r="C538">
        <v>28</v>
      </c>
      <c r="D538">
        <v>61</v>
      </c>
      <c r="E538" t="s">
        <v>26</v>
      </c>
      <c r="F538">
        <v>-64221.904999999999</v>
      </c>
      <c r="G538">
        <v>0.378</v>
      </c>
    </row>
    <row r="539" spans="1:7" x14ac:dyDescent="0.2">
      <c r="A539">
        <f t="shared" si="8"/>
        <v>33029</v>
      </c>
      <c r="B539">
        <v>33</v>
      </c>
      <c r="C539">
        <v>29</v>
      </c>
      <c r="D539">
        <v>62</v>
      </c>
      <c r="E539" t="s">
        <v>27</v>
      </c>
      <c r="F539">
        <v>-62787.425999999999</v>
      </c>
      <c r="G539">
        <v>0.64700000000000002</v>
      </c>
    </row>
    <row r="540" spans="1:7" x14ac:dyDescent="0.2">
      <c r="A540">
        <f t="shared" si="8"/>
        <v>33030</v>
      </c>
      <c r="B540">
        <v>33</v>
      </c>
      <c r="C540">
        <v>30</v>
      </c>
      <c r="D540">
        <v>63</v>
      </c>
      <c r="E540" t="s">
        <v>28</v>
      </c>
      <c r="F540">
        <v>-62213.396999999997</v>
      </c>
      <c r="G540">
        <v>1.5609999999999999</v>
      </c>
    </row>
    <row r="541" spans="1:7" x14ac:dyDescent="0.2">
      <c r="A541">
        <f t="shared" si="8"/>
        <v>33031</v>
      </c>
      <c r="B541">
        <v>33</v>
      </c>
      <c r="C541">
        <v>31</v>
      </c>
      <c r="D541">
        <v>64</v>
      </c>
      <c r="E541" t="s">
        <v>29</v>
      </c>
      <c r="F541">
        <v>-58832.821000000004</v>
      </c>
      <c r="G541">
        <v>1.429</v>
      </c>
    </row>
    <row r="542" spans="1:7" x14ac:dyDescent="0.2">
      <c r="A542">
        <f t="shared" si="8"/>
        <v>33032</v>
      </c>
      <c r="B542">
        <v>33</v>
      </c>
      <c r="C542">
        <v>32</v>
      </c>
      <c r="D542">
        <v>65</v>
      </c>
      <c r="E542" t="s">
        <v>30</v>
      </c>
      <c r="F542">
        <v>-56478.216</v>
      </c>
      <c r="G542">
        <v>2.165</v>
      </c>
    </row>
    <row r="543" spans="1:7" x14ac:dyDescent="0.2">
      <c r="A543">
        <f t="shared" si="8"/>
        <v>33033</v>
      </c>
      <c r="B543">
        <v>33</v>
      </c>
      <c r="C543">
        <v>33</v>
      </c>
      <c r="D543">
        <v>66</v>
      </c>
      <c r="E543" t="s">
        <v>31</v>
      </c>
      <c r="F543">
        <v>-52025.076999999997</v>
      </c>
      <c r="G543">
        <v>5.6820000000000004</v>
      </c>
    </row>
    <row r="544" spans="1:7" x14ac:dyDescent="0.2">
      <c r="A544">
        <f t="shared" si="8"/>
        <v>33034</v>
      </c>
      <c r="B544">
        <v>33</v>
      </c>
      <c r="C544">
        <v>34</v>
      </c>
      <c r="D544">
        <v>67</v>
      </c>
      <c r="E544" t="s">
        <v>32</v>
      </c>
      <c r="F544">
        <v>-46580.288999999997</v>
      </c>
      <c r="G544">
        <v>67.067999999999998</v>
      </c>
    </row>
    <row r="545" spans="1:7" x14ac:dyDescent="0.2">
      <c r="A545">
        <f t="shared" si="8"/>
        <v>33035</v>
      </c>
      <c r="B545">
        <v>33</v>
      </c>
      <c r="C545">
        <v>35</v>
      </c>
      <c r="D545">
        <v>68</v>
      </c>
      <c r="E545" t="s">
        <v>33</v>
      </c>
      <c r="F545" t="s">
        <v>769</v>
      </c>
      <c r="G545" t="s">
        <v>770</v>
      </c>
    </row>
    <row r="546" spans="1:7" x14ac:dyDescent="0.2">
      <c r="A546">
        <f t="shared" si="8"/>
        <v>33036</v>
      </c>
      <c r="B546">
        <v>33</v>
      </c>
      <c r="C546">
        <v>36</v>
      </c>
      <c r="D546">
        <v>69</v>
      </c>
      <c r="E546" t="s">
        <v>34</v>
      </c>
      <c r="F546" t="s">
        <v>774</v>
      </c>
      <c r="G546" t="s">
        <v>199</v>
      </c>
    </row>
    <row r="547" spans="1:7" x14ac:dyDescent="0.2">
      <c r="A547">
        <f t="shared" si="8"/>
        <v>34017</v>
      </c>
      <c r="B547">
        <v>34</v>
      </c>
      <c r="C547">
        <v>17</v>
      </c>
      <c r="D547">
        <v>51</v>
      </c>
      <c r="E547" t="s">
        <v>15</v>
      </c>
      <c r="F547" t="s">
        <v>708</v>
      </c>
      <c r="G547" t="s">
        <v>679</v>
      </c>
    </row>
    <row r="548" spans="1:7" x14ac:dyDescent="0.2">
      <c r="A548">
        <f t="shared" si="8"/>
        <v>34018</v>
      </c>
      <c r="B548">
        <v>34</v>
      </c>
      <c r="C548">
        <v>18</v>
      </c>
      <c r="D548">
        <v>52</v>
      </c>
      <c r="E548" t="s">
        <v>16</v>
      </c>
      <c r="F548" t="s">
        <v>712</v>
      </c>
      <c r="G548" t="s">
        <v>666</v>
      </c>
    </row>
    <row r="549" spans="1:7" x14ac:dyDescent="0.2">
      <c r="A549">
        <f t="shared" si="8"/>
        <v>34019</v>
      </c>
      <c r="B549">
        <v>34</v>
      </c>
      <c r="C549">
        <v>19</v>
      </c>
      <c r="D549">
        <v>53</v>
      </c>
      <c r="E549" t="s">
        <v>17</v>
      </c>
      <c r="F549">
        <v>-12295.721</v>
      </c>
      <c r="G549">
        <v>111.779</v>
      </c>
    </row>
    <row r="550" spans="1:7" x14ac:dyDescent="0.2">
      <c r="A550">
        <f t="shared" si="8"/>
        <v>34020</v>
      </c>
      <c r="B550">
        <v>34</v>
      </c>
      <c r="C550">
        <v>20</v>
      </c>
      <c r="D550">
        <v>54</v>
      </c>
      <c r="E550" t="s">
        <v>18</v>
      </c>
      <c r="F550">
        <v>-25160.584999999999</v>
      </c>
      <c r="G550">
        <v>48.438000000000002</v>
      </c>
    </row>
    <row r="551" spans="1:7" x14ac:dyDescent="0.2">
      <c r="A551">
        <f t="shared" si="8"/>
        <v>34021</v>
      </c>
      <c r="B551">
        <v>34</v>
      </c>
      <c r="C551">
        <v>21</v>
      </c>
      <c r="D551">
        <v>55</v>
      </c>
      <c r="E551" t="s">
        <v>19</v>
      </c>
      <c r="F551">
        <v>-30159.351999999999</v>
      </c>
      <c r="G551">
        <v>454.34199999999998</v>
      </c>
    </row>
    <row r="552" spans="1:7" x14ac:dyDescent="0.2">
      <c r="A552">
        <f t="shared" si="8"/>
        <v>34022</v>
      </c>
      <c r="B552">
        <v>34</v>
      </c>
      <c r="C552">
        <v>22</v>
      </c>
      <c r="D552">
        <v>56</v>
      </c>
      <c r="E552" t="s">
        <v>20</v>
      </c>
      <c r="F552">
        <v>-39320.048000000003</v>
      </c>
      <c r="G552">
        <v>121.247</v>
      </c>
    </row>
    <row r="553" spans="1:7" x14ac:dyDescent="0.2">
      <c r="A553">
        <f t="shared" si="8"/>
        <v>34023</v>
      </c>
      <c r="B553">
        <v>34</v>
      </c>
      <c r="C553">
        <v>23</v>
      </c>
      <c r="D553">
        <v>57</v>
      </c>
      <c r="E553" t="s">
        <v>21</v>
      </c>
      <c r="F553">
        <v>-44413.45</v>
      </c>
      <c r="G553">
        <v>80.478999999999999</v>
      </c>
    </row>
    <row r="554" spans="1:7" x14ac:dyDescent="0.2">
      <c r="A554">
        <f t="shared" si="8"/>
        <v>34024</v>
      </c>
      <c r="B554">
        <v>34</v>
      </c>
      <c r="C554">
        <v>24</v>
      </c>
      <c r="D554">
        <v>58</v>
      </c>
      <c r="E554" t="s">
        <v>22</v>
      </c>
      <c r="F554">
        <v>-51991.800999999999</v>
      </c>
      <c r="G554">
        <v>1.49</v>
      </c>
    </row>
    <row r="555" spans="1:7" x14ac:dyDescent="0.2">
      <c r="A555">
        <f t="shared" si="8"/>
        <v>34025</v>
      </c>
      <c r="B555">
        <v>34</v>
      </c>
      <c r="C555">
        <v>25</v>
      </c>
      <c r="D555">
        <v>59</v>
      </c>
      <c r="E555" t="s">
        <v>23</v>
      </c>
      <c r="F555">
        <v>-55525.32</v>
      </c>
      <c r="G555">
        <v>2.3290000000000002</v>
      </c>
    </row>
    <row r="556" spans="1:7" x14ac:dyDescent="0.2">
      <c r="A556">
        <f t="shared" si="8"/>
        <v>34026</v>
      </c>
      <c r="B556">
        <v>34</v>
      </c>
      <c r="C556">
        <v>26</v>
      </c>
      <c r="D556">
        <v>60</v>
      </c>
      <c r="E556" t="s">
        <v>24</v>
      </c>
      <c r="F556">
        <v>-61413.017</v>
      </c>
      <c r="G556">
        <v>3.4089999999999998</v>
      </c>
    </row>
    <row r="557" spans="1:7" x14ac:dyDescent="0.2">
      <c r="A557">
        <f t="shared" si="8"/>
        <v>34027</v>
      </c>
      <c r="B557">
        <v>34</v>
      </c>
      <c r="C557">
        <v>27</v>
      </c>
      <c r="D557">
        <v>61</v>
      </c>
      <c r="E557" t="s">
        <v>25</v>
      </c>
      <c r="F557">
        <v>-62898.065999999999</v>
      </c>
      <c r="G557">
        <v>0.84599999999999997</v>
      </c>
    </row>
    <row r="558" spans="1:7" x14ac:dyDescent="0.2">
      <c r="A558">
        <f t="shared" si="8"/>
        <v>34028</v>
      </c>
      <c r="B558">
        <v>34</v>
      </c>
      <c r="C558">
        <v>28</v>
      </c>
      <c r="D558">
        <v>62</v>
      </c>
      <c r="E558" t="s">
        <v>26</v>
      </c>
      <c r="F558">
        <v>-66746.323000000004</v>
      </c>
      <c r="G558">
        <v>0.439</v>
      </c>
    </row>
    <row r="559" spans="1:7" x14ac:dyDescent="0.2">
      <c r="A559">
        <f t="shared" si="8"/>
        <v>34029</v>
      </c>
      <c r="B559">
        <v>34</v>
      </c>
      <c r="C559">
        <v>29</v>
      </c>
      <c r="D559">
        <v>63</v>
      </c>
      <c r="E559" t="s">
        <v>27</v>
      </c>
      <c r="F559">
        <v>-65579.751999999993</v>
      </c>
      <c r="G559">
        <v>0.44</v>
      </c>
    </row>
    <row r="560" spans="1:7" x14ac:dyDescent="0.2">
      <c r="A560">
        <f t="shared" si="8"/>
        <v>34030</v>
      </c>
      <c r="B560">
        <v>34</v>
      </c>
      <c r="C560">
        <v>30</v>
      </c>
      <c r="D560">
        <v>64</v>
      </c>
      <c r="E560" t="s">
        <v>28</v>
      </c>
      <c r="F560">
        <v>-66004.013999999996</v>
      </c>
      <c r="G560">
        <v>0.64700000000000002</v>
      </c>
    </row>
    <row r="561" spans="1:7" x14ac:dyDescent="0.2">
      <c r="A561">
        <f t="shared" si="8"/>
        <v>34031</v>
      </c>
      <c r="B561">
        <v>34</v>
      </c>
      <c r="C561">
        <v>31</v>
      </c>
      <c r="D561">
        <v>65</v>
      </c>
      <c r="E561" t="s">
        <v>29</v>
      </c>
      <c r="F561">
        <v>-62657.506999999998</v>
      </c>
      <c r="G561">
        <v>0.81499999999999995</v>
      </c>
    </row>
    <row r="562" spans="1:7" x14ac:dyDescent="0.2">
      <c r="A562">
        <f t="shared" si="8"/>
        <v>34032</v>
      </c>
      <c r="B562">
        <v>34</v>
      </c>
      <c r="C562">
        <v>32</v>
      </c>
      <c r="D562">
        <v>66</v>
      </c>
      <c r="E562" t="s">
        <v>30</v>
      </c>
      <c r="F562">
        <v>-61607.031999999999</v>
      </c>
      <c r="G562">
        <v>2.4009999999999998</v>
      </c>
    </row>
    <row r="563" spans="1:7" x14ac:dyDescent="0.2">
      <c r="A563">
        <f t="shared" si="8"/>
        <v>34033</v>
      </c>
      <c r="B563">
        <v>34</v>
      </c>
      <c r="C563">
        <v>33</v>
      </c>
      <c r="D563">
        <v>67</v>
      </c>
      <c r="E563" t="s">
        <v>31</v>
      </c>
      <c r="F563">
        <v>-56587.224999999999</v>
      </c>
      <c r="G563">
        <v>0.443</v>
      </c>
    </row>
    <row r="564" spans="1:7" x14ac:dyDescent="0.2">
      <c r="A564">
        <f t="shared" si="8"/>
        <v>34034</v>
      </c>
      <c r="B564">
        <v>34</v>
      </c>
      <c r="C564">
        <v>34</v>
      </c>
      <c r="D564">
        <v>68</v>
      </c>
      <c r="E564" t="s">
        <v>32</v>
      </c>
      <c r="F564">
        <v>-54189.440999999999</v>
      </c>
      <c r="G564">
        <v>0.496</v>
      </c>
    </row>
    <row r="565" spans="1:7" x14ac:dyDescent="0.2">
      <c r="A565">
        <f t="shared" si="8"/>
        <v>34035</v>
      </c>
      <c r="B565">
        <v>34</v>
      </c>
      <c r="C565">
        <v>35</v>
      </c>
      <c r="D565">
        <v>69</v>
      </c>
      <c r="E565" t="s">
        <v>33</v>
      </c>
      <c r="F565">
        <v>-46259.47</v>
      </c>
      <c r="G565">
        <v>42.003</v>
      </c>
    </row>
    <row r="566" spans="1:7" x14ac:dyDescent="0.2">
      <c r="A566">
        <f t="shared" si="8"/>
        <v>34036</v>
      </c>
      <c r="B566">
        <v>34</v>
      </c>
      <c r="C566">
        <v>36</v>
      </c>
      <c r="D566">
        <v>70</v>
      </c>
      <c r="E566" t="s">
        <v>34</v>
      </c>
      <c r="F566" t="s">
        <v>779</v>
      </c>
      <c r="G566" t="s">
        <v>204</v>
      </c>
    </row>
    <row r="567" spans="1:7" x14ac:dyDescent="0.2">
      <c r="A567">
        <f t="shared" si="8"/>
        <v>34037</v>
      </c>
      <c r="B567">
        <v>34</v>
      </c>
      <c r="C567">
        <v>37</v>
      </c>
      <c r="D567">
        <v>71</v>
      </c>
      <c r="E567" t="s">
        <v>35</v>
      </c>
      <c r="F567" t="s">
        <v>782</v>
      </c>
      <c r="G567" t="s">
        <v>197</v>
      </c>
    </row>
    <row r="568" spans="1:7" x14ac:dyDescent="0.2">
      <c r="A568">
        <f t="shared" si="8"/>
        <v>35018</v>
      </c>
      <c r="B568">
        <v>35</v>
      </c>
      <c r="C568">
        <v>18</v>
      </c>
      <c r="D568">
        <v>53</v>
      </c>
      <c r="E568" t="s">
        <v>16</v>
      </c>
      <c r="F568" t="s">
        <v>715</v>
      </c>
      <c r="G568" t="s">
        <v>212</v>
      </c>
    </row>
    <row r="569" spans="1:7" x14ac:dyDescent="0.2">
      <c r="A569">
        <f t="shared" si="8"/>
        <v>35019</v>
      </c>
      <c r="B569">
        <v>35</v>
      </c>
      <c r="C569">
        <v>19</v>
      </c>
      <c r="D569">
        <v>54</v>
      </c>
      <c r="E569" t="s">
        <v>17</v>
      </c>
      <c r="F569" t="s">
        <v>717</v>
      </c>
      <c r="G569" t="s">
        <v>211</v>
      </c>
    </row>
    <row r="570" spans="1:7" x14ac:dyDescent="0.2">
      <c r="A570">
        <f t="shared" si="8"/>
        <v>35020</v>
      </c>
      <c r="B570">
        <v>35</v>
      </c>
      <c r="C570">
        <v>20</v>
      </c>
      <c r="D570">
        <v>55</v>
      </c>
      <c r="E570" t="s">
        <v>18</v>
      </c>
      <c r="F570" t="s">
        <v>720</v>
      </c>
      <c r="G570" t="s">
        <v>235</v>
      </c>
    </row>
    <row r="571" spans="1:7" x14ac:dyDescent="0.2">
      <c r="A571">
        <f t="shared" si="8"/>
        <v>35021</v>
      </c>
      <c r="B571">
        <v>35</v>
      </c>
      <c r="C571">
        <v>21</v>
      </c>
      <c r="D571">
        <v>56</v>
      </c>
      <c r="E571" t="s">
        <v>19</v>
      </c>
      <c r="F571">
        <v>-24852.26</v>
      </c>
      <c r="G571">
        <v>586.84100000000001</v>
      </c>
    </row>
    <row r="572" spans="1:7" x14ac:dyDescent="0.2">
      <c r="A572">
        <f t="shared" si="8"/>
        <v>35022</v>
      </c>
      <c r="B572">
        <v>35</v>
      </c>
      <c r="C572">
        <v>22</v>
      </c>
      <c r="D572">
        <v>57</v>
      </c>
      <c r="E572" t="s">
        <v>20</v>
      </c>
      <c r="F572">
        <v>-33915.633000000002</v>
      </c>
      <c r="G572">
        <v>256.41699999999997</v>
      </c>
    </row>
    <row r="573" spans="1:7" x14ac:dyDescent="0.2">
      <c r="A573">
        <f t="shared" si="8"/>
        <v>35023</v>
      </c>
      <c r="B573">
        <v>35</v>
      </c>
      <c r="C573">
        <v>23</v>
      </c>
      <c r="D573">
        <v>58</v>
      </c>
      <c r="E573" t="s">
        <v>21</v>
      </c>
      <c r="F573">
        <v>-40401.752999999997</v>
      </c>
      <c r="G573">
        <v>89.373999999999995</v>
      </c>
    </row>
    <row r="574" spans="1:7" x14ac:dyDescent="0.2">
      <c r="A574">
        <f t="shared" si="8"/>
        <v>35024</v>
      </c>
      <c r="B574">
        <v>35</v>
      </c>
      <c r="C574">
        <v>24</v>
      </c>
      <c r="D574">
        <v>59</v>
      </c>
      <c r="E574" t="s">
        <v>22</v>
      </c>
      <c r="F574">
        <v>-48085.760000000002</v>
      </c>
      <c r="G574">
        <v>216.36699999999999</v>
      </c>
    </row>
    <row r="575" spans="1:7" x14ac:dyDescent="0.2">
      <c r="A575">
        <f t="shared" si="8"/>
        <v>35025</v>
      </c>
      <c r="B575">
        <v>35</v>
      </c>
      <c r="C575">
        <v>25</v>
      </c>
      <c r="D575">
        <v>60</v>
      </c>
      <c r="E575" t="s">
        <v>23</v>
      </c>
      <c r="F575">
        <v>-52967.938000000002</v>
      </c>
      <c r="G575">
        <v>2.3290000000000002</v>
      </c>
    </row>
    <row r="576" spans="1:7" x14ac:dyDescent="0.2">
      <c r="A576">
        <f t="shared" si="8"/>
        <v>35026</v>
      </c>
      <c r="B576">
        <v>35</v>
      </c>
      <c r="C576">
        <v>26</v>
      </c>
      <c r="D576">
        <v>61</v>
      </c>
      <c r="E576" t="s">
        <v>24</v>
      </c>
      <c r="F576">
        <v>-58920.493999999999</v>
      </c>
      <c r="G576">
        <v>2.6080000000000001</v>
      </c>
    </row>
    <row r="577" spans="1:7" x14ac:dyDescent="0.2">
      <c r="A577">
        <f t="shared" ref="A577:A640" si="9">1000*B577+C577</f>
        <v>35027</v>
      </c>
      <c r="B577">
        <v>35</v>
      </c>
      <c r="C577">
        <v>27</v>
      </c>
      <c r="D577">
        <v>62</v>
      </c>
      <c r="E577" t="s">
        <v>25</v>
      </c>
      <c r="F577">
        <v>-61424.281999999999</v>
      </c>
      <c r="G577">
        <v>18.574999999999999</v>
      </c>
    </row>
    <row r="578" spans="1:7" x14ac:dyDescent="0.2">
      <c r="A578">
        <f t="shared" si="9"/>
        <v>35028</v>
      </c>
      <c r="B578">
        <v>35</v>
      </c>
      <c r="C578">
        <v>28</v>
      </c>
      <c r="D578">
        <v>63</v>
      </c>
      <c r="E578" t="s">
        <v>26</v>
      </c>
      <c r="F578">
        <v>-65512.775000000001</v>
      </c>
      <c r="G578">
        <v>0.44</v>
      </c>
    </row>
    <row r="579" spans="1:7" x14ac:dyDescent="0.2">
      <c r="A579">
        <f t="shared" si="9"/>
        <v>35029</v>
      </c>
      <c r="B579">
        <v>35</v>
      </c>
      <c r="C579">
        <v>29</v>
      </c>
      <c r="D579">
        <v>64</v>
      </c>
      <c r="E579" t="s">
        <v>27</v>
      </c>
      <c r="F579">
        <v>-65424.544999999998</v>
      </c>
      <c r="G579">
        <v>0.44800000000000001</v>
      </c>
    </row>
    <row r="580" spans="1:7" x14ac:dyDescent="0.2">
      <c r="A580">
        <f t="shared" si="9"/>
        <v>35030</v>
      </c>
      <c r="B580">
        <v>35</v>
      </c>
      <c r="C580">
        <v>30</v>
      </c>
      <c r="D580">
        <v>65</v>
      </c>
      <c r="E580" t="s">
        <v>28</v>
      </c>
      <c r="F580">
        <v>-65912.019</v>
      </c>
      <c r="G580">
        <v>0.65</v>
      </c>
    </row>
    <row r="581" spans="1:7" x14ac:dyDescent="0.2">
      <c r="A581">
        <f t="shared" si="9"/>
        <v>35031</v>
      </c>
      <c r="B581">
        <v>35</v>
      </c>
      <c r="C581">
        <v>31</v>
      </c>
      <c r="D581">
        <v>66</v>
      </c>
      <c r="E581" t="s">
        <v>29</v>
      </c>
      <c r="F581">
        <v>-63723.66</v>
      </c>
      <c r="G581">
        <v>1.0960000000000001</v>
      </c>
    </row>
    <row r="582" spans="1:7" x14ac:dyDescent="0.2">
      <c r="A582">
        <f t="shared" si="9"/>
        <v>35032</v>
      </c>
      <c r="B582">
        <v>35</v>
      </c>
      <c r="C582">
        <v>32</v>
      </c>
      <c r="D582">
        <v>67</v>
      </c>
      <c r="E582" t="s">
        <v>765</v>
      </c>
      <c r="F582">
        <v>-62658.23</v>
      </c>
      <c r="G582">
        <v>4.6609999999999996</v>
      </c>
    </row>
    <row r="583" spans="1:7" x14ac:dyDescent="0.2">
      <c r="A583">
        <f t="shared" si="9"/>
        <v>35033</v>
      </c>
      <c r="B583">
        <v>35</v>
      </c>
      <c r="C583">
        <v>33</v>
      </c>
      <c r="D583">
        <v>68</v>
      </c>
      <c r="E583" t="s">
        <v>31</v>
      </c>
      <c r="F583">
        <v>-58894.519</v>
      </c>
      <c r="G583">
        <v>1.8460000000000001</v>
      </c>
    </row>
    <row r="584" spans="1:7" x14ac:dyDescent="0.2">
      <c r="A584">
        <f t="shared" si="9"/>
        <v>35034</v>
      </c>
      <c r="B584">
        <v>35</v>
      </c>
      <c r="C584">
        <v>34</v>
      </c>
      <c r="D584">
        <v>69</v>
      </c>
      <c r="E584" t="s">
        <v>32</v>
      </c>
      <c r="F584">
        <v>-56434.705999999998</v>
      </c>
      <c r="G584">
        <v>1.49</v>
      </c>
    </row>
    <row r="585" spans="1:7" x14ac:dyDescent="0.2">
      <c r="A585">
        <f t="shared" si="9"/>
        <v>35035</v>
      </c>
      <c r="B585">
        <v>35</v>
      </c>
      <c r="C585">
        <v>35</v>
      </c>
      <c r="D585">
        <v>70</v>
      </c>
      <c r="E585" t="s">
        <v>33</v>
      </c>
      <c r="F585">
        <v>-51425.618999999999</v>
      </c>
      <c r="G585">
        <v>14.904</v>
      </c>
    </row>
    <row r="586" spans="1:7" x14ac:dyDescent="0.2">
      <c r="A586">
        <f t="shared" si="9"/>
        <v>35036</v>
      </c>
      <c r="B586">
        <v>35</v>
      </c>
      <c r="C586">
        <v>36</v>
      </c>
      <c r="D586">
        <v>71</v>
      </c>
      <c r="E586" t="s">
        <v>34</v>
      </c>
      <c r="F586">
        <v>-46327.205000000002</v>
      </c>
      <c r="G586">
        <v>128.76900000000001</v>
      </c>
    </row>
    <row r="587" spans="1:7" x14ac:dyDescent="0.2">
      <c r="A587">
        <f t="shared" si="9"/>
        <v>35037</v>
      </c>
      <c r="B587">
        <v>35</v>
      </c>
      <c r="C587">
        <v>37</v>
      </c>
      <c r="D587">
        <v>72</v>
      </c>
      <c r="E587" t="s">
        <v>35</v>
      </c>
      <c r="F587" t="s">
        <v>786</v>
      </c>
      <c r="G587" t="s">
        <v>245</v>
      </c>
    </row>
    <row r="588" spans="1:7" x14ac:dyDescent="0.2">
      <c r="A588">
        <f t="shared" si="9"/>
        <v>35038</v>
      </c>
      <c r="B588">
        <v>35</v>
      </c>
      <c r="C588">
        <v>38</v>
      </c>
      <c r="D588">
        <v>73</v>
      </c>
      <c r="E588" t="s">
        <v>36</v>
      </c>
      <c r="F588" t="s">
        <v>790</v>
      </c>
      <c r="G588" t="s">
        <v>199</v>
      </c>
    </row>
    <row r="589" spans="1:7" x14ac:dyDescent="0.2">
      <c r="A589">
        <f t="shared" si="9"/>
        <v>36019</v>
      </c>
      <c r="B589">
        <v>36</v>
      </c>
      <c r="C589">
        <v>19</v>
      </c>
      <c r="D589">
        <v>55</v>
      </c>
      <c r="E589" t="s">
        <v>17</v>
      </c>
      <c r="F589" t="s">
        <v>205</v>
      </c>
      <c r="G589" t="s">
        <v>212</v>
      </c>
    </row>
    <row r="590" spans="1:7" x14ac:dyDescent="0.2">
      <c r="A590">
        <f t="shared" si="9"/>
        <v>36020</v>
      </c>
      <c r="B590">
        <v>36</v>
      </c>
      <c r="C590">
        <v>20</v>
      </c>
      <c r="D590">
        <v>56</v>
      </c>
      <c r="E590" t="s">
        <v>18</v>
      </c>
      <c r="F590" t="s">
        <v>723</v>
      </c>
      <c r="G590" t="s">
        <v>197</v>
      </c>
    </row>
    <row r="591" spans="1:7" x14ac:dyDescent="0.2">
      <c r="A591">
        <f t="shared" si="9"/>
        <v>36021</v>
      </c>
      <c r="B591">
        <v>36</v>
      </c>
      <c r="C591">
        <v>21</v>
      </c>
      <c r="D591">
        <v>57</v>
      </c>
      <c r="E591" t="s">
        <v>19</v>
      </c>
      <c r="F591">
        <v>-20995.875</v>
      </c>
      <c r="G591">
        <v>1304.0920000000001</v>
      </c>
    </row>
    <row r="592" spans="1:7" x14ac:dyDescent="0.2">
      <c r="A592">
        <f t="shared" si="9"/>
        <v>36022</v>
      </c>
      <c r="B592">
        <v>36</v>
      </c>
      <c r="C592">
        <v>22</v>
      </c>
      <c r="D592">
        <v>58</v>
      </c>
      <c r="E592" t="s">
        <v>20</v>
      </c>
      <c r="F592" t="s">
        <v>730</v>
      </c>
      <c r="G592" t="s">
        <v>204</v>
      </c>
    </row>
    <row r="593" spans="1:7" x14ac:dyDescent="0.2">
      <c r="A593">
        <f t="shared" si="9"/>
        <v>36023</v>
      </c>
      <c r="B593">
        <v>36</v>
      </c>
      <c r="C593">
        <v>23</v>
      </c>
      <c r="D593">
        <v>59</v>
      </c>
      <c r="E593" t="s">
        <v>21</v>
      </c>
      <c r="F593">
        <v>-37832.014999999999</v>
      </c>
      <c r="G593">
        <v>161.874</v>
      </c>
    </row>
    <row r="594" spans="1:7" x14ac:dyDescent="0.2">
      <c r="A594">
        <f t="shared" si="9"/>
        <v>36024</v>
      </c>
      <c r="B594">
        <v>36</v>
      </c>
      <c r="C594">
        <v>24</v>
      </c>
      <c r="D594">
        <v>60</v>
      </c>
      <c r="E594" t="s">
        <v>22</v>
      </c>
      <c r="F594">
        <v>-46669.576000000001</v>
      </c>
      <c r="G594">
        <v>193.59299999999999</v>
      </c>
    </row>
    <row r="595" spans="1:7" x14ac:dyDescent="0.2">
      <c r="A595">
        <f t="shared" si="9"/>
        <v>36025</v>
      </c>
      <c r="B595">
        <v>36</v>
      </c>
      <c r="C595">
        <v>25</v>
      </c>
      <c r="D595">
        <v>61</v>
      </c>
      <c r="E595" t="s">
        <v>23</v>
      </c>
      <c r="F595">
        <v>-51742.122000000003</v>
      </c>
      <c r="G595">
        <v>2.3290000000000002</v>
      </c>
    </row>
    <row r="596" spans="1:7" x14ac:dyDescent="0.2">
      <c r="A596">
        <f t="shared" si="9"/>
        <v>36026</v>
      </c>
      <c r="B596">
        <v>36</v>
      </c>
      <c r="C596">
        <v>26</v>
      </c>
      <c r="D596">
        <v>62</v>
      </c>
      <c r="E596" t="s">
        <v>24</v>
      </c>
      <c r="F596">
        <v>-58878.048000000003</v>
      </c>
      <c r="G596">
        <v>2.794</v>
      </c>
    </row>
    <row r="597" spans="1:7" x14ac:dyDescent="0.2">
      <c r="A597">
        <f t="shared" si="9"/>
        <v>36027</v>
      </c>
      <c r="B597">
        <v>36</v>
      </c>
      <c r="C597">
        <v>27</v>
      </c>
      <c r="D597">
        <v>63</v>
      </c>
      <c r="E597" t="s">
        <v>25</v>
      </c>
      <c r="F597">
        <v>-61851.44</v>
      </c>
      <c r="G597">
        <v>18.574999999999999</v>
      </c>
    </row>
    <row r="598" spans="1:7" x14ac:dyDescent="0.2">
      <c r="A598">
        <f t="shared" si="9"/>
        <v>36028</v>
      </c>
      <c r="B598">
        <v>36</v>
      </c>
      <c r="C598">
        <v>28</v>
      </c>
      <c r="D598">
        <v>64</v>
      </c>
      <c r="E598" t="s">
        <v>26</v>
      </c>
      <c r="F598">
        <v>-67098.921000000002</v>
      </c>
      <c r="G598">
        <v>0.47499999999999998</v>
      </c>
    </row>
    <row r="599" spans="1:7" x14ac:dyDescent="0.2">
      <c r="A599">
        <f t="shared" si="9"/>
        <v>36029</v>
      </c>
      <c r="B599">
        <v>36</v>
      </c>
      <c r="C599">
        <v>29</v>
      </c>
      <c r="D599">
        <v>65</v>
      </c>
      <c r="E599" t="s">
        <v>27</v>
      </c>
      <c r="F599">
        <v>-67263.66</v>
      </c>
      <c r="G599">
        <v>0.65</v>
      </c>
    </row>
    <row r="600" spans="1:7" x14ac:dyDescent="0.2">
      <c r="A600">
        <f t="shared" si="9"/>
        <v>36030</v>
      </c>
      <c r="B600">
        <v>36</v>
      </c>
      <c r="C600">
        <v>30</v>
      </c>
      <c r="D600">
        <v>66</v>
      </c>
      <c r="E600" t="s">
        <v>28</v>
      </c>
      <c r="F600">
        <v>-68899.16</v>
      </c>
      <c r="G600">
        <v>0.749</v>
      </c>
    </row>
    <row r="601" spans="1:7" x14ac:dyDescent="0.2">
      <c r="A601">
        <f t="shared" si="9"/>
        <v>36031</v>
      </c>
      <c r="B601">
        <v>36</v>
      </c>
      <c r="C601">
        <v>31</v>
      </c>
      <c r="D601">
        <v>67</v>
      </c>
      <c r="E601" t="s">
        <v>29</v>
      </c>
      <c r="F601">
        <v>-66879.047999999995</v>
      </c>
      <c r="G601">
        <v>1.181</v>
      </c>
    </row>
    <row r="602" spans="1:7" x14ac:dyDescent="0.2">
      <c r="A602">
        <f t="shared" si="9"/>
        <v>36032</v>
      </c>
      <c r="B602">
        <v>36</v>
      </c>
      <c r="C602">
        <v>32</v>
      </c>
      <c r="D602">
        <v>68</v>
      </c>
      <c r="E602" t="s">
        <v>30</v>
      </c>
      <c r="F602">
        <v>-66978.789000000004</v>
      </c>
      <c r="G602">
        <v>1.8759999999999999</v>
      </c>
    </row>
    <row r="603" spans="1:7" x14ac:dyDescent="0.2">
      <c r="A603">
        <f t="shared" si="9"/>
        <v>36033</v>
      </c>
      <c r="B603">
        <v>36</v>
      </c>
      <c r="C603">
        <v>33</v>
      </c>
      <c r="D603">
        <v>69</v>
      </c>
      <c r="E603" t="s">
        <v>31</v>
      </c>
      <c r="F603">
        <v>-63112.171000000002</v>
      </c>
      <c r="G603">
        <v>31.998999999999999</v>
      </c>
    </row>
    <row r="604" spans="1:7" x14ac:dyDescent="0.2">
      <c r="A604">
        <f t="shared" si="9"/>
        <v>36034</v>
      </c>
      <c r="B604">
        <v>36</v>
      </c>
      <c r="C604">
        <v>34</v>
      </c>
      <c r="D604">
        <v>70</v>
      </c>
      <c r="E604" t="s">
        <v>32</v>
      </c>
      <c r="F604">
        <v>-61929.891000000003</v>
      </c>
      <c r="G604">
        <v>1.5840000000000001</v>
      </c>
    </row>
    <row r="605" spans="1:7" x14ac:dyDescent="0.2">
      <c r="A605">
        <f t="shared" si="9"/>
        <v>36035</v>
      </c>
      <c r="B605">
        <v>36</v>
      </c>
      <c r="C605">
        <v>35</v>
      </c>
      <c r="D605">
        <v>71</v>
      </c>
      <c r="E605" t="s">
        <v>33</v>
      </c>
      <c r="F605">
        <v>-56502.417999999998</v>
      </c>
      <c r="G605">
        <v>5.4020000000000001</v>
      </c>
    </row>
    <row r="606" spans="1:7" x14ac:dyDescent="0.2">
      <c r="A606">
        <f t="shared" si="9"/>
        <v>36036</v>
      </c>
      <c r="B606">
        <v>36</v>
      </c>
      <c r="C606">
        <v>36</v>
      </c>
      <c r="D606">
        <v>72</v>
      </c>
      <c r="E606" t="s">
        <v>34</v>
      </c>
      <c r="F606">
        <v>-53940.574999999997</v>
      </c>
      <c r="G606">
        <v>8.0109999999999992</v>
      </c>
    </row>
    <row r="607" spans="1:7" x14ac:dyDescent="0.2">
      <c r="A607">
        <f t="shared" si="9"/>
        <v>36037</v>
      </c>
      <c r="B607">
        <v>36</v>
      </c>
      <c r="C607">
        <v>37</v>
      </c>
      <c r="D607">
        <v>73</v>
      </c>
      <c r="E607" t="s">
        <v>35</v>
      </c>
      <c r="F607" t="s">
        <v>789</v>
      </c>
      <c r="G607" t="s">
        <v>204</v>
      </c>
    </row>
    <row r="608" spans="1:7" x14ac:dyDescent="0.2">
      <c r="A608">
        <f t="shared" si="9"/>
        <v>36038</v>
      </c>
      <c r="B608">
        <v>36</v>
      </c>
      <c r="C608">
        <v>38</v>
      </c>
      <c r="D608">
        <v>74</v>
      </c>
      <c r="E608" t="s">
        <v>36</v>
      </c>
      <c r="F608" t="s">
        <v>794</v>
      </c>
      <c r="G608" t="s">
        <v>795</v>
      </c>
    </row>
    <row r="609" spans="1:7" x14ac:dyDescent="0.2">
      <c r="A609">
        <f t="shared" si="9"/>
        <v>36039</v>
      </c>
      <c r="B609">
        <v>36</v>
      </c>
      <c r="C609">
        <v>39</v>
      </c>
      <c r="D609">
        <v>75</v>
      </c>
      <c r="E609" t="s">
        <v>37</v>
      </c>
      <c r="F609" t="s">
        <v>799</v>
      </c>
      <c r="G609" t="s">
        <v>235</v>
      </c>
    </row>
    <row r="610" spans="1:7" x14ac:dyDescent="0.2">
      <c r="A610">
        <f t="shared" si="9"/>
        <v>37019</v>
      </c>
      <c r="B610">
        <v>37</v>
      </c>
      <c r="C610">
        <v>19</v>
      </c>
      <c r="D610">
        <v>56</v>
      </c>
      <c r="E610" t="s">
        <v>17</v>
      </c>
      <c r="F610" t="s">
        <v>722</v>
      </c>
      <c r="G610" t="s">
        <v>200</v>
      </c>
    </row>
    <row r="611" spans="1:7" x14ac:dyDescent="0.2">
      <c r="A611">
        <f t="shared" si="9"/>
        <v>37020</v>
      </c>
      <c r="B611">
        <v>37</v>
      </c>
      <c r="C611">
        <v>20</v>
      </c>
      <c r="D611">
        <v>57</v>
      </c>
      <c r="E611" t="s">
        <v>18</v>
      </c>
      <c r="F611" t="s">
        <v>726</v>
      </c>
      <c r="G611" t="s">
        <v>197</v>
      </c>
    </row>
    <row r="612" spans="1:7" x14ac:dyDescent="0.2">
      <c r="A612">
        <f t="shared" si="9"/>
        <v>37021</v>
      </c>
      <c r="B612">
        <v>37</v>
      </c>
      <c r="C612">
        <v>21</v>
      </c>
      <c r="D612">
        <v>58</v>
      </c>
      <c r="E612" t="s">
        <v>19</v>
      </c>
      <c r="F612" t="s">
        <v>271</v>
      </c>
      <c r="G612" t="s">
        <v>197</v>
      </c>
    </row>
    <row r="613" spans="1:7" x14ac:dyDescent="0.2">
      <c r="A613">
        <f t="shared" si="9"/>
        <v>37022</v>
      </c>
      <c r="B613">
        <v>37</v>
      </c>
      <c r="C613">
        <v>22</v>
      </c>
      <c r="D613">
        <v>59</v>
      </c>
      <c r="E613" t="s">
        <v>20</v>
      </c>
      <c r="F613" t="s">
        <v>734</v>
      </c>
      <c r="G613" t="s">
        <v>204</v>
      </c>
    </row>
    <row r="614" spans="1:7" x14ac:dyDescent="0.2">
      <c r="A614">
        <f t="shared" si="9"/>
        <v>37023</v>
      </c>
      <c r="B614">
        <v>37</v>
      </c>
      <c r="C614">
        <v>23</v>
      </c>
      <c r="D614">
        <v>60</v>
      </c>
      <c r="E614" t="s">
        <v>21</v>
      </c>
      <c r="F614">
        <v>-33241.955999999998</v>
      </c>
      <c r="G614">
        <v>220.15899999999999</v>
      </c>
    </row>
    <row r="615" spans="1:7" x14ac:dyDescent="0.2">
      <c r="A615">
        <f t="shared" si="9"/>
        <v>37024</v>
      </c>
      <c r="B615">
        <v>37</v>
      </c>
      <c r="C615">
        <v>24</v>
      </c>
      <c r="D615">
        <v>61</v>
      </c>
      <c r="E615" t="s">
        <v>22</v>
      </c>
      <c r="F615">
        <v>-42475.228999999999</v>
      </c>
      <c r="G615">
        <v>101.34099999999999</v>
      </c>
    </row>
    <row r="616" spans="1:7" x14ac:dyDescent="0.2">
      <c r="A616">
        <f t="shared" si="9"/>
        <v>37025</v>
      </c>
      <c r="B616">
        <v>37</v>
      </c>
      <c r="C616">
        <v>25</v>
      </c>
      <c r="D616">
        <v>62</v>
      </c>
      <c r="E616" t="s">
        <v>23</v>
      </c>
      <c r="F616">
        <v>-48523.957000000002</v>
      </c>
      <c r="G616">
        <v>6.5419999999999998</v>
      </c>
    </row>
    <row r="617" spans="1:7" x14ac:dyDescent="0.2">
      <c r="A617">
        <f t="shared" si="9"/>
        <v>37026</v>
      </c>
      <c r="B617">
        <v>37</v>
      </c>
      <c r="C617">
        <v>26</v>
      </c>
      <c r="D617">
        <v>63</v>
      </c>
      <c r="E617" t="s">
        <v>24</v>
      </c>
      <c r="F617">
        <v>-55635.620999999999</v>
      </c>
      <c r="G617">
        <v>4.3019999999999996</v>
      </c>
    </row>
    <row r="618" spans="1:7" x14ac:dyDescent="0.2">
      <c r="A618">
        <f t="shared" si="9"/>
        <v>37027</v>
      </c>
      <c r="B618">
        <v>37</v>
      </c>
      <c r="C618">
        <v>27</v>
      </c>
      <c r="D618">
        <v>64</v>
      </c>
      <c r="E618" t="s">
        <v>25</v>
      </c>
      <c r="F618">
        <v>-59792.328999999998</v>
      </c>
      <c r="G618">
        <v>20.006</v>
      </c>
    </row>
    <row r="619" spans="1:7" x14ac:dyDescent="0.2">
      <c r="A619">
        <f t="shared" si="9"/>
        <v>37028</v>
      </c>
      <c r="B619">
        <v>37</v>
      </c>
      <c r="C619">
        <v>28</v>
      </c>
      <c r="D619">
        <v>65</v>
      </c>
      <c r="E619" t="s">
        <v>26</v>
      </c>
      <c r="F619">
        <v>-65125.684999999998</v>
      </c>
      <c r="G619">
        <v>0.495</v>
      </c>
    </row>
    <row r="620" spans="1:7" x14ac:dyDescent="0.2">
      <c r="A620">
        <f t="shared" si="9"/>
        <v>37029</v>
      </c>
      <c r="B620">
        <v>37</v>
      </c>
      <c r="C620">
        <v>29</v>
      </c>
      <c r="D620">
        <v>66</v>
      </c>
      <c r="E620" t="s">
        <v>27</v>
      </c>
      <c r="F620">
        <v>-66258.271999999997</v>
      </c>
      <c r="G620">
        <v>0.65500000000000003</v>
      </c>
    </row>
    <row r="621" spans="1:7" x14ac:dyDescent="0.2">
      <c r="A621">
        <f t="shared" si="9"/>
        <v>37030</v>
      </c>
      <c r="B621">
        <v>37</v>
      </c>
      <c r="C621">
        <v>30</v>
      </c>
      <c r="D621">
        <v>67</v>
      </c>
      <c r="E621" t="s">
        <v>28</v>
      </c>
      <c r="F621">
        <v>-67880.312999999995</v>
      </c>
      <c r="G621">
        <v>0.76</v>
      </c>
    </row>
    <row r="622" spans="1:7" x14ac:dyDescent="0.2">
      <c r="A622">
        <f t="shared" si="9"/>
        <v>37031</v>
      </c>
      <c r="B622">
        <v>37</v>
      </c>
      <c r="C622">
        <v>31</v>
      </c>
      <c r="D622">
        <v>68</v>
      </c>
      <c r="E622" t="s">
        <v>29</v>
      </c>
      <c r="F622">
        <v>-67085.991999999998</v>
      </c>
      <c r="G622">
        <v>1.4330000000000001</v>
      </c>
    </row>
    <row r="623" spans="1:7" x14ac:dyDescent="0.2">
      <c r="A623">
        <f t="shared" si="9"/>
        <v>37032</v>
      </c>
      <c r="B623">
        <v>37</v>
      </c>
      <c r="C623">
        <v>32</v>
      </c>
      <c r="D623">
        <v>69</v>
      </c>
      <c r="E623" t="s">
        <v>30</v>
      </c>
      <c r="F623">
        <v>-67100.663</v>
      </c>
      <c r="G623">
        <v>1.3180000000000001</v>
      </c>
    </row>
    <row r="624" spans="1:7" x14ac:dyDescent="0.2">
      <c r="A624">
        <f t="shared" si="9"/>
        <v>37033</v>
      </c>
      <c r="B624">
        <v>37</v>
      </c>
      <c r="C624">
        <v>33</v>
      </c>
      <c r="D624">
        <v>70</v>
      </c>
      <c r="E624" t="s">
        <v>31</v>
      </c>
      <c r="F624">
        <v>-64341.875999999997</v>
      </c>
      <c r="G624">
        <v>50.006999999999998</v>
      </c>
    </row>
    <row r="625" spans="1:7" x14ac:dyDescent="0.2">
      <c r="A625">
        <f t="shared" si="9"/>
        <v>37034</v>
      </c>
      <c r="B625">
        <v>37</v>
      </c>
      <c r="C625">
        <v>34</v>
      </c>
      <c r="D625">
        <v>71</v>
      </c>
      <c r="E625" t="s">
        <v>32</v>
      </c>
      <c r="F625">
        <v>-63146.506999999998</v>
      </c>
      <c r="G625">
        <v>2.794</v>
      </c>
    </row>
    <row r="626" spans="1:7" x14ac:dyDescent="0.2">
      <c r="A626">
        <f t="shared" si="9"/>
        <v>37035</v>
      </c>
      <c r="B626">
        <v>37</v>
      </c>
      <c r="C626">
        <v>35</v>
      </c>
      <c r="D626">
        <v>72</v>
      </c>
      <c r="E626" t="s">
        <v>33</v>
      </c>
      <c r="F626">
        <v>-59061.743000000002</v>
      </c>
      <c r="G626">
        <v>1.0249999999999999</v>
      </c>
    </row>
    <row r="627" spans="1:7" x14ac:dyDescent="0.2">
      <c r="A627">
        <f t="shared" si="9"/>
        <v>37036</v>
      </c>
      <c r="B627">
        <v>37</v>
      </c>
      <c r="C627">
        <v>36</v>
      </c>
      <c r="D627">
        <v>73</v>
      </c>
      <c r="E627" t="s">
        <v>34</v>
      </c>
      <c r="F627">
        <v>-56551.750999999997</v>
      </c>
      <c r="G627">
        <v>6.5780000000000003</v>
      </c>
    </row>
    <row r="628" spans="1:7" x14ac:dyDescent="0.2">
      <c r="A628">
        <f t="shared" si="9"/>
        <v>37037</v>
      </c>
      <c r="B628">
        <v>37</v>
      </c>
      <c r="C628">
        <v>37</v>
      </c>
      <c r="D628">
        <v>74</v>
      </c>
      <c r="E628" t="s">
        <v>35</v>
      </c>
      <c r="F628">
        <v>-51916.008999999998</v>
      </c>
      <c r="G628">
        <v>3.0270000000000001</v>
      </c>
    </row>
    <row r="629" spans="1:7" x14ac:dyDescent="0.2">
      <c r="A629">
        <f t="shared" si="9"/>
        <v>37038</v>
      </c>
      <c r="B629">
        <v>37</v>
      </c>
      <c r="C629">
        <v>38</v>
      </c>
      <c r="D629">
        <v>75</v>
      </c>
      <c r="E629" t="s">
        <v>36</v>
      </c>
      <c r="F629">
        <v>-46618.694000000003</v>
      </c>
      <c r="G629">
        <v>220.00299999999999</v>
      </c>
    </row>
    <row r="630" spans="1:7" x14ac:dyDescent="0.2">
      <c r="A630">
        <f t="shared" si="9"/>
        <v>37039</v>
      </c>
      <c r="B630">
        <v>37</v>
      </c>
      <c r="C630">
        <v>39</v>
      </c>
      <c r="D630">
        <v>76</v>
      </c>
      <c r="E630" t="s">
        <v>37</v>
      </c>
      <c r="F630" t="s">
        <v>258</v>
      </c>
      <c r="G630" t="s">
        <v>235</v>
      </c>
    </row>
    <row r="631" spans="1:7" x14ac:dyDescent="0.2">
      <c r="A631">
        <f t="shared" si="9"/>
        <v>37040</v>
      </c>
      <c r="B631">
        <v>37</v>
      </c>
      <c r="C631">
        <v>40</v>
      </c>
      <c r="D631">
        <v>77</v>
      </c>
      <c r="E631" t="s">
        <v>38</v>
      </c>
      <c r="F631" t="s">
        <v>806</v>
      </c>
      <c r="G631" t="s">
        <v>197</v>
      </c>
    </row>
    <row r="632" spans="1:7" x14ac:dyDescent="0.2">
      <c r="A632">
        <f t="shared" si="9"/>
        <v>38020</v>
      </c>
      <c r="B632">
        <v>38</v>
      </c>
      <c r="C632">
        <v>20</v>
      </c>
      <c r="D632">
        <v>58</v>
      </c>
      <c r="E632" t="s">
        <v>18</v>
      </c>
      <c r="F632" t="s">
        <v>729</v>
      </c>
      <c r="G632" t="s">
        <v>245</v>
      </c>
    </row>
    <row r="633" spans="1:7" x14ac:dyDescent="0.2">
      <c r="A633">
        <f t="shared" si="9"/>
        <v>38021</v>
      </c>
      <c r="B633">
        <v>38</v>
      </c>
      <c r="C633">
        <v>21</v>
      </c>
      <c r="D633">
        <v>59</v>
      </c>
      <c r="E633" t="s">
        <v>19</v>
      </c>
      <c r="F633" t="s">
        <v>733</v>
      </c>
      <c r="G633" t="s">
        <v>197</v>
      </c>
    </row>
    <row r="634" spans="1:7" x14ac:dyDescent="0.2">
      <c r="A634">
        <f t="shared" si="9"/>
        <v>38022</v>
      </c>
      <c r="B634">
        <v>38</v>
      </c>
      <c r="C634">
        <v>22</v>
      </c>
      <c r="D634">
        <v>60</v>
      </c>
      <c r="E634" t="s">
        <v>20</v>
      </c>
      <c r="F634" t="s">
        <v>713</v>
      </c>
      <c r="G634" t="s">
        <v>235</v>
      </c>
    </row>
    <row r="635" spans="1:7" x14ac:dyDescent="0.2">
      <c r="A635">
        <f t="shared" si="9"/>
        <v>38023</v>
      </c>
      <c r="B635">
        <v>38</v>
      </c>
      <c r="C635">
        <v>23</v>
      </c>
      <c r="D635">
        <v>61</v>
      </c>
      <c r="E635" t="s">
        <v>21</v>
      </c>
      <c r="F635">
        <v>-30506.429</v>
      </c>
      <c r="G635">
        <v>894.23400000000004</v>
      </c>
    </row>
    <row r="636" spans="1:7" x14ac:dyDescent="0.2">
      <c r="A636">
        <f t="shared" si="9"/>
        <v>38024</v>
      </c>
      <c r="B636">
        <v>38</v>
      </c>
      <c r="C636">
        <v>24</v>
      </c>
      <c r="D636">
        <v>62</v>
      </c>
      <c r="E636" t="s">
        <v>22</v>
      </c>
      <c r="F636">
        <v>-40894.961000000003</v>
      </c>
      <c r="G636">
        <v>148.09899999999999</v>
      </c>
    </row>
    <row r="637" spans="1:7" x14ac:dyDescent="0.2">
      <c r="A637">
        <f t="shared" si="9"/>
        <v>38025</v>
      </c>
      <c r="B637">
        <v>38</v>
      </c>
      <c r="C637">
        <v>25</v>
      </c>
      <c r="D637">
        <v>63</v>
      </c>
      <c r="E637" t="s">
        <v>23</v>
      </c>
      <c r="F637">
        <v>-46887.053</v>
      </c>
      <c r="G637">
        <v>3.726</v>
      </c>
    </row>
    <row r="638" spans="1:7" x14ac:dyDescent="0.2">
      <c r="A638">
        <f t="shared" si="9"/>
        <v>38026</v>
      </c>
      <c r="B638">
        <v>38</v>
      </c>
      <c r="C638">
        <v>26</v>
      </c>
      <c r="D638">
        <v>64</v>
      </c>
      <c r="E638" t="s">
        <v>24</v>
      </c>
      <c r="F638">
        <v>-54969.544000000002</v>
      </c>
      <c r="G638">
        <v>5.0170000000000003</v>
      </c>
    </row>
    <row r="639" spans="1:7" x14ac:dyDescent="0.2">
      <c r="A639">
        <f t="shared" si="9"/>
        <v>38027</v>
      </c>
      <c r="B639">
        <v>38</v>
      </c>
      <c r="C639">
        <v>27</v>
      </c>
      <c r="D639">
        <v>65</v>
      </c>
      <c r="E639" t="s">
        <v>25</v>
      </c>
      <c r="F639">
        <v>-59185.197999999997</v>
      </c>
      <c r="G639">
        <v>2.0830000000000002</v>
      </c>
    </row>
    <row r="640" spans="1:7" x14ac:dyDescent="0.2">
      <c r="A640">
        <f t="shared" si="9"/>
        <v>38028</v>
      </c>
      <c r="B640">
        <v>38</v>
      </c>
      <c r="C640">
        <v>28</v>
      </c>
      <c r="D640">
        <v>66</v>
      </c>
      <c r="E640" t="s">
        <v>26</v>
      </c>
      <c r="F640">
        <v>-66006.285000000003</v>
      </c>
      <c r="G640">
        <v>1.397</v>
      </c>
    </row>
    <row r="641" spans="1:7" x14ac:dyDescent="0.2">
      <c r="A641">
        <f t="shared" ref="A641:A704" si="10">1000*B641+C641</f>
        <v>38029</v>
      </c>
      <c r="B641">
        <v>38</v>
      </c>
      <c r="C641">
        <v>29</v>
      </c>
      <c r="D641">
        <v>67</v>
      </c>
      <c r="E641" t="s">
        <v>27</v>
      </c>
      <c r="F641">
        <v>-67319.513000000006</v>
      </c>
      <c r="G641">
        <v>0.89400000000000002</v>
      </c>
    </row>
    <row r="642" spans="1:7" x14ac:dyDescent="0.2">
      <c r="A642">
        <f t="shared" si="10"/>
        <v>38030</v>
      </c>
      <c r="B642">
        <v>38</v>
      </c>
      <c r="C642">
        <v>30</v>
      </c>
      <c r="D642">
        <v>68</v>
      </c>
      <c r="E642" t="s">
        <v>28</v>
      </c>
      <c r="F642">
        <v>-70007.092000000004</v>
      </c>
      <c r="G642">
        <v>0.78400000000000003</v>
      </c>
    </row>
    <row r="643" spans="1:7" x14ac:dyDescent="0.2">
      <c r="A643">
        <f t="shared" si="10"/>
        <v>38031</v>
      </c>
      <c r="B643">
        <v>38</v>
      </c>
      <c r="C643">
        <v>31</v>
      </c>
      <c r="D643">
        <v>69</v>
      </c>
      <c r="E643" t="s">
        <v>29</v>
      </c>
      <c r="F643">
        <v>-69327.808999999994</v>
      </c>
      <c r="G643">
        <v>1.1970000000000001</v>
      </c>
    </row>
    <row r="644" spans="1:7" x14ac:dyDescent="0.2">
      <c r="A644">
        <f t="shared" si="10"/>
        <v>38032</v>
      </c>
      <c r="B644">
        <v>38</v>
      </c>
      <c r="C644">
        <v>32</v>
      </c>
      <c r="D644">
        <v>70</v>
      </c>
      <c r="E644" t="s">
        <v>30</v>
      </c>
      <c r="F644">
        <v>-70561.876000000004</v>
      </c>
      <c r="G644">
        <v>0.83799999999999997</v>
      </c>
    </row>
    <row r="645" spans="1:7" x14ac:dyDescent="0.2">
      <c r="A645">
        <f t="shared" si="10"/>
        <v>38033</v>
      </c>
      <c r="B645">
        <v>38</v>
      </c>
      <c r="C645">
        <v>33</v>
      </c>
      <c r="D645">
        <v>71</v>
      </c>
      <c r="E645" t="s">
        <v>31</v>
      </c>
      <c r="F645">
        <v>-67893.096999999994</v>
      </c>
      <c r="G645">
        <v>4.1669999999999998</v>
      </c>
    </row>
    <row r="646" spans="1:7" x14ac:dyDescent="0.2">
      <c r="A646">
        <f t="shared" si="10"/>
        <v>38034</v>
      </c>
      <c r="B646">
        <v>38</v>
      </c>
      <c r="C646">
        <v>34</v>
      </c>
      <c r="D646">
        <v>72</v>
      </c>
      <c r="E646" t="s">
        <v>32</v>
      </c>
      <c r="F646">
        <v>-67868.179999999993</v>
      </c>
      <c r="G646">
        <v>1.956</v>
      </c>
    </row>
    <row r="647" spans="1:7" x14ac:dyDescent="0.2">
      <c r="A647">
        <f t="shared" si="10"/>
        <v>38035</v>
      </c>
      <c r="B647">
        <v>38</v>
      </c>
      <c r="C647">
        <v>35</v>
      </c>
      <c r="D647">
        <v>73</v>
      </c>
      <c r="E647" t="s">
        <v>33</v>
      </c>
      <c r="F647">
        <v>-63647.474999999999</v>
      </c>
      <c r="G647">
        <v>7.266</v>
      </c>
    </row>
    <row r="648" spans="1:7" x14ac:dyDescent="0.2">
      <c r="A648">
        <f t="shared" si="10"/>
        <v>38036</v>
      </c>
      <c r="B648">
        <v>38</v>
      </c>
      <c r="C648">
        <v>36</v>
      </c>
      <c r="D648">
        <v>74</v>
      </c>
      <c r="E648" t="s">
        <v>34</v>
      </c>
      <c r="F648">
        <v>-62331.836000000003</v>
      </c>
      <c r="G648">
        <v>2.0129999999999999</v>
      </c>
    </row>
    <row r="649" spans="1:7" x14ac:dyDescent="0.2">
      <c r="A649">
        <f t="shared" si="10"/>
        <v>38037</v>
      </c>
      <c r="B649">
        <v>38</v>
      </c>
      <c r="C649">
        <v>37</v>
      </c>
      <c r="D649">
        <v>75</v>
      </c>
      <c r="E649" t="s">
        <v>35</v>
      </c>
      <c r="F649">
        <v>-57218.694000000003</v>
      </c>
      <c r="G649">
        <v>1.18</v>
      </c>
    </row>
    <row r="650" spans="1:7" x14ac:dyDescent="0.2">
      <c r="A650">
        <f t="shared" si="10"/>
        <v>38038</v>
      </c>
      <c r="B650">
        <v>38</v>
      </c>
      <c r="C650">
        <v>38</v>
      </c>
      <c r="D650">
        <v>76</v>
      </c>
      <c r="E650" t="s">
        <v>36</v>
      </c>
      <c r="F650">
        <v>-54247.639000000003</v>
      </c>
      <c r="G650">
        <v>34.465000000000003</v>
      </c>
    </row>
    <row r="651" spans="1:7" x14ac:dyDescent="0.2">
      <c r="A651">
        <f t="shared" si="10"/>
        <v>38039</v>
      </c>
      <c r="B651">
        <v>38</v>
      </c>
      <c r="C651">
        <v>39</v>
      </c>
      <c r="D651">
        <v>77</v>
      </c>
      <c r="E651" t="s">
        <v>37</v>
      </c>
      <c r="F651" t="s">
        <v>805</v>
      </c>
      <c r="G651" t="s">
        <v>208</v>
      </c>
    </row>
    <row r="652" spans="1:7" x14ac:dyDescent="0.2">
      <c r="A652">
        <f t="shared" si="10"/>
        <v>38040</v>
      </c>
      <c r="B652">
        <v>38</v>
      </c>
      <c r="C652">
        <v>40</v>
      </c>
      <c r="D652">
        <v>78</v>
      </c>
      <c r="E652" t="s">
        <v>38</v>
      </c>
      <c r="F652" t="s">
        <v>809</v>
      </c>
      <c r="G652" t="s">
        <v>197</v>
      </c>
    </row>
    <row r="653" spans="1:7" x14ac:dyDescent="0.2">
      <c r="A653">
        <f t="shared" si="10"/>
        <v>38041</v>
      </c>
      <c r="B653">
        <v>38</v>
      </c>
      <c r="C653">
        <v>41</v>
      </c>
      <c r="D653">
        <v>79</v>
      </c>
      <c r="E653" t="s">
        <v>39</v>
      </c>
      <c r="F653" t="s">
        <v>812</v>
      </c>
      <c r="G653" t="s">
        <v>245</v>
      </c>
    </row>
    <row r="654" spans="1:7" x14ac:dyDescent="0.2">
      <c r="A654">
        <f t="shared" si="10"/>
        <v>39021</v>
      </c>
      <c r="B654">
        <v>39</v>
      </c>
      <c r="C654">
        <v>21</v>
      </c>
      <c r="D654">
        <v>60</v>
      </c>
      <c r="E654" t="s">
        <v>19</v>
      </c>
      <c r="F654" t="s">
        <v>738</v>
      </c>
      <c r="G654" t="s">
        <v>245</v>
      </c>
    </row>
    <row r="655" spans="1:7" x14ac:dyDescent="0.2">
      <c r="A655">
        <f t="shared" si="10"/>
        <v>39022</v>
      </c>
      <c r="B655">
        <v>39</v>
      </c>
      <c r="C655">
        <v>22</v>
      </c>
      <c r="D655">
        <v>61</v>
      </c>
      <c r="E655" t="s">
        <v>20</v>
      </c>
      <c r="F655" t="s">
        <v>742</v>
      </c>
      <c r="G655" t="s">
        <v>197</v>
      </c>
    </row>
    <row r="656" spans="1:7" x14ac:dyDescent="0.2">
      <c r="A656">
        <f t="shared" si="10"/>
        <v>39023</v>
      </c>
      <c r="B656">
        <v>39</v>
      </c>
      <c r="C656">
        <v>23</v>
      </c>
      <c r="D656">
        <v>62</v>
      </c>
      <c r="E656" t="s">
        <v>21</v>
      </c>
      <c r="F656" t="s">
        <v>746</v>
      </c>
      <c r="G656" t="s">
        <v>202</v>
      </c>
    </row>
    <row r="657" spans="1:7" x14ac:dyDescent="0.2">
      <c r="A657">
        <f t="shared" si="10"/>
        <v>39024</v>
      </c>
      <c r="B657">
        <v>39</v>
      </c>
      <c r="C657">
        <v>24</v>
      </c>
      <c r="D657">
        <v>63</v>
      </c>
      <c r="E657" t="s">
        <v>22</v>
      </c>
      <c r="F657">
        <v>-36007.474000000002</v>
      </c>
      <c r="G657">
        <v>358.07299999999998</v>
      </c>
    </row>
    <row r="658" spans="1:7" x14ac:dyDescent="0.2">
      <c r="A658">
        <f t="shared" si="10"/>
        <v>39025</v>
      </c>
      <c r="B658">
        <v>39</v>
      </c>
      <c r="C658">
        <v>25</v>
      </c>
      <c r="D658">
        <v>64</v>
      </c>
      <c r="E658" t="s">
        <v>23</v>
      </c>
      <c r="F658">
        <v>-42989.035000000003</v>
      </c>
      <c r="G658">
        <v>3.54</v>
      </c>
    </row>
    <row r="659" spans="1:7" x14ac:dyDescent="0.2">
      <c r="A659">
        <f t="shared" si="10"/>
        <v>39026</v>
      </c>
      <c r="B659">
        <v>39</v>
      </c>
      <c r="C659">
        <v>26</v>
      </c>
      <c r="D659">
        <v>65</v>
      </c>
      <c r="E659" t="s">
        <v>24</v>
      </c>
      <c r="F659">
        <v>-51217.894999999997</v>
      </c>
      <c r="G659">
        <v>5.1120000000000001</v>
      </c>
    </row>
    <row r="660" spans="1:7" x14ac:dyDescent="0.2">
      <c r="A660">
        <f t="shared" si="10"/>
        <v>39027</v>
      </c>
      <c r="B660">
        <v>39</v>
      </c>
      <c r="C660">
        <v>27</v>
      </c>
      <c r="D660">
        <v>66</v>
      </c>
      <c r="E660" t="s">
        <v>25</v>
      </c>
      <c r="F660">
        <v>-56408.533000000003</v>
      </c>
      <c r="G660">
        <v>13.972</v>
      </c>
    </row>
    <row r="661" spans="1:7" x14ac:dyDescent="0.2">
      <c r="A661">
        <f t="shared" si="10"/>
        <v>39028</v>
      </c>
      <c r="B661">
        <v>39</v>
      </c>
      <c r="C661">
        <v>28</v>
      </c>
      <c r="D661">
        <v>67</v>
      </c>
      <c r="E661" t="s">
        <v>26</v>
      </c>
      <c r="F661">
        <v>-63742.68</v>
      </c>
      <c r="G661">
        <v>2.8879999999999999</v>
      </c>
    </row>
    <row r="662" spans="1:7" x14ac:dyDescent="0.2">
      <c r="A662">
        <f t="shared" si="10"/>
        <v>39029</v>
      </c>
      <c r="B662">
        <v>39</v>
      </c>
      <c r="C662">
        <v>29</v>
      </c>
      <c r="D662">
        <v>68</v>
      </c>
      <c r="E662" t="s">
        <v>27</v>
      </c>
      <c r="F662">
        <v>-65567.035000000003</v>
      </c>
      <c r="G662">
        <v>1.5840000000000001</v>
      </c>
    </row>
    <row r="663" spans="1:7" x14ac:dyDescent="0.2">
      <c r="A663">
        <f t="shared" si="10"/>
        <v>39030</v>
      </c>
      <c r="B663">
        <v>39</v>
      </c>
      <c r="C663">
        <v>30</v>
      </c>
      <c r="D663">
        <v>69</v>
      </c>
      <c r="E663" t="s">
        <v>28</v>
      </c>
      <c r="F663">
        <v>-68417.845000000001</v>
      </c>
      <c r="G663">
        <v>0.8</v>
      </c>
    </row>
    <row r="664" spans="1:7" x14ac:dyDescent="0.2">
      <c r="A664">
        <f t="shared" si="10"/>
        <v>39031</v>
      </c>
      <c r="B664">
        <v>39</v>
      </c>
      <c r="C664">
        <v>31</v>
      </c>
      <c r="D664">
        <v>70</v>
      </c>
      <c r="E664" t="s">
        <v>29</v>
      </c>
      <c r="F664">
        <v>-68910.14</v>
      </c>
      <c r="G664">
        <v>1.2010000000000001</v>
      </c>
    </row>
    <row r="665" spans="1:7" x14ac:dyDescent="0.2">
      <c r="A665">
        <f t="shared" si="10"/>
        <v>39032</v>
      </c>
      <c r="B665">
        <v>39</v>
      </c>
      <c r="C665">
        <v>32</v>
      </c>
      <c r="D665">
        <v>71</v>
      </c>
      <c r="E665" t="s">
        <v>30</v>
      </c>
      <c r="F665">
        <v>-69906.497000000003</v>
      </c>
      <c r="G665">
        <v>0.83399999999999996</v>
      </c>
    </row>
    <row r="666" spans="1:7" x14ac:dyDescent="0.2">
      <c r="A666">
        <f t="shared" si="10"/>
        <v>39033</v>
      </c>
      <c r="B666">
        <v>39</v>
      </c>
      <c r="C666">
        <v>33</v>
      </c>
      <c r="D666">
        <v>72</v>
      </c>
      <c r="E666" t="s">
        <v>31</v>
      </c>
      <c r="F666">
        <v>-68229.797999999995</v>
      </c>
      <c r="G666">
        <v>4.0830000000000002</v>
      </c>
    </row>
    <row r="667" spans="1:7" x14ac:dyDescent="0.2">
      <c r="A667">
        <f t="shared" si="10"/>
        <v>39034</v>
      </c>
      <c r="B667">
        <v>39</v>
      </c>
      <c r="C667">
        <v>34</v>
      </c>
      <c r="D667">
        <v>73</v>
      </c>
      <c r="E667" t="s">
        <v>32</v>
      </c>
      <c r="F667">
        <v>-68227.387000000002</v>
      </c>
      <c r="G667">
        <v>7.4240000000000004</v>
      </c>
    </row>
    <row r="668" spans="1:7" x14ac:dyDescent="0.2">
      <c r="A668">
        <f t="shared" si="10"/>
        <v>39035</v>
      </c>
      <c r="B668">
        <v>39</v>
      </c>
      <c r="C668">
        <v>35</v>
      </c>
      <c r="D668">
        <v>74</v>
      </c>
      <c r="E668" t="s">
        <v>33</v>
      </c>
      <c r="F668">
        <v>-65288.152999999998</v>
      </c>
      <c r="G668">
        <v>5.835</v>
      </c>
    </row>
    <row r="669" spans="1:7" x14ac:dyDescent="0.2">
      <c r="A669">
        <f t="shared" si="10"/>
        <v>39036</v>
      </c>
      <c r="B669">
        <v>39</v>
      </c>
      <c r="C669">
        <v>36</v>
      </c>
      <c r="D669">
        <v>75</v>
      </c>
      <c r="E669" t="s">
        <v>34</v>
      </c>
      <c r="F669">
        <v>-64323.624000000003</v>
      </c>
      <c r="G669">
        <v>8.1039999999999992</v>
      </c>
    </row>
    <row r="670" spans="1:7" x14ac:dyDescent="0.2">
      <c r="A670">
        <f t="shared" si="10"/>
        <v>39037</v>
      </c>
      <c r="B670">
        <v>39</v>
      </c>
      <c r="C670">
        <v>37</v>
      </c>
      <c r="D670">
        <v>76</v>
      </c>
      <c r="E670" t="s">
        <v>35</v>
      </c>
      <c r="F670">
        <v>-60479.080999999998</v>
      </c>
      <c r="G670">
        <v>0.93799999999999994</v>
      </c>
    </row>
    <row r="671" spans="1:7" x14ac:dyDescent="0.2">
      <c r="A671">
        <f t="shared" si="10"/>
        <v>39038</v>
      </c>
      <c r="B671">
        <v>39</v>
      </c>
      <c r="C671">
        <v>38</v>
      </c>
      <c r="D671">
        <v>77</v>
      </c>
      <c r="E671" t="s">
        <v>36</v>
      </c>
      <c r="F671">
        <v>-57803.436000000002</v>
      </c>
      <c r="G671">
        <v>7.9180000000000001</v>
      </c>
    </row>
    <row r="672" spans="1:7" x14ac:dyDescent="0.2">
      <c r="A672">
        <f t="shared" si="10"/>
        <v>39039</v>
      </c>
      <c r="B672">
        <v>39</v>
      </c>
      <c r="C672">
        <v>39</v>
      </c>
      <c r="D672">
        <v>78</v>
      </c>
      <c r="E672" t="s">
        <v>37</v>
      </c>
      <c r="F672" t="s">
        <v>808</v>
      </c>
      <c r="G672" t="s">
        <v>202</v>
      </c>
    </row>
    <row r="673" spans="1:7" x14ac:dyDescent="0.2">
      <c r="A673">
        <f t="shared" si="10"/>
        <v>39040</v>
      </c>
      <c r="B673">
        <v>39</v>
      </c>
      <c r="C673">
        <v>40</v>
      </c>
      <c r="D673">
        <v>79</v>
      </c>
      <c r="E673" t="s">
        <v>38</v>
      </c>
      <c r="F673" t="s">
        <v>811</v>
      </c>
      <c r="G673" t="s">
        <v>235</v>
      </c>
    </row>
    <row r="674" spans="1:7" x14ac:dyDescent="0.2">
      <c r="A674">
        <f t="shared" si="10"/>
        <v>39041</v>
      </c>
      <c r="B674">
        <v>39</v>
      </c>
      <c r="C674">
        <v>41</v>
      </c>
      <c r="D674">
        <v>80</v>
      </c>
      <c r="E674" t="s">
        <v>39</v>
      </c>
      <c r="F674" t="s">
        <v>816</v>
      </c>
      <c r="G674" t="s">
        <v>197</v>
      </c>
    </row>
    <row r="675" spans="1:7" x14ac:dyDescent="0.2">
      <c r="A675">
        <f t="shared" si="10"/>
        <v>39042</v>
      </c>
      <c r="B675">
        <v>39</v>
      </c>
      <c r="C675">
        <v>42</v>
      </c>
      <c r="D675">
        <v>81</v>
      </c>
      <c r="E675" t="s">
        <v>40</v>
      </c>
      <c r="F675" t="s">
        <v>819</v>
      </c>
      <c r="G675" t="s">
        <v>245</v>
      </c>
    </row>
    <row r="676" spans="1:7" x14ac:dyDescent="0.2">
      <c r="A676">
        <f t="shared" si="10"/>
        <v>40021</v>
      </c>
      <c r="B676">
        <v>40</v>
      </c>
      <c r="C676">
        <v>21</v>
      </c>
      <c r="D676">
        <v>61</v>
      </c>
      <c r="E676" t="s">
        <v>19</v>
      </c>
      <c r="F676" t="s">
        <v>223</v>
      </c>
      <c r="G676" t="s">
        <v>666</v>
      </c>
    </row>
    <row r="677" spans="1:7" x14ac:dyDescent="0.2">
      <c r="A677">
        <f t="shared" si="10"/>
        <v>40022</v>
      </c>
      <c r="B677">
        <v>40</v>
      </c>
      <c r="C677">
        <v>22</v>
      </c>
      <c r="D677">
        <v>62</v>
      </c>
      <c r="E677" t="s">
        <v>20</v>
      </c>
      <c r="F677" t="s">
        <v>745</v>
      </c>
      <c r="G677" t="s">
        <v>197</v>
      </c>
    </row>
    <row r="678" spans="1:7" x14ac:dyDescent="0.2">
      <c r="A678">
        <f t="shared" si="10"/>
        <v>40023</v>
      </c>
      <c r="B678">
        <v>40</v>
      </c>
      <c r="C678">
        <v>23</v>
      </c>
      <c r="D678">
        <v>63</v>
      </c>
      <c r="E678" t="s">
        <v>21</v>
      </c>
      <c r="F678" t="s">
        <v>750</v>
      </c>
      <c r="G678" t="s">
        <v>197</v>
      </c>
    </row>
    <row r="679" spans="1:7" x14ac:dyDescent="0.2">
      <c r="A679">
        <f t="shared" si="10"/>
        <v>40024</v>
      </c>
      <c r="B679">
        <v>40</v>
      </c>
      <c r="C679">
        <v>24</v>
      </c>
      <c r="D679">
        <v>64</v>
      </c>
      <c r="E679" t="s">
        <v>22</v>
      </c>
      <c r="F679">
        <v>-33479.756999999998</v>
      </c>
      <c r="G679">
        <v>439.66500000000002</v>
      </c>
    </row>
    <row r="680" spans="1:7" x14ac:dyDescent="0.2">
      <c r="A680">
        <f t="shared" si="10"/>
        <v>40025</v>
      </c>
      <c r="B680">
        <v>40</v>
      </c>
      <c r="C680">
        <v>25</v>
      </c>
      <c r="D680">
        <v>65</v>
      </c>
      <c r="E680" t="s">
        <v>23</v>
      </c>
      <c r="F680">
        <v>-40967.339</v>
      </c>
      <c r="G680">
        <v>3.726</v>
      </c>
    </row>
    <row r="681" spans="1:7" x14ac:dyDescent="0.2">
      <c r="A681">
        <f t="shared" si="10"/>
        <v>40026</v>
      </c>
      <c r="B681">
        <v>40</v>
      </c>
      <c r="C681">
        <v>26</v>
      </c>
      <c r="D681">
        <v>66</v>
      </c>
      <c r="E681" t="s">
        <v>24</v>
      </c>
      <c r="F681">
        <v>-50067.839</v>
      </c>
      <c r="G681">
        <v>4.0990000000000002</v>
      </c>
    </row>
    <row r="682" spans="1:7" x14ac:dyDescent="0.2">
      <c r="A682">
        <f t="shared" si="10"/>
        <v>40027</v>
      </c>
      <c r="B682">
        <v>40</v>
      </c>
      <c r="C682">
        <v>27</v>
      </c>
      <c r="D682">
        <v>67</v>
      </c>
      <c r="E682" t="s">
        <v>25</v>
      </c>
      <c r="F682">
        <v>-55321.775000000001</v>
      </c>
      <c r="G682">
        <v>6.4429999999999996</v>
      </c>
    </row>
    <row r="683" spans="1:7" x14ac:dyDescent="0.2">
      <c r="A683">
        <f t="shared" si="10"/>
        <v>40028</v>
      </c>
      <c r="B683">
        <v>40</v>
      </c>
      <c r="C683">
        <v>28</v>
      </c>
      <c r="D683">
        <v>68</v>
      </c>
      <c r="E683" t="s">
        <v>26</v>
      </c>
      <c r="F683">
        <v>-63463.813999999998</v>
      </c>
      <c r="G683">
        <v>2.9809999999999999</v>
      </c>
    </row>
    <row r="684" spans="1:7" x14ac:dyDescent="0.2">
      <c r="A684">
        <f t="shared" si="10"/>
        <v>40029</v>
      </c>
      <c r="B684">
        <v>40</v>
      </c>
      <c r="C684">
        <v>29</v>
      </c>
      <c r="D684">
        <v>69</v>
      </c>
      <c r="E684" t="s">
        <v>27</v>
      </c>
      <c r="F684">
        <v>-65736.213000000003</v>
      </c>
      <c r="G684">
        <v>1.397</v>
      </c>
    </row>
    <row r="685" spans="1:7" x14ac:dyDescent="0.2">
      <c r="A685">
        <f t="shared" si="10"/>
        <v>40030</v>
      </c>
      <c r="B685">
        <v>40</v>
      </c>
      <c r="C685">
        <v>30</v>
      </c>
      <c r="D685">
        <v>70</v>
      </c>
      <c r="E685" t="s">
        <v>28</v>
      </c>
      <c r="F685">
        <v>-69564.735000000001</v>
      </c>
      <c r="G685">
        <v>1.9179999999999999</v>
      </c>
    </row>
    <row r="686" spans="1:7" x14ac:dyDescent="0.2">
      <c r="A686">
        <f t="shared" si="10"/>
        <v>40031</v>
      </c>
      <c r="B686">
        <v>40</v>
      </c>
      <c r="C686">
        <v>31</v>
      </c>
      <c r="D686">
        <v>71</v>
      </c>
      <c r="E686" t="s">
        <v>29</v>
      </c>
      <c r="F686">
        <v>-70139.134999999995</v>
      </c>
      <c r="G686">
        <v>0.81200000000000006</v>
      </c>
    </row>
    <row r="687" spans="1:7" x14ac:dyDescent="0.2">
      <c r="A687">
        <f t="shared" si="10"/>
        <v>40032</v>
      </c>
      <c r="B687">
        <v>40</v>
      </c>
      <c r="C687">
        <v>32</v>
      </c>
      <c r="D687">
        <v>72</v>
      </c>
      <c r="E687" t="s">
        <v>30</v>
      </c>
      <c r="F687">
        <v>-72585.899999999994</v>
      </c>
      <c r="G687">
        <v>7.5999999999999998E-2</v>
      </c>
    </row>
    <row r="688" spans="1:7" x14ac:dyDescent="0.2">
      <c r="A688">
        <f t="shared" si="10"/>
        <v>40033</v>
      </c>
      <c r="B688">
        <v>40</v>
      </c>
      <c r="C688">
        <v>33</v>
      </c>
      <c r="D688">
        <v>73</v>
      </c>
      <c r="E688" t="s">
        <v>31</v>
      </c>
      <c r="F688">
        <v>-70952.747000000003</v>
      </c>
      <c r="G688">
        <v>3.8530000000000002</v>
      </c>
    </row>
    <row r="689" spans="1:7" x14ac:dyDescent="0.2">
      <c r="A689">
        <f t="shared" si="10"/>
        <v>40034</v>
      </c>
      <c r="B689">
        <v>40</v>
      </c>
      <c r="C689">
        <v>34</v>
      </c>
      <c r="D689">
        <v>74</v>
      </c>
      <c r="E689" t="s">
        <v>32</v>
      </c>
      <c r="F689">
        <v>-72213.201000000001</v>
      </c>
      <c r="G689">
        <v>1.4999999999999999E-2</v>
      </c>
    </row>
    <row r="690" spans="1:7" x14ac:dyDescent="0.2">
      <c r="A690">
        <f t="shared" si="10"/>
        <v>40035</v>
      </c>
      <c r="B690">
        <v>40</v>
      </c>
      <c r="C690">
        <v>35</v>
      </c>
      <c r="D690">
        <v>75</v>
      </c>
      <c r="E690" t="s">
        <v>33</v>
      </c>
      <c r="F690">
        <v>-69107.009000000005</v>
      </c>
      <c r="G690">
        <v>4.2850000000000001</v>
      </c>
    </row>
    <row r="691" spans="1:7" x14ac:dyDescent="0.2">
      <c r="A691">
        <f t="shared" si="10"/>
        <v>40036</v>
      </c>
      <c r="B691">
        <v>40</v>
      </c>
      <c r="C691">
        <v>36</v>
      </c>
      <c r="D691">
        <v>76</v>
      </c>
      <c r="E691" t="s">
        <v>34</v>
      </c>
      <c r="F691">
        <v>-69013.714000000007</v>
      </c>
      <c r="G691">
        <v>4.0129999999999999</v>
      </c>
    </row>
    <row r="692" spans="1:7" x14ac:dyDescent="0.2">
      <c r="A692">
        <f t="shared" si="10"/>
        <v>40037</v>
      </c>
      <c r="B692">
        <v>40</v>
      </c>
      <c r="C692">
        <v>37</v>
      </c>
      <c r="D692">
        <v>77</v>
      </c>
      <c r="E692" t="s">
        <v>35</v>
      </c>
      <c r="F692">
        <v>-64830.491999999998</v>
      </c>
      <c r="G692">
        <v>1.304</v>
      </c>
    </row>
    <row r="693" spans="1:7" x14ac:dyDescent="0.2">
      <c r="A693">
        <f t="shared" si="10"/>
        <v>40038</v>
      </c>
      <c r="B693">
        <v>40</v>
      </c>
      <c r="C693">
        <v>38</v>
      </c>
      <c r="D693">
        <v>78</v>
      </c>
      <c r="E693" t="s">
        <v>36</v>
      </c>
      <c r="F693">
        <v>-63173.940999999999</v>
      </c>
      <c r="G693">
        <v>7.452</v>
      </c>
    </row>
    <row r="694" spans="1:7" x14ac:dyDescent="0.2">
      <c r="A694">
        <f t="shared" si="10"/>
        <v>40039</v>
      </c>
      <c r="B694">
        <v>40</v>
      </c>
      <c r="C694">
        <v>39</v>
      </c>
      <c r="D694">
        <v>79</v>
      </c>
      <c r="E694" t="s">
        <v>37</v>
      </c>
      <c r="F694">
        <v>-57817.832999999999</v>
      </c>
      <c r="G694">
        <v>79.177000000000007</v>
      </c>
    </row>
    <row r="695" spans="1:7" x14ac:dyDescent="0.2">
      <c r="A695">
        <f t="shared" si="10"/>
        <v>40040</v>
      </c>
      <c r="B695">
        <v>40</v>
      </c>
      <c r="C695">
        <v>40</v>
      </c>
      <c r="D695">
        <v>80</v>
      </c>
      <c r="E695" t="s">
        <v>38</v>
      </c>
      <c r="F695" t="s">
        <v>815</v>
      </c>
      <c r="G695" t="s">
        <v>235</v>
      </c>
    </row>
    <row r="696" spans="1:7" x14ac:dyDescent="0.2">
      <c r="A696">
        <f t="shared" si="10"/>
        <v>40041</v>
      </c>
      <c r="B696">
        <v>40</v>
      </c>
      <c r="C696">
        <v>41</v>
      </c>
      <c r="D696">
        <v>81</v>
      </c>
      <c r="E696" t="s">
        <v>39</v>
      </c>
      <c r="F696" t="s">
        <v>818</v>
      </c>
      <c r="G696" t="s">
        <v>197</v>
      </c>
    </row>
    <row r="697" spans="1:7" x14ac:dyDescent="0.2">
      <c r="A697">
        <f t="shared" si="10"/>
        <v>40042</v>
      </c>
      <c r="B697">
        <v>40</v>
      </c>
      <c r="C697">
        <v>42</v>
      </c>
      <c r="D697">
        <v>82</v>
      </c>
      <c r="E697" t="s">
        <v>40</v>
      </c>
      <c r="F697" t="s">
        <v>822</v>
      </c>
      <c r="G697" t="s">
        <v>197</v>
      </c>
    </row>
    <row r="698" spans="1:7" x14ac:dyDescent="0.2">
      <c r="A698">
        <f t="shared" si="10"/>
        <v>40043</v>
      </c>
      <c r="B698">
        <v>40</v>
      </c>
      <c r="C698">
        <v>43</v>
      </c>
      <c r="D698">
        <v>83</v>
      </c>
      <c r="E698" t="s">
        <v>41</v>
      </c>
      <c r="F698" t="s">
        <v>825</v>
      </c>
      <c r="G698" t="s">
        <v>245</v>
      </c>
    </row>
    <row r="699" spans="1:7" x14ac:dyDescent="0.2">
      <c r="A699">
        <f t="shared" si="10"/>
        <v>41022</v>
      </c>
      <c r="B699">
        <v>41</v>
      </c>
      <c r="C699">
        <v>22</v>
      </c>
      <c r="D699">
        <v>63</v>
      </c>
      <c r="E699" t="s">
        <v>20</v>
      </c>
      <c r="F699" t="s">
        <v>749</v>
      </c>
      <c r="G699" t="s">
        <v>245</v>
      </c>
    </row>
    <row r="700" spans="1:7" x14ac:dyDescent="0.2">
      <c r="A700">
        <f t="shared" si="10"/>
        <v>41023</v>
      </c>
      <c r="B700">
        <v>41</v>
      </c>
      <c r="C700">
        <v>23</v>
      </c>
      <c r="D700">
        <v>64</v>
      </c>
      <c r="E700" t="s">
        <v>21</v>
      </c>
      <c r="F700" t="s">
        <v>753</v>
      </c>
      <c r="G700" t="s">
        <v>197</v>
      </c>
    </row>
    <row r="701" spans="1:7" x14ac:dyDescent="0.2">
      <c r="A701">
        <f t="shared" si="10"/>
        <v>41024</v>
      </c>
      <c r="B701">
        <v>41</v>
      </c>
      <c r="C701">
        <v>24</v>
      </c>
      <c r="D701">
        <v>65</v>
      </c>
      <c r="E701" t="s">
        <v>22</v>
      </c>
      <c r="F701" t="s">
        <v>757</v>
      </c>
      <c r="G701" t="s">
        <v>235</v>
      </c>
    </row>
    <row r="702" spans="1:7" x14ac:dyDescent="0.2">
      <c r="A702">
        <f t="shared" si="10"/>
        <v>41025</v>
      </c>
      <c r="B702">
        <v>41</v>
      </c>
      <c r="C702">
        <v>25</v>
      </c>
      <c r="D702">
        <v>66</v>
      </c>
      <c r="E702" t="s">
        <v>23</v>
      </c>
      <c r="F702">
        <v>-36750.387000000002</v>
      </c>
      <c r="G702">
        <v>11.178000000000001</v>
      </c>
    </row>
    <row r="703" spans="1:7" x14ac:dyDescent="0.2">
      <c r="A703">
        <f t="shared" si="10"/>
        <v>41026</v>
      </c>
      <c r="B703">
        <v>41</v>
      </c>
      <c r="C703">
        <v>26</v>
      </c>
      <c r="D703">
        <v>67</v>
      </c>
      <c r="E703" t="s">
        <v>24</v>
      </c>
      <c r="F703">
        <v>-45610.154999999999</v>
      </c>
      <c r="G703">
        <v>270.28500000000003</v>
      </c>
    </row>
    <row r="704" spans="1:7" x14ac:dyDescent="0.2">
      <c r="A704">
        <f t="shared" si="10"/>
        <v>41027</v>
      </c>
      <c r="B704">
        <v>41</v>
      </c>
      <c r="C704">
        <v>27</v>
      </c>
      <c r="D704">
        <v>68</v>
      </c>
      <c r="E704" t="s">
        <v>25</v>
      </c>
      <c r="F704">
        <v>-51930.665000000001</v>
      </c>
      <c r="G704">
        <v>189.49700000000001</v>
      </c>
    </row>
    <row r="705" spans="1:7" x14ac:dyDescent="0.2">
      <c r="A705">
        <f t="shared" ref="A705:A768" si="11">1000*B705+C705</f>
        <v>41028</v>
      </c>
      <c r="B705">
        <v>41</v>
      </c>
      <c r="C705">
        <v>28</v>
      </c>
      <c r="D705">
        <v>69</v>
      </c>
      <c r="E705" t="s">
        <v>26</v>
      </c>
      <c r="F705">
        <v>-59978.648000000001</v>
      </c>
      <c r="G705">
        <v>3.726</v>
      </c>
    </row>
    <row r="706" spans="1:7" x14ac:dyDescent="0.2">
      <c r="A706">
        <f t="shared" si="11"/>
        <v>41029</v>
      </c>
      <c r="B706">
        <v>41</v>
      </c>
      <c r="C706">
        <v>29</v>
      </c>
      <c r="D706">
        <v>70</v>
      </c>
      <c r="E706" t="s">
        <v>27</v>
      </c>
      <c r="F706">
        <v>-62976.373</v>
      </c>
      <c r="G706">
        <v>1.0820000000000001</v>
      </c>
    </row>
    <row r="707" spans="1:7" x14ac:dyDescent="0.2">
      <c r="A707">
        <f t="shared" si="11"/>
        <v>41030</v>
      </c>
      <c r="B707">
        <v>41</v>
      </c>
      <c r="C707">
        <v>30</v>
      </c>
      <c r="D707">
        <v>71</v>
      </c>
      <c r="E707" t="s">
        <v>28</v>
      </c>
      <c r="F707">
        <v>-67328.777000000002</v>
      </c>
      <c r="G707">
        <v>2.6539999999999999</v>
      </c>
    </row>
    <row r="708" spans="1:7" x14ac:dyDescent="0.2">
      <c r="A708">
        <f t="shared" si="11"/>
        <v>41031</v>
      </c>
      <c r="B708">
        <v>41</v>
      </c>
      <c r="C708">
        <v>31</v>
      </c>
      <c r="D708">
        <v>72</v>
      </c>
      <c r="E708" t="s">
        <v>29</v>
      </c>
      <c r="F708">
        <v>-68588.293000000005</v>
      </c>
      <c r="G708">
        <v>0.81899999999999995</v>
      </c>
    </row>
    <row r="709" spans="1:7" x14ac:dyDescent="0.2">
      <c r="A709">
        <f t="shared" si="11"/>
        <v>41032</v>
      </c>
      <c r="B709">
        <v>41</v>
      </c>
      <c r="C709">
        <v>32</v>
      </c>
      <c r="D709">
        <v>73</v>
      </c>
      <c r="E709" t="s">
        <v>30</v>
      </c>
      <c r="F709">
        <v>-71297.523000000001</v>
      </c>
      <c r="G709">
        <v>5.7000000000000002E-2</v>
      </c>
    </row>
    <row r="710" spans="1:7" x14ac:dyDescent="0.2">
      <c r="A710">
        <f t="shared" si="11"/>
        <v>41033</v>
      </c>
      <c r="B710">
        <v>41</v>
      </c>
      <c r="C710">
        <v>33</v>
      </c>
      <c r="D710">
        <v>74</v>
      </c>
      <c r="E710" t="s">
        <v>31</v>
      </c>
      <c r="F710">
        <v>-70860.054000000004</v>
      </c>
      <c r="G710">
        <v>1.6930000000000001</v>
      </c>
    </row>
    <row r="711" spans="1:7" x14ac:dyDescent="0.2">
      <c r="A711">
        <f t="shared" si="11"/>
        <v>41034</v>
      </c>
      <c r="B711">
        <v>41</v>
      </c>
      <c r="C711">
        <v>34</v>
      </c>
      <c r="D711">
        <v>75</v>
      </c>
      <c r="E711" t="s">
        <v>32</v>
      </c>
      <c r="F711">
        <v>-72169.481</v>
      </c>
      <c r="G711">
        <v>7.2999999999999995E-2</v>
      </c>
    </row>
    <row r="712" spans="1:7" x14ac:dyDescent="0.2">
      <c r="A712">
        <f t="shared" si="11"/>
        <v>41035</v>
      </c>
      <c r="B712">
        <v>41</v>
      </c>
      <c r="C712">
        <v>35</v>
      </c>
      <c r="D712">
        <v>76</v>
      </c>
      <c r="E712" t="s">
        <v>33</v>
      </c>
      <c r="F712">
        <v>-70289.067999999999</v>
      </c>
      <c r="G712">
        <v>9.3219999999999992</v>
      </c>
    </row>
    <row r="713" spans="1:7" x14ac:dyDescent="0.2">
      <c r="A713">
        <f t="shared" si="11"/>
        <v>41036</v>
      </c>
      <c r="B713">
        <v>41</v>
      </c>
      <c r="C713">
        <v>36</v>
      </c>
      <c r="D713">
        <v>77</v>
      </c>
      <c r="E713" t="s">
        <v>34</v>
      </c>
      <c r="F713">
        <v>-70169.442999999999</v>
      </c>
      <c r="G713">
        <v>1.956</v>
      </c>
    </row>
    <row r="714" spans="1:7" x14ac:dyDescent="0.2">
      <c r="A714">
        <f t="shared" si="11"/>
        <v>41037</v>
      </c>
      <c r="B714">
        <v>41</v>
      </c>
      <c r="C714">
        <v>37</v>
      </c>
      <c r="D714">
        <v>78</v>
      </c>
      <c r="E714" t="s">
        <v>35</v>
      </c>
      <c r="F714">
        <v>-66935.418999999994</v>
      </c>
      <c r="G714">
        <v>3.2370000000000001</v>
      </c>
    </row>
    <row r="715" spans="1:7" x14ac:dyDescent="0.2">
      <c r="A715">
        <f t="shared" si="11"/>
        <v>41038</v>
      </c>
      <c r="B715">
        <v>41</v>
      </c>
      <c r="C715">
        <v>38</v>
      </c>
      <c r="D715">
        <v>79</v>
      </c>
      <c r="E715" t="s">
        <v>36</v>
      </c>
      <c r="F715">
        <v>-65476.889000000003</v>
      </c>
      <c r="G715">
        <v>8.3829999999999991</v>
      </c>
    </row>
    <row r="716" spans="1:7" x14ac:dyDescent="0.2">
      <c r="A716">
        <f t="shared" si="11"/>
        <v>41039</v>
      </c>
      <c r="B716">
        <v>41</v>
      </c>
      <c r="C716">
        <v>39</v>
      </c>
      <c r="D716">
        <v>80</v>
      </c>
      <c r="E716" t="s">
        <v>37</v>
      </c>
      <c r="F716">
        <v>-61148.152000000002</v>
      </c>
      <c r="G716">
        <v>6.242</v>
      </c>
    </row>
    <row r="717" spans="1:7" x14ac:dyDescent="0.2">
      <c r="A717">
        <f t="shared" si="11"/>
        <v>41040</v>
      </c>
      <c r="B717">
        <v>41</v>
      </c>
      <c r="C717">
        <v>40</v>
      </c>
      <c r="D717">
        <v>81</v>
      </c>
      <c r="E717" t="s">
        <v>38</v>
      </c>
      <c r="F717">
        <v>-57460.139000000003</v>
      </c>
      <c r="G717">
        <v>94.081000000000003</v>
      </c>
    </row>
    <row r="718" spans="1:7" x14ac:dyDescent="0.2">
      <c r="A718">
        <f t="shared" si="11"/>
        <v>41041</v>
      </c>
      <c r="B718">
        <v>41</v>
      </c>
      <c r="C718">
        <v>41</v>
      </c>
      <c r="D718">
        <v>82</v>
      </c>
      <c r="E718" t="s">
        <v>39</v>
      </c>
      <c r="F718" t="s">
        <v>821</v>
      </c>
      <c r="G718" t="s">
        <v>235</v>
      </c>
    </row>
    <row r="719" spans="1:7" x14ac:dyDescent="0.2">
      <c r="A719">
        <f t="shared" si="11"/>
        <v>41042</v>
      </c>
      <c r="B719">
        <v>41</v>
      </c>
      <c r="C719">
        <v>42</v>
      </c>
      <c r="D719">
        <v>83</v>
      </c>
      <c r="E719" t="s">
        <v>40</v>
      </c>
      <c r="F719" t="s">
        <v>824</v>
      </c>
      <c r="G719" t="s">
        <v>199</v>
      </c>
    </row>
    <row r="720" spans="1:7" x14ac:dyDescent="0.2">
      <c r="A720">
        <f t="shared" si="11"/>
        <v>41043</v>
      </c>
      <c r="B720">
        <v>41</v>
      </c>
      <c r="C720">
        <v>43</v>
      </c>
      <c r="D720">
        <v>84</v>
      </c>
      <c r="E720" t="s">
        <v>41</v>
      </c>
      <c r="F720" t="s">
        <v>829</v>
      </c>
      <c r="G720" t="s">
        <v>197</v>
      </c>
    </row>
    <row r="721" spans="1:7" x14ac:dyDescent="0.2">
      <c r="A721">
        <f t="shared" si="11"/>
        <v>41044</v>
      </c>
      <c r="B721">
        <v>41</v>
      </c>
      <c r="C721">
        <v>44</v>
      </c>
      <c r="D721">
        <v>85</v>
      </c>
      <c r="E721" t="s">
        <v>42</v>
      </c>
      <c r="F721" t="s">
        <v>834</v>
      </c>
      <c r="G721" t="s">
        <v>245</v>
      </c>
    </row>
    <row r="722" spans="1:7" x14ac:dyDescent="0.2">
      <c r="A722">
        <f t="shared" si="11"/>
        <v>42022</v>
      </c>
      <c r="B722">
        <v>42</v>
      </c>
      <c r="C722">
        <v>22</v>
      </c>
      <c r="D722">
        <v>64</v>
      </c>
      <c r="E722" t="s">
        <v>20</v>
      </c>
      <c r="F722" t="s">
        <v>752</v>
      </c>
      <c r="G722" t="s">
        <v>666</v>
      </c>
    </row>
    <row r="723" spans="1:7" x14ac:dyDescent="0.2">
      <c r="A723">
        <f t="shared" si="11"/>
        <v>42023</v>
      </c>
      <c r="B723">
        <v>42</v>
      </c>
      <c r="C723">
        <v>23</v>
      </c>
      <c r="D723">
        <v>65</v>
      </c>
      <c r="E723" t="s">
        <v>21</v>
      </c>
      <c r="F723" t="s">
        <v>756</v>
      </c>
      <c r="G723" t="s">
        <v>245</v>
      </c>
    </row>
    <row r="724" spans="1:7" x14ac:dyDescent="0.2">
      <c r="A724">
        <f t="shared" si="11"/>
        <v>42024</v>
      </c>
      <c r="B724">
        <v>42</v>
      </c>
      <c r="C724">
        <v>24</v>
      </c>
      <c r="D724">
        <v>66</v>
      </c>
      <c r="E724" t="s">
        <v>22</v>
      </c>
      <c r="F724" t="s">
        <v>760</v>
      </c>
      <c r="G724" t="s">
        <v>197</v>
      </c>
    </row>
    <row r="725" spans="1:7" x14ac:dyDescent="0.2">
      <c r="A725">
        <f t="shared" si="11"/>
        <v>42025</v>
      </c>
      <c r="B725">
        <v>42</v>
      </c>
      <c r="C725">
        <v>25</v>
      </c>
      <c r="D725">
        <v>67</v>
      </c>
      <c r="E725" t="s">
        <v>23</v>
      </c>
      <c r="F725" t="s">
        <v>764</v>
      </c>
      <c r="G725" t="s">
        <v>235</v>
      </c>
    </row>
    <row r="726" spans="1:7" x14ac:dyDescent="0.2">
      <c r="A726">
        <f t="shared" si="11"/>
        <v>42026</v>
      </c>
      <c r="B726">
        <v>42</v>
      </c>
      <c r="C726">
        <v>26</v>
      </c>
      <c r="D726">
        <v>68</v>
      </c>
      <c r="E726" t="s">
        <v>24</v>
      </c>
      <c r="F726">
        <v>-43486.913999999997</v>
      </c>
      <c r="G726">
        <v>365.25900000000001</v>
      </c>
    </row>
    <row r="727" spans="1:7" x14ac:dyDescent="0.2">
      <c r="A727">
        <f t="shared" si="11"/>
        <v>42027</v>
      </c>
      <c r="B727">
        <v>42</v>
      </c>
      <c r="C727">
        <v>27</v>
      </c>
      <c r="D727">
        <v>69</v>
      </c>
      <c r="E727" t="s">
        <v>25</v>
      </c>
      <c r="F727">
        <v>-50279.156999999999</v>
      </c>
      <c r="G727">
        <v>140.506</v>
      </c>
    </row>
    <row r="728" spans="1:7" x14ac:dyDescent="0.2">
      <c r="A728">
        <f t="shared" si="11"/>
        <v>42028</v>
      </c>
      <c r="B728">
        <v>42</v>
      </c>
      <c r="C728">
        <v>28</v>
      </c>
      <c r="D728">
        <v>70</v>
      </c>
      <c r="E728" t="s">
        <v>26</v>
      </c>
      <c r="F728">
        <v>-59213.86</v>
      </c>
      <c r="G728">
        <v>2.1440000000000001</v>
      </c>
    </row>
    <row r="729" spans="1:7" x14ac:dyDescent="0.2">
      <c r="A729">
        <f t="shared" si="11"/>
        <v>42029</v>
      </c>
      <c r="B729">
        <v>42</v>
      </c>
      <c r="C729">
        <v>29</v>
      </c>
      <c r="D729">
        <v>71</v>
      </c>
      <c r="E729" t="s">
        <v>27</v>
      </c>
      <c r="F729">
        <v>-62711.127</v>
      </c>
      <c r="G729">
        <v>1.49</v>
      </c>
    </row>
    <row r="730" spans="1:7" x14ac:dyDescent="0.2">
      <c r="A730">
        <f t="shared" si="11"/>
        <v>42030</v>
      </c>
      <c r="B730">
        <v>42</v>
      </c>
      <c r="C730">
        <v>30</v>
      </c>
      <c r="D730">
        <v>72</v>
      </c>
      <c r="E730" t="s">
        <v>28</v>
      </c>
      <c r="F730">
        <v>-68145.486000000004</v>
      </c>
      <c r="G730">
        <v>2.1419999999999999</v>
      </c>
    </row>
    <row r="731" spans="1:7" x14ac:dyDescent="0.2">
      <c r="A731">
        <f t="shared" si="11"/>
        <v>42031</v>
      </c>
      <c r="B731">
        <v>42</v>
      </c>
      <c r="C731">
        <v>31</v>
      </c>
      <c r="D731">
        <v>73</v>
      </c>
      <c r="E731" t="s">
        <v>29</v>
      </c>
      <c r="F731">
        <v>-69699.335000000006</v>
      </c>
      <c r="G731">
        <v>1.677</v>
      </c>
    </row>
    <row r="732" spans="1:7" x14ac:dyDescent="0.2">
      <c r="A732">
        <f t="shared" si="11"/>
        <v>42032</v>
      </c>
      <c r="B732">
        <v>42</v>
      </c>
      <c r="C732">
        <v>32</v>
      </c>
      <c r="D732">
        <v>74</v>
      </c>
      <c r="E732" t="s">
        <v>30</v>
      </c>
      <c r="F732">
        <v>-73422.441999999995</v>
      </c>
      <c r="G732">
        <v>1.2999999999999999E-2</v>
      </c>
    </row>
    <row r="733" spans="1:7" x14ac:dyDescent="0.2">
      <c r="A733">
        <f t="shared" si="11"/>
        <v>42033</v>
      </c>
      <c r="B733">
        <v>42</v>
      </c>
      <c r="C733">
        <v>33</v>
      </c>
      <c r="D733">
        <v>75</v>
      </c>
      <c r="E733" t="s">
        <v>31</v>
      </c>
      <c r="F733">
        <v>-73034.195000000007</v>
      </c>
      <c r="G733">
        <v>0.88400000000000001</v>
      </c>
    </row>
    <row r="734" spans="1:7" x14ac:dyDescent="0.2">
      <c r="A734">
        <f t="shared" si="11"/>
        <v>42034</v>
      </c>
      <c r="B734">
        <v>42</v>
      </c>
      <c r="C734">
        <v>34</v>
      </c>
      <c r="D734">
        <v>76</v>
      </c>
      <c r="E734" t="s">
        <v>32</v>
      </c>
      <c r="F734">
        <v>-75251.95</v>
      </c>
      <c r="G734">
        <v>1.6E-2</v>
      </c>
    </row>
    <row r="735" spans="1:7" x14ac:dyDescent="0.2">
      <c r="A735">
        <f t="shared" si="11"/>
        <v>42035</v>
      </c>
      <c r="B735">
        <v>42</v>
      </c>
      <c r="C735">
        <v>35</v>
      </c>
      <c r="D735">
        <v>77</v>
      </c>
      <c r="E735" t="s">
        <v>33</v>
      </c>
      <c r="F735">
        <v>-73234.808999999994</v>
      </c>
      <c r="G735">
        <v>2.8109999999999999</v>
      </c>
    </row>
    <row r="736" spans="1:7" x14ac:dyDescent="0.2">
      <c r="A736">
        <f t="shared" si="11"/>
        <v>42036</v>
      </c>
      <c r="B736">
        <v>42</v>
      </c>
      <c r="C736">
        <v>36</v>
      </c>
      <c r="D736">
        <v>78</v>
      </c>
      <c r="E736" t="s">
        <v>34</v>
      </c>
      <c r="F736">
        <v>-74178.274999999994</v>
      </c>
      <c r="G736">
        <v>0.307</v>
      </c>
    </row>
    <row r="737" spans="1:7" x14ac:dyDescent="0.2">
      <c r="A737">
        <f t="shared" si="11"/>
        <v>42037</v>
      </c>
      <c r="B737">
        <v>42</v>
      </c>
      <c r="C737">
        <v>37</v>
      </c>
      <c r="D737">
        <v>79</v>
      </c>
      <c r="E737" t="s">
        <v>35</v>
      </c>
      <c r="F737">
        <v>-70802.985000000001</v>
      </c>
      <c r="G737">
        <v>2.1419999999999999</v>
      </c>
    </row>
    <row r="738" spans="1:7" x14ac:dyDescent="0.2">
      <c r="A738">
        <f t="shared" si="11"/>
        <v>42038</v>
      </c>
      <c r="B738">
        <v>42</v>
      </c>
      <c r="C738">
        <v>38</v>
      </c>
      <c r="D738">
        <v>80</v>
      </c>
      <c r="E738" t="s">
        <v>36</v>
      </c>
      <c r="F738">
        <v>-70311.459000000003</v>
      </c>
      <c r="G738">
        <v>3.464</v>
      </c>
    </row>
    <row r="739" spans="1:7" x14ac:dyDescent="0.2">
      <c r="A739">
        <f t="shared" si="11"/>
        <v>42039</v>
      </c>
      <c r="B739">
        <v>42</v>
      </c>
      <c r="C739">
        <v>39</v>
      </c>
      <c r="D739">
        <v>81</v>
      </c>
      <c r="E739" t="s">
        <v>37</v>
      </c>
      <c r="F739">
        <v>-65712.911999999997</v>
      </c>
      <c r="G739">
        <v>5.4050000000000002</v>
      </c>
    </row>
    <row r="740" spans="1:7" x14ac:dyDescent="0.2">
      <c r="A740">
        <f t="shared" si="11"/>
        <v>42040</v>
      </c>
      <c r="B740">
        <v>42</v>
      </c>
      <c r="C740">
        <v>40</v>
      </c>
      <c r="D740">
        <v>82</v>
      </c>
      <c r="E740" t="s">
        <v>38</v>
      </c>
      <c r="F740">
        <v>-63631.286999999997</v>
      </c>
      <c r="G740">
        <v>11.178000000000001</v>
      </c>
    </row>
    <row r="741" spans="1:7" x14ac:dyDescent="0.2">
      <c r="A741">
        <f t="shared" si="11"/>
        <v>42041</v>
      </c>
      <c r="B741">
        <v>42</v>
      </c>
      <c r="C741">
        <v>41</v>
      </c>
      <c r="D741">
        <v>83</v>
      </c>
      <c r="E741" t="s">
        <v>39</v>
      </c>
      <c r="F741">
        <v>-57556.082999999999</v>
      </c>
      <c r="G741">
        <v>150.90199999999999</v>
      </c>
    </row>
    <row r="742" spans="1:7" x14ac:dyDescent="0.2">
      <c r="A742">
        <f t="shared" si="11"/>
        <v>42042</v>
      </c>
      <c r="B742">
        <v>42</v>
      </c>
      <c r="C742">
        <v>42</v>
      </c>
      <c r="D742">
        <v>84</v>
      </c>
      <c r="E742" t="s">
        <v>40</v>
      </c>
      <c r="F742" t="s">
        <v>828</v>
      </c>
      <c r="G742" t="s">
        <v>202</v>
      </c>
    </row>
    <row r="743" spans="1:7" x14ac:dyDescent="0.2">
      <c r="A743">
        <f t="shared" si="11"/>
        <v>42043</v>
      </c>
      <c r="B743">
        <v>42</v>
      </c>
      <c r="C743">
        <v>43</v>
      </c>
      <c r="D743">
        <v>85</v>
      </c>
      <c r="E743" t="s">
        <v>41</v>
      </c>
      <c r="F743" t="s">
        <v>833</v>
      </c>
      <c r="G743" t="s">
        <v>197</v>
      </c>
    </row>
    <row r="744" spans="1:7" x14ac:dyDescent="0.2">
      <c r="A744">
        <f t="shared" si="11"/>
        <v>42044</v>
      </c>
      <c r="B744">
        <v>42</v>
      </c>
      <c r="C744">
        <v>44</v>
      </c>
      <c r="D744">
        <v>86</v>
      </c>
      <c r="E744" t="s">
        <v>42</v>
      </c>
      <c r="F744" t="s">
        <v>837</v>
      </c>
      <c r="G744" t="s">
        <v>197</v>
      </c>
    </row>
    <row r="745" spans="1:7" x14ac:dyDescent="0.2">
      <c r="A745">
        <f t="shared" si="11"/>
        <v>43023</v>
      </c>
      <c r="B745">
        <v>43</v>
      </c>
      <c r="C745">
        <v>23</v>
      </c>
      <c r="D745">
        <v>66</v>
      </c>
      <c r="E745" t="s">
        <v>21</v>
      </c>
      <c r="F745" t="s">
        <v>759</v>
      </c>
      <c r="G745" t="s">
        <v>245</v>
      </c>
    </row>
    <row r="746" spans="1:7" x14ac:dyDescent="0.2">
      <c r="A746">
        <f t="shared" si="11"/>
        <v>43024</v>
      </c>
      <c r="B746">
        <v>43</v>
      </c>
      <c r="C746">
        <v>24</v>
      </c>
      <c r="D746">
        <v>67</v>
      </c>
      <c r="E746" t="s">
        <v>22</v>
      </c>
      <c r="F746" t="s">
        <v>763</v>
      </c>
      <c r="G746" t="s">
        <v>197</v>
      </c>
    </row>
    <row r="747" spans="1:7" x14ac:dyDescent="0.2">
      <c r="A747">
        <f t="shared" si="11"/>
        <v>43025</v>
      </c>
      <c r="B747">
        <v>43</v>
      </c>
      <c r="C747">
        <v>25</v>
      </c>
      <c r="D747">
        <v>68</v>
      </c>
      <c r="E747" t="s">
        <v>23</v>
      </c>
      <c r="F747" t="s">
        <v>768</v>
      </c>
      <c r="G747" t="s">
        <v>197</v>
      </c>
    </row>
    <row r="748" spans="1:7" x14ac:dyDescent="0.2">
      <c r="A748">
        <f t="shared" si="11"/>
        <v>43026</v>
      </c>
      <c r="B748">
        <v>43</v>
      </c>
      <c r="C748">
        <v>26</v>
      </c>
      <c r="D748">
        <v>69</v>
      </c>
      <c r="E748" t="s">
        <v>24</v>
      </c>
      <c r="F748" t="s">
        <v>773</v>
      </c>
      <c r="G748" t="s">
        <v>197</v>
      </c>
    </row>
    <row r="749" spans="1:7" x14ac:dyDescent="0.2">
      <c r="A749">
        <f t="shared" si="11"/>
        <v>43027</v>
      </c>
      <c r="B749">
        <v>43</v>
      </c>
      <c r="C749">
        <v>27</v>
      </c>
      <c r="D749">
        <v>70</v>
      </c>
      <c r="E749" t="s">
        <v>25</v>
      </c>
      <c r="F749" t="s">
        <v>778</v>
      </c>
      <c r="G749" t="s">
        <v>235</v>
      </c>
    </row>
    <row r="750" spans="1:7" x14ac:dyDescent="0.2">
      <c r="A750">
        <f t="shared" si="11"/>
        <v>43028</v>
      </c>
      <c r="B750">
        <v>43</v>
      </c>
      <c r="C750">
        <v>28</v>
      </c>
      <c r="D750">
        <v>71</v>
      </c>
      <c r="E750" t="s">
        <v>26</v>
      </c>
      <c r="F750">
        <v>-55406.228000000003</v>
      </c>
      <c r="G750">
        <v>2.2370000000000001</v>
      </c>
    </row>
    <row r="751" spans="1:7" x14ac:dyDescent="0.2">
      <c r="A751">
        <f t="shared" si="11"/>
        <v>43029</v>
      </c>
      <c r="B751">
        <v>43</v>
      </c>
      <c r="C751">
        <v>29</v>
      </c>
      <c r="D751">
        <v>72</v>
      </c>
      <c r="E751" t="s">
        <v>27</v>
      </c>
      <c r="F751">
        <v>-59782.999000000003</v>
      </c>
      <c r="G751">
        <v>1.397</v>
      </c>
    </row>
    <row r="752" spans="1:7" x14ac:dyDescent="0.2">
      <c r="A752">
        <f t="shared" si="11"/>
        <v>43030</v>
      </c>
      <c r="B752">
        <v>43</v>
      </c>
      <c r="C752">
        <v>30</v>
      </c>
      <c r="D752">
        <v>73</v>
      </c>
      <c r="E752" t="s">
        <v>28</v>
      </c>
      <c r="F752">
        <v>-65593.402000000002</v>
      </c>
      <c r="G752">
        <v>1.863</v>
      </c>
    </row>
    <row r="753" spans="1:7" x14ac:dyDescent="0.2">
      <c r="A753">
        <f t="shared" si="11"/>
        <v>43031</v>
      </c>
      <c r="B753">
        <v>43</v>
      </c>
      <c r="C753">
        <v>31</v>
      </c>
      <c r="D753">
        <v>74</v>
      </c>
      <c r="E753" t="s">
        <v>29</v>
      </c>
      <c r="F753">
        <v>-68049.616999999998</v>
      </c>
      <c r="G753">
        <v>2.9940000000000002</v>
      </c>
    </row>
    <row r="754" spans="1:7" x14ac:dyDescent="0.2">
      <c r="A754">
        <f t="shared" si="11"/>
        <v>43032</v>
      </c>
      <c r="B754">
        <v>43</v>
      </c>
      <c r="C754">
        <v>32</v>
      </c>
      <c r="D754">
        <v>75</v>
      </c>
      <c r="E754" t="s">
        <v>30</v>
      </c>
      <c r="F754">
        <v>-71856.964999999997</v>
      </c>
      <c r="G754">
        <v>5.1999999999999998E-2</v>
      </c>
    </row>
    <row r="755" spans="1:7" x14ac:dyDescent="0.2">
      <c r="A755">
        <f t="shared" si="11"/>
        <v>43033</v>
      </c>
      <c r="B755">
        <v>43</v>
      </c>
      <c r="C755">
        <v>33</v>
      </c>
      <c r="D755">
        <v>76</v>
      </c>
      <c r="E755" t="s">
        <v>31</v>
      </c>
      <c r="F755">
        <v>-72291.376999999993</v>
      </c>
      <c r="G755">
        <v>0.88600000000000001</v>
      </c>
    </row>
    <row r="756" spans="1:7" x14ac:dyDescent="0.2">
      <c r="A756">
        <f t="shared" si="11"/>
        <v>43034</v>
      </c>
      <c r="B756">
        <v>43</v>
      </c>
      <c r="C756">
        <v>34</v>
      </c>
      <c r="D756">
        <v>77</v>
      </c>
      <c r="E756" t="s">
        <v>32</v>
      </c>
      <c r="F756">
        <v>-74599.487999999998</v>
      </c>
      <c r="G756">
        <v>6.2E-2</v>
      </c>
    </row>
    <row r="757" spans="1:7" x14ac:dyDescent="0.2">
      <c r="A757">
        <f t="shared" si="11"/>
        <v>43035</v>
      </c>
      <c r="B757">
        <v>43</v>
      </c>
      <c r="C757">
        <v>35</v>
      </c>
      <c r="D757">
        <v>78</v>
      </c>
      <c r="E757" t="s">
        <v>33</v>
      </c>
      <c r="F757">
        <v>-73452.160000000003</v>
      </c>
      <c r="G757">
        <v>3.58</v>
      </c>
    </row>
    <row r="758" spans="1:7" x14ac:dyDescent="0.2">
      <c r="A758">
        <f t="shared" si="11"/>
        <v>43036</v>
      </c>
      <c r="B758">
        <v>43</v>
      </c>
      <c r="C758">
        <v>36</v>
      </c>
      <c r="D758">
        <v>79</v>
      </c>
      <c r="E758" t="s">
        <v>34</v>
      </c>
      <c r="F758">
        <v>-74442.256999999998</v>
      </c>
      <c r="G758">
        <v>3.4860000000000002</v>
      </c>
    </row>
    <row r="759" spans="1:7" x14ac:dyDescent="0.2">
      <c r="A759">
        <f t="shared" si="11"/>
        <v>43037</v>
      </c>
      <c r="B759">
        <v>43</v>
      </c>
      <c r="C759">
        <v>37</v>
      </c>
      <c r="D759">
        <v>80</v>
      </c>
      <c r="E759" t="s">
        <v>35</v>
      </c>
      <c r="F759">
        <v>-72175.467000000004</v>
      </c>
      <c r="G759">
        <v>1.863</v>
      </c>
    </row>
    <row r="760" spans="1:7" x14ac:dyDescent="0.2">
      <c r="A760">
        <f t="shared" si="11"/>
        <v>43038</v>
      </c>
      <c r="B760">
        <v>43</v>
      </c>
      <c r="C760">
        <v>38</v>
      </c>
      <c r="D760">
        <v>81</v>
      </c>
      <c r="E760" t="s">
        <v>36</v>
      </c>
      <c r="F760">
        <v>-71528.125</v>
      </c>
      <c r="G760">
        <v>3.1280000000000001</v>
      </c>
    </row>
    <row r="761" spans="1:7" x14ac:dyDescent="0.2">
      <c r="A761">
        <f t="shared" si="11"/>
        <v>43039</v>
      </c>
      <c r="B761">
        <v>43</v>
      </c>
      <c r="C761">
        <v>39</v>
      </c>
      <c r="D761">
        <v>82</v>
      </c>
      <c r="E761" t="s">
        <v>37</v>
      </c>
      <c r="F761">
        <v>-68064.091</v>
      </c>
      <c r="G761">
        <v>5.4989999999999997</v>
      </c>
    </row>
    <row r="762" spans="1:7" x14ac:dyDescent="0.2">
      <c r="A762">
        <f t="shared" si="11"/>
        <v>43040</v>
      </c>
      <c r="B762">
        <v>43</v>
      </c>
      <c r="C762">
        <v>40</v>
      </c>
      <c r="D762">
        <v>83</v>
      </c>
      <c r="E762" t="s">
        <v>38</v>
      </c>
      <c r="F762">
        <v>-65911.653999999995</v>
      </c>
      <c r="G762">
        <v>6.43</v>
      </c>
    </row>
    <row r="763" spans="1:7" x14ac:dyDescent="0.2">
      <c r="A763">
        <f t="shared" si="11"/>
        <v>43041</v>
      </c>
      <c r="B763">
        <v>43</v>
      </c>
      <c r="C763">
        <v>41</v>
      </c>
      <c r="D763">
        <v>84</v>
      </c>
      <c r="E763" t="s">
        <v>39</v>
      </c>
      <c r="F763">
        <v>-61218.716999999997</v>
      </c>
      <c r="G763">
        <v>13.041</v>
      </c>
    </row>
    <row r="764" spans="1:7" x14ac:dyDescent="0.2">
      <c r="A764">
        <f t="shared" si="11"/>
        <v>43042</v>
      </c>
      <c r="B764">
        <v>43</v>
      </c>
      <c r="C764">
        <v>42</v>
      </c>
      <c r="D764">
        <v>85</v>
      </c>
      <c r="E764" t="s">
        <v>40</v>
      </c>
      <c r="F764">
        <v>-57509.752999999997</v>
      </c>
      <c r="G764">
        <v>15.835000000000001</v>
      </c>
    </row>
    <row r="765" spans="1:7" x14ac:dyDescent="0.2">
      <c r="A765">
        <f t="shared" si="11"/>
        <v>43043</v>
      </c>
      <c r="B765">
        <v>43</v>
      </c>
      <c r="C765">
        <v>43</v>
      </c>
      <c r="D765">
        <v>86</v>
      </c>
      <c r="E765" t="s">
        <v>41</v>
      </c>
      <c r="F765" t="s">
        <v>836</v>
      </c>
      <c r="G765" t="s">
        <v>235</v>
      </c>
    </row>
    <row r="766" spans="1:7" x14ac:dyDescent="0.2">
      <c r="A766">
        <f t="shared" si="11"/>
        <v>43044</v>
      </c>
      <c r="B766">
        <v>43</v>
      </c>
      <c r="C766">
        <v>44</v>
      </c>
      <c r="D766">
        <v>87</v>
      </c>
      <c r="E766" t="s">
        <v>42</v>
      </c>
      <c r="F766" t="s">
        <v>841</v>
      </c>
      <c r="G766" t="s">
        <v>197</v>
      </c>
    </row>
    <row r="767" spans="1:7" x14ac:dyDescent="0.2">
      <c r="A767">
        <f t="shared" si="11"/>
        <v>43045</v>
      </c>
      <c r="B767">
        <v>43</v>
      </c>
      <c r="C767">
        <v>45</v>
      </c>
      <c r="D767">
        <v>88</v>
      </c>
      <c r="E767" t="s">
        <v>43</v>
      </c>
      <c r="F767" t="s">
        <v>845</v>
      </c>
      <c r="G767" t="s">
        <v>197</v>
      </c>
    </row>
    <row r="768" spans="1:7" x14ac:dyDescent="0.2">
      <c r="A768">
        <f t="shared" si="11"/>
        <v>44023</v>
      </c>
      <c r="B768">
        <v>44</v>
      </c>
      <c r="C768">
        <v>23</v>
      </c>
      <c r="D768">
        <v>67</v>
      </c>
      <c r="E768" t="s">
        <v>21</v>
      </c>
      <c r="F768" t="s">
        <v>762</v>
      </c>
      <c r="G768" t="s">
        <v>666</v>
      </c>
    </row>
    <row r="769" spans="1:7" x14ac:dyDescent="0.2">
      <c r="A769">
        <f t="shared" ref="A769:A832" si="12">1000*B769+C769</f>
        <v>44024</v>
      </c>
      <c r="B769">
        <v>44</v>
      </c>
      <c r="C769">
        <v>24</v>
      </c>
      <c r="D769">
        <v>68</v>
      </c>
      <c r="E769" t="s">
        <v>22</v>
      </c>
      <c r="F769" t="s">
        <v>767</v>
      </c>
      <c r="G769" t="s">
        <v>245</v>
      </c>
    </row>
    <row r="770" spans="1:7" x14ac:dyDescent="0.2">
      <c r="A770">
        <f t="shared" si="12"/>
        <v>44025</v>
      </c>
      <c r="B770">
        <v>44</v>
      </c>
      <c r="C770">
        <v>25</v>
      </c>
      <c r="D770">
        <v>69</v>
      </c>
      <c r="E770" t="s">
        <v>23</v>
      </c>
      <c r="F770" t="s">
        <v>772</v>
      </c>
      <c r="G770" t="s">
        <v>197</v>
      </c>
    </row>
    <row r="771" spans="1:7" x14ac:dyDescent="0.2">
      <c r="A771">
        <f t="shared" si="12"/>
        <v>44026</v>
      </c>
      <c r="B771">
        <v>44</v>
      </c>
      <c r="C771">
        <v>26</v>
      </c>
      <c r="D771">
        <v>70</v>
      </c>
      <c r="E771" t="s">
        <v>24</v>
      </c>
      <c r="F771" t="s">
        <v>777</v>
      </c>
      <c r="G771" t="s">
        <v>197</v>
      </c>
    </row>
    <row r="772" spans="1:7" x14ac:dyDescent="0.2">
      <c r="A772">
        <f t="shared" si="12"/>
        <v>44027</v>
      </c>
      <c r="B772">
        <v>44</v>
      </c>
      <c r="C772">
        <v>27</v>
      </c>
      <c r="D772">
        <v>71</v>
      </c>
      <c r="E772" t="s">
        <v>25</v>
      </c>
      <c r="F772">
        <v>-44369.925999999999</v>
      </c>
      <c r="G772">
        <v>465.03</v>
      </c>
    </row>
    <row r="773" spans="1:7" x14ac:dyDescent="0.2">
      <c r="A773">
        <f t="shared" si="12"/>
        <v>44028</v>
      </c>
      <c r="B773">
        <v>44</v>
      </c>
      <c r="C773">
        <v>28</v>
      </c>
      <c r="D773">
        <v>72</v>
      </c>
      <c r="E773" t="s">
        <v>26</v>
      </c>
      <c r="F773">
        <v>-54226.06</v>
      </c>
      <c r="G773">
        <v>2.2370000000000001</v>
      </c>
    </row>
    <row r="774" spans="1:7" x14ac:dyDescent="0.2">
      <c r="A774">
        <f t="shared" si="12"/>
        <v>44029</v>
      </c>
      <c r="B774">
        <v>44</v>
      </c>
      <c r="C774">
        <v>29</v>
      </c>
      <c r="D774">
        <v>73</v>
      </c>
      <c r="E774" t="s">
        <v>27</v>
      </c>
      <c r="F774">
        <v>-58987.436999999998</v>
      </c>
      <c r="G774">
        <v>1.9419999999999999</v>
      </c>
    </row>
    <row r="775" spans="1:7" x14ac:dyDescent="0.2">
      <c r="A775">
        <f t="shared" si="12"/>
        <v>44030</v>
      </c>
      <c r="B775">
        <v>44</v>
      </c>
      <c r="C775">
        <v>30</v>
      </c>
      <c r="D775">
        <v>74</v>
      </c>
      <c r="E775" t="s">
        <v>28</v>
      </c>
      <c r="F775">
        <v>-65756.712</v>
      </c>
      <c r="G775">
        <v>2.5150000000000001</v>
      </c>
    </row>
    <row r="776" spans="1:7" x14ac:dyDescent="0.2">
      <c r="A776">
        <f t="shared" si="12"/>
        <v>44031</v>
      </c>
      <c r="B776">
        <v>44</v>
      </c>
      <c r="C776">
        <v>31</v>
      </c>
      <c r="D776">
        <v>75</v>
      </c>
      <c r="E776" t="s">
        <v>29</v>
      </c>
      <c r="F776">
        <v>-68464.58</v>
      </c>
      <c r="G776">
        <v>2.4220000000000002</v>
      </c>
    </row>
    <row r="777" spans="1:7" x14ac:dyDescent="0.2">
      <c r="A777">
        <f t="shared" si="12"/>
        <v>44032</v>
      </c>
      <c r="B777">
        <v>44</v>
      </c>
      <c r="C777">
        <v>32</v>
      </c>
      <c r="D777">
        <v>76</v>
      </c>
      <c r="E777" t="s">
        <v>30</v>
      </c>
      <c r="F777">
        <v>-73212.888999999996</v>
      </c>
      <c r="G777">
        <v>1.7999999999999999E-2</v>
      </c>
    </row>
    <row r="778" spans="1:7" x14ac:dyDescent="0.2">
      <c r="A778">
        <f t="shared" si="12"/>
        <v>44033</v>
      </c>
      <c r="B778">
        <v>44</v>
      </c>
      <c r="C778">
        <v>33</v>
      </c>
      <c r="D778">
        <v>77</v>
      </c>
      <c r="E778" t="s">
        <v>31</v>
      </c>
      <c r="F778">
        <v>-73916.317999999999</v>
      </c>
      <c r="G778">
        <v>1.6930000000000001</v>
      </c>
    </row>
    <row r="779" spans="1:7" x14ac:dyDescent="0.2">
      <c r="A779">
        <f t="shared" si="12"/>
        <v>44034</v>
      </c>
      <c r="B779">
        <v>44</v>
      </c>
      <c r="C779">
        <v>34</v>
      </c>
      <c r="D779">
        <v>78</v>
      </c>
      <c r="E779" t="s">
        <v>32</v>
      </c>
      <c r="F779">
        <v>-77025.944000000003</v>
      </c>
      <c r="G779">
        <v>0.17899999999999999</v>
      </c>
    </row>
    <row r="780" spans="1:7" x14ac:dyDescent="0.2">
      <c r="A780">
        <f t="shared" si="12"/>
        <v>44035</v>
      </c>
      <c r="B780">
        <v>44</v>
      </c>
      <c r="C780">
        <v>35</v>
      </c>
      <c r="D780">
        <v>79</v>
      </c>
      <c r="E780" t="s">
        <v>33</v>
      </c>
      <c r="F780">
        <v>-76068.035000000003</v>
      </c>
      <c r="G780">
        <v>1.0209999999999999</v>
      </c>
    </row>
    <row r="781" spans="1:7" x14ac:dyDescent="0.2">
      <c r="A781">
        <f t="shared" si="12"/>
        <v>44036</v>
      </c>
      <c r="B781">
        <v>44</v>
      </c>
      <c r="C781">
        <v>36</v>
      </c>
      <c r="D781">
        <v>80</v>
      </c>
      <c r="E781" t="s">
        <v>34</v>
      </c>
      <c r="F781">
        <v>-77893.346000000005</v>
      </c>
      <c r="G781">
        <v>0.69099999999999995</v>
      </c>
    </row>
    <row r="782" spans="1:7" x14ac:dyDescent="0.2">
      <c r="A782">
        <f t="shared" si="12"/>
        <v>44037</v>
      </c>
      <c r="B782">
        <v>44</v>
      </c>
      <c r="C782">
        <v>37</v>
      </c>
      <c r="D782">
        <v>81</v>
      </c>
      <c r="E782" t="s">
        <v>35</v>
      </c>
      <c r="F782">
        <v>-75456.67</v>
      </c>
      <c r="G782">
        <v>4.9039999999999999</v>
      </c>
    </row>
    <row r="783" spans="1:7" x14ac:dyDescent="0.2">
      <c r="A783">
        <f t="shared" si="12"/>
        <v>44038</v>
      </c>
      <c r="B783">
        <v>44</v>
      </c>
      <c r="C783">
        <v>38</v>
      </c>
      <c r="D783">
        <v>82</v>
      </c>
      <c r="E783" t="s">
        <v>36</v>
      </c>
      <c r="F783">
        <v>-76010.053</v>
      </c>
      <c r="G783">
        <v>5.992</v>
      </c>
    </row>
    <row r="784" spans="1:7" x14ac:dyDescent="0.2">
      <c r="A784">
        <f t="shared" si="12"/>
        <v>44039</v>
      </c>
      <c r="B784">
        <v>44</v>
      </c>
      <c r="C784">
        <v>39</v>
      </c>
      <c r="D784">
        <v>83</v>
      </c>
      <c r="E784" t="s">
        <v>37</v>
      </c>
      <c r="F784">
        <v>-72205.664999999994</v>
      </c>
      <c r="G784">
        <v>18.631</v>
      </c>
    </row>
    <row r="785" spans="1:7" x14ac:dyDescent="0.2">
      <c r="A785">
        <f t="shared" si="12"/>
        <v>44040</v>
      </c>
      <c r="B785">
        <v>44</v>
      </c>
      <c r="C785">
        <v>40</v>
      </c>
      <c r="D785">
        <v>84</v>
      </c>
      <c r="E785" t="s">
        <v>38</v>
      </c>
      <c r="F785">
        <v>-71421.686000000002</v>
      </c>
      <c r="G785">
        <v>5.4989999999999997</v>
      </c>
    </row>
    <row r="786" spans="1:7" x14ac:dyDescent="0.2">
      <c r="A786">
        <f t="shared" si="12"/>
        <v>44041</v>
      </c>
      <c r="B786">
        <v>44</v>
      </c>
      <c r="C786">
        <v>41</v>
      </c>
      <c r="D786">
        <v>85</v>
      </c>
      <c r="E786" t="s">
        <v>39</v>
      </c>
      <c r="F786">
        <v>-66279.676000000007</v>
      </c>
      <c r="G786">
        <v>4.0990000000000002</v>
      </c>
    </row>
    <row r="787" spans="1:7" x14ac:dyDescent="0.2">
      <c r="A787">
        <f t="shared" si="12"/>
        <v>44042</v>
      </c>
      <c r="B787">
        <v>44</v>
      </c>
      <c r="C787">
        <v>42</v>
      </c>
      <c r="D787">
        <v>86</v>
      </c>
      <c r="E787" t="s">
        <v>40</v>
      </c>
      <c r="F787">
        <v>-64110.245000000003</v>
      </c>
      <c r="G787">
        <v>3.726</v>
      </c>
    </row>
    <row r="788" spans="1:7" x14ac:dyDescent="0.2">
      <c r="A788">
        <f t="shared" si="12"/>
        <v>44043</v>
      </c>
      <c r="B788">
        <v>44</v>
      </c>
      <c r="C788">
        <v>43</v>
      </c>
      <c r="D788">
        <v>87</v>
      </c>
      <c r="E788" t="s">
        <v>41</v>
      </c>
      <c r="F788">
        <v>-57690.044000000002</v>
      </c>
      <c r="G788">
        <v>4.1920000000000002</v>
      </c>
    </row>
    <row r="789" spans="1:7" x14ac:dyDescent="0.2">
      <c r="A789">
        <f t="shared" si="12"/>
        <v>44044</v>
      </c>
      <c r="B789">
        <v>44</v>
      </c>
      <c r="C789">
        <v>44</v>
      </c>
      <c r="D789">
        <v>88</v>
      </c>
      <c r="E789" t="s">
        <v>42</v>
      </c>
      <c r="F789" t="s">
        <v>844</v>
      </c>
      <c r="G789" t="s">
        <v>235</v>
      </c>
    </row>
    <row r="790" spans="1:7" x14ac:dyDescent="0.2">
      <c r="A790">
        <f t="shared" si="12"/>
        <v>44045</v>
      </c>
      <c r="B790">
        <v>44</v>
      </c>
      <c r="C790">
        <v>45</v>
      </c>
      <c r="D790">
        <v>89</v>
      </c>
      <c r="E790" t="s">
        <v>43</v>
      </c>
      <c r="F790" t="s">
        <v>848</v>
      </c>
      <c r="G790" t="s">
        <v>246</v>
      </c>
    </row>
    <row r="791" spans="1:7" x14ac:dyDescent="0.2">
      <c r="A791">
        <f t="shared" si="12"/>
        <v>44046</v>
      </c>
      <c r="B791">
        <v>44</v>
      </c>
      <c r="C791">
        <v>46</v>
      </c>
      <c r="D791">
        <v>90</v>
      </c>
      <c r="E791" t="s">
        <v>44</v>
      </c>
      <c r="F791" t="s">
        <v>852</v>
      </c>
      <c r="G791" t="s">
        <v>197</v>
      </c>
    </row>
    <row r="792" spans="1:7" x14ac:dyDescent="0.2">
      <c r="A792">
        <f t="shared" si="12"/>
        <v>45024</v>
      </c>
      <c r="B792">
        <v>45</v>
      </c>
      <c r="C792">
        <v>24</v>
      </c>
      <c r="D792">
        <v>69</v>
      </c>
      <c r="E792" t="s">
        <v>22</v>
      </c>
      <c r="F792" t="s">
        <v>771</v>
      </c>
      <c r="G792" t="s">
        <v>245</v>
      </c>
    </row>
    <row r="793" spans="1:7" x14ac:dyDescent="0.2">
      <c r="A793">
        <f t="shared" si="12"/>
        <v>45025</v>
      </c>
      <c r="B793">
        <v>45</v>
      </c>
      <c r="C793">
        <v>25</v>
      </c>
      <c r="D793">
        <v>70</v>
      </c>
      <c r="E793" t="s">
        <v>23</v>
      </c>
      <c r="F793" t="s">
        <v>776</v>
      </c>
      <c r="G793" t="s">
        <v>245</v>
      </c>
    </row>
    <row r="794" spans="1:7" x14ac:dyDescent="0.2">
      <c r="A794">
        <f t="shared" si="12"/>
        <v>45026</v>
      </c>
      <c r="B794">
        <v>45</v>
      </c>
      <c r="C794">
        <v>26</v>
      </c>
      <c r="D794">
        <v>71</v>
      </c>
      <c r="E794" t="s">
        <v>24</v>
      </c>
      <c r="F794" t="s">
        <v>781</v>
      </c>
      <c r="G794" t="s">
        <v>197</v>
      </c>
    </row>
    <row r="795" spans="1:7" x14ac:dyDescent="0.2">
      <c r="A795">
        <f t="shared" si="12"/>
        <v>45027</v>
      </c>
      <c r="B795">
        <v>45</v>
      </c>
      <c r="C795">
        <v>27</v>
      </c>
      <c r="D795">
        <v>72</v>
      </c>
      <c r="E795" t="s">
        <v>25</v>
      </c>
      <c r="F795" t="s">
        <v>785</v>
      </c>
      <c r="G795" t="s">
        <v>197</v>
      </c>
    </row>
    <row r="796" spans="1:7" x14ac:dyDescent="0.2">
      <c r="A796">
        <f t="shared" si="12"/>
        <v>45028</v>
      </c>
      <c r="B796">
        <v>45</v>
      </c>
      <c r="C796">
        <v>28</v>
      </c>
      <c r="D796">
        <v>73</v>
      </c>
      <c r="E796" t="s">
        <v>26</v>
      </c>
      <c r="F796">
        <v>-50108.152000000002</v>
      </c>
      <c r="G796">
        <v>2.423</v>
      </c>
    </row>
    <row r="797" spans="1:7" x14ac:dyDescent="0.2">
      <c r="A797">
        <f t="shared" si="12"/>
        <v>45029</v>
      </c>
      <c r="B797">
        <v>45</v>
      </c>
      <c r="C797">
        <v>29</v>
      </c>
      <c r="D797">
        <v>74</v>
      </c>
      <c r="E797" t="s">
        <v>27</v>
      </c>
      <c r="F797">
        <v>-56006.205000000002</v>
      </c>
      <c r="G797">
        <v>6.1479999999999997</v>
      </c>
    </row>
    <row r="798" spans="1:7" x14ac:dyDescent="0.2">
      <c r="A798">
        <f t="shared" si="12"/>
        <v>45030</v>
      </c>
      <c r="B798">
        <v>45</v>
      </c>
      <c r="C798">
        <v>30</v>
      </c>
      <c r="D798">
        <v>75</v>
      </c>
      <c r="E798" t="s">
        <v>28</v>
      </c>
      <c r="F798">
        <v>-62558.908000000003</v>
      </c>
      <c r="G798">
        <v>1.956</v>
      </c>
    </row>
    <row r="799" spans="1:7" x14ac:dyDescent="0.2">
      <c r="A799">
        <f t="shared" si="12"/>
        <v>45031</v>
      </c>
      <c r="B799">
        <v>45</v>
      </c>
      <c r="C799">
        <v>31</v>
      </c>
      <c r="D799">
        <v>76</v>
      </c>
      <c r="E799" t="s">
        <v>29</v>
      </c>
      <c r="F799">
        <v>-66296.639999999999</v>
      </c>
      <c r="G799">
        <v>1.956</v>
      </c>
    </row>
    <row r="800" spans="1:7" x14ac:dyDescent="0.2">
      <c r="A800">
        <f t="shared" si="12"/>
        <v>45032</v>
      </c>
      <c r="B800">
        <v>45</v>
      </c>
      <c r="C800">
        <v>32</v>
      </c>
      <c r="D800">
        <v>77</v>
      </c>
      <c r="E800" t="s">
        <v>30</v>
      </c>
      <c r="F800">
        <v>-71212.861999999994</v>
      </c>
      <c r="G800">
        <v>5.2999999999999999E-2</v>
      </c>
    </row>
    <row r="801" spans="1:7" x14ac:dyDescent="0.2">
      <c r="A801">
        <f t="shared" si="12"/>
        <v>45033</v>
      </c>
      <c r="B801">
        <v>45</v>
      </c>
      <c r="C801">
        <v>33</v>
      </c>
      <c r="D801">
        <v>78</v>
      </c>
      <c r="E801" t="s">
        <v>31</v>
      </c>
      <c r="F801">
        <v>-72816.94</v>
      </c>
      <c r="G801">
        <v>9.7810000000000006</v>
      </c>
    </row>
    <row r="802" spans="1:7" x14ac:dyDescent="0.2">
      <c r="A802">
        <f t="shared" si="12"/>
        <v>45034</v>
      </c>
      <c r="B802">
        <v>45</v>
      </c>
      <c r="C802">
        <v>34</v>
      </c>
      <c r="D802">
        <v>79</v>
      </c>
      <c r="E802" t="s">
        <v>32</v>
      </c>
      <c r="F802">
        <v>-75917.459000000003</v>
      </c>
      <c r="G802">
        <v>0.223</v>
      </c>
    </row>
    <row r="803" spans="1:7" x14ac:dyDescent="0.2">
      <c r="A803">
        <f t="shared" si="12"/>
        <v>45035</v>
      </c>
      <c r="B803">
        <v>45</v>
      </c>
      <c r="C803">
        <v>35</v>
      </c>
      <c r="D803">
        <v>80</v>
      </c>
      <c r="E803" t="s">
        <v>33</v>
      </c>
      <c r="F803">
        <v>-75888.993000000002</v>
      </c>
      <c r="G803">
        <v>1.012</v>
      </c>
    </row>
    <row r="804" spans="1:7" x14ac:dyDescent="0.2">
      <c r="A804">
        <f t="shared" si="12"/>
        <v>45036</v>
      </c>
      <c r="B804">
        <v>45</v>
      </c>
      <c r="C804">
        <v>36</v>
      </c>
      <c r="D804">
        <v>81</v>
      </c>
      <c r="E804" t="s">
        <v>34</v>
      </c>
      <c r="F804">
        <v>-77696.180999999997</v>
      </c>
      <c r="G804">
        <v>1.0740000000000001</v>
      </c>
    </row>
    <row r="805" spans="1:7" x14ac:dyDescent="0.2">
      <c r="A805">
        <f t="shared" si="12"/>
        <v>45037</v>
      </c>
      <c r="B805">
        <v>45</v>
      </c>
      <c r="C805">
        <v>37</v>
      </c>
      <c r="D805">
        <v>82</v>
      </c>
      <c r="E805" t="s">
        <v>35</v>
      </c>
      <c r="F805">
        <v>-76187.803</v>
      </c>
      <c r="G805">
        <v>3.0089999999999999</v>
      </c>
    </row>
    <row r="806" spans="1:7" x14ac:dyDescent="0.2">
      <c r="A806">
        <f t="shared" si="12"/>
        <v>45038</v>
      </c>
      <c r="B806">
        <v>45</v>
      </c>
      <c r="C806">
        <v>38</v>
      </c>
      <c r="D806">
        <v>83</v>
      </c>
      <c r="E806" t="s">
        <v>36</v>
      </c>
      <c r="F806">
        <v>-76797.606</v>
      </c>
      <c r="G806">
        <v>6.8339999999999996</v>
      </c>
    </row>
    <row r="807" spans="1:7" x14ac:dyDescent="0.2">
      <c r="A807">
        <f t="shared" si="12"/>
        <v>45039</v>
      </c>
      <c r="B807">
        <v>45</v>
      </c>
      <c r="C807">
        <v>39</v>
      </c>
      <c r="D807">
        <v>84</v>
      </c>
      <c r="E807" t="s">
        <v>37</v>
      </c>
      <c r="F807">
        <v>-73894.430999999997</v>
      </c>
      <c r="G807">
        <v>4.2990000000000004</v>
      </c>
    </row>
    <row r="808" spans="1:7" x14ac:dyDescent="0.2">
      <c r="A808">
        <f t="shared" si="12"/>
        <v>45040</v>
      </c>
      <c r="B808">
        <v>45</v>
      </c>
      <c r="C808">
        <v>40</v>
      </c>
      <c r="D808">
        <v>85</v>
      </c>
      <c r="E808" t="s">
        <v>38</v>
      </c>
      <c r="F808">
        <v>-73175.188999999998</v>
      </c>
      <c r="G808">
        <v>6.43</v>
      </c>
    </row>
    <row r="809" spans="1:7" x14ac:dyDescent="0.2">
      <c r="A809">
        <f t="shared" si="12"/>
        <v>45041</v>
      </c>
      <c r="B809">
        <v>45</v>
      </c>
      <c r="C809">
        <v>41</v>
      </c>
      <c r="D809">
        <v>86</v>
      </c>
      <c r="E809" t="s">
        <v>39</v>
      </c>
      <c r="F809">
        <v>-69134.054000000004</v>
      </c>
      <c r="G809">
        <v>5.4989999999999997</v>
      </c>
    </row>
    <row r="810" spans="1:7" x14ac:dyDescent="0.2">
      <c r="A810">
        <f t="shared" si="12"/>
        <v>45042</v>
      </c>
      <c r="B810">
        <v>45</v>
      </c>
      <c r="C810">
        <v>42</v>
      </c>
      <c r="D810">
        <v>87</v>
      </c>
      <c r="E810" t="s">
        <v>40</v>
      </c>
      <c r="F810">
        <v>-66884.808000000005</v>
      </c>
      <c r="G810">
        <v>2.8570000000000002</v>
      </c>
    </row>
    <row r="811" spans="1:7" x14ac:dyDescent="0.2">
      <c r="A811">
        <f t="shared" si="12"/>
        <v>45043</v>
      </c>
      <c r="B811">
        <v>45</v>
      </c>
      <c r="C811">
        <v>43</v>
      </c>
      <c r="D811">
        <v>88</v>
      </c>
      <c r="E811" t="s">
        <v>41</v>
      </c>
      <c r="F811">
        <v>-61681.315000000002</v>
      </c>
      <c r="G811">
        <v>149.03899999999999</v>
      </c>
    </row>
    <row r="812" spans="1:7" x14ac:dyDescent="0.2">
      <c r="A812">
        <f t="shared" si="12"/>
        <v>45044</v>
      </c>
      <c r="B812">
        <v>45</v>
      </c>
      <c r="C812">
        <v>44</v>
      </c>
      <c r="D812">
        <v>89</v>
      </c>
      <c r="E812" t="s">
        <v>42</v>
      </c>
      <c r="F812" t="s">
        <v>847</v>
      </c>
      <c r="G812" t="s">
        <v>202</v>
      </c>
    </row>
    <row r="813" spans="1:7" x14ac:dyDescent="0.2">
      <c r="A813">
        <f t="shared" si="12"/>
        <v>45045</v>
      </c>
      <c r="B813">
        <v>45</v>
      </c>
      <c r="C813">
        <v>45</v>
      </c>
      <c r="D813">
        <v>90</v>
      </c>
      <c r="E813" t="s">
        <v>43</v>
      </c>
      <c r="F813" t="s">
        <v>851</v>
      </c>
      <c r="G813" t="s">
        <v>235</v>
      </c>
    </row>
    <row r="814" spans="1:7" x14ac:dyDescent="0.2">
      <c r="A814">
        <f t="shared" si="12"/>
        <v>45046</v>
      </c>
      <c r="B814">
        <v>45</v>
      </c>
      <c r="C814">
        <v>46</v>
      </c>
      <c r="D814">
        <v>91</v>
      </c>
      <c r="E814" t="s">
        <v>44</v>
      </c>
      <c r="F814" t="s">
        <v>856</v>
      </c>
      <c r="G814" t="s">
        <v>199</v>
      </c>
    </row>
    <row r="815" spans="1:7" x14ac:dyDescent="0.2">
      <c r="A815">
        <f t="shared" si="12"/>
        <v>45047</v>
      </c>
      <c r="B815">
        <v>45</v>
      </c>
      <c r="C815">
        <v>47</v>
      </c>
      <c r="D815">
        <v>92</v>
      </c>
      <c r="E815" t="s">
        <v>45</v>
      </c>
      <c r="F815" t="s">
        <v>860</v>
      </c>
      <c r="G815" t="s">
        <v>245</v>
      </c>
    </row>
    <row r="816" spans="1:7" x14ac:dyDescent="0.2">
      <c r="A816">
        <f t="shared" si="12"/>
        <v>46024</v>
      </c>
      <c r="B816">
        <v>46</v>
      </c>
      <c r="C816">
        <v>24</v>
      </c>
      <c r="D816">
        <v>70</v>
      </c>
      <c r="E816" t="s">
        <v>22</v>
      </c>
      <c r="F816" t="s">
        <v>775</v>
      </c>
      <c r="G816" t="s">
        <v>666</v>
      </c>
    </row>
    <row r="817" spans="1:7" x14ac:dyDescent="0.2">
      <c r="A817">
        <f t="shared" si="12"/>
        <v>46025</v>
      </c>
      <c r="B817">
        <v>46</v>
      </c>
      <c r="C817">
        <v>25</v>
      </c>
      <c r="D817">
        <v>71</v>
      </c>
      <c r="E817" t="s">
        <v>23</v>
      </c>
      <c r="F817" t="s">
        <v>780</v>
      </c>
      <c r="G817" t="s">
        <v>245</v>
      </c>
    </row>
    <row r="818" spans="1:7" x14ac:dyDescent="0.2">
      <c r="A818">
        <f t="shared" si="12"/>
        <v>46026</v>
      </c>
      <c r="B818">
        <v>46</v>
      </c>
      <c r="C818">
        <v>26</v>
      </c>
      <c r="D818">
        <v>72</v>
      </c>
      <c r="E818" t="s">
        <v>24</v>
      </c>
      <c r="F818" t="s">
        <v>784</v>
      </c>
      <c r="G818" t="s">
        <v>245</v>
      </c>
    </row>
    <row r="819" spans="1:7" x14ac:dyDescent="0.2">
      <c r="A819">
        <f t="shared" si="12"/>
        <v>46027</v>
      </c>
      <c r="B819">
        <v>46</v>
      </c>
      <c r="C819">
        <v>27</v>
      </c>
      <c r="D819">
        <v>73</v>
      </c>
      <c r="E819" t="s">
        <v>25</v>
      </c>
      <c r="F819" t="s">
        <v>788</v>
      </c>
      <c r="G819" t="s">
        <v>197</v>
      </c>
    </row>
    <row r="820" spans="1:7" x14ac:dyDescent="0.2">
      <c r="A820">
        <f t="shared" si="12"/>
        <v>46028</v>
      </c>
      <c r="B820">
        <v>46</v>
      </c>
      <c r="C820">
        <v>28</v>
      </c>
      <c r="D820">
        <v>74</v>
      </c>
      <c r="E820" t="s">
        <v>26</v>
      </c>
      <c r="F820" t="s">
        <v>793</v>
      </c>
      <c r="G820" t="s">
        <v>206</v>
      </c>
    </row>
    <row r="821" spans="1:7" x14ac:dyDescent="0.2">
      <c r="A821">
        <f t="shared" si="12"/>
        <v>46029</v>
      </c>
      <c r="B821">
        <v>46</v>
      </c>
      <c r="C821">
        <v>29</v>
      </c>
      <c r="D821">
        <v>75</v>
      </c>
      <c r="E821" t="s">
        <v>27</v>
      </c>
      <c r="F821">
        <v>-54471.341</v>
      </c>
      <c r="G821">
        <v>2.33</v>
      </c>
    </row>
    <row r="822" spans="1:7" x14ac:dyDescent="0.2">
      <c r="A822">
        <f t="shared" si="12"/>
        <v>46030</v>
      </c>
      <c r="B822">
        <v>46</v>
      </c>
      <c r="C822">
        <v>30</v>
      </c>
      <c r="D822">
        <v>76</v>
      </c>
      <c r="E822" t="s">
        <v>28</v>
      </c>
      <c r="F822">
        <v>-62303.016000000003</v>
      </c>
      <c r="G822">
        <v>1.456</v>
      </c>
    </row>
    <row r="823" spans="1:7" x14ac:dyDescent="0.2">
      <c r="A823">
        <f t="shared" si="12"/>
        <v>46031</v>
      </c>
      <c r="B823">
        <v>46</v>
      </c>
      <c r="C823">
        <v>31</v>
      </c>
      <c r="D823">
        <v>77</v>
      </c>
      <c r="E823" t="s">
        <v>29</v>
      </c>
      <c r="F823">
        <v>-65992.343999999997</v>
      </c>
      <c r="G823">
        <v>2.4220000000000002</v>
      </c>
    </row>
    <row r="824" spans="1:7" x14ac:dyDescent="0.2">
      <c r="A824">
        <f t="shared" si="12"/>
        <v>46032</v>
      </c>
      <c r="B824">
        <v>46</v>
      </c>
      <c r="C824">
        <v>32</v>
      </c>
      <c r="D824">
        <v>78</v>
      </c>
      <c r="E824" t="s">
        <v>30</v>
      </c>
      <c r="F824">
        <v>-71862.05</v>
      </c>
      <c r="G824">
        <v>3.536</v>
      </c>
    </row>
    <row r="825" spans="1:7" x14ac:dyDescent="0.2">
      <c r="A825">
        <f t="shared" si="12"/>
        <v>46033</v>
      </c>
      <c r="B825">
        <v>46</v>
      </c>
      <c r="C825">
        <v>33</v>
      </c>
      <c r="D825">
        <v>79</v>
      </c>
      <c r="E825" t="s">
        <v>31</v>
      </c>
      <c r="F825">
        <v>-73636.048999999999</v>
      </c>
      <c r="G825">
        <v>5.3280000000000003</v>
      </c>
    </row>
    <row r="826" spans="1:7" x14ac:dyDescent="0.2">
      <c r="A826">
        <f t="shared" si="12"/>
        <v>46034</v>
      </c>
      <c r="B826">
        <v>46</v>
      </c>
      <c r="C826">
        <v>34</v>
      </c>
      <c r="D826">
        <v>80</v>
      </c>
      <c r="E826" t="s">
        <v>32</v>
      </c>
      <c r="F826">
        <v>-77759.456999999995</v>
      </c>
      <c r="G826">
        <v>0.96299999999999997</v>
      </c>
    </row>
    <row r="827" spans="1:7" x14ac:dyDescent="0.2">
      <c r="A827">
        <f t="shared" si="12"/>
        <v>46035</v>
      </c>
      <c r="B827">
        <v>46</v>
      </c>
      <c r="C827">
        <v>35</v>
      </c>
      <c r="D827">
        <v>81</v>
      </c>
      <c r="E827" t="s">
        <v>33</v>
      </c>
      <c r="F827">
        <v>-77977.034</v>
      </c>
      <c r="G827">
        <v>0.97799999999999998</v>
      </c>
    </row>
    <row r="828" spans="1:7" x14ac:dyDescent="0.2">
      <c r="A828">
        <f t="shared" si="12"/>
        <v>46036</v>
      </c>
      <c r="B828">
        <v>46</v>
      </c>
      <c r="C828">
        <v>36</v>
      </c>
      <c r="D828">
        <v>82</v>
      </c>
      <c r="E828" t="s">
        <v>34</v>
      </c>
      <c r="F828">
        <v>-80591.785149999996</v>
      </c>
      <c r="G828">
        <v>5.4900000000000001E-3</v>
      </c>
    </row>
    <row r="829" spans="1:7" x14ac:dyDescent="0.2">
      <c r="A829">
        <f t="shared" si="12"/>
        <v>46037</v>
      </c>
      <c r="B829">
        <v>46</v>
      </c>
      <c r="C829">
        <v>37</v>
      </c>
      <c r="D829">
        <v>83</v>
      </c>
      <c r="E829" t="s">
        <v>35</v>
      </c>
      <c r="F829">
        <v>-79070.63</v>
      </c>
      <c r="G829">
        <v>2.3290000000000002</v>
      </c>
    </row>
    <row r="830" spans="1:7" x14ac:dyDescent="0.2">
      <c r="A830">
        <f t="shared" si="12"/>
        <v>46038</v>
      </c>
      <c r="B830">
        <v>46</v>
      </c>
      <c r="C830">
        <v>38</v>
      </c>
      <c r="D830">
        <v>84</v>
      </c>
      <c r="E830" t="s">
        <v>36</v>
      </c>
      <c r="F830">
        <v>-80649.570000000007</v>
      </c>
      <c r="G830">
        <v>1.2430000000000001</v>
      </c>
    </row>
    <row r="831" spans="1:7" x14ac:dyDescent="0.2">
      <c r="A831">
        <f t="shared" si="12"/>
        <v>46039</v>
      </c>
      <c r="B831">
        <v>46</v>
      </c>
      <c r="C831">
        <v>39</v>
      </c>
      <c r="D831">
        <v>85</v>
      </c>
      <c r="E831" t="s">
        <v>37</v>
      </c>
      <c r="F831">
        <v>-77842.123000000007</v>
      </c>
      <c r="G831">
        <v>18.965</v>
      </c>
    </row>
    <row r="832" spans="1:7" x14ac:dyDescent="0.2">
      <c r="A832">
        <f t="shared" si="12"/>
        <v>46040</v>
      </c>
      <c r="B832">
        <v>46</v>
      </c>
      <c r="C832">
        <v>40</v>
      </c>
      <c r="D832">
        <v>86</v>
      </c>
      <c r="E832" t="s">
        <v>38</v>
      </c>
      <c r="F832">
        <v>-77969.013999999996</v>
      </c>
      <c r="G832">
        <v>3.5659999999999998</v>
      </c>
    </row>
    <row r="833" spans="1:7" x14ac:dyDescent="0.2">
      <c r="A833">
        <f t="shared" ref="A833:A896" si="13">1000*B833+C833</f>
        <v>46041</v>
      </c>
      <c r="B833">
        <v>46</v>
      </c>
      <c r="C833">
        <v>41</v>
      </c>
      <c r="D833">
        <v>87</v>
      </c>
      <c r="E833" t="s">
        <v>39</v>
      </c>
      <c r="F833">
        <v>-73874.486000000004</v>
      </c>
      <c r="G833">
        <v>6.8019999999999996</v>
      </c>
    </row>
    <row r="834" spans="1:7" x14ac:dyDescent="0.2">
      <c r="A834">
        <f t="shared" si="13"/>
        <v>46042</v>
      </c>
      <c r="B834">
        <v>46</v>
      </c>
      <c r="C834">
        <v>42</v>
      </c>
      <c r="D834">
        <v>88</v>
      </c>
      <c r="E834" t="s">
        <v>40</v>
      </c>
      <c r="F834">
        <v>-72686.543999999994</v>
      </c>
      <c r="G834">
        <v>3.819</v>
      </c>
    </row>
    <row r="835" spans="1:7" x14ac:dyDescent="0.2">
      <c r="A835">
        <f t="shared" si="13"/>
        <v>46043</v>
      </c>
      <c r="B835">
        <v>46</v>
      </c>
      <c r="C835">
        <v>43</v>
      </c>
      <c r="D835">
        <v>89</v>
      </c>
      <c r="E835" t="s">
        <v>41</v>
      </c>
      <c r="F835">
        <v>-67394.847999999998</v>
      </c>
      <c r="G835">
        <v>3.819</v>
      </c>
    </row>
    <row r="836" spans="1:7" x14ac:dyDescent="0.2">
      <c r="A836">
        <f t="shared" si="13"/>
        <v>46044</v>
      </c>
      <c r="B836">
        <v>46</v>
      </c>
      <c r="C836">
        <v>44</v>
      </c>
      <c r="D836">
        <v>90</v>
      </c>
      <c r="E836" t="s">
        <v>42</v>
      </c>
      <c r="F836">
        <v>-64883.792000000001</v>
      </c>
      <c r="G836">
        <v>3.73</v>
      </c>
    </row>
    <row r="837" spans="1:7" x14ac:dyDescent="0.2">
      <c r="A837">
        <f t="shared" si="13"/>
        <v>46045</v>
      </c>
      <c r="B837">
        <v>46</v>
      </c>
      <c r="C837">
        <v>45</v>
      </c>
      <c r="D837">
        <v>91</v>
      </c>
      <c r="E837" t="s">
        <v>43</v>
      </c>
      <c r="F837" t="s">
        <v>855</v>
      </c>
      <c r="G837" t="s">
        <v>202</v>
      </c>
    </row>
    <row r="838" spans="1:7" x14ac:dyDescent="0.2">
      <c r="A838">
        <f t="shared" si="13"/>
        <v>46046</v>
      </c>
      <c r="B838">
        <v>46</v>
      </c>
      <c r="C838">
        <v>46</v>
      </c>
      <c r="D838">
        <v>92</v>
      </c>
      <c r="E838" t="s">
        <v>44</v>
      </c>
      <c r="F838" t="s">
        <v>859</v>
      </c>
      <c r="G838" t="s">
        <v>235</v>
      </c>
    </row>
    <row r="839" spans="1:7" x14ac:dyDescent="0.2">
      <c r="A839">
        <f t="shared" si="13"/>
        <v>46047</v>
      </c>
      <c r="B839">
        <v>46</v>
      </c>
      <c r="C839">
        <v>47</v>
      </c>
      <c r="D839">
        <v>93</v>
      </c>
      <c r="E839" t="s">
        <v>45</v>
      </c>
      <c r="F839" t="s">
        <v>863</v>
      </c>
      <c r="G839" t="s">
        <v>199</v>
      </c>
    </row>
    <row r="840" spans="1:7" x14ac:dyDescent="0.2">
      <c r="A840">
        <f t="shared" si="13"/>
        <v>46048</v>
      </c>
      <c r="B840">
        <v>46</v>
      </c>
      <c r="C840">
        <v>48</v>
      </c>
      <c r="D840">
        <v>94</v>
      </c>
      <c r="E840" t="s">
        <v>46</v>
      </c>
      <c r="F840" t="s">
        <v>867</v>
      </c>
      <c r="G840" t="s">
        <v>245</v>
      </c>
    </row>
    <row r="841" spans="1:7" x14ac:dyDescent="0.2">
      <c r="A841">
        <f t="shared" si="13"/>
        <v>47025</v>
      </c>
      <c r="B841">
        <v>47</v>
      </c>
      <c r="C841">
        <v>25</v>
      </c>
      <c r="D841">
        <v>72</v>
      </c>
      <c r="E841" t="s">
        <v>23</v>
      </c>
      <c r="F841" t="s">
        <v>783</v>
      </c>
      <c r="G841" t="s">
        <v>666</v>
      </c>
    </row>
    <row r="842" spans="1:7" x14ac:dyDescent="0.2">
      <c r="A842">
        <f t="shared" si="13"/>
        <v>47026</v>
      </c>
      <c r="B842">
        <v>47</v>
      </c>
      <c r="C842">
        <v>26</v>
      </c>
      <c r="D842">
        <v>73</v>
      </c>
      <c r="E842" t="s">
        <v>24</v>
      </c>
      <c r="F842" t="s">
        <v>787</v>
      </c>
      <c r="G842" t="s">
        <v>245</v>
      </c>
    </row>
    <row r="843" spans="1:7" x14ac:dyDescent="0.2">
      <c r="A843">
        <f t="shared" si="13"/>
        <v>47027</v>
      </c>
      <c r="B843">
        <v>47</v>
      </c>
      <c r="C843">
        <v>27</v>
      </c>
      <c r="D843">
        <v>74</v>
      </c>
      <c r="E843" t="s">
        <v>25</v>
      </c>
      <c r="F843" t="s">
        <v>792</v>
      </c>
      <c r="G843" t="s">
        <v>245</v>
      </c>
    </row>
    <row r="844" spans="1:7" x14ac:dyDescent="0.2">
      <c r="A844">
        <f t="shared" si="13"/>
        <v>47028</v>
      </c>
      <c r="B844">
        <v>47</v>
      </c>
      <c r="C844">
        <v>28</v>
      </c>
      <c r="D844">
        <v>75</v>
      </c>
      <c r="E844" t="s">
        <v>26</v>
      </c>
      <c r="F844" t="s">
        <v>798</v>
      </c>
      <c r="G844" t="s">
        <v>235</v>
      </c>
    </row>
    <row r="845" spans="1:7" x14ac:dyDescent="0.2">
      <c r="A845">
        <f t="shared" si="13"/>
        <v>47029</v>
      </c>
      <c r="B845">
        <v>47</v>
      </c>
      <c r="C845">
        <v>29</v>
      </c>
      <c r="D845">
        <v>76</v>
      </c>
      <c r="E845" t="s">
        <v>27</v>
      </c>
      <c r="F845">
        <v>-50975.985000000001</v>
      </c>
      <c r="G845">
        <v>6.7069999999999999</v>
      </c>
    </row>
    <row r="846" spans="1:7" x14ac:dyDescent="0.2">
      <c r="A846">
        <f t="shared" si="13"/>
        <v>47030</v>
      </c>
      <c r="B846">
        <v>47</v>
      </c>
      <c r="C846">
        <v>30</v>
      </c>
      <c r="D846">
        <v>77</v>
      </c>
      <c r="E846" t="s">
        <v>28</v>
      </c>
      <c r="F846">
        <v>-58789.195</v>
      </c>
      <c r="G846">
        <v>1.9730000000000001</v>
      </c>
    </row>
    <row r="847" spans="1:7" x14ac:dyDescent="0.2">
      <c r="A847">
        <f t="shared" si="13"/>
        <v>47031</v>
      </c>
      <c r="B847">
        <v>47</v>
      </c>
      <c r="C847">
        <v>31</v>
      </c>
      <c r="D847">
        <v>78</v>
      </c>
      <c r="E847" t="s">
        <v>29</v>
      </c>
      <c r="F847">
        <v>-63705.95</v>
      </c>
      <c r="G847">
        <v>1.903</v>
      </c>
    </row>
    <row r="848" spans="1:7" x14ac:dyDescent="0.2">
      <c r="A848">
        <f t="shared" si="13"/>
        <v>47032</v>
      </c>
      <c r="B848">
        <v>47</v>
      </c>
      <c r="C848">
        <v>32</v>
      </c>
      <c r="D848">
        <v>79</v>
      </c>
      <c r="E848" t="s">
        <v>30</v>
      </c>
      <c r="F848">
        <v>-69526.592000000004</v>
      </c>
      <c r="G848">
        <v>37.180999999999997</v>
      </c>
    </row>
    <row r="849" spans="1:7" x14ac:dyDescent="0.2">
      <c r="A849">
        <f t="shared" si="13"/>
        <v>47033</v>
      </c>
      <c r="B849">
        <v>47</v>
      </c>
      <c r="C849">
        <v>33</v>
      </c>
      <c r="D849">
        <v>80</v>
      </c>
      <c r="E849" t="s">
        <v>31</v>
      </c>
      <c r="F849">
        <v>-72214.493000000002</v>
      </c>
      <c r="G849">
        <v>3.3330000000000002</v>
      </c>
    </row>
    <row r="850" spans="1:7" x14ac:dyDescent="0.2">
      <c r="A850">
        <f t="shared" si="13"/>
        <v>47034</v>
      </c>
      <c r="B850">
        <v>47</v>
      </c>
      <c r="C850">
        <v>34</v>
      </c>
      <c r="D850">
        <v>81</v>
      </c>
      <c r="E850" t="s">
        <v>32</v>
      </c>
      <c r="F850">
        <v>-76388.987999999998</v>
      </c>
      <c r="G850">
        <v>0.99199999999999999</v>
      </c>
    </row>
    <row r="851" spans="1:7" x14ac:dyDescent="0.2">
      <c r="A851">
        <f t="shared" si="13"/>
        <v>47035</v>
      </c>
      <c r="B851">
        <v>47</v>
      </c>
      <c r="C851">
        <v>35</v>
      </c>
      <c r="D851">
        <v>82</v>
      </c>
      <c r="E851" t="s">
        <v>33</v>
      </c>
      <c r="F851">
        <v>-77498.660999999993</v>
      </c>
      <c r="G851">
        <v>0.97099999999999997</v>
      </c>
    </row>
    <row r="852" spans="1:7" x14ac:dyDescent="0.2">
      <c r="A852">
        <f t="shared" si="13"/>
        <v>47036</v>
      </c>
      <c r="B852">
        <v>47</v>
      </c>
      <c r="C852">
        <v>36</v>
      </c>
      <c r="D852">
        <v>83</v>
      </c>
      <c r="E852" t="s">
        <v>34</v>
      </c>
      <c r="F852">
        <v>-79990.633000000002</v>
      </c>
      <c r="G852">
        <v>8.9999999999999993E-3</v>
      </c>
    </row>
    <row r="853" spans="1:7" x14ac:dyDescent="0.2">
      <c r="A853">
        <f t="shared" si="13"/>
        <v>47037</v>
      </c>
      <c r="B853">
        <v>47</v>
      </c>
      <c r="C853">
        <v>37</v>
      </c>
      <c r="D853">
        <v>84</v>
      </c>
      <c r="E853" t="s">
        <v>35</v>
      </c>
      <c r="F853">
        <v>-79758.964000000007</v>
      </c>
      <c r="G853">
        <v>2.194</v>
      </c>
    </row>
    <row r="854" spans="1:7" x14ac:dyDescent="0.2">
      <c r="A854">
        <f t="shared" si="13"/>
        <v>47038</v>
      </c>
      <c r="B854">
        <v>47</v>
      </c>
      <c r="C854">
        <v>38</v>
      </c>
      <c r="D854">
        <v>85</v>
      </c>
      <c r="E854" t="s">
        <v>36</v>
      </c>
      <c r="F854">
        <v>-81103.28</v>
      </c>
      <c r="G854">
        <v>2.8130000000000002</v>
      </c>
    </row>
    <row r="855" spans="1:7" x14ac:dyDescent="0.2">
      <c r="A855">
        <f t="shared" si="13"/>
        <v>47039</v>
      </c>
      <c r="B855">
        <v>47</v>
      </c>
      <c r="C855">
        <v>39</v>
      </c>
      <c r="D855">
        <v>86</v>
      </c>
      <c r="E855" t="s">
        <v>37</v>
      </c>
      <c r="F855">
        <v>-79283.089000000007</v>
      </c>
      <c r="G855">
        <v>14.141999999999999</v>
      </c>
    </row>
    <row r="856" spans="1:7" x14ac:dyDescent="0.2">
      <c r="A856">
        <f t="shared" si="13"/>
        <v>47040</v>
      </c>
      <c r="B856">
        <v>47</v>
      </c>
      <c r="C856">
        <v>40</v>
      </c>
      <c r="D856">
        <v>87</v>
      </c>
      <c r="E856" t="s">
        <v>38</v>
      </c>
      <c r="F856">
        <v>-79347.137000000002</v>
      </c>
      <c r="G856">
        <v>4.1459999999999999</v>
      </c>
    </row>
    <row r="857" spans="1:7" x14ac:dyDescent="0.2">
      <c r="A857">
        <f t="shared" si="13"/>
        <v>47041</v>
      </c>
      <c r="B857">
        <v>47</v>
      </c>
      <c r="C857">
        <v>41</v>
      </c>
      <c r="D857">
        <v>88</v>
      </c>
      <c r="E857" t="s">
        <v>39</v>
      </c>
      <c r="F857">
        <v>-76173.585999999996</v>
      </c>
      <c r="G857">
        <v>58.81</v>
      </c>
    </row>
    <row r="858" spans="1:7" x14ac:dyDescent="0.2">
      <c r="A858">
        <f t="shared" si="13"/>
        <v>47042</v>
      </c>
      <c r="B858">
        <v>47</v>
      </c>
      <c r="C858">
        <v>42</v>
      </c>
      <c r="D858">
        <v>89</v>
      </c>
      <c r="E858" t="s">
        <v>40</v>
      </c>
      <c r="F858">
        <v>-75014.934999999998</v>
      </c>
      <c r="G858">
        <v>3.9119999999999999</v>
      </c>
    </row>
    <row r="859" spans="1:7" x14ac:dyDescent="0.2">
      <c r="A859">
        <f t="shared" si="13"/>
        <v>47043</v>
      </c>
      <c r="B859">
        <v>47</v>
      </c>
      <c r="C859">
        <v>43</v>
      </c>
      <c r="D859">
        <v>90</v>
      </c>
      <c r="E859" t="s">
        <v>41</v>
      </c>
      <c r="F859">
        <v>-70724.687000000005</v>
      </c>
      <c r="G859">
        <v>1.0249999999999999</v>
      </c>
    </row>
    <row r="860" spans="1:7" x14ac:dyDescent="0.2">
      <c r="A860">
        <f t="shared" si="13"/>
        <v>47044</v>
      </c>
      <c r="B860">
        <v>47</v>
      </c>
      <c r="C860">
        <v>44</v>
      </c>
      <c r="D860">
        <v>91</v>
      </c>
      <c r="E860" t="s">
        <v>42</v>
      </c>
      <c r="F860">
        <v>-68239.823000000004</v>
      </c>
      <c r="G860">
        <v>2.2210000000000001</v>
      </c>
    </row>
    <row r="861" spans="1:7" x14ac:dyDescent="0.2">
      <c r="A861">
        <f t="shared" si="13"/>
        <v>47045</v>
      </c>
      <c r="B861">
        <v>47</v>
      </c>
      <c r="C861">
        <v>45</v>
      </c>
      <c r="D861">
        <v>92</v>
      </c>
      <c r="E861" t="s">
        <v>43</v>
      </c>
      <c r="F861">
        <v>-62999.087</v>
      </c>
      <c r="G861">
        <v>4.3780000000000001</v>
      </c>
    </row>
    <row r="862" spans="1:7" x14ac:dyDescent="0.2">
      <c r="A862">
        <f t="shared" si="13"/>
        <v>47046</v>
      </c>
      <c r="B862">
        <v>47</v>
      </c>
      <c r="C862">
        <v>46</v>
      </c>
      <c r="D862">
        <v>93</v>
      </c>
      <c r="E862" t="s">
        <v>44</v>
      </c>
      <c r="F862" t="s">
        <v>862</v>
      </c>
      <c r="G862" t="s">
        <v>235</v>
      </c>
    </row>
    <row r="863" spans="1:7" x14ac:dyDescent="0.2">
      <c r="A863">
        <f t="shared" si="13"/>
        <v>47047</v>
      </c>
      <c r="B863">
        <v>47</v>
      </c>
      <c r="C863">
        <v>47</v>
      </c>
      <c r="D863">
        <v>94</v>
      </c>
      <c r="E863" t="s">
        <v>45</v>
      </c>
      <c r="F863" t="s">
        <v>866</v>
      </c>
      <c r="G863" t="s">
        <v>197</v>
      </c>
    </row>
    <row r="864" spans="1:7" x14ac:dyDescent="0.2">
      <c r="A864">
        <f t="shared" si="13"/>
        <v>47048</v>
      </c>
      <c r="B864">
        <v>47</v>
      </c>
      <c r="C864">
        <v>48</v>
      </c>
      <c r="D864">
        <v>95</v>
      </c>
      <c r="E864" t="s">
        <v>46</v>
      </c>
      <c r="F864" t="s">
        <v>869</v>
      </c>
      <c r="G864" t="s">
        <v>199</v>
      </c>
    </row>
    <row r="865" spans="1:7" x14ac:dyDescent="0.2">
      <c r="A865">
        <f t="shared" si="13"/>
        <v>47049</v>
      </c>
      <c r="B865">
        <v>47</v>
      </c>
      <c r="C865">
        <v>49</v>
      </c>
      <c r="D865">
        <v>96</v>
      </c>
      <c r="E865" t="s">
        <v>47</v>
      </c>
      <c r="F865" t="s">
        <v>872</v>
      </c>
      <c r="G865" t="s">
        <v>245</v>
      </c>
    </row>
    <row r="866" spans="1:7" x14ac:dyDescent="0.2">
      <c r="A866">
        <f t="shared" si="13"/>
        <v>48026</v>
      </c>
      <c r="B866">
        <v>48</v>
      </c>
      <c r="C866">
        <v>26</v>
      </c>
      <c r="D866">
        <v>74</v>
      </c>
      <c r="E866" t="s">
        <v>24</v>
      </c>
      <c r="F866" t="s">
        <v>791</v>
      </c>
      <c r="G866" t="s">
        <v>666</v>
      </c>
    </row>
    <row r="867" spans="1:7" x14ac:dyDescent="0.2">
      <c r="A867">
        <f t="shared" si="13"/>
        <v>48027</v>
      </c>
      <c r="B867">
        <v>48</v>
      </c>
      <c r="C867">
        <v>27</v>
      </c>
      <c r="D867">
        <v>75</v>
      </c>
      <c r="E867" t="s">
        <v>25</v>
      </c>
      <c r="F867" t="s">
        <v>797</v>
      </c>
      <c r="G867" t="s">
        <v>245</v>
      </c>
    </row>
    <row r="868" spans="1:7" x14ac:dyDescent="0.2">
      <c r="A868">
        <f t="shared" si="13"/>
        <v>48028</v>
      </c>
      <c r="B868">
        <v>48</v>
      </c>
      <c r="C868">
        <v>28</v>
      </c>
      <c r="D868">
        <v>76</v>
      </c>
      <c r="E868" t="s">
        <v>26</v>
      </c>
      <c r="F868" t="s">
        <v>801</v>
      </c>
      <c r="G868" t="s">
        <v>197</v>
      </c>
    </row>
    <row r="869" spans="1:7" x14ac:dyDescent="0.2">
      <c r="A869">
        <f t="shared" si="13"/>
        <v>48029</v>
      </c>
      <c r="B869">
        <v>48</v>
      </c>
      <c r="C869">
        <v>29</v>
      </c>
      <c r="D869">
        <v>77</v>
      </c>
      <c r="E869" t="s">
        <v>27</v>
      </c>
      <c r="F869" t="s">
        <v>804</v>
      </c>
      <c r="G869" t="s">
        <v>221</v>
      </c>
    </row>
    <row r="870" spans="1:7" x14ac:dyDescent="0.2">
      <c r="A870">
        <f t="shared" si="13"/>
        <v>48030</v>
      </c>
      <c r="B870">
        <v>48</v>
      </c>
      <c r="C870">
        <v>30</v>
      </c>
      <c r="D870">
        <v>78</v>
      </c>
      <c r="E870" t="s">
        <v>28</v>
      </c>
      <c r="F870">
        <v>-57483.235000000001</v>
      </c>
      <c r="G870">
        <v>1.944</v>
      </c>
    </row>
    <row r="871" spans="1:7" x14ac:dyDescent="0.2">
      <c r="A871">
        <f t="shared" si="13"/>
        <v>48031</v>
      </c>
      <c r="B871">
        <v>48</v>
      </c>
      <c r="C871">
        <v>31</v>
      </c>
      <c r="D871">
        <v>79</v>
      </c>
      <c r="E871" t="s">
        <v>29</v>
      </c>
      <c r="F871">
        <v>-62547.678999999996</v>
      </c>
      <c r="G871">
        <v>1.8680000000000001</v>
      </c>
    </row>
    <row r="872" spans="1:7" x14ac:dyDescent="0.2">
      <c r="A872">
        <f t="shared" si="13"/>
        <v>48032</v>
      </c>
      <c r="B872">
        <v>48</v>
      </c>
      <c r="C872">
        <v>32</v>
      </c>
      <c r="D872">
        <v>80</v>
      </c>
      <c r="E872" t="s">
        <v>30</v>
      </c>
      <c r="F872">
        <v>-69535.305999999997</v>
      </c>
      <c r="G872">
        <v>2.0539999999999998</v>
      </c>
    </row>
    <row r="873" spans="1:7" x14ac:dyDescent="0.2">
      <c r="A873">
        <f t="shared" si="13"/>
        <v>48033</v>
      </c>
      <c r="B873">
        <v>48</v>
      </c>
      <c r="C873">
        <v>33</v>
      </c>
      <c r="D873">
        <v>81</v>
      </c>
      <c r="E873" t="s">
        <v>31</v>
      </c>
      <c r="F873">
        <v>-72533.304000000004</v>
      </c>
      <c r="G873">
        <v>2.6440000000000001</v>
      </c>
    </row>
    <row r="874" spans="1:7" x14ac:dyDescent="0.2">
      <c r="A874">
        <f t="shared" si="13"/>
        <v>48034</v>
      </c>
      <c r="B874">
        <v>48</v>
      </c>
      <c r="C874">
        <v>34</v>
      </c>
      <c r="D874">
        <v>82</v>
      </c>
      <c r="E874" t="s">
        <v>32</v>
      </c>
      <c r="F874">
        <v>-77593.881999999998</v>
      </c>
      <c r="G874">
        <v>0.46700000000000003</v>
      </c>
    </row>
    <row r="875" spans="1:7" x14ac:dyDescent="0.2">
      <c r="A875">
        <f t="shared" si="13"/>
        <v>48035</v>
      </c>
      <c r="B875">
        <v>48</v>
      </c>
      <c r="C875">
        <v>35</v>
      </c>
      <c r="D875">
        <v>83</v>
      </c>
      <c r="E875" t="s">
        <v>33</v>
      </c>
      <c r="F875">
        <v>-79013.709000000003</v>
      </c>
      <c r="G875">
        <v>3.7949999999999999</v>
      </c>
    </row>
    <row r="876" spans="1:7" x14ac:dyDescent="0.2">
      <c r="A876">
        <f t="shared" si="13"/>
        <v>48036</v>
      </c>
      <c r="B876">
        <v>48</v>
      </c>
      <c r="C876">
        <v>36</v>
      </c>
      <c r="D876">
        <v>84</v>
      </c>
      <c r="E876" t="s">
        <v>34</v>
      </c>
      <c r="F876">
        <v>-82439.335099999997</v>
      </c>
      <c r="G876">
        <v>3.79E-3</v>
      </c>
    </row>
    <row r="877" spans="1:7" x14ac:dyDescent="0.2">
      <c r="A877">
        <f t="shared" si="13"/>
        <v>48037</v>
      </c>
      <c r="B877">
        <v>48</v>
      </c>
      <c r="C877">
        <v>37</v>
      </c>
      <c r="D877">
        <v>85</v>
      </c>
      <c r="E877" t="s">
        <v>35</v>
      </c>
      <c r="F877">
        <v>-82167.330499999996</v>
      </c>
      <c r="G877">
        <v>4.9800000000000001E-3</v>
      </c>
    </row>
    <row r="878" spans="1:7" x14ac:dyDescent="0.2">
      <c r="A878">
        <f t="shared" si="13"/>
        <v>48038</v>
      </c>
      <c r="B878">
        <v>48</v>
      </c>
      <c r="C878">
        <v>38</v>
      </c>
      <c r="D878">
        <v>86</v>
      </c>
      <c r="E878" t="s">
        <v>36</v>
      </c>
      <c r="F878">
        <v>-84523.089349999995</v>
      </c>
      <c r="G878">
        <v>5.2199999999999998E-3</v>
      </c>
    </row>
    <row r="879" spans="1:7" x14ac:dyDescent="0.2">
      <c r="A879">
        <f t="shared" si="13"/>
        <v>48039</v>
      </c>
      <c r="B879">
        <v>48</v>
      </c>
      <c r="C879">
        <v>39</v>
      </c>
      <c r="D879">
        <v>87</v>
      </c>
      <c r="E879" t="s">
        <v>37</v>
      </c>
      <c r="F879">
        <v>-83018.376000000004</v>
      </c>
      <c r="G879">
        <v>1.1279999999999999</v>
      </c>
    </row>
    <row r="880" spans="1:7" x14ac:dyDescent="0.2">
      <c r="A880">
        <f t="shared" si="13"/>
        <v>48040</v>
      </c>
      <c r="B880">
        <v>48</v>
      </c>
      <c r="C880">
        <v>40</v>
      </c>
      <c r="D880">
        <v>88</v>
      </c>
      <c r="E880" t="s">
        <v>38</v>
      </c>
      <c r="F880">
        <v>-83628.870999999999</v>
      </c>
      <c r="G880">
        <v>5.4029999999999996</v>
      </c>
    </row>
    <row r="881" spans="1:7" x14ac:dyDescent="0.2">
      <c r="A881">
        <f t="shared" si="13"/>
        <v>48041</v>
      </c>
      <c r="B881">
        <v>48</v>
      </c>
      <c r="C881">
        <v>41</v>
      </c>
      <c r="D881">
        <v>89</v>
      </c>
      <c r="E881" t="s">
        <v>39</v>
      </c>
      <c r="F881">
        <v>-80625.209000000003</v>
      </c>
      <c r="G881">
        <v>23.631</v>
      </c>
    </row>
    <row r="882" spans="1:7" x14ac:dyDescent="0.2">
      <c r="A882">
        <f t="shared" si="13"/>
        <v>48042</v>
      </c>
      <c r="B882">
        <v>48</v>
      </c>
      <c r="C882">
        <v>42</v>
      </c>
      <c r="D882">
        <v>90</v>
      </c>
      <c r="E882" t="s">
        <v>40</v>
      </c>
      <c r="F882">
        <v>-80172.502999999997</v>
      </c>
      <c r="G882">
        <v>3.4630000000000001</v>
      </c>
    </row>
    <row r="883" spans="1:7" x14ac:dyDescent="0.2">
      <c r="A883">
        <f t="shared" si="13"/>
        <v>48043</v>
      </c>
      <c r="B883">
        <v>48</v>
      </c>
      <c r="C883">
        <v>43</v>
      </c>
      <c r="D883">
        <v>91</v>
      </c>
      <c r="E883" t="s">
        <v>41</v>
      </c>
      <c r="F883">
        <v>-75986.645999999993</v>
      </c>
      <c r="G883">
        <v>2.363</v>
      </c>
    </row>
    <row r="884" spans="1:7" x14ac:dyDescent="0.2">
      <c r="A884">
        <f t="shared" si="13"/>
        <v>48044</v>
      </c>
      <c r="B884">
        <v>48</v>
      </c>
      <c r="C884">
        <v>44</v>
      </c>
      <c r="D884">
        <v>92</v>
      </c>
      <c r="E884" t="s">
        <v>42</v>
      </c>
      <c r="F884">
        <v>-74301.201000000001</v>
      </c>
      <c r="G884">
        <v>2.718</v>
      </c>
    </row>
    <row r="885" spans="1:7" x14ac:dyDescent="0.2">
      <c r="A885">
        <f t="shared" si="13"/>
        <v>48045</v>
      </c>
      <c r="B885">
        <v>48</v>
      </c>
      <c r="C885">
        <v>45</v>
      </c>
      <c r="D885">
        <v>93</v>
      </c>
      <c r="E885" t="s">
        <v>43</v>
      </c>
      <c r="F885">
        <v>-69011.8</v>
      </c>
      <c r="G885">
        <v>2.629</v>
      </c>
    </row>
    <row r="886" spans="1:7" x14ac:dyDescent="0.2">
      <c r="A886">
        <f t="shared" si="13"/>
        <v>48046</v>
      </c>
      <c r="B886">
        <v>48</v>
      </c>
      <c r="C886">
        <v>46</v>
      </c>
      <c r="D886">
        <v>94</v>
      </c>
      <c r="E886" t="s">
        <v>44</v>
      </c>
      <c r="F886">
        <v>-66102.267999999996</v>
      </c>
      <c r="G886">
        <v>4.2869999999999999</v>
      </c>
    </row>
    <row r="887" spans="1:7" x14ac:dyDescent="0.2">
      <c r="A887">
        <f t="shared" si="13"/>
        <v>48047</v>
      </c>
      <c r="B887">
        <v>48</v>
      </c>
      <c r="C887">
        <v>47</v>
      </c>
      <c r="D887">
        <v>95</v>
      </c>
      <c r="E887" t="s">
        <v>45</v>
      </c>
      <c r="F887" t="s">
        <v>237</v>
      </c>
      <c r="G887" t="s">
        <v>202</v>
      </c>
    </row>
    <row r="888" spans="1:7" x14ac:dyDescent="0.2">
      <c r="A888">
        <f t="shared" si="13"/>
        <v>48048</v>
      </c>
      <c r="B888">
        <v>48</v>
      </c>
      <c r="C888">
        <v>48</v>
      </c>
      <c r="D888">
        <v>96</v>
      </c>
      <c r="E888" t="s">
        <v>46</v>
      </c>
      <c r="F888" t="s">
        <v>871</v>
      </c>
      <c r="G888" t="s">
        <v>199</v>
      </c>
    </row>
    <row r="889" spans="1:7" x14ac:dyDescent="0.2">
      <c r="A889">
        <f t="shared" si="13"/>
        <v>48049</v>
      </c>
      <c r="B889">
        <v>48</v>
      </c>
      <c r="C889">
        <v>49</v>
      </c>
      <c r="D889">
        <v>97</v>
      </c>
      <c r="E889" t="s">
        <v>47</v>
      </c>
      <c r="F889" t="s">
        <v>875</v>
      </c>
      <c r="G889" t="s">
        <v>199</v>
      </c>
    </row>
    <row r="890" spans="1:7" x14ac:dyDescent="0.2">
      <c r="A890">
        <f t="shared" si="13"/>
        <v>49026</v>
      </c>
      <c r="B890">
        <v>49</v>
      </c>
      <c r="C890">
        <v>26</v>
      </c>
      <c r="D890">
        <v>75</v>
      </c>
      <c r="E890" t="s">
        <v>24</v>
      </c>
      <c r="F890" t="s">
        <v>796</v>
      </c>
      <c r="G890" t="s">
        <v>666</v>
      </c>
    </row>
    <row r="891" spans="1:7" x14ac:dyDescent="0.2">
      <c r="A891">
        <f t="shared" si="13"/>
        <v>49027</v>
      </c>
      <c r="B891">
        <v>49</v>
      </c>
      <c r="C891">
        <v>27</v>
      </c>
      <c r="D891">
        <v>76</v>
      </c>
      <c r="E891" t="s">
        <v>25</v>
      </c>
      <c r="F891" t="s">
        <v>800</v>
      </c>
      <c r="G891" t="s">
        <v>666</v>
      </c>
    </row>
    <row r="892" spans="1:7" x14ac:dyDescent="0.2">
      <c r="A892">
        <f t="shared" si="13"/>
        <v>49028</v>
      </c>
      <c r="B892">
        <v>49</v>
      </c>
      <c r="C892">
        <v>28</v>
      </c>
      <c r="D892">
        <v>77</v>
      </c>
      <c r="E892" t="s">
        <v>26</v>
      </c>
      <c r="F892" t="s">
        <v>803</v>
      </c>
      <c r="G892" t="s">
        <v>245</v>
      </c>
    </row>
    <row r="893" spans="1:7" x14ac:dyDescent="0.2">
      <c r="A893">
        <f t="shared" si="13"/>
        <v>49029</v>
      </c>
      <c r="B893">
        <v>49</v>
      </c>
      <c r="C893">
        <v>29</v>
      </c>
      <c r="D893">
        <v>78</v>
      </c>
      <c r="E893" t="s">
        <v>27</v>
      </c>
      <c r="F893">
        <v>-44497.468999999997</v>
      </c>
      <c r="G893">
        <v>503.00700000000001</v>
      </c>
    </row>
    <row r="894" spans="1:7" x14ac:dyDescent="0.2">
      <c r="A894">
        <f t="shared" si="13"/>
        <v>49030</v>
      </c>
      <c r="B894">
        <v>49</v>
      </c>
      <c r="C894">
        <v>30</v>
      </c>
      <c r="D894">
        <v>79</v>
      </c>
      <c r="E894" t="s">
        <v>28</v>
      </c>
      <c r="F894">
        <v>-53432.294999999998</v>
      </c>
      <c r="G894">
        <v>2.2250000000000001</v>
      </c>
    </row>
    <row r="895" spans="1:7" x14ac:dyDescent="0.2">
      <c r="A895">
        <f t="shared" si="13"/>
        <v>49031</v>
      </c>
      <c r="B895">
        <v>49</v>
      </c>
      <c r="C895">
        <v>31</v>
      </c>
      <c r="D895">
        <v>80</v>
      </c>
      <c r="E895" t="s">
        <v>29</v>
      </c>
      <c r="F895">
        <v>-59223.667000000001</v>
      </c>
      <c r="G895">
        <v>2.891</v>
      </c>
    </row>
    <row r="896" spans="1:7" x14ac:dyDescent="0.2">
      <c r="A896">
        <f t="shared" si="13"/>
        <v>49032</v>
      </c>
      <c r="B896">
        <v>49</v>
      </c>
      <c r="C896">
        <v>32</v>
      </c>
      <c r="D896">
        <v>81</v>
      </c>
      <c r="E896" t="s">
        <v>30</v>
      </c>
      <c r="F896">
        <v>-66291.687000000005</v>
      </c>
      <c r="G896">
        <v>2.0550000000000002</v>
      </c>
    </row>
    <row r="897" spans="1:7" x14ac:dyDescent="0.2">
      <c r="A897">
        <f t="shared" ref="A897:A960" si="14">1000*B897+C897</f>
        <v>49033</v>
      </c>
      <c r="B897">
        <v>49</v>
      </c>
      <c r="C897">
        <v>33</v>
      </c>
      <c r="D897">
        <v>82</v>
      </c>
      <c r="E897" t="s">
        <v>31</v>
      </c>
      <c r="F897">
        <v>-70105.418999999994</v>
      </c>
      <c r="G897">
        <v>3.7290000000000001</v>
      </c>
    </row>
    <row r="898" spans="1:7" x14ac:dyDescent="0.2">
      <c r="A898">
        <f t="shared" si="14"/>
        <v>49034</v>
      </c>
      <c r="B898">
        <v>49</v>
      </c>
      <c r="C898">
        <v>34</v>
      </c>
      <c r="D898">
        <v>83</v>
      </c>
      <c r="E898" t="s">
        <v>32</v>
      </c>
      <c r="F898">
        <v>-75340.53</v>
      </c>
      <c r="G898">
        <v>3.036</v>
      </c>
    </row>
    <row r="899" spans="1:7" x14ac:dyDescent="0.2">
      <c r="A899">
        <f t="shared" si="14"/>
        <v>49035</v>
      </c>
      <c r="B899">
        <v>49</v>
      </c>
      <c r="C899">
        <v>35</v>
      </c>
      <c r="D899">
        <v>84</v>
      </c>
      <c r="E899" t="s">
        <v>33</v>
      </c>
      <c r="F899">
        <v>-77783.084000000003</v>
      </c>
      <c r="G899">
        <v>25.73</v>
      </c>
    </row>
    <row r="900" spans="1:7" x14ac:dyDescent="0.2">
      <c r="A900">
        <f t="shared" si="14"/>
        <v>49036</v>
      </c>
      <c r="B900">
        <v>49</v>
      </c>
      <c r="C900">
        <v>36</v>
      </c>
      <c r="D900">
        <v>85</v>
      </c>
      <c r="E900" t="s">
        <v>34</v>
      </c>
      <c r="F900">
        <v>-81480.331000000006</v>
      </c>
      <c r="G900">
        <v>2</v>
      </c>
    </row>
    <row r="901" spans="1:7" x14ac:dyDescent="0.2">
      <c r="A901">
        <f t="shared" si="14"/>
        <v>49037</v>
      </c>
      <c r="B901">
        <v>49</v>
      </c>
      <c r="C901">
        <v>37</v>
      </c>
      <c r="D901">
        <v>86</v>
      </c>
      <c r="E901" t="s">
        <v>35</v>
      </c>
      <c r="F901">
        <v>-82746.993000000002</v>
      </c>
      <c r="G901">
        <v>0.2</v>
      </c>
    </row>
    <row r="902" spans="1:7" x14ac:dyDescent="0.2">
      <c r="A902">
        <f t="shared" si="14"/>
        <v>49038</v>
      </c>
      <c r="B902">
        <v>49</v>
      </c>
      <c r="C902">
        <v>38</v>
      </c>
      <c r="D902">
        <v>87</v>
      </c>
      <c r="E902" t="s">
        <v>36</v>
      </c>
      <c r="F902">
        <v>-84880.065950000004</v>
      </c>
      <c r="G902">
        <v>5.1000000000000004E-3</v>
      </c>
    </row>
    <row r="903" spans="1:7" x14ac:dyDescent="0.2">
      <c r="A903">
        <f t="shared" si="14"/>
        <v>49039</v>
      </c>
      <c r="B903">
        <v>49</v>
      </c>
      <c r="C903">
        <v>39</v>
      </c>
      <c r="D903">
        <v>88</v>
      </c>
      <c r="E903" t="s">
        <v>37</v>
      </c>
      <c r="F903">
        <v>-84299.017999999996</v>
      </c>
      <c r="G903">
        <v>1.5</v>
      </c>
    </row>
    <row r="904" spans="1:7" x14ac:dyDescent="0.2">
      <c r="A904">
        <f t="shared" si="14"/>
        <v>49040</v>
      </c>
      <c r="B904">
        <v>49</v>
      </c>
      <c r="C904">
        <v>40</v>
      </c>
      <c r="D904">
        <v>89</v>
      </c>
      <c r="E904" t="s">
        <v>38</v>
      </c>
      <c r="F904">
        <v>-84875.561000000002</v>
      </c>
      <c r="G904">
        <v>3.0830000000000002</v>
      </c>
    </row>
    <row r="905" spans="1:7" x14ac:dyDescent="0.2">
      <c r="A905">
        <f t="shared" si="14"/>
        <v>49041</v>
      </c>
      <c r="B905">
        <v>49</v>
      </c>
      <c r="C905">
        <v>41</v>
      </c>
      <c r="D905">
        <v>90</v>
      </c>
      <c r="E905" t="s">
        <v>39</v>
      </c>
      <c r="F905">
        <v>-82661.519</v>
      </c>
      <c r="G905">
        <v>3.3170000000000002</v>
      </c>
    </row>
    <row r="906" spans="1:7" x14ac:dyDescent="0.2">
      <c r="A906">
        <f t="shared" si="14"/>
        <v>49042</v>
      </c>
      <c r="B906">
        <v>49</v>
      </c>
      <c r="C906">
        <v>42</v>
      </c>
      <c r="D906">
        <v>91</v>
      </c>
      <c r="E906" t="s">
        <v>40</v>
      </c>
      <c r="F906">
        <v>-82208.820999999996</v>
      </c>
      <c r="G906">
        <v>6.2380000000000004</v>
      </c>
    </row>
    <row r="907" spans="1:7" x14ac:dyDescent="0.2">
      <c r="A907">
        <f t="shared" si="14"/>
        <v>49043</v>
      </c>
      <c r="B907">
        <v>49</v>
      </c>
      <c r="C907">
        <v>43</v>
      </c>
      <c r="D907">
        <v>92</v>
      </c>
      <c r="E907" t="s">
        <v>41</v>
      </c>
      <c r="F907">
        <v>-78925.692999999999</v>
      </c>
      <c r="G907">
        <v>3.1019999999999999</v>
      </c>
    </row>
    <row r="908" spans="1:7" x14ac:dyDescent="0.2">
      <c r="A908">
        <f t="shared" si="14"/>
        <v>49044</v>
      </c>
      <c r="B908">
        <v>49</v>
      </c>
      <c r="C908">
        <v>44</v>
      </c>
      <c r="D908">
        <v>93</v>
      </c>
      <c r="E908" t="s">
        <v>42</v>
      </c>
      <c r="F908">
        <v>-77216.713000000003</v>
      </c>
      <c r="G908">
        <v>2.0649999999999999</v>
      </c>
    </row>
    <row r="909" spans="1:7" x14ac:dyDescent="0.2">
      <c r="A909">
        <f t="shared" si="14"/>
        <v>49045</v>
      </c>
      <c r="B909">
        <v>49</v>
      </c>
      <c r="C909">
        <v>45</v>
      </c>
      <c r="D909">
        <v>94</v>
      </c>
      <c r="E909" t="s">
        <v>43</v>
      </c>
      <c r="F909">
        <v>-72907.612999999998</v>
      </c>
      <c r="G909">
        <v>3.379</v>
      </c>
    </row>
    <row r="910" spans="1:7" x14ac:dyDescent="0.2">
      <c r="A910">
        <f t="shared" si="14"/>
        <v>49046</v>
      </c>
      <c r="B910">
        <v>49</v>
      </c>
      <c r="C910">
        <v>46</v>
      </c>
      <c r="D910">
        <v>95</v>
      </c>
      <c r="E910" t="s">
        <v>44</v>
      </c>
      <c r="F910">
        <v>-69965.899999999994</v>
      </c>
      <c r="G910">
        <v>3.0310000000000001</v>
      </c>
    </row>
    <row r="911" spans="1:7" x14ac:dyDescent="0.2">
      <c r="A911">
        <f t="shared" si="14"/>
        <v>49047</v>
      </c>
      <c r="B911">
        <v>49</v>
      </c>
      <c r="C911">
        <v>47</v>
      </c>
      <c r="D911">
        <v>96</v>
      </c>
      <c r="E911" t="s">
        <v>45</v>
      </c>
      <c r="F911">
        <v>-64511.635999999999</v>
      </c>
      <c r="G911">
        <v>90.084000000000003</v>
      </c>
    </row>
    <row r="912" spans="1:7" x14ac:dyDescent="0.2">
      <c r="A912">
        <f t="shared" si="14"/>
        <v>49048</v>
      </c>
      <c r="B912">
        <v>49</v>
      </c>
      <c r="C912">
        <v>48</v>
      </c>
      <c r="D912">
        <v>97</v>
      </c>
      <c r="E912" t="s">
        <v>46</v>
      </c>
      <c r="F912" t="s">
        <v>874</v>
      </c>
      <c r="G912" t="s">
        <v>202</v>
      </c>
    </row>
    <row r="913" spans="1:7" x14ac:dyDescent="0.2">
      <c r="A913">
        <f t="shared" si="14"/>
        <v>49049</v>
      </c>
      <c r="B913">
        <v>49</v>
      </c>
      <c r="C913">
        <v>49</v>
      </c>
      <c r="D913">
        <v>98</v>
      </c>
      <c r="E913" t="s">
        <v>47</v>
      </c>
      <c r="F913" t="s">
        <v>879</v>
      </c>
      <c r="G913" t="s">
        <v>202</v>
      </c>
    </row>
    <row r="914" spans="1:7" x14ac:dyDescent="0.2">
      <c r="A914">
        <f t="shared" si="14"/>
        <v>49050</v>
      </c>
      <c r="B914">
        <v>49</v>
      </c>
      <c r="C914">
        <v>50</v>
      </c>
      <c r="D914">
        <v>99</v>
      </c>
      <c r="E914" t="s">
        <v>48</v>
      </c>
      <c r="F914" t="s">
        <v>882</v>
      </c>
      <c r="G914" t="s">
        <v>201</v>
      </c>
    </row>
    <row r="915" spans="1:7" x14ac:dyDescent="0.2">
      <c r="A915">
        <f t="shared" si="14"/>
        <v>50027</v>
      </c>
      <c r="B915">
        <v>50</v>
      </c>
      <c r="C915">
        <v>27</v>
      </c>
      <c r="D915">
        <v>77</v>
      </c>
      <c r="E915" t="s">
        <v>25</v>
      </c>
      <c r="F915" t="s">
        <v>802</v>
      </c>
      <c r="G915" t="s">
        <v>666</v>
      </c>
    </row>
    <row r="916" spans="1:7" x14ac:dyDescent="0.2">
      <c r="A916">
        <f t="shared" si="14"/>
        <v>50028</v>
      </c>
      <c r="B916">
        <v>50</v>
      </c>
      <c r="C916">
        <v>28</v>
      </c>
      <c r="D916">
        <v>78</v>
      </c>
      <c r="E916" t="s">
        <v>26</v>
      </c>
      <c r="F916" t="s">
        <v>807</v>
      </c>
      <c r="G916" t="s">
        <v>666</v>
      </c>
    </row>
    <row r="917" spans="1:7" x14ac:dyDescent="0.2">
      <c r="A917">
        <f t="shared" si="14"/>
        <v>50029</v>
      </c>
      <c r="B917">
        <v>50</v>
      </c>
      <c r="C917">
        <v>29</v>
      </c>
      <c r="D917">
        <v>79</v>
      </c>
      <c r="E917" t="s">
        <v>27</v>
      </c>
      <c r="F917" t="s">
        <v>747</v>
      </c>
      <c r="G917" t="s">
        <v>235</v>
      </c>
    </row>
    <row r="918" spans="1:7" x14ac:dyDescent="0.2">
      <c r="A918">
        <f t="shared" si="14"/>
        <v>50030</v>
      </c>
      <c r="B918">
        <v>50</v>
      </c>
      <c r="C918">
        <v>30</v>
      </c>
      <c r="D918">
        <v>80</v>
      </c>
      <c r="E918" t="s">
        <v>28</v>
      </c>
      <c r="F918">
        <v>-51648.612000000001</v>
      </c>
      <c r="G918">
        <v>2.585</v>
      </c>
    </row>
    <row r="919" spans="1:7" x14ac:dyDescent="0.2">
      <c r="A919">
        <f t="shared" si="14"/>
        <v>50031</v>
      </c>
      <c r="B919">
        <v>50</v>
      </c>
      <c r="C919">
        <v>31</v>
      </c>
      <c r="D919">
        <v>81</v>
      </c>
      <c r="E919" t="s">
        <v>29</v>
      </c>
      <c r="F919">
        <v>-57627.953999999998</v>
      </c>
      <c r="G919">
        <v>3.2639999999999998</v>
      </c>
    </row>
    <row r="920" spans="1:7" x14ac:dyDescent="0.2">
      <c r="A920">
        <f t="shared" si="14"/>
        <v>50032</v>
      </c>
      <c r="B920">
        <v>50</v>
      </c>
      <c r="C920">
        <v>32</v>
      </c>
      <c r="D920">
        <v>82</v>
      </c>
      <c r="E920" t="s">
        <v>30</v>
      </c>
      <c r="F920">
        <v>-65415.067000000003</v>
      </c>
      <c r="G920">
        <v>2.2410000000000001</v>
      </c>
    </row>
    <row r="921" spans="1:7" x14ac:dyDescent="0.2">
      <c r="A921">
        <f t="shared" si="14"/>
        <v>50033</v>
      </c>
      <c r="B921">
        <v>50</v>
      </c>
      <c r="C921">
        <v>33</v>
      </c>
      <c r="D921">
        <v>83</v>
      </c>
      <c r="E921" t="s">
        <v>31</v>
      </c>
      <c r="F921">
        <v>-69669.323000000004</v>
      </c>
      <c r="G921">
        <v>2.7989999999999999</v>
      </c>
    </row>
    <row r="922" spans="1:7" x14ac:dyDescent="0.2">
      <c r="A922">
        <f t="shared" si="14"/>
        <v>50034</v>
      </c>
      <c r="B922">
        <v>50</v>
      </c>
      <c r="C922">
        <v>34</v>
      </c>
      <c r="D922">
        <v>84</v>
      </c>
      <c r="E922" t="s">
        <v>32</v>
      </c>
      <c r="F922">
        <v>-75947.721000000005</v>
      </c>
      <c r="G922">
        <v>1.9610000000000001</v>
      </c>
    </row>
    <row r="923" spans="1:7" x14ac:dyDescent="0.2">
      <c r="A923">
        <f t="shared" si="14"/>
        <v>50035</v>
      </c>
      <c r="B923">
        <v>50</v>
      </c>
      <c r="C923">
        <v>35</v>
      </c>
      <c r="D923">
        <v>85</v>
      </c>
      <c r="E923" t="s">
        <v>832</v>
      </c>
      <c r="F923">
        <v>-78575.468999999997</v>
      </c>
      <c r="G923">
        <v>3.0779999999999998</v>
      </c>
    </row>
    <row r="924" spans="1:7" x14ac:dyDescent="0.2">
      <c r="A924">
        <f t="shared" si="14"/>
        <v>50036</v>
      </c>
      <c r="B924">
        <v>50</v>
      </c>
      <c r="C924">
        <v>36</v>
      </c>
      <c r="D924">
        <v>86</v>
      </c>
      <c r="E924" t="s">
        <v>34</v>
      </c>
      <c r="F924">
        <v>-83265.665640000007</v>
      </c>
      <c r="G924">
        <v>3.6900000000000001E-3</v>
      </c>
    </row>
    <row r="925" spans="1:7" x14ac:dyDescent="0.2">
      <c r="A925">
        <f t="shared" si="14"/>
        <v>50037</v>
      </c>
      <c r="B925">
        <v>50</v>
      </c>
      <c r="C925">
        <v>37</v>
      </c>
      <c r="D925">
        <v>87</v>
      </c>
      <c r="E925" t="s">
        <v>35</v>
      </c>
      <c r="F925">
        <v>-84597.790999999997</v>
      </c>
      <c r="G925">
        <v>6.0000000000000001E-3</v>
      </c>
    </row>
    <row r="926" spans="1:7" x14ac:dyDescent="0.2">
      <c r="A926">
        <f t="shared" si="14"/>
        <v>50038</v>
      </c>
      <c r="B926">
        <v>50</v>
      </c>
      <c r="C926">
        <v>38</v>
      </c>
      <c r="D926">
        <v>88</v>
      </c>
      <c r="E926" t="s">
        <v>36</v>
      </c>
      <c r="F926">
        <v>-87921.617929999993</v>
      </c>
      <c r="G926">
        <v>5.5799999999999999E-3</v>
      </c>
    </row>
    <row r="927" spans="1:7" x14ac:dyDescent="0.2">
      <c r="A927">
        <f t="shared" si="14"/>
        <v>50039</v>
      </c>
      <c r="B927">
        <v>50</v>
      </c>
      <c r="C927">
        <v>39</v>
      </c>
      <c r="D927">
        <v>89</v>
      </c>
      <c r="E927" t="s">
        <v>37</v>
      </c>
      <c r="F927">
        <v>-87708.351999999999</v>
      </c>
      <c r="G927">
        <v>1.6120000000000001</v>
      </c>
    </row>
    <row r="928" spans="1:7" x14ac:dyDescent="0.2">
      <c r="A928">
        <f t="shared" si="14"/>
        <v>50040</v>
      </c>
      <c r="B928">
        <v>50</v>
      </c>
      <c r="C928">
        <v>40</v>
      </c>
      <c r="D928">
        <v>90</v>
      </c>
      <c r="E928" t="s">
        <v>38</v>
      </c>
      <c r="F928">
        <v>-88772.535000000003</v>
      </c>
      <c r="G928">
        <v>0.11799999999999999</v>
      </c>
    </row>
    <row r="929" spans="1:7" x14ac:dyDescent="0.2">
      <c r="A929">
        <f t="shared" si="14"/>
        <v>50041</v>
      </c>
      <c r="B929">
        <v>50</v>
      </c>
      <c r="C929">
        <v>41</v>
      </c>
      <c r="D929">
        <v>91</v>
      </c>
      <c r="E929" t="s">
        <v>39</v>
      </c>
      <c r="F929">
        <v>-86638.001000000004</v>
      </c>
      <c r="G929">
        <v>2.9260000000000002</v>
      </c>
    </row>
    <row r="930" spans="1:7" x14ac:dyDescent="0.2">
      <c r="A930">
        <f t="shared" si="14"/>
        <v>50042</v>
      </c>
      <c r="B930">
        <v>50</v>
      </c>
      <c r="C930">
        <v>42</v>
      </c>
      <c r="D930">
        <v>92</v>
      </c>
      <c r="E930" t="s">
        <v>40</v>
      </c>
      <c r="F930">
        <v>-86808.576000000001</v>
      </c>
      <c r="G930">
        <v>0.157</v>
      </c>
    </row>
    <row r="931" spans="1:7" x14ac:dyDescent="0.2">
      <c r="A931">
        <f t="shared" si="14"/>
        <v>50043</v>
      </c>
      <c r="B931">
        <v>50</v>
      </c>
      <c r="C931">
        <v>43</v>
      </c>
      <c r="D931">
        <v>93</v>
      </c>
      <c r="E931" t="s">
        <v>41</v>
      </c>
      <c r="F931">
        <v>-83606.106</v>
      </c>
      <c r="G931">
        <v>1.012</v>
      </c>
    </row>
    <row r="932" spans="1:7" x14ac:dyDescent="0.2">
      <c r="A932">
        <f t="shared" si="14"/>
        <v>50044</v>
      </c>
      <c r="B932">
        <v>50</v>
      </c>
      <c r="C932">
        <v>44</v>
      </c>
      <c r="D932">
        <v>94</v>
      </c>
      <c r="E932" t="s">
        <v>42</v>
      </c>
      <c r="F932">
        <v>-82583.591</v>
      </c>
      <c r="G932">
        <v>3.1429999999999998</v>
      </c>
    </row>
    <row r="933" spans="1:7" x14ac:dyDescent="0.2">
      <c r="A933">
        <f t="shared" si="14"/>
        <v>50045</v>
      </c>
      <c r="B933">
        <v>50</v>
      </c>
      <c r="C933">
        <v>45</v>
      </c>
      <c r="D933">
        <v>95</v>
      </c>
      <c r="E933" t="s">
        <v>43</v>
      </c>
      <c r="F933">
        <v>-78340.606</v>
      </c>
      <c r="G933">
        <v>3.8860000000000001</v>
      </c>
    </row>
    <row r="934" spans="1:7" x14ac:dyDescent="0.2">
      <c r="A934">
        <f t="shared" si="14"/>
        <v>50046</v>
      </c>
      <c r="B934">
        <v>50</v>
      </c>
      <c r="C934">
        <v>46</v>
      </c>
      <c r="D934">
        <v>96</v>
      </c>
      <c r="E934" t="s">
        <v>44</v>
      </c>
      <c r="F934">
        <v>-76183.406000000003</v>
      </c>
      <c r="G934">
        <v>4.194</v>
      </c>
    </row>
    <row r="935" spans="1:7" x14ac:dyDescent="0.2">
      <c r="A935">
        <f t="shared" si="14"/>
        <v>50047</v>
      </c>
      <c r="B935">
        <v>50</v>
      </c>
      <c r="C935">
        <v>47</v>
      </c>
      <c r="D935">
        <v>97</v>
      </c>
      <c r="E935" t="s">
        <v>45</v>
      </c>
      <c r="F935">
        <v>-70825.842999999993</v>
      </c>
      <c r="G935">
        <v>110.107</v>
      </c>
    </row>
    <row r="936" spans="1:7" x14ac:dyDescent="0.2">
      <c r="A936">
        <f t="shared" si="14"/>
        <v>50048</v>
      </c>
      <c r="B936">
        <v>50</v>
      </c>
      <c r="C936">
        <v>48</v>
      </c>
      <c r="D936">
        <v>98</v>
      </c>
      <c r="E936" t="s">
        <v>46</v>
      </c>
      <c r="F936">
        <v>-67636.414999999994</v>
      </c>
      <c r="G936">
        <v>51.796999999999997</v>
      </c>
    </row>
    <row r="937" spans="1:7" x14ac:dyDescent="0.2">
      <c r="A937">
        <f t="shared" si="14"/>
        <v>50049</v>
      </c>
      <c r="B937">
        <v>50</v>
      </c>
      <c r="C937">
        <v>49</v>
      </c>
      <c r="D937">
        <v>99</v>
      </c>
      <c r="E937" t="s">
        <v>47</v>
      </c>
      <c r="F937" t="s">
        <v>881</v>
      </c>
      <c r="G937" t="s">
        <v>202</v>
      </c>
    </row>
    <row r="938" spans="1:7" x14ac:dyDescent="0.2">
      <c r="A938">
        <f t="shared" si="14"/>
        <v>50050</v>
      </c>
      <c r="B938">
        <v>50</v>
      </c>
      <c r="C938">
        <v>50</v>
      </c>
      <c r="D938">
        <v>100</v>
      </c>
      <c r="E938" t="s">
        <v>48</v>
      </c>
      <c r="F938">
        <v>-57282.972000000002</v>
      </c>
      <c r="G938">
        <v>301.51799999999997</v>
      </c>
    </row>
    <row r="939" spans="1:7" x14ac:dyDescent="0.2">
      <c r="A939">
        <f t="shared" si="14"/>
        <v>51028</v>
      </c>
      <c r="B939">
        <v>51</v>
      </c>
      <c r="C939">
        <v>28</v>
      </c>
      <c r="D939">
        <v>79</v>
      </c>
      <c r="E939" t="s">
        <v>26</v>
      </c>
      <c r="F939" t="s">
        <v>810</v>
      </c>
      <c r="G939" t="s">
        <v>666</v>
      </c>
    </row>
    <row r="940" spans="1:7" x14ac:dyDescent="0.2">
      <c r="A940">
        <f t="shared" si="14"/>
        <v>51029</v>
      </c>
      <c r="B940">
        <v>51</v>
      </c>
      <c r="C940">
        <v>29</v>
      </c>
      <c r="D940">
        <v>80</v>
      </c>
      <c r="E940" t="s">
        <v>27</v>
      </c>
      <c r="F940" t="s">
        <v>814</v>
      </c>
      <c r="G940" t="s">
        <v>197</v>
      </c>
    </row>
    <row r="941" spans="1:7" x14ac:dyDescent="0.2">
      <c r="A941">
        <f t="shared" si="14"/>
        <v>51030</v>
      </c>
      <c r="B941">
        <v>51</v>
      </c>
      <c r="C941">
        <v>30</v>
      </c>
      <c r="D941">
        <v>81</v>
      </c>
      <c r="E941" t="s">
        <v>28</v>
      </c>
      <c r="F941">
        <v>-46199.663</v>
      </c>
      <c r="G941">
        <v>5.03</v>
      </c>
    </row>
    <row r="942" spans="1:7" x14ac:dyDescent="0.2">
      <c r="A942">
        <f t="shared" si="14"/>
        <v>51031</v>
      </c>
      <c r="B942">
        <v>51</v>
      </c>
      <c r="C942">
        <v>31</v>
      </c>
      <c r="D942">
        <v>82</v>
      </c>
      <c r="E942" t="s">
        <v>29</v>
      </c>
      <c r="F942">
        <v>-52930.718999999997</v>
      </c>
      <c r="G942">
        <v>2.4260000000000002</v>
      </c>
    </row>
    <row r="943" spans="1:7" x14ac:dyDescent="0.2">
      <c r="A943">
        <f t="shared" si="14"/>
        <v>51032</v>
      </c>
      <c r="B943">
        <v>51</v>
      </c>
      <c r="C943">
        <v>32</v>
      </c>
      <c r="D943">
        <v>83</v>
      </c>
      <c r="E943" t="s">
        <v>30</v>
      </c>
      <c r="F943">
        <v>-60976.434999999998</v>
      </c>
      <c r="G943">
        <v>2.427</v>
      </c>
    </row>
    <row r="944" spans="1:7" x14ac:dyDescent="0.2">
      <c r="A944">
        <f t="shared" si="14"/>
        <v>51033</v>
      </c>
      <c r="B944">
        <v>51</v>
      </c>
      <c r="C944">
        <v>33</v>
      </c>
      <c r="D944">
        <v>84</v>
      </c>
      <c r="E944" t="s">
        <v>31</v>
      </c>
      <c r="F944">
        <v>-65853.56</v>
      </c>
      <c r="G944">
        <v>3.1709999999999998</v>
      </c>
    </row>
    <row r="945" spans="1:7" x14ac:dyDescent="0.2">
      <c r="A945">
        <f t="shared" si="14"/>
        <v>51034</v>
      </c>
      <c r="B945">
        <v>51</v>
      </c>
      <c r="C945">
        <v>34</v>
      </c>
      <c r="D945">
        <v>85</v>
      </c>
      <c r="E945" t="s">
        <v>32</v>
      </c>
      <c r="F945">
        <v>-72413.635999999999</v>
      </c>
      <c r="G945">
        <v>2.613</v>
      </c>
    </row>
    <row r="946" spans="1:7" x14ac:dyDescent="0.2">
      <c r="A946">
        <f t="shared" si="14"/>
        <v>51035</v>
      </c>
      <c r="B946">
        <v>51</v>
      </c>
      <c r="C946">
        <v>35</v>
      </c>
      <c r="D946">
        <v>86</v>
      </c>
      <c r="E946" t="s">
        <v>33</v>
      </c>
      <c r="F946">
        <v>-75632.251999999993</v>
      </c>
      <c r="G946">
        <v>3.0779999999999998</v>
      </c>
    </row>
    <row r="947" spans="1:7" x14ac:dyDescent="0.2">
      <c r="A947">
        <f t="shared" si="14"/>
        <v>51036</v>
      </c>
      <c r="B947">
        <v>51</v>
      </c>
      <c r="C947">
        <v>36</v>
      </c>
      <c r="D947">
        <v>87</v>
      </c>
      <c r="E947" t="s">
        <v>34</v>
      </c>
      <c r="F947">
        <v>-80709.521999999997</v>
      </c>
      <c r="G947">
        <v>0.246</v>
      </c>
    </row>
    <row r="948" spans="1:7" x14ac:dyDescent="0.2">
      <c r="A948">
        <f t="shared" si="14"/>
        <v>51037</v>
      </c>
      <c r="B948">
        <v>51</v>
      </c>
      <c r="C948">
        <v>37</v>
      </c>
      <c r="D948">
        <v>88</v>
      </c>
      <c r="E948" t="s">
        <v>35</v>
      </c>
      <c r="F948">
        <v>-82608.994999999995</v>
      </c>
      <c r="G948">
        <v>0.159</v>
      </c>
    </row>
    <row r="949" spans="1:7" x14ac:dyDescent="0.2">
      <c r="A949">
        <f t="shared" si="14"/>
        <v>51038</v>
      </c>
      <c r="B949">
        <v>51</v>
      </c>
      <c r="C949">
        <v>38</v>
      </c>
      <c r="D949">
        <v>89</v>
      </c>
      <c r="E949" t="s">
        <v>36</v>
      </c>
      <c r="F949">
        <v>-86209.017000000007</v>
      </c>
      <c r="G949">
        <v>9.1999999999999998E-2</v>
      </c>
    </row>
    <row r="950" spans="1:7" x14ac:dyDescent="0.2">
      <c r="A950">
        <f t="shared" si="14"/>
        <v>51039</v>
      </c>
      <c r="B950">
        <v>51</v>
      </c>
      <c r="C950">
        <v>39</v>
      </c>
      <c r="D950">
        <v>90</v>
      </c>
      <c r="E950" t="s">
        <v>37</v>
      </c>
      <c r="F950">
        <v>-86494.062000000005</v>
      </c>
      <c r="G950">
        <v>1.611</v>
      </c>
    </row>
    <row r="951" spans="1:7" x14ac:dyDescent="0.2">
      <c r="A951">
        <f t="shared" si="14"/>
        <v>51040</v>
      </c>
      <c r="B951">
        <v>51</v>
      </c>
      <c r="C951">
        <v>40</v>
      </c>
      <c r="D951">
        <v>91</v>
      </c>
      <c r="E951" t="s">
        <v>38</v>
      </c>
      <c r="F951">
        <v>-87895.566000000006</v>
      </c>
      <c r="G951">
        <v>0.105</v>
      </c>
    </row>
    <row r="952" spans="1:7" x14ac:dyDescent="0.2">
      <c r="A952">
        <f t="shared" si="14"/>
        <v>51041</v>
      </c>
      <c r="B952">
        <v>51</v>
      </c>
      <c r="C952">
        <v>41</v>
      </c>
      <c r="D952">
        <v>92</v>
      </c>
      <c r="E952" t="s">
        <v>39</v>
      </c>
      <c r="F952">
        <v>-86453.292000000001</v>
      </c>
      <c r="G952">
        <v>1.7849999999999999</v>
      </c>
    </row>
    <row r="953" spans="1:7" x14ac:dyDescent="0.2">
      <c r="A953">
        <f t="shared" si="14"/>
        <v>51042</v>
      </c>
      <c r="B953">
        <v>51</v>
      </c>
      <c r="C953">
        <v>42</v>
      </c>
      <c r="D953">
        <v>93</v>
      </c>
      <c r="E953" t="s">
        <v>40</v>
      </c>
      <c r="F953">
        <v>-86807.069000000003</v>
      </c>
      <c r="G953">
        <v>0.18099999999999999</v>
      </c>
    </row>
    <row r="954" spans="1:7" x14ac:dyDescent="0.2">
      <c r="A954">
        <f t="shared" si="14"/>
        <v>51043</v>
      </c>
      <c r="B954">
        <v>51</v>
      </c>
      <c r="C954">
        <v>43</v>
      </c>
      <c r="D954">
        <v>94</v>
      </c>
      <c r="E954" t="s">
        <v>41</v>
      </c>
      <c r="F954">
        <v>-84158.316999999995</v>
      </c>
      <c r="G954">
        <v>4.0709999999999997</v>
      </c>
    </row>
    <row r="955" spans="1:7" x14ac:dyDescent="0.2">
      <c r="A955">
        <f t="shared" si="14"/>
        <v>51044</v>
      </c>
      <c r="B955">
        <v>51</v>
      </c>
      <c r="C955">
        <v>44</v>
      </c>
      <c r="D955">
        <v>95</v>
      </c>
      <c r="E955" t="s">
        <v>42</v>
      </c>
      <c r="F955">
        <v>-83457.744999999995</v>
      </c>
      <c r="G955">
        <v>9.5020000000000007</v>
      </c>
    </row>
    <row r="956" spans="1:7" x14ac:dyDescent="0.2">
      <c r="A956">
        <f t="shared" si="14"/>
        <v>51045</v>
      </c>
      <c r="B956">
        <v>51</v>
      </c>
      <c r="C956">
        <v>45</v>
      </c>
      <c r="D956">
        <v>96</v>
      </c>
      <c r="E956" t="s">
        <v>43</v>
      </c>
      <c r="F956">
        <v>-79687.717999999993</v>
      </c>
      <c r="G956">
        <v>10.000999999999999</v>
      </c>
    </row>
    <row r="957" spans="1:7" x14ac:dyDescent="0.2">
      <c r="A957">
        <f t="shared" si="14"/>
        <v>51046</v>
      </c>
      <c r="B957">
        <v>51</v>
      </c>
      <c r="C957">
        <v>46</v>
      </c>
      <c r="D957">
        <v>97</v>
      </c>
      <c r="E957" t="s">
        <v>44</v>
      </c>
      <c r="F957">
        <v>-77805.842999999993</v>
      </c>
      <c r="G957">
        <v>4.8440000000000003</v>
      </c>
    </row>
    <row r="958" spans="1:7" x14ac:dyDescent="0.2">
      <c r="A958">
        <f t="shared" si="14"/>
        <v>51047</v>
      </c>
      <c r="B958">
        <v>51</v>
      </c>
      <c r="C958">
        <v>47</v>
      </c>
      <c r="D958">
        <v>98</v>
      </c>
      <c r="E958" t="s">
        <v>45</v>
      </c>
      <c r="F958">
        <v>-73066.414999999994</v>
      </c>
      <c r="G958">
        <v>32.906999999999996</v>
      </c>
    </row>
    <row r="959" spans="1:7" x14ac:dyDescent="0.2">
      <c r="A959">
        <f t="shared" si="14"/>
        <v>51048</v>
      </c>
      <c r="B959">
        <v>51</v>
      </c>
      <c r="C959">
        <v>48</v>
      </c>
      <c r="D959">
        <v>99</v>
      </c>
      <c r="E959" t="s">
        <v>46</v>
      </c>
      <c r="F959">
        <v>-69931.123000000007</v>
      </c>
      <c r="G959">
        <v>1.5840000000000001</v>
      </c>
    </row>
    <row r="960" spans="1:7" x14ac:dyDescent="0.2">
      <c r="A960">
        <f t="shared" si="14"/>
        <v>51049</v>
      </c>
      <c r="B960">
        <v>51</v>
      </c>
      <c r="C960">
        <v>49</v>
      </c>
      <c r="D960">
        <v>100</v>
      </c>
      <c r="E960" t="s">
        <v>47</v>
      </c>
      <c r="F960">
        <v>-64312.972000000002</v>
      </c>
      <c r="G960">
        <v>182.51900000000001</v>
      </c>
    </row>
    <row r="961" spans="1:7" x14ac:dyDescent="0.2">
      <c r="A961">
        <f t="shared" ref="A961:A1024" si="15">1000*B961+C961</f>
        <v>51050</v>
      </c>
      <c r="B961">
        <v>51</v>
      </c>
      <c r="C961">
        <v>50</v>
      </c>
      <c r="D961">
        <v>101</v>
      </c>
      <c r="E961" t="s">
        <v>48</v>
      </c>
      <c r="F961">
        <v>-60305.625999999997</v>
      </c>
      <c r="G961">
        <v>300.005</v>
      </c>
    </row>
    <row r="962" spans="1:7" x14ac:dyDescent="0.2">
      <c r="A962">
        <f t="shared" si="15"/>
        <v>52028</v>
      </c>
      <c r="B962">
        <v>52</v>
      </c>
      <c r="C962">
        <v>28</v>
      </c>
      <c r="D962">
        <v>80</v>
      </c>
      <c r="E962" t="s">
        <v>26</v>
      </c>
      <c r="F962" t="s">
        <v>813</v>
      </c>
      <c r="G962" t="s">
        <v>679</v>
      </c>
    </row>
    <row r="963" spans="1:7" x14ac:dyDescent="0.2">
      <c r="A963">
        <f t="shared" si="15"/>
        <v>52029</v>
      </c>
      <c r="B963">
        <v>52</v>
      </c>
      <c r="C963">
        <v>29</v>
      </c>
      <c r="D963">
        <v>81</v>
      </c>
      <c r="E963" t="s">
        <v>27</v>
      </c>
      <c r="F963" t="s">
        <v>817</v>
      </c>
      <c r="G963" t="s">
        <v>245</v>
      </c>
    </row>
    <row r="964" spans="1:7" x14ac:dyDescent="0.2">
      <c r="A964">
        <f t="shared" si="15"/>
        <v>52030</v>
      </c>
      <c r="B964">
        <v>52</v>
      </c>
      <c r="C964">
        <v>30</v>
      </c>
      <c r="D964">
        <v>82</v>
      </c>
      <c r="E964" t="s">
        <v>28</v>
      </c>
      <c r="F964">
        <v>-42313.953999999998</v>
      </c>
      <c r="G964">
        <v>3.0739999999999998</v>
      </c>
    </row>
    <row r="965" spans="1:7" x14ac:dyDescent="0.2">
      <c r="A965">
        <f t="shared" si="15"/>
        <v>52031</v>
      </c>
      <c r="B965">
        <v>52</v>
      </c>
      <c r="C965">
        <v>31</v>
      </c>
      <c r="D965">
        <v>83</v>
      </c>
      <c r="E965" t="s">
        <v>29</v>
      </c>
      <c r="F965">
        <v>-49257.122000000003</v>
      </c>
      <c r="G965">
        <v>2.613</v>
      </c>
    </row>
    <row r="966" spans="1:7" x14ac:dyDescent="0.2">
      <c r="A966">
        <f t="shared" si="15"/>
        <v>52032</v>
      </c>
      <c r="B966">
        <v>52</v>
      </c>
      <c r="C966">
        <v>32</v>
      </c>
      <c r="D966">
        <v>84</v>
      </c>
      <c r="E966" t="s">
        <v>30</v>
      </c>
      <c r="F966">
        <v>-58148.428</v>
      </c>
      <c r="G966">
        <v>3.1709999999999998</v>
      </c>
    </row>
    <row r="967" spans="1:7" x14ac:dyDescent="0.2">
      <c r="A967">
        <f t="shared" si="15"/>
        <v>52033</v>
      </c>
      <c r="B967">
        <v>52</v>
      </c>
      <c r="C967">
        <v>33</v>
      </c>
      <c r="D967">
        <v>85</v>
      </c>
      <c r="E967" t="s">
        <v>31</v>
      </c>
      <c r="F967">
        <v>-63189.144</v>
      </c>
      <c r="G967">
        <v>3.0779999999999998</v>
      </c>
    </row>
    <row r="968" spans="1:7" x14ac:dyDescent="0.2">
      <c r="A968">
        <f t="shared" si="15"/>
        <v>52034</v>
      </c>
      <c r="B968">
        <v>52</v>
      </c>
      <c r="C968">
        <v>34</v>
      </c>
      <c r="D968">
        <v>86</v>
      </c>
      <c r="E968" t="s">
        <v>32</v>
      </c>
      <c r="F968">
        <v>-70503.167000000001</v>
      </c>
      <c r="G968">
        <v>2.52</v>
      </c>
    </row>
    <row r="969" spans="1:7" x14ac:dyDescent="0.2">
      <c r="A969">
        <f t="shared" si="15"/>
        <v>52035</v>
      </c>
      <c r="B969">
        <v>52</v>
      </c>
      <c r="C969">
        <v>35</v>
      </c>
      <c r="D969">
        <v>87</v>
      </c>
      <c r="E969" t="s">
        <v>840</v>
      </c>
      <c r="F969">
        <v>-73891.676000000007</v>
      </c>
      <c r="G969">
        <v>3.1709999999999998</v>
      </c>
    </row>
    <row r="970" spans="1:7" x14ac:dyDescent="0.2">
      <c r="A970">
        <f t="shared" si="15"/>
        <v>52036</v>
      </c>
      <c r="B970">
        <v>52</v>
      </c>
      <c r="C970">
        <v>36</v>
      </c>
      <c r="D970">
        <v>88</v>
      </c>
      <c r="E970" t="s">
        <v>34</v>
      </c>
      <c r="F970">
        <v>-79691.285999999993</v>
      </c>
      <c r="G970">
        <v>2.6080000000000001</v>
      </c>
    </row>
    <row r="971" spans="1:7" x14ac:dyDescent="0.2">
      <c r="A971">
        <f t="shared" si="15"/>
        <v>52037</v>
      </c>
      <c r="B971">
        <v>52</v>
      </c>
      <c r="C971">
        <v>37</v>
      </c>
      <c r="D971">
        <v>89</v>
      </c>
      <c r="E971" t="s">
        <v>35</v>
      </c>
      <c r="F971">
        <v>-81712.388000000006</v>
      </c>
      <c r="G971">
        <v>5.4269999999999996</v>
      </c>
    </row>
    <row r="972" spans="1:7" x14ac:dyDescent="0.2">
      <c r="A972">
        <f t="shared" si="15"/>
        <v>52038</v>
      </c>
      <c r="B972">
        <v>52</v>
      </c>
      <c r="C972">
        <v>38</v>
      </c>
      <c r="D972">
        <v>90</v>
      </c>
      <c r="E972" t="s">
        <v>36</v>
      </c>
      <c r="F972">
        <v>-85948.126999999993</v>
      </c>
      <c r="G972">
        <v>2.1240000000000001</v>
      </c>
    </row>
    <row r="973" spans="1:7" x14ac:dyDescent="0.2">
      <c r="A973">
        <f t="shared" si="15"/>
        <v>52039</v>
      </c>
      <c r="B973">
        <v>52</v>
      </c>
      <c r="C973">
        <v>39</v>
      </c>
      <c r="D973">
        <v>91</v>
      </c>
      <c r="E973" t="s">
        <v>37</v>
      </c>
      <c r="F973">
        <v>-86351.294999999998</v>
      </c>
      <c r="G973">
        <v>1.843</v>
      </c>
    </row>
    <row r="974" spans="1:7" x14ac:dyDescent="0.2">
      <c r="A974">
        <f t="shared" si="15"/>
        <v>52040</v>
      </c>
      <c r="B974">
        <v>52</v>
      </c>
      <c r="C974">
        <v>40</v>
      </c>
      <c r="D974">
        <v>92</v>
      </c>
      <c r="E974" t="s">
        <v>38</v>
      </c>
      <c r="F974">
        <v>-88459.028000000006</v>
      </c>
      <c r="G974">
        <v>0.10199999999999999</v>
      </c>
    </row>
    <row r="975" spans="1:7" x14ac:dyDescent="0.2">
      <c r="A975">
        <f t="shared" si="15"/>
        <v>52041</v>
      </c>
      <c r="B975">
        <v>52</v>
      </c>
      <c r="C975">
        <v>41</v>
      </c>
      <c r="D975">
        <v>93</v>
      </c>
      <c r="E975" t="s">
        <v>39</v>
      </c>
      <c r="F975">
        <v>-87212.838000000003</v>
      </c>
      <c r="G975">
        <v>1.4910000000000001</v>
      </c>
    </row>
    <row r="976" spans="1:7" x14ac:dyDescent="0.2">
      <c r="A976">
        <f t="shared" si="15"/>
        <v>52042</v>
      </c>
      <c r="B976">
        <v>52</v>
      </c>
      <c r="C976">
        <v>42</v>
      </c>
      <c r="D976">
        <v>94</v>
      </c>
      <c r="E976" t="s">
        <v>40</v>
      </c>
      <c r="F976">
        <v>-88414.065000000002</v>
      </c>
      <c r="G976">
        <v>0.14099999999999999</v>
      </c>
    </row>
    <row r="977" spans="1:7" x14ac:dyDescent="0.2">
      <c r="A977">
        <f t="shared" si="15"/>
        <v>52043</v>
      </c>
      <c r="B977">
        <v>52</v>
      </c>
      <c r="C977">
        <v>43</v>
      </c>
      <c r="D977">
        <v>95</v>
      </c>
      <c r="E977" t="s">
        <v>41</v>
      </c>
      <c r="F977">
        <v>-86021.341</v>
      </c>
      <c r="G977">
        <v>5.08</v>
      </c>
    </row>
    <row r="978" spans="1:7" x14ac:dyDescent="0.2">
      <c r="A978">
        <f t="shared" si="15"/>
        <v>52044</v>
      </c>
      <c r="B978">
        <v>52</v>
      </c>
      <c r="C978">
        <v>44</v>
      </c>
      <c r="D978">
        <v>96</v>
      </c>
      <c r="E978" t="s">
        <v>42</v>
      </c>
      <c r="F978">
        <v>-86080.372000000003</v>
      </c>
      <c r="G978">
        <v>0.17</v>
      </c>
    </row>
    <row r="979" spans="1:7" x14ac:dyDescent="0.2">
      <c r="A979">
        <f t="shared" si="15"/>
        <v>52045</v>
      </c>
      <c r="B979">
        <v>52</v>
      </c>
      <c r="C979">
        <v>45</v>
      </c>
      <c r="D979">
        <v>97</v>
      </c>
      <c r="E979" t="s">
        <v>43</v>
      </c>
      <c r="F979">
        <v>-82597.551999999996</v>
      </c>
      <c r="G979">
        <v>35.463000000000001</v>
      </c>
    </row>
    <row r="980" spans="1:7" x14ac:dyDescent="0.2">
      <c r="A980">
        <f t="shared" si="15"/>
        <v>52046</v>
      </c>
      <c r="B980">
        <v>52</v>
      </c>
      <c r="C980">
        <v>46</v>
      </c>
      <c r="D980">
        <v>98</v>
      </c>
      <c r="E980" t="s">
        <v>44</v>
      </c>
      <c r="F980">
        <v>-81320.975000000006</v>
      </c>
      <c r="G980">
        <v>4.742</v>
      </c>
    </row>
    <row r="981" spans="1:7" x14ac:dyDescent="0.2">
      <c r="A981">
        <f t="shared" si="15"/>
        <v>52047</v>
      </c>
      <c r="B981">
        <v>52</v>
      </c>
      <c r="C981">
        <v>47</v>
      </c>
      <c r="D981">
        <v>99</v>
      </c>
      <c r="E981" t="s">
        <v>45</v>
      </c>
      <c r="F981">
        <v>-76712.472999999998</v>
      </c>
      <c r="G981">
        <v>6.2649999999999997</v>
      </c>
    </row>
    <row r="982" spans="1:7" x14ac:dyDescent="0.2">
      <c r="A982">
        <f t="shared" si="15"/>
        <v>52048</v>
      </c>
      <c r="B982">
        <v>52</v>
      </c>
      <c r="C982">
        <v>48</v>
      </c>
      <c r="D982">
        <v>100</v>
      </c>
      <c r="E982" t="s">
        <v>46</v>
      </c>
      <c r="F982">
        <v>-74194.596000000005</v>
      </c>
      <c r="G982">
        <v>1.677</v>
      </c>
    </row>
    <row r="983" spans="1:7" x14ac:dyDescent="0.2">
      <c r="A983">
        <f t="shared" si="15"/>
        <v>52049</v>
      </c>
      <c r="B983">
        <v>52</v>
      </c>
      <c r="C983">
        <v>49</v>
      </c>
      <c r="D983">
        <v>101</v>
      </c>
      <c r="E983" t="s">
        <v>47</v>
      </c>
      <c r="F983" t="s">
        <v>886</v>
      </c>
      <c r="G983" t="s">
        <v>206</v>
      </c>
    </row>
    <row r="984" spans="1:7" x14ac:dyDescent="0.2">
      <c r="A984">
        <f t="shared" si="15"/>
        <v>52050</v>
      </c>
      <c r="B984">
        <v>52</v>
      </c>
      <c r="C984">
        <v>50</v>
      </c>
      <c r="D984">
        <v>102</v>
      </c>
      <c r="E984" t="s">
        <v>48</v>
      </c>
      <c r="F984">
        <v>-64934.883999999998</v>
      </c>
      <c r="G984">
        <v>100.105</v>
      </c>
    </row>
    <row r="985" spans="1:7" x14ac:dyDescent="0.2">
      <c r="A985">
        <f t="shared" si="15"/>
        <v>52051</v>
      </c>
      <c r="B985">
        <v>52</v>
      </c>
      <c r="C985">
        <v>51</v>
      </c>
      <c r="D985">
        <v>103</v>
      </c>
      <c r="E985" t="s">
        <v>49</v>
      </c>
      <c r="F985" t="s">
        <v>890</v>
      </c>
      <c r="G985" t="s">
        <v>202</v>
      </c>
    </row>
    <row r="986" spans="1:7" x14ac:dyDescent="0.2">
      <c r="A986">
        <f t="shared" si="15"/>
        <v>53029</v>
      </c>
      <c r="B986">
        <v>53</v>
      </c>
      <c r="C986">
        <v>29</v>
      </c>
      <c r="D986">
        <v>82</v>
      </c>
      <c r="E986" t="s">
        <v>27</v>
      </c>
      <c r="F986" t="s">
        <v>820</v>
      </c>
      <c r="G986" t="s">
        <v>666</v>
      </c>
    </row>
    <row r="987" spans="1:7" x14ac:dyDescent="0.2">
      <c r="A987">
        <f t="shared" si="15"/>
        <v>53030</v>
      </c>
      <c r="B987">
        <v>53</v>
      </c>
      <c r="C987">
        <v>30</v>
      </c>
      <c r="D987">
        <v>83</v>
      </c>
      <c r="E987" t="s">
        <v>28</v>
      </c>
      <c r="F987" t="s">
        <v>823</v>
      </c>
      <c r="G987" t="s">
        <v>235</v>
      </c>
    </row>
    <row r="988" spans="1:7" x14ac:dyDescent="0.2">
      <c r="A988">
        <f t="shared" si="15"/>
        <v>53031</v>
      </c>
      <c r="B988">
        <v>53</v>
      </c>
      <c r="C988">
        <v>31</v>
      </c>
      <c r="D988">
        <v>84</v>
      </c>
      <c r="E988" t="s">
        <v>29</v>
      </c>
      <c r="F988" t="s">
        <v>827</v>
      </c>
      <c r="G988" t="s">
        <v>204</v>
      </c>
    </row>
    <row r="989" spans="1:7" x14ac:dyDescent="0.2">
      <c r="A989">
        <f t="shared" si="15"/>
        <v>53032</v>
      </c>
      <c r="B989">
        <v>53</v>
      </c>
      <c r="C989">
        <v>32</v>
      </c>
      <c r="D989">
        <v>85</v>
      </c>
      <c r="E989" t="s">
        <v>30</v>
      </c>
      <c r="F989">
        <v>-53123.42</v>
      </c>
      <c r="G989">
        <v>3.7290000000000001</v>
      </c>
    </row>
    <row r="990" spans="1:7" x14ac:dyDescent="0.2">
      <c r="A990">
        <f t="shared" si="15"/>
        <v>53033</v>
      </c>
      <c r="B990">
        <v>53</v>
      </c>
      <c r="C990">
        <v>33</v>
      </c>
      <c r="D990">
        <v>86</v>
      </c>
      <c r="E990" t="s">
        <v>31</v>
      </c>
      <c r="F990">
        <v>-58962.142</v>
      </c>
      <c r="G990">
        <v>3.45</v>
      </c>
    </row>
    <row r="991" spans="1:7" x14ac:dyDescent="0.2">
      <c r="A991">
        <f t="shared" si="15"/>
        <v>53034</v>
      </c>
      <c r="B991">
        <v>53</v>
      </c>
      <c r="C991">
        <v>34</v>
      </c>
      <c r="D991">
        <v>87</v>
      </c>
      <c r="E991" t="s">
        <v>32</v>
      </c>
      <c r="F991">
        <v>-66426.125</v>
      </c>
      <c r="G991">
        <v>2.2410000000000001</v>
      </c>
    </row>
    <row r="992" spans="1:7" x14ac:dyDescent="0.2">
      <c r="A992">
        <f t="shared" si="15"/>
        <v>53035</v>
      </c>
      <c r="B992">
        <v>53</v>
      </c>
      <c r="C992">
        <v>35</v>
      </c>
      <c r="D992">
        <v>88</v>
      </c>
      <c r="E992" t="s">
        <v>33</v>
      </c>
      <c r="F992">
        <v>-70715.959000000003</v>
      </c>
      <c r="G992">
        <v>3.1709999999999998</v>
      </c>
    </row>
    <row r="993" spans="1:7" x14ac:dyDescent="0.2">
      <c r="A993">
        <f t="shared" si="15"/>
        <v>53036</v>
      </c>
      <c r="B993">
        <v>53</v>
      </c>
      <c r="C993">
        <v>36</v>
      </c>
      <c r="D993">
        <v>89</v>
      </c>
      <c r="E993" t="s">
        <v>34</v>
      </c>
      <c r="F993">
        <v>-76535.785000000003</v>
      </c>
      <c r="G993">
        <v>2.1419999999999999</v>
      </c>
    </row>
    <row r="994" spans="1:7" x14ac:dyDescent="0.2">
      <c r="A994">
        <f t="shared" si="15"/>
        <v>53037</v>
      </c>
      <c r="B994">
        <v>53</v>
      </c>
      <c r="C994">
        <v>37</v>
      </c>
      <c r="D994">
        <v>90</v>
      </c>
      <c r="E994" t="s">
        <v>35</v>
      </c>
      <c r="F994">
        <v>-79364.403999999995</v>
      </c>
      <c r="G994">
        <v>6.484</v>
      </c>
    </row>
    <row r="995" spans="1:7" x14ac:dyDescent="0.2">
      <c r="A995">
        <f t="shared" si="15"/>
        <v>53038</v>
      </c>
      <c r="B995">
        <v>53</v>
      </c>
      <c r="C995">
        <v>38</v>
      </c>
      <c r="D995">
        <v>91</v>
      </c>
      <c r="E995" t="s">
        <v>36</v>
      </c>
      <c r="F995">
        <v>-83651.926999999996</v>
      </c>
      <c r="G995">
        <v>5.4530000000000003</v>
      </c>
    </row>
    <row r="996" spans="1:7" x14ac:dyDescent="0.2">
      <c r="A996">
        <f t="shared" si="15"/>
        <v>53039</v>
      </c>
      <c r="B996">
        <v>53</v>
      </c>
      <c r="C996">
        <v>39</v>
      </c>
      <c r="D996">
        <v>92</v>
      </c>
      <c r="E996" t="s">
        <v>37</v>
      </c>
      <c r="F996">
        <v>-84816.491999999998</v>
      </c>
      <c r="G996">
        <v>9.1270000000000007</v>
      </c>
    </row>
    <row r="997" spans="1:7" x14ac:dyDescent="0.2">
      <c r="A997">
        <f t="shared" si="15"/>
        <v>53040</v>
      </c>
      <c r="B997">
        <v>53</v>
      </c>
      <c r="C997">
        <v>40</v>
      </c>
      <c r="D997">
        <v>93</v>
      </c>
      <c r="E997" t="s">
        <v>38</v>
      </c>
      <c r="F997">
        <v>-87122.032000000007</v>
      </c>
      <c r="G997">
        <v>0.45700000000000002</v>
      </c>
    </row>
    <row r="998" spans="1:7" x14ac:dyDescent="0.2">
      <c r="A998">
        <f t="shared" si="15"/>
        <v>53041</v>
      </c>
      <c r="B998">
        <v>53</v>
      </c>
      <c r="C998">
        <v>41</v>
      </c>
      <c r="D998">
        <v>94</v>
      </c>
      <c r="E998" t="s">
        <v>39</v>
      </c>
      <c r="F998">
        <v>-86369.062000000005</v>
      </c>
      <c r="G998">
        <v>1.4910000000000001</v>
      </c>
    </row>
    <row r="999" spans="1:7" x14ac:dyDescent="0.2">
      <c r="A999">
        <f t="shared" si="15"/>
        <v>53042</v>
      </c>
      <c r="B999">
        <v>53</v>
      </c>
      <c r="C999">
        <v>42</v>
      </c>
      <c r="D999">
        <v>95</v>
      </c>
      <c r="E999" t="s">
        <v>40</v>
      </c>
      <c r="F999">
        <v>-87711.857999999993</v>
      </c>
      <c r="G999">
        <v>0.123</v>
      </c>
    </row>
    <row r="1000" spans="1:7" x14ac:dyDescent="0.2">
      <c r="A1000">
        <f t="shared" si="15"/>
        <v>53043</v>
      </c>
      <c r="B1000">
        <v>53</v>
      </c>
      <c r="C1000">
        <v>43</v>
      </c>
      <c r="D1000">
        <v>96</v>
      </c>
      <c r="E1000" t="s">
        <v>41</v>
      </c>
      <c r="F1000">
        <v>-85821.634000000005</v>
      </c>
      <c r="G1000">
        <v>5.1459999999999999</v>
      </c>
    </row>
    <row r="1001" spans="1:7" x14ac:dyDescent="0.2">
      <c r="A1001">
        <f t="shared" si="15"/>
        <v>53044</v>
      </c>
      <c r="B1001">
        <v>53</v>
      </c>
      <c r="C1001">
        <v>44</v>
      </c>
      <c r="D1001">
        <v>97</v>
      </c>
      <c r="E1001" t="s">
        <v>42</v>
      </c>
      <c r="F1001">
        <v>-86120.551999999996</v>
      </c>
      <c r="G1001">
        <v>2.7629999999999999</v>
      </c>
    </row>
    <row r="1002" spans="1:7" x14ac:dyDescent="0.2">
      <c r="A1002">
        <f t="shared" si="15"/>
        <v>53045</v>
      </c>
      <c r="B1002">
        <v>53</v>
      </c>
      <c r="C1002">
        <v>45</v>
      </c>
      <c r="D1002">
        <v>98</v>
      </c>
      <c r="E1002" t="s">
        <v>43</v>
      </c>
      <c r="F1002">
        <v>-83175.205000000002</v>
      </c>
      <c r="G1002">
        <v>11.906000000000001</v>
      </c>
    </row>
    <row r="1003" spans="1:7" x14ac:dyDescent="0.2">
      <c r="A1003">
        <f t="shared" si="15"/>
        <v>53046</v>
      </c>
      <c r="B1003">
        <v>53</v>
      </c>
      <c r="C1003">
        <v>46</v>
      </c>
      <c r="D1003">
        <v>99</v>
      </c>
      <c r="E1003" t="s">
        <v>44</v>
      </c>
      <c r="F1003">
        <v>-82182.650999999998</v>
      </c>
      <c r="G1003">
        <v>4.9809999999999999</v>
      </c>
    </row>
    <row r="1004" spans="1:7" x14ac:dyDescent="0.2">
      <c r="A1004">
        <f t="shared" si="15"/>
        <v>53047</v>
      </c>
      <c r="B1004">
        <v>53</v>
      </c>
      <c r="C1004">
        <v>47</v>
      </c>
      <c r="D1004">
        <v>100</v>
      </c>
      <c r="E1004" t="s">
        <v>45</v>
      </c>
      <c r="F1004">
        <v>-78137.959000000003</v>
      </c>
      <c r="G1004">
        <v>5</v>
      </c>
    </row>
    <row r="1005" spans="1:7" x14ac:dyDescent="0.2">
      <c r="A1005">
        <f t="shared" si="15"/>
        <v>53048</v>
      </c>
      <c r="B1005">
        <v>53</v>
      </c>
      <c r="C1005">
        <v>48</v>
      </c>
      <c r="D1005">
        <v>101</v>
      </c>
      <c r="E1005" t="s">
        <v>46</v>
      </c>
      <c r="F1005">
        <v>-75836.456000000006</v>
      </c>
      <c r="G1005">
        <v>1.49</v>
      </c>
    </row>
    <row r="1006" spans="1:7" x14ac:dyDescent="0.2">
      <c r="A1006">
        <f t="shared" si="15"/>
        <v>53049</v>
      </c>
      <c r="B1006">
        <v>53</v>
      </c>
      <c r="C1006">
        <v>49</v>
      </c>
      <c r="D1006">
        <v>102</v>
      </c>
      <c r="E1006" t="s">
        <v>47</v>
      </c>
      <c r="F1006">
        <v>-70694.884000000005</v>
      </c>
      <c r="G1006">
        <v>4.5730000000000004</v>
      </c>
    </row>
    <row r="1007" spans="1:7" x14ac:dyDescent="0.2">
      <c r="A1007">
        <f t="shared" si="15"/>
        <v>53050</v>
      </c>
      <c r="B1007">
        <v>53</v>
      </c>
      <c r="C1007">
        <v>50</v>
      </c>
      <c r="D1007">
        <v>103</v>
      </c>
      <c r="E1007" t="s">
        <v>48</v>
      </c>
      <c r="F1007">
        <v>-66972.591</v>
      </c>
      <c r="G1007">
        <v>70.659000000000006</v>
      </c>
    </row>
    <row r="1008" spans="1:7" x14ac:dyDescent="0.2">
      <c r="A1008">
        <f t="shared" si="15"/>
        <v>53051</v>
      </c>
      <c r="B1008">
        <v>53</v>
      </c>
      <c r="C1008">
        <v>51</v>
      </c>
      <c r="D1008">
        <v>104</v>
      </c>
      <c r="E1008" t="s">
        <v>49</v>
      </c>
      <c r="F1008">
        <v>-59173.62</v>
      </c>
      <c r="G1008">
        <v>122.444</v>
      </c>
    </row>
    <row r="1009" spans="1:7" x14ac:dyDescent="0.2">
      <c r="A1009">
        <f t="shared" si="15"/>
        <v>53052</v>
      </c>
      <c r="B1009">
        <v>53</v>
      </c>
      <c r="C1009">
        <v>52</v>
      </c>
      <c r="D1009">
        <v>105</v>
      </c>
      <c r="E1009" t="s">
        <v>50</v>
      </c>
      <c r="F1009">
        <v>-52811.51</v>
      </c>
      <c r="G1009">
        <v>300.02</v>
      </c>
    </row>
    <row r="1010" spans="1:7" x14ac:dyDescent="0.2">
      <c r="A1010">
        <f t="shared" si="15"/>
        <v>54030</v>
      </c>
      <c r="B1010">
        <v>54</v>
      </c>
      <c r="C1010">
        <v>30</v>
      </c>
      <c r="D1010">
        <v>84</v>
      </c>
      <c r="E1010" t="s">
        <v>28</v>
      </c>
      <c r="F1010" t="s">
        <v>826</v>
      </c>
      <c r="G1010" t="s">
        <v>197</v>
      </c>
    </row>
    <row r="1011" spans="1:7" x14ac:dyDescent="0.2">
      <c r="A1011">
        <f t="shared" si="15"/>
        <v>54031</v>
      </c>
      <c r="B1011">
        <v>54</v>
      </c>
      <c r="C1011">
        <v>31</v>
      </c>
      <c r="D1011">
        <v>85</v>
      </c>
      <c r="E1011" t="s">
        <v>29</v>
      </c>
      <c r="F1011" t="s">
        <v>831</v>
      </c>
      <c r="G1011" t="s">
        <v>202</v>
      </c>
    </row>
    <row r="1012" spans="1:7" x14ac:dyDescent="0.2">
      <c r="A1012">
        <f t="shared" si="15"/>
        <v>54032</v>
      </c>
      <c r="B1012">
        <v>54</v>
      </c>
      <c r="C1012">
        <v>32</v>
      </c>
      <c r="D1012">
        <v>86</v>
      </c>
      <c r="E1012" t="s">
        <v>30</v>
      </c>
      <c r="F1012">
        <v>-49399.921999999999</v>
      </c>
      <c r="G1012">
        <v>437.80200000000002</v>
      </c>
    </row>
    <row r="1013" spans="1:7" x14ac:dyDescent="0.2">
      <c r="A1013">
        <f t="shared" si="15"/>
        <v>54033</v>
      </c>
      <c r="B1013">
        <v>54</v>
      </c>
      <c r="C1013">
        <v>33</v>
      </c>
      <c r="D1013">
        <v>87</v>
      </c>
      <c r="E1013" t="s">
        <v>31</v>
      </c>
      <c r="F1013">
        <v>-55617.906999999999</v>
      </c>
      <c r="G1013">
        <v>2.9849999999999999</v>
      </c>
    </row>
    <row r="1014" spans="1:7" x14ac:dyDescent="0.2">
      <c r="A1014">
        <f t="shared" si="15"/>
        <v>54034</v>
      </c>
      <c r="B1014">
        <v>54</v>
      </c>
      <c r="C1014">
        <v>34</v>
      </c>
      <c r="D1014">
        <v>88</v>
      </c>
      <c r="E1014" t="s">
        <v>32</v>
      </c>
      <c r="F1014">
        <v>-63884.195</v>
      </c>
      <c r="G1014">
        <v>3.3570000000000002</v>
      </c>
    </row>
    <row r="1015" spans="1:7" x14ac:dyDescent="0.2">
      <c r="A1015">
        <f t="shared" si="15"/>
        <v>54035</v>
      </c>
      <c r="B1015">
        <v>54</v>
      </c>
      <c r="C1015">
        <v>35</v>
      </c>
      <c r="D1015">
        <v>89</v>
      </c>
      <c r="E1015" t="s">
        <v>33</v>
      </c>
      <c r="F1015">
        <v>-68274.263000000006</v>
      </c>
      <c r="G1015">
        <v>3.2639999999999998</v>
      </c>
    </row>
    <row r="1016" spans="1:7" x14ac:dyDescent="0.2">
      <c r="A1016">
        <f t="shared" si="15"/>
        <v>54036</v>
      </c>
      <c r="B1016">
        <v>54</v>
      </c>
      <c r="C1016">
        <v>36</v>
      </c>
      <c r="D1016">
        <v>90</v>
      </c>
      <c r="E1016" t="s">
        <v>34</v>
      </c>
      <c r="F1016">
        <v>-74959.25</v>
      </c>
      <c r="G1016">
        <v>1.863</v>
      </c>
    </row>
    <row r="1017" spans="1:7" x14ac:dyDescent="0.2">
      <c r="A1017">
        <f t="shared" si="15"/>
        <v>54037</v>
      </c>
      <c r="B1017">
        <v>54</v>
      </c>
      <c r="C1017">
        <v>37</v>
      </c>
      <c r="D1017">
        <v>91</v>
      </c>
      <c r="E1017" t="s">
        <v>35</v>
      </c>
      <c r="F1017">
        <v>-77745.036999999997</v>
      </c>
      <c r="G1017">
        <v>7.8010000000000002</v>
      </c>
    </row>
    <row r="1018" spans="1:7" x14ac:dyDescent="0.2">
      <c r="A1018">
        <f t="shared" si="15"/>
        <v>54038</v>
      </c>
      <c r="B1018">
        <v>54</v>
      </c>
      <c r="C1018">
        <v>38</v>
      </c>
      <c r="D1018">
        <v>92</v>
      </c>
      <c r="E1018" t="s">
        <v>36</v>
      </c>
      <c r="F1018">
        <v>-82867.361000000004</v>
      </c>
      <c r="G1018">
        <v>3.423</v>
      </c>
    </row>
    <row r="1019" spans="1:7" x14ac:dyDescent="0.2">
      <c r="A1019">
        <f t="shared" si="15"/>
        <v>54039</v>
      </c>
      <c r="B1019">
        <v>54</v>
      </c>
      <c r="C1019">
        <v>39</v>
      </c>
      <c r="D1019">
        <v>93</v>
      </c>
      <c r="E1019" t="s">
        <v>37</v>
      </c>
      <c r="F1019">
        <v>-84227.157000000007</v>
      </c>
      <c r="G1019">
        <v>10.488</v>
      </c>
    </row>
    <row r="1020" spans="1:7" x14ac:dyDescent="0.2">
      <c r="A1020">
        <f t="shared" si="15"/>
        <v>54040</v>
      </c>
      <c r="B1020">
        <v>54</v>
      </c>
      <c r="C1020">
        <v>40</v>
      </c>
      <c r="D1020">
        <v>94</v>
      </c>
      <c r="E1020" t="s">
        <v>38</v>
      </c>
      <c r="F1020">
        <v>-87269.322</v>
      </c>
      <c r="G1020">
        <v>0.16400000000000001</v>
      </c>
    </row>
    <row r="1021" spans="1:7" x14ac:dyDescent="0.2">
      <c r="A1021">
        <f t="shared" si="15"/>
        <v>54041</v>
      </c>
      <c r="B1021">
        <v>54</v>
      </c>
      <c r="C1021">
        <v>41</v>
      </c>
      <c r="D1021">
        <v>95</v>
      </c>
      <c r="E1021" t="s">
        <v>39</v>
      </c>
      <c r="F1021">
        <v>-86786.258000000002</v>
      </c>
      <c r="G1021">
        <v>0.50800000000000001</v>
      </c>
    </row>
    <row r="1022" spans="1:7" x14ac:dyDescent="0.2">
      <c r="A1022">
        <f t="shared" si="15"/>
        <v>54042</v>
      </c>
      <c r="B1022">
        <v>54</v>
      </c>
      <c r="C1022">
        <v>42</v>
      </c>
      <c r="D1022">
        <v>96</v>
      </c>
      <c r="E1022" t="s">
        <v>40</v>
      </c>
      <c r="F1022">
        <v>-88794.876000000004</v>
      </c>
      <c r="G1022">
        <v>0.12</v>
      </c>
    </row>
    <row r="1023" spans="1:7" x14ac:dyDescent="0.2">
      <c r="A1023">
        <f t="shared" si="15"/>
        <v>54043</v>
      </c>
      <c r="B1023">
        <v>54</v>
      </c>
      <c r="C1023">
        <v>43</v>
      </c>
      <c r="D1023">
        <v>97</v>
      </c>
      <c r="E1023" t="s">
        <v>41</v>
      </c>
      <c r="F1023">
        <v>-87224.423999999999</v>
      </c>
      <c r="G1023">
        <v>4.1180000000000003</v>
      </c>
    </row>
    <row r="1024" spans="1:7" x14ac:dyDescent="0.2">
      <c r="A1024">
        <f t="shared" si="15"/>
        <v>54044</v>
      </c>
      <c r="B1024">
        <v>54</v>
      </c>
      <c r="C1024">
        <v>44</v>
      </c>
      <c r="D1024">
        <v>98</v>
      </c>
      <c r="E1024" t="s">
        <v>42</v>
      </c>
      <c r="F1024">
        <v>-88224.857999999993</v>
      </c>
      <c r="G1024">
        <v>6.4630000000000001</v>
      </c>
    </row>
    <row r="1025" spans="1:7" x14ac:dyDescent="0.2">
      <c r="A1025">
        <f t="shared" ref="A1025:A1088" si="16">1000*B1025+C1025</f>
        <v>54045</v>
      </c>
      <c r="B1025">
        <v>54</v>
      </c>
      <c r="C1025">
        <v>45</v>
      </c>
      <c r="D1025">
        <v>99</v>
      </c>
      <c r="E1025" t="s">
        <v>43</v>
      </c>
      <c r="F1025">
        <v>-85581.3</v>
      </c>
      <c r="G1025">
        <v>6.6970000000000001</v>
      </c>
    </row>
    <row r="1026" spans="1:7" x14ac:dyDescent="0.2">
      <c r="A1026">
        <f t="shared" si="16"/>
        <v>54046</v>
      </c>
      <c r="B1026">
        <v>54</v>
      </c>
      <c r="C1026">
        <v>46</v>
      </c>
      <c r="D1026">
        <v>100</v>
      </c>
      <c r="E1026" t="s">
        <v>44</v>
      </c>
      <c r="F1026">
        <v>-85212.778000000006</v>
      </c>
      <c r="G1026">
        <v>17.638000000000002</v>
      </c>
    </row>
    <row r="1027" spans="1:7" x14ac:dyDescent="0.2">
      <c r="A1027">
        <f t="shared" si="16"/>
        <v>54047</v>
      </c>
      <c r="B1027">
        <v>54</v>
      </c>
      <c r="C1027">
        <v>47</v>
      </c>
      <c r="D1027">
        <v>101</v>
      </c>
      <c r="E1027" t="s">
        <v>45</v>
      </c>
      <c r="F1027">
        <v>-81334.373999999996</v>
      </c>
      <c r="G1027">
        <v>4.8380000000000001</v>
      </c>
    </row>
    <row r="1028" spans="1:7" x14ac:dyDescent="0.2">
      <c r="A1028">
        <f t="shared" si="16"/>
        <v>54048</v>
      </c>
      <c r="B1028">
        <v>54</v>
      </c>
      <c r="C1028">
        <v>48</v>
      </c>
      <c r="D1028">
        <v>102</v>
      </c>
      <c r="E1028" t="s">
        <v>46</v>
      </c>
      <c r="F1028">
        <v>-79659.691000000006</v>
      </c>
      <c r="G1028">
        <v>1.6619999999999999</v>
      </c>
    </row>
    <row r="1029" spans="1:7" x14ac:dyDescent="0.2">
      <c r="A1029">
        <f t="shared" si="16"/>
        <v>54049</v>
      </c>
      <c r="B1029">
        <v>54</v>
      </c>
      <c r="C1029">
        <v>49</v>
      </c>
      <c r="D1029">
        <v>103</v>
      </c>
      <c r="E1029" t="s">
        <v>47</v>
      </c>
      <c r="F1029">
        <v>-74632.591</v>
      </c>
      <c r="G1029">
        <v>9.625</v>
      </c>
    </row>
    <row r="1030" spans="1:7" x14ac:dyDescent="0.2">
      <c r="A1030">
        <f t="shared" si="16"/>
        <v>54050</v>
      </c>
      <c r="B1030">
        <v>54</v>
      </c>
      <c r="C1030">
        <v>50</v>
      </c>
      <c r="D1030">
        <v>104</v>
      </c>
      <c r="E1030" t="s">
        <v>48</v>
      </c>
      <c r="F1030">
        <v>-71627.047000000006</v>
      </c>
      <c r="G1030">
        <v>5.7450000000000001</v>
      </c>
    </row>
    <row r="1031" spans="1:7" x14ac:dyDescent="0.2">
      <c r="A1031">
        <f t="shared" si="16"/>
        <v>54051</v>
      </c>
      <c r="B1031">
        <v>54</v>
      </c>
      <c r="C1031">
        <v>51</v>
      </c>
      <c r="D1031">
        <v>105</v>
      </c>
      <c r="E1031" t="s">
        <v>49</v>
      </c>
      <c r="F1031">
        <v>-64015.482000000004</v>
      </c>
      <c r="G1031">
        <v>21.827000000000002</v>
      </c>
    </row>
    <row r="1032" spans="1:7" x14ac:dyDescent="0.2">
      <c r="A1032">
        <f t="shared" si="16"/>
        <v>54052</v>
      </c>
      <c r="B1032">
        <v>54</v>
      </c>
      <c r="C1032">
        <v>52</v>
      </c>
      <c r="D1032">
        <v>106</v>
      </c>
      <c r="E1032" t="s">
        <v>50</v>
      </c>
      <c r="F1032">
        <v>-58219.748</v>
      </c>
      <c r="G1032">
        <v>100.541</v>
      </c>
    </row>
    <row r="1033" spans="1:7" x14ac:dyDescent="0.2">
      <c r="A1033">
        <f t="shared" si="16"/>
        <v>54053</v>
      </c>
      <c r="B1033">
        <v>54</v>
      </c>
      <c r="C1033">
        <v>53</v>
      </c>
      <c r="D1033">
        <v>107</v>
      </c>
      <c r="E1033" t="s">
        <v>51</v>
      </c>
      <c r="F1033" t="s">
        <v>897</v>
      </c>
      <c r="G1033" t="s">
        <v>235</v>
      </c>
    </row>
    <row r="1034" spans="1:7" x14ac:dyDescent="0.2">
      <c r="A1034">
        <f t="shared" si="16"/>
        <v>55030</v>
      </c>
      <c r="B1034">
        <v>55</v>
      </c>
      <c r="C1034">
        <v>30</v>
      </c>
      <c r="D1034">
        <v>85</v>
      </c>
      <c r="E1034" t="s">
        <v>28</v>
      </c>
      <c r="F1034" t="s">
        <v>830</v>
      </c>
      <c r="G1034" t="s">
        <v>245</v>
      </c>
    </row>
    <row r="1035" spans="1:7" x14ac:dyDescent="0.2">
      <c r="A1035">
        <f t="shared" si="16"/>
        <v>55031</v>
      </c>
      <c r="B1035">
        <v>55</v>
      </c>
      <c r="C1035">
        <v>31</v>
      </c>
      <c r="D1035">
        <v>86</v>
      </c>
      <c r="E1035" t="s">
        <v>29</v>
      </c>
      <c r="F1035" t="s">
        <v>835</v>
      </c>
      <c r="G1035" t="s">
        <v>197</v>
      </c>
    </row>
    <row r="1036" spans="1:7" x14ac:dyDescent="0.2">
      <c r="A1036">
        <f t="shared" si="16"/>
        <v>55032</v>
      </c>
      <c r="B1036">
        <v>55</v>
      </c>
      <c r="C1036">
        <v>32</v>
      </c>
      <c r="D1036">
        <v>87</v>
      </c>
      <c r="E1036" t="s">
        <v>30</v>
      </c>
      <c r="F1036" t="s">
        <v>839</v>
      </c>
      <c r="G1036" t="s">
        <v>235</v>
      </c>
    </row>
    <row r="1037" spans="1:7" x14ac:dyDescent="0.2">
      <c r="A1037">
        <f t="shared" si="16"/>
        <v>55033</v>
      </c>
      <c r="B1037">
        <v>55</v>
      </c>
      <c r="C1037">
        <v>33</v>
      </c>
      <c r="D1037">
        <v>88</v>
      </c>
      <c r="E1037" t="s">
        <v>31</v>
      </c>
      <c r="F1037" t="s">
        <v>843</v>
      </c>
      <c r="G1037" t="s">
        <v>206</v>
      </c>
    </row>
    <row r="1038" spans="1:7" x14ac:dyDescent="0.2">
      <c r="A1038">
        <f t="shared" si="16"/>
        <v>55034</v>
      </c>
      <c r="B1038">
        <v>55</v>
      </c>
      <c r="C1038">
        <v>34</v>
      </c>
      <c r="D1038">
        <v>89</v>
      </c>
      <c r="E1038" t="s">
        <v>32</v>
      </c>
      <c r="F1038">
        <v>-58992.391000000003</v>
      </c>
      <c r="G1038">
        <v>3.7290000000000001</v>
      </c>
    </row>
    <row r="1039" spans="1:7" x14ac:dyDescent="0.2">
      <c r="A1039">
        <f t="shared" si="16"/>
        <v>55035</v>
      </c>
      <c r="B1039">
        <v>55</v>
      </c>
      <c r="C1039">
        <v>35</v>
      </c>
      <c r="D1039">
        <v>90</v>
      </c>
      <c r="E1039" t="s">
        <v>33</v>
      </c>
      <c r="F1039">
        <v>-64000.298000000003</v>
      </c>
      <c r="G1039">
        <v>3.3570000000000002</v>
      </c>
    </row>
    <row r="1040" spans="1:7" x14ac:dyDescent="0.2">
      <c r="A1040">
        <f t="shared" si="16"/>
        <v>55036</v>
      </c>
      <c r="B1040">
        <v>55</v>
      </c>
      <c r="C1040">
        <v>36</v>
      </c>
      <c r="D1040">
        <v>91</v>
      </c>
      <c r="E1040" t="s">
        <v>34</v>
      </c>
      <c r="F1040">
        <v>-70973.964999999997</v>
      </c>
      <c r="G1040">
        <v>2.2360000000000002</v>
      </c>
    </row>
    <row r="1041" spans="1:7" x14ac:dyDescent="0.2">
      <c r="A1041">
        <f t="shared" si="16"/>
        <v>55037</v>
      </c>
      <c r="B1041">
        <v>55</v>
      </c>
      <c r="C1041">
        <v>37</v>
      </c>
      <c r="D1041">
        <v>92</v>
      </c>
      <c r="E1041" t="s">
        <v>35</v>
      </c>
      <c r="F1041">
        <v>-74772.437999999995</v>
      </c>
      <c r="G1041">
        <v>6.1230000000000002</v>
      </c>
    </row>
    <row r="1042" spans="1:7" x14ac:dyDescent="0.2">
      <c r="A1042">
        <f t="shared" si="16"/>
        <v>55038</v>
      </c>
      <c r="B1042">
        <v>55</v>
      </c>
      <c r="C1042">
        <v>38</v>
      </c>
      <c r="D1042">
        <v>93</v>
      </c>
      <c r="E1042" t="s">
        <v>36</v>
      </c>
      <c r="F1042">
        <v>-80085.838000000003</v>
      </c>
      <c r="G1042">
        <v>7.5540000000000003</v>
      </c>
    </row>
    <row r="1043" spans="1:7" x14ac:dyDescent="0.2">
      <c r="A1043">
        <f t="shared" si="16"/>
        <v>55039</v>
      </c>
      <c r="B1043">
        <v>55</v>
      </c>
      <c r="C1043">
        <v>39</v>
      </c>
      <c r="D1043">
        <v>94</v>
      </c>
      <c r="E1043" t="s">
        <v>37</v>
      </c>
      <c r="F1043">
        <v>-82351.463000000003</v>
      </c>
      <c r="G1043">
        <v>6.38</v>
      </c>
    </row>
    <row r="1044" spans="1:7" x14ac:dyDescent="0.2">
      <c r="A1044">
        <f t="shared" si="16"/>
        <v>55040</v>
      </c>
      <c r="B1044">
        <v>55</v>
      </c>
      <c r="C1044">
        <v>40</v>
      </c>
      <c r="D1044">
        <v>95</v>
      </c>
      <c r="E1044" t="s">
        <v>38</v>
      </c>
      <c r="F1044">
        <v>-85659.94</v>
      </c>
      <c r="G1044">
        <v>0.86899999999999999</v>
      </c>
    </row>
    <row r="1045" spans="1:7" x14ac:dyDescent="0.2">
      <c r="A1045">
        <f t="shared" si="16"/>
        <v>55041</v>
      </c>
      <c r="B1045">
        <v>55</v>
      </c>
      <c r="C1045">
        <v>41</v>
      </c>
      <c r="D1045">
        <v>96</v>
      </c>
      <c r="E1045" t="s">
        <v>39</v>
      </c>
      <c r="F1045">
        <v>-85602.816000000006</v>
      </c>
      <c r="G1045">
        <v>0.14699999999999999</v>
      </c>
    </row>
    <row r="1046" spans="1:7" x14ac:dyDescent="0.2">
      <c r="A1046">
        <f t="shared" si="16"/>
        <v>55042</v>
      </c>
      <c r="B1046">
        <v>55</v>
      </c>
      <c r="C1046">
        <v>42</v>
      </c>
      <c r="D1046">
        <v>97</v>
      </c>
      <c r="E1046" t="s">
        <v>40</v>
      </c>
      <c r="F1046">
        <v>-87544.691000000006</v>
      </c>
      <c r="G1046">
        <v>0.16500000000000001</v>
      </c>
    </row>
    <row r="1047" spans="1:7" x14ac:dyDescent="0.2">
      <c r="A1047">
        <f t="shared" si="16"/>
        <v>55043</v>
      </c>
      <c r="B1047">
        <v>55</v>
      </c>
      <c r="C1047">
        <v>43</v>
      </c>
      <c r="D1047">
        <v>98</v>
      </c>
      <c r="E1047" t="s">
        <v>41</v>
      </c>
      <c r="F1047">
        <v>-86432.205000000002</v>
      </c>
      <c r="G1047">
        <v>3.38</v>
      </c>
    </row>
    <row r="1048" spans="1:7" x14ac:dyDescent="0.2">
      <c r="A1048">
        <f t="shared" si="16"/>
        <v>55044</v>
      </c>
      <c r="B1048">
        <v>55</v>
      </c>
      <c r="C1048">
        <v>44</v>
      </c>
      <c r="D1048">
        <v>99</v>
      </c>
      <c r="E1048" t="s">
        <v>42</v>
      </c>
      <c r="F1048">
        <v>-87625.380999999994</v>
      </c>
      <c r="G1048">
        <v>0.34399999999999997</v>
      </c>
    </row>
    <row r="1049" spans="1:7" x14ac:dyDescent="0.2">
      <c r="A1049">
        <f t="shared" si="16"/>
        <v>55045</v>
      </c>
      <c r="B1049">
        <v>55</v>
      </c>
      <c r="C1049">
        <v>45</v>
      </c>
      <c r="D1049">
        <v>100</v>
      </c>
      <c r="E1049" t="s">
        <v>43</v>
      </c>
      <c r="F1049">
        <v>-85591.126000000004</v>
      </c>
      <c r="G1049">
        <v>18.125</v>
      </c>
    </row>
    <row r="1050" spans="1:7" x14ac:dyDescent="0.2">
      <c r="A1050">
        <f t="shared" si="16"/>
        <v>55046</v>
      </c>
      <c r="B1050">
        <v>55</v>
      </c>
      <c r="C1050">
        <v>46</v>
      </c>
      <c r="D1050">
        <v>101</v>
      </c>
      <c r="E1050" t="s">
        <v>44</v>
      </c>
      <c r="F1050">
        <v>-85432.131999999998</v>
      </c>
      <c r="G1050">
        <v>4.5880000000000001</v>
      </c>
    </row>
    <row r="1051" spans="1:7" x14ac:dyDescent="0.2">
      <c r="A1051">
        <f t="shared" si="16"/>
        <v>55047</v>
      </c>
      <c r="B1051">
        <v>55</v>
      </c>
      <c r="C1051">
        <v>47</v>
      </c>
      <c r="D1051">
        <v>102</v>
      </c>
      <c r="E1051" t="s">
        <v>45</v>
      </c>
      <c r="F1051">
        <v>-82246.691000000006</v>
      </c>
      <c r="G1051">
        <v>8.1709999999999994</v>
      </c>
    </row>
    <row r="1052" spans="1:7" x14ac:dyDescent="0.2">
      <c r="A1052">
        <f t="shared" si="16"/>
        <v>55048</v>
      </c>
      <c r="B1052">
        <v>55</v>
      </c>
      <c r="C1052">
        <v>48</v>
      </c>
      <c r="D1052">
        <v>103</v>
      </c>
      <c r="E1052" t="s">
        <v>46</v>
      </c>
      <c r="F1052">
        <v>-80651.615999999995</v>
      </c>
      <c r="G1052">
        <v>1.8109999999999999</v>
      </c>
    </row>
    <row r="1053" spans="1:7" x14ac:dyDescent="0.2">
      <c r="A1053">
        <f t="shared" si="16"/>
        <v>55049</v>
      </c>
      <c r="B1053">
        <v>55</v>
      </c>
      <c r="C1053">
        <v>49</v>
      </c>
      <c r="D1053">
        <v>104</v>
      </c>
      <c r="E1053" t="s">
        <v>47</v>
      </c>
      <c r="F1053">
        <v>-76182.664999999994</v>
      </c>
      <c r="G1053">
        <v>5.7750000000000004</v>
      </c>
    </row>
    <row r="1054" spans="1:7" x14ac:dyDescent="0.2">
      <c r="A1054">
        <f t="shared" si="16"/>
        <v>55050</v>
      </c>
      <c r="B1054">
        <v>55</v>
      </c>
      <c r="C1054">
        <v>50</v>
      </c>
      <c r="D1054">
        <v>105</v>
      </c>
      <c r="E1054" t="s">
        <v>48</v>
      </c>
      <c r="F1054">
        <v>-73337.991999999998</v>
      </c>
      <c r="G1054">
        <v>3.9710000000000001</v>
      </c>
    </row>
    <row r="1055" spans="1:7" x14ac:dyDescent="0.2">
      <c r="A1055">
        <f t="shared" si="16"/>
        <v>55051</v>
      </c>
      <c r="B1055">
        <v>55</v>
      </c>
      <c r="C1055">
        <v>51</v>
      </c>
      <c r="D1055">
        <v>106</v>
      </c>
      <c r="E1055" t="s">
        <v>49</v>
      </c>
      <c r="F1055">
        <v>-66473.292000000001</v>
      </c>
      <c r="G1055">
        <v>7.452</v>
      </c>
    </row>
    <row r="1056" spans="1:7" x14ac:dyDescent="0.2">
      <c r="A1056">
        <f t="shared" si="16"/>
        <v>55052</v>
      </c>
      <c r="B1056">
        <v>55</v>
      </c>
      <c r="C1056">
        <v>52</v>
      </c>
      <c r="D1056">
        <v>107</v>
      </c>
      <c r="E1056" t="s">
        <v>50</v>
      </c>
      <c r="F1056">
        <v>-60539.326000000001</v>
      </c>
      <c r="G1056">
        <v>70.83</v>
      </c>
    </row>
    <row r="1057" spans="1:7" x14ac:dyDescent="0.2">
      <c r="A1057">
        <f t="shared" si="16"/>
        <v>55053</v>
      </c>
      <c r="B1057">
        <v>55</v>
      </c>
      <c r="C1057">
        <v>53</v>
      </c>
      <c r="D1057">
        <v>108</v>
      </c>
      <c r="E1057" t="s">
        <v>51</v>
      </c>
      <c r="F1057">
        <v>-52649.605000000003</v>
      </c>
      <c r="G1057">
        <v>132.26</v>
      </c>
    </row>
    <row r="1058" spans="1:7" x14ac:dyDescent="0.2">
      <c r="A1058">
        <f t="shared" si="16"/>
        <v>55054</v>
      </c>
      <c r="B1058">
        <v>55</v>
      </c>
      <c r="C1058">
        <v>54</v>
      </c>
      <c r="D1058">
        <v>109</v>
      </c>
      <c r="E1058" t="s">
        <v>52</v>
      </c>
      <c r="F1058">
        <v>-46169.548000000003</v>
      </c>
      <c r="G1058">
        <v>300.108</v>
      </c>
    </row>
    <row r="1059" spans="1:7" x14ac:dyDescent="0.2">
      <c r="A1059">
        <f t="shared" si="16"/>
        <v>56031</v>
      </c>
      <c r="B1059">
        <v>56</v>
      </c>
      <c r="C1059">
        <v>31</v>
      </c>
      <c r="D1059">
        <v>87</v>
      </c>
      <c r="E1059" t="s">
        <v>29</v>
      </c>
      <c r="F1059" t="s">
        <v>838</v>
      </c>
      <c r="G1059" t="s">
        <v>245</v>
      </c>
    </row>
    <row r="1060" spans="1:7" x14ac:dyDescent="0.2">
      <c r="A1060">
        <f t="shared" si="16"/>
        <v>56032</v>
      </c>
      <c r="B1060">
        <v>56</v>
      </c>
      <c r="C1060">
        <v>32</v>
      </c>
      <c r="D1060">
        <v>88</v>
      </c>
      <c r="E1060" t="s">
        <v>30</v>
      </c>
      <c r="F1060" t="s">
        <v>842</v>
      </c>
      <c r="G1060" t="s">
        <v>197</v>
      </c>
    </row>
    <row r="1061" spans="1:7" x14ac:dyDescent="0.2">
      <c r="A1061">
        <f t="shared" si="16"/>
        <v>56033</v>
      </c>
      <c r="B1061">
        <v>56</v>
      </c>
      <c r="C1061">
        <v>33</v>
      </c>
      <c r="D1061">
        <v>89</v>
      </c>
      <c r="E1061" t="s">
        <v>31</v>
      </c>
      <c r="F1061" t="s">
        <v>846</v>
      </c>
      <c r="G1061" t="s">
        <v>202</v>
      </c>
    </row>
    <row r="1062" spans="1:7" x14ac:dyDescent="0.2">
      <c r="A1062">
        <f t="shared" si="16"/>
        <v>56034</v>
      </c>
      <c r="B1062">
        <v>56</v>
      </c>
      <c r="C1062">
        <v>34</v>
      </c>
      <c r="D1062">
        <v>90</v>
      </c>
      <c r="E1062" t="s">
        <v>32</v>
      </c>
      <c r="F1062">
        <v>-55800.216999999997</v>
      </c>
      <c r="G1062">
        <v>329.74900000000002</v>
      </c>
    </row>
    <row r="1063" spans="1:7" x14ac:dyDescent="0.2">
      <c r="A1063">
        <f t="shared" si="16"/>
        <v>56035</v>
      </c>
      <c r="B1063">
        <v>56</v>
      </c>
      <c r="C1063">
        <v>35</v>
      </c>
      <c r="D1063">
        <v>91</v>
      </c>
      <c r="E1063" t="s">
        <v>854</v>
      </c>
      <c r="F1063">
        <v>-61107.294000000002</v>
      </c>
      <c r="G1063">
        <v>3.544</v>
      </c>
    </row>
    <row r="1064" spans="1:7" x14ac:dyDescent="0.2">
      <c r="A1064">
        <f t="shared" si="16"/>
        <v>56036</v>
      </c>
      <c r="B1064">
        <v>56</v>
      </c>
      <c r="C1064">
        <v>36</v>
      </c>
      <c r="D1064">
        <v>92</v>
      </c>
      <c r="E1064" t="s">
        <v>34</v>
      </c>
      <c r="F1064">
        <v>-68769.320000000007</v>
      </c>
      <c r="G1064">
        <v>2.7010000000000001</v>
      </c>
    </row>
    <row r="1065" spans="1:7" x14ac:dyDescent="0.2">
      <c r="A1065">
        <f t="shared" si="16"/>
        <v>56037</v>
      </c>
      <c r="B1065">
        <v>56</v>
      </c>
      <c r="C1065">
        <v>37</v>
      </c>
      <c r="D1065">
        <v>93</v>
      </c>
      <c r="E1065" t="s">
        <v>35</v>
      </c>
      <c r="F1065">
        <v>-72619.900999999998</v>
      </c>
      <c r="G1065">
        <v>7.83</v>
      </c>
    </row>
    <row r="1066" spans="1:7" x14ac:dyDescent="0.2">
      <c r="A1066">
        <f t="shared" si="16"/>
        <v>56038</v>
      </c>
      <c r="B1066">
        <v>56</v>
      </c>
      <c r="C1066">
        <v>38</v>
      </c>
      <c r="D1066">
        <v>94</v>
      </c>
      <c r="E1066" t="s">
        <v>36</v>
      </c>
      <c r="F1066">
        <v>-78845.710999999996</v>
      </c>
      <c r="G1066">
        <v>1.663</v>
      </c>
    </row>
    <row r="1067" spans="1:7" x14ac:dyDescent="0.2">
      <c r="A1067">
        <f t="shared" si="16"/>
        <v>56039</v>
      </c>
      <c r="B1067">
        <v>56</v>
      </c>
      <c r="C1067">
        <v>39</v>
      </c>
      <c r="D1067">
        <v>95</v>
      </c>
      <c r="E1067" t="s">
        <v>37</v>
      </c>
      <c r="F1067">
        <v>-81208.847999999998</v>
      </c>
      <c r="G1067">
        <v>6.7789999999999999</v>
      </c>
    </row>
    <row r="1068" spans="1:7" x14ac:dyDescent="0.2">
      <c r="A1068">
        <f t="shared" si="16"/>
        <v>56040</v>
      </c>
      <c r="B1068">
        <v>56</v>
      </c>
      <c r="C1068">
        <v>40</v>
      </c>
      <c r="D1068">
        <v>96</v>
      </c>
      <c r="E1068" t="s">
        <v>38</v>
      </c>
      <c r="F1068">
        <v>-85438.846000000005</v>
      </c>
      <c r="G1068">
        <v>0.114</v>
      </c>
    </row>
    <row r="1069" spans="1:7" x14ac:dyDescent="0.2">
      <c r="A1069">
        <f t="shared" si="16"/>
        <v>56041</v>
      </c>
      <c r="B1069">
        <v>56</v>
      </c>
      <c r="C1069">
        <v>41</v>
      </c>
      <c r="D1069">
        <v>97</v>
      </c>
      <c r="E1069" t="s">
        <v>39</v>
      </c>
      <c r="F1069">
        <v>-85605.775999999998</v>
      </c>
      <c r="G1069">
        <v>4.2489999999999997</v>
      </c>
    </row>
    <row r="1070" spans="1:7" x14ac:dyDescent="0.2">
      <c r="A1070">
        <f t="shared" si="16"/>
        <v>56042</v>
      </c>
      <c r="B1070">
        <v>56</v>
      </c>
      <c r="C1070">
        <v>42</v>
      </c>
      <c r="D1070">
        <v>98</v>
      </c>
      <c r="E1070" t="s">
        <v>40</v>
      </c>
      <c r="F1070">
        <v>-88115.971999999994</v>
      </c>
      <c r="G1070">
        <v>0.17399999999999999</v>
      </c>
    </row>
    <row r="1071" spans="1:7" x14ac:dyDescent="0.2">
      <c r="A1071">
        <f t="shared" si="16"/>
        <v>56043</v>
      </c>
      <c r="B1071">
        <v>56</v>
      </c>
      <c r="C1071">
        <v>43</v>
      </c>
      <c r="D1071">
        <v>99</v>
      </c>
      <c r="E1071" t="s">
        <v>41</v>
      </c>
      <c r="F1071">
        <v>-87327.861999999994</v>
      </c>
      <c r="G1071">
        <v>0.90800000000000003</v>
      </c>
    </row>
    <row r="1072" spans="1:7" x14ac:dyDescent="0.2">
      <c r="A1072">
        <f t="shared" si="16"/>
        <v>56044</v>
      </c>
      <c r="B1072">
        <v>56</v>
      </c>
      <c r="C1072">
        <v>44</v>
      </c>
      <c r="D1072">
        <v>100</v>
      </c>
      <c r="E1072" t="s">
        <v>42</v>
      </c>
      <c r="F1072">
        <v>-89227.388999999996</v>
      </c>
      <c r="G1072">
        <v>0.34300000000000003</v>
      </c>
    </row>
    <row r="1073" spans="1:7" x14ac:dyDescent="0.2">
      <c r="A1073">
        <f t="shared" si="16"/>
        <v>56045</v>
      </c>
      <c r="B1073">
        <v>56</v>
      </c>
      <c r="C1073">
        <v>45</v>
      </c>
      <c r="D1073">
        <v>101</v>
      </c>
      <c r="E1073" t="s">
        <v>43</v>
      </c>
      <c r="F1073">
        <v>-87412.415999999997</v>
      </c>
      <c r="G1073">
        <v>5.8410000000000002</v>
      </c>
    </row>
    <row r="1074" spans="1:7" x14ac:dyDescent="0.2">
      <c r="A1074">
        <f t="shared" si="16"/>
        <v>56046</v>
      </c>
      <c r="B1074">
        <v>56</v>
      </c>
      <c r="C1074">
        <v>46</v>
      </c>
      <c r="D1074">
        <v>102</v>
      </c>
      <c r="E1074" t="s">
        <v>44</v>
      </c>
      <c r="F1074">
        <v>-87903.171000000002</v>
      </c>
      <c r="G1074">
        <v>0.55400000000000005</v>
      </c>
    </row>
    <row r="1075" spans="1:7" x14ac:dyDescent="0.2">
      <c r="A1075">
        <f t="shared" si="16"/>
        <v>56047</v>
      </c>
      <c r="B1075">
        <v>56</v>
      </c>
      <c r="C1075">
        <v>47</v>
      </c>
      <c r="D1075">
        <v>103</v>
      </c>
      <c r="E1075" t="s">
        <v>45</v>
      </c>
      <c r="F1075">
        <v>-84802.691999999995</v>
      </c>
      <c r="G1075">
        <v>4.0990000000000002</v>
      </c>
    </row>
    <row r="1076" spans="1:7" x14ac:dyDescent="0.2">
      <c r="A1076">
        <f t="shared" si="16"/>
        <v>56048</v>
      </c>
      <c r="B1076">
        <v>56</v>
      </c>
      <c r="C1076">
        <v>48</v>
      </c>
      <c r="D1076">
        <v>104</v>
      </c>
      <c r="E1076" t="s">
        <v>46</v>
      </c>
      <c r="F1076">
        <v>-83968.38</v>
      </c>
      <c r="G1076">
        <v>1.673</v>
      </c>
    </row>
    <row r="1077" spans="1:7" x14ac:dyDescent="0.2">
      <c r="A1077">
        <f t="shared" si="16"/>
        <v>56049</v>
      </c>
      <c r="B1077">
        <v>56</v>
      </c>
      <c r="C1077">
        <v>49</v>
      </c>
      <c r="D1077">
        <v>105</v>
      </c>
      <c r="E1077" t="s">
        <v>47</v>
      </c>
      <c r="F1077">
        <v>-79640.572</v>
      </c>
      <c r="G1077">
        <v>10.246</v>
      </c>
    </row>
    <row r="1078" spans="1:7" x14ac:dyDescent="0.2">
      <c r="A1078">
        <f t="shared" si="16"/>
        <v>56050</v>
      </c>
      <c r="B1078">
        <v>56</v>
      </c>
      <c r="C1078">
        <v>50</v>
      </c>
      <c r="D1078">
        <v>106</v>
      </c>
      <c r="E1078" t="s">
        <v>48</v>
      </c>
      <c r="F1078">
        <v>-77353.687000000005</v>
      </c>
      <c r="G1078">
        <v>5.0910000000000002</v>
      </c>
    </row>
    <row r="1079" spans="1:7" x14ac:dyDescent="0.2">
      <c r="A1079">
        <f t="shared" si="16"/>
        <v>56051</v>
      </c>
      <c r="B1079">
        <v>56</v>
      </c>
      <c r="C1079">
        <v>51</v>
      </c>
      <c r="D1079">
        <v>107</v>
      </c>
      <c r="E1079" t="s">
        <v>49</v>
      </c>
      <c r="F1079">
        <v>-70653.239000000001</v>
      </c>
      <c r="G1079">
        <v>4.1479999999999997</v>
      </c>
    </row>
    <row r="1080" spans="1:7" x14ac:dyDescent="0.2">
      <c r="A1080">
        <f t="shared" si="16"/>
        <v>56052</v>
      </c>
      <c r="B1080">
        <v>56</v>
      </c>
      <c r="C1080">
        <v>52</v>
      </c>
      <c r="D1080">
        <v>108</v>
      </c>
      <c r="E1080" t="s">
        <v>50</v>
      </c>
      <c r="F1080">
        <v>-65781.667000000001</v>
      </c>
      <c r="G1080">
        <v>5.4109999999999996</v>
      </c>
    </row>
    <row r="1081" spans="1:7" x14ac:dyDescent="0.2">
      <c r="A1081">
        <f t="shared" si="16"/>
        <v>56053</v>
      </c>
      <c r="B1081">
        <v>56</v>
      </c>
      <c r="C1081">
        <v>53</v>
      </c>
      <c r="D1081">
        <v>109</v>
      </c>
      <c r="E1081" t="s">
        <v>51</v>
      </c>
      <c r="F1081">
        <v>-57672.495999999999</v>
      </c>
      <c r="G1081">
        <v>6.7290000000000001</v>
      </c>
    </row>
    <row r="1082" spans="1:7" x14ac:dyDescent="0.2">
      <c r="A1082">
        <f t="shared" si="16"/>
        <v>56054</v>
      </c>
      <c r="B1082">
        <v>56</v>
      </c>
      <c r="C1082">
        <v>54</v>
      </c>
      <c r="D1082">
        <v>110</v>
      </c>
      <c r="E1082" t="s">
        <v>52</v>
      </c>
      <c r="F1082">
        <v>-51922.625</v>
      </c>
      <c r="G1082">
        <v>100.988</v>
      </c>
    </row>
    <row r="1083" spans="1:7" x14ac:dyDescent="0.2">
      <c r="A1083">
        <f t="shared" si="16"/>
        <v>56055</v>
      </c>
      <c r="B1083">
        <v>56</v>
      </c>
      <c r="C1083">
        <v>55</v>
      </c>
      <c r="D1083">
        <v>111</v>
      </c>
      <c r="E1083" t="s">
        <v>53</v>
      </c>
      <c r="F1083" t="s">
        <v>905</v>
      </c>
      <c r="G1083" t="s">
        <v>206</v>
      </c>
    </row>
    <row r="1084" spans="1:7" x14ac:dyDescent="0.2">
      <c r="A1084">
        <f t="shared" si="16"/>
        <v>57032</v>
      </c>
      <c r="B1084">
        <v>57</v>
      </c>
      <c r="C1084">
        <v>32</v>
      </c>
      <c r="D1084">
        <v>89</v>
      </c>
      <c r="E1084" t="s">
        <v>30</v>
      </c>
      <c r="F1084" t="s">
        <v>227</v>
      </c>
      <c r="G1084" t="s">
        <v>197</v>
      </c>
    </row>
    <row r="1085" spans="1:7" x14ac:dyDescent="0.2">
      <c r="A1085">
        <f t="shared" si="16"/>
        <v>57033</v>
      </c>
      <c r="B1085">
        <v>57</v>
      </c>
      <c r="C1085">
        <v>33</v>
      </c>
      <c r="D1085">
        <v>90</v>
      </c>
      <c r="E1085" t="s">
        <v>31</v>
      </c>
      <c r="F1085" t="s">
        <v>850</v>
      </c>
      <c r="G1085" t="s">
        <v>197</v>
      </c>
    </row>
    <row r="1086" spans="1:7" x14ac:dyDescent="0.2">
      <c r="A1086">
        <f t="shared" si="16"/>
        <v>57034</v>
      </c>
      <c r="B1086">
        <v>57</v>
      </c>
      <c r="C1086">
        <v>34</v>
      </c>
      <c r="D1086">
        <v>91</v>
      </c>
      <c r="E1086" t="s">
        <v>32</v>
      </c>
      <c r="F1086">
        <v>-50580.124000000003</v>
      </c>
      <c r="G1086">
        <v>433.14499999999998</v>
      </c>
    </row>
    <row r="1087" spans="1:7" x14ac:dyDescent="0.2">
      <c r="A1087">
        <f t="shared" si="16"/>
        <v>57035</v>
      </c>
      <c r="B1087">
        <v>57</v>
      </c>
      <c r="C1087">
        <v>35</v>
      </c>
      <c r="D1087">
        <v>92</v>
      </c>
      <c r="E1087" t="s">
        <v>33</v>
      </c>
      <c r="F1087">
        <v>-56232.805</v>
      </c>
      <c r="G1087">
        <v>6.7089999999999996</v>
      </c>
    </row>
    <row r="1088" spans="1:7" x14ac:dyDescent="0.2">
      <c r="A1088">
        <f t="shared" si="16"/>
        <v>57036</v>
      </c>
      <c r="B1088">
        <v>57</v>
      </c>
      <c r="C1088">
        <v>36</v>
      </c>
      <c r="D1088">
        <v>93</v>
      </c>
      <c r="E1088" t="s">
        <v>34</v>
      </c>
      <c r="F1088">
        <v>-64135.993999999999</v>
      </c>
      <c r="G1088">
        <v>2.5150000000000001</v>
      </c>
    </row>
    <row r="1089" spans="1:7" x14ac:dyDescent="0.2">
      <c r="A1089">
        <f t="shared" ref="A1089:A1152" si="17">1000*B1089+C1089</f>
        <v>57037</v>
      </c>
      <c r="B1089">
        <v>57</v>
      </c>
      <c r="C1089">
        <v>37</v>
      </c>
      <c r="D1089">
        <v>94</v>
      </c>
      <c r="E1089" t="s">
        <v>35</v>
      </c>
      <c r="F1089">
        <v>-68562.785000000003</v>
      </c>
      <c r="G1089">
        <v>2.0289999999999999</v>
      </c>
    </row>
    <row r="1090" spans="1:7" x14ac:dyDescent="0.2">
      <c r="A1090">
        <f t="shared" si="17"/>
        <v>57038</v>
      </c>
      <c r="B1090">
        <v>57</v>
      </c>
      <c r="C1090">
        <v>38</v>
      </c>
      <c r="D1090">
        <v>95</v>
      </c>
      <c r="E1090" t="s">
        <v>36</v>
      </c>
      <c r="F1090">
        <v>-75119.551000000007</v>
      </c>
      <c r="G1090">
        <v>5.8120000000000003</v>
      </c>
    </row>
    <row r="1091" spans="1:7" x14ac:dyDescent="0.2">
      <c r="A1091">
        <f t="shared" si="17"/>
        <v>57039</v>
      </c>
      <c r="B1091">
        <v>57</v>
      </c>
      <c r="C1091">
        <v>39</v>
      </c>
      <c r="D1091">
        <v>96</v>
      </c>
      <c r="E1091" t="s">
        <v>37</v>
      </c>
      <c r="F1091">
        <v>-78335.895000000004</v>
      </c>
      <c r="G1091">
        <v>6.0880000000000001</v>
      </c>
    </row>
    <row r="1092" spans="1:7" x14ac:dyDescent="0.2">
      <c r="A1092">
        <f t="shared" si="17"/>
        <v>57040</v>
      </c>
      <c r="B1092">
        <v>57</v>
      </c>
      <c r="C1092">
        <v>40</v>
      </c>
      <c r="D1092">
        <v>97</v>
      </c>
      <c r="E1092" t="s">
        <v>38</v>
      </c>
      <c r="F1092">
        <v>-82942.660999999993</v>
      </c>
      <c r="G1092">
        <v>0.41399999999999998</v>
      </c>
    </row>
    <row r="1093" spans="1:7" x14ac:dyDescent="0.2">
      <c r="A1093">
        <f t="shared" si="17"/>
        <v>57041</v>
      </c>
      <c r="B1093">
        <v>57</v>
      </c>
      <c r="C1093">
        <v>41</v>
      </c>
      <c r="D1093">
        <v>98</v>
      </c>
      <c r="E1093" t="s">
        <v>39</v>
      </c>
      <c r="F1093">
        <v>-83524.597999999998</v>
      </c>
      <c r="G1093">
        <v>5.0010000000000003</v>
      </c>
    </row>
    <row r="1094" spans="1:7" x14ac:dyDescent="0.2">
      <c r="A1094">
        <f t="shared" si="17"/>
        <v>57042</v>
      </c>
      <c r="B1094">
        <v>57</v>
      </c>
      <c r="C1094">
        <v>42</v>
      </c>
      <c r="D1094">
        <v>99</v>
      </c>
      <c r="E1094" t="s">
        <v>40</v>
      </c>
      <c r="F1094">
        <v>-85970.097999999998</v>
      </c>
      <c r="G1094">
        <v>0.22900000000000001</v>
      </c>
    </row>
    <row r="1095" spans="1:7" x14ac:dyDescent="0.2">
      <c r="A1095">
        <f t="shared" si="17"/>
        <v>57043</v>
      </c>
      <c r="B1095">
        <v>57</v>
      </c>
      <c r="C1095">
        <v>43</v>
      </c>
      <c r="D1095">
        <v>100</v>
      </c>
      <c r="E1095" t="s">
        <v>41</v>
      </c>
      <c r="F1095">
        <v>-86020.945000000007</v>
      </c>
      <c r="G1095">
        <v>1.351</v>
      </c>
    </row>
    <row r="1096" spans="1:7" x14ac:dyDescent="0.2">
      <c r="A1096">
        <f t="shared" si="17"/>
        <v>57044</v>
      </c>
      <c r="B1096">
        <v>57</v>
      </c>
      <c r="C1096">
        <v>44</v>
      </c>
      <c r="D1096">
        <v>101</v>
      </c>
      <c r="E1096" t="s">
        <v>42</v>
      </c>
      <c r="F1096">
        <v>-87958.114000000001</v>
      </c>
      <c r="G1096">
        <v>0.41499999999999998</v>
      </c>
    </row>
    <row r="1097" spans="1:7" x14ac:dyDescent="0.2">
      <c r="A1097">
        <f t="shared" si="17"/>
        <v>57045</v>
      </c>
      <c r="B1097">
        <v>57</v>
      </c>
      <c r="C1097">
        <v>45</v>
      </c>
      <c r="D1097">
        <v>102</v>
      </c>
      <c r="E1097" t="s">
        <v>43</v>
      </c>
      <c r="F1097">
        <v>-86783.317999999999</v>
      </c>
      <c r="G1097">
        <v>6.41</v>
      </c>
    </row>
    <row r="1098" spans="1:7" x14ac:dyDescent="0.2">
      <c r="A1098">
        <f t="shared" si="17"/>
        <v>57046</v>
      </c>
      <c r="B1098">
        <v>57</v>
      </c>
      <c r="C1098">
        <v>46</v>
      </c>
      <c r="D1098">
        <v>103</v>
      </c>
      <c r="E1098" t="s">
        <v>44</v>
      </c>
      <c r="F1098">
        <v>-87457.188999999998</v>
      </c>
      <c r="G1098">
        <v>0.95</v>
      </c>
    </row>
    <row r="1099" spans="1:7" x14ac:dyDescent="0.2">
      <c r="A1099">
        <f t="shared" si="17"/>
        <v>57047</v>
      </c>
      <c r="B1099">
        <v>57</v>
      </c>
      <c r="C1099">
        <v>47</v>
      </c>
      <c r="D1099">
        <v>104</v>
      </c>
      <c r="E1099" t="s">
        <v>45</v>
      </c>
      <c r="F1099">
        <v>-85116.452000000005</v>
      </c>
      <c r="G1099">
        <v>4.2169999999999996</v>
      </c>
    </row>
    <row r="1100" spans="1:7" x14ac:dyDescent="0.2">
      <c r="A1100">
        <f t="shared" si="17"/>
        <v>57048</v>
      </c>
      <c r="B1100">
        <v>57</v>
      </c>
      <c r="C1100">
        <v>48</v>
      </c>
      <c r="D1100">
        <v>105</v>
      </c>
      <c r="E1100" t="s">
        <v>46</v>
      </c>
      <c r="F1100">
        <v>-84333.839000000007</v>
      </c>
      <c r="G1100">
        <v>1.3919999999999999</v>
      </c>
    </row>
    <row r="1101" spans="1:7" x14ac:dyDescent="0.2">
      <c r="A1101">
        <f t="shared" si="17"/>
        <v>57049</v>
      </c>
      <c r="B1101">
        <v>57</v>
      </c>
      <c r="C1101">
        <v>49</v>
      </c>
      <c r="D1101">
        <v>106</v>
      </c>
      <c r="E1101" t="s">
        <v>47</v>
      </c>
      <c r="F1101">
        <v>-80608.134000000005</v>
      </c>
      <c r="G1101">
        <v>12.226000000000001</v>
      </c>
    </row>
    <row r="1102" spans="1:7" x14ac:dyDescent="0.2">
      <c r="A1102">
        <f t="shared" si="17"/>
        <v>57050</v>
      </c>
      <c r="B1102">
        <v>57</v>
      </c>
      <c r="C1102">
        <v>50</v>
      </c>
      <c r="D1102">
        <v>107</v>
      </c>
      <c r="E1102" t="s">
        <v>48</v>
      </c>
      <c r="F1102">
        <v>-78512.228000000003</v>
      </c>
      <c r="G1102">
        <v>5.31</v>
      </c>
    </row>
    <row r="1103" spans="1:7" x14ac:dyDescent="0.2">
      <c r="A1103">
        <f t="shared" si="17"/>
        <v>57051</v>
      </c>
      <c r="B1103">
        <v>57</v>
      </c>
      <c r="C1103">
        <v>51</v>
      </c>
      <c r="D1103">
        <v>108</v>
      </c>
      <c r="E1103" t="s">
        <v>49</v>
      </c>
      <c r="F1103">
        <v>-72445.331000000006</v>
      </c>
      <c r="G1103">
        <v>5.4960000000000004</v>
      </c>
    </row>
    <row r="1104" spans="1:7" x14ac:dyDescent="0.2">
      <c r="A1104">
        <f t="shared" si="17"/>
        <v>57052</v>
      </c>
      <c r="B1104">
        <v>57</v>
      </c>
      <c r="C1104">
        <v>52</v>
      </c>
      <c r="D1104">
        <v>109</v>
      </c>
      <c r="E1104" t="s">
        <v>50</v>
      </c>
      <c r="F1104">
        <v>-67715.39</v>
      </c>
      <c r="G1104">
        <v>4.3819999999999997</v>
      </c>
    </row>
    <row r="1105" spans="1:7" x14ac:dyDescent="0.2">
      <c r="A1105">
        <f t="shared" si="17"/>
        <v>57053</v>
      </c>
      <c r="B1105">
        <v>57</v>
      </c>
      <c r="C1105">
        <v>53</v>
      </c>
      <c r="D1105">
        <v>110</v>
      </c>
      <c r="E1105" t="s">
        <v>51</v>
      </c>
      <c r="F1105">
        <v>-60464.175999999999</v>
      </c>
      <c r="G1105">
        <v>50.552</v>
      </c>
    </row>
    <row r="1106" spans="1:7" x14ac:dyDescent="0.2">
      <c r="A1106">
        <f t="shared" si="17"/>
        <v>57054</v>
      </c>
      <c r="B1106">
        <v>57</v>
      </c>
      <c r="C1106">
        <v>54</v>
      </c>
      <c r="D1106">
        <v>111</v>
      </c>
      <c r="E1106" t="s">
        <v>52</v>
      </c>
      <c r="F1106">
        <v>-54395.534</v>
      </c>
      <c r="G1106">
        <v>86.7</v>
      </c>
    </row>
    <row r="1107" spans="1:7" x14ac:dyDescent="0.2">
      <c r="A1107">
        <f t="shared" si="17"/>
        <v>57055</v>
      </c>
      <c r="B1107">
        <v>57</v>
      </c>
      <c r="C1107">
        <v>55</v>
      </c>
      <c r="D1107">
        <v>112</v>
      </c>
      <c r="E1107" t="s">
        <v>53</v>
      </c>
      <c r="F1107">
        <v>-46290.277000000002</v>
      </c>
      <c r="G1107">
        <v>86.796000000000006</v>
      </c>
    </row>
    <row r="1108" spans="1:7" x14ac:dyDescent="0.2">
      <c r="A1108">
        <f t="shared" si="17"/>
        <v>57056</v>
      </c>
      <c r="B1108">
        <v>57</v>
      </c>
      <c r="C1108">
        <v>56</v>
      </c>
      <c r="D1108">
        <v>113</v>
      </c>
      <c r="E1108" t="s">
        <v>54</v>
      </c>
      <c r="F1108" t="s">
        <v>910</v>
      </c>
      <c r="G1108" t="s">
        <v>202</v>
      </c>
    </row>
    <row r="1109" spans="1:7" x14ac:dyDescent="0.2">
      <c r="A1109">
        <f t="shared" si="17"/>
        <v>58032</v>
      </c>
      <c r="B1109">
        <v>58</v>
      </c>
      <c r="C1109">
        <v>32</v>
      </c>
      <c r="D1109">
        <v>90</v>
      </c>
      <c r="E1109" t="s">
        <v>30</v>
      </c>
      <c r="F1109" t="s">
        <v>849</v>
      </c>
      <c r="G1109" t="s">
        <v>245</v>
      </c>
    </row>
    <row r="1110" spans="1:7" x14ac:dyDescent="0.2">
      <c r="A1110">
        <f t="shared" si="17"/>
        <v>58033</v>
      </c>
      <c r="B1110">
        <v>58</v>
      </c>
      <c r="C1110">
        <v>33</v>
      </c>
      <c r="D1110">
        <v>91</v>
      </c>
      <c r="E1110" t="s">
        <v>31</v>
      </c>
      <c r="F1110" t="s">
        <v>853</v>
      </c>
      <c r="G1110" t="s">
        <v>197</v>
      </c>
    </row>
    <row r="1111" spans="1:7" x14ac:dyDescent="0.2">
      <c r="A1111">
        <f t="shared" si="17"/>
        <v>58034</v>
      </c>
      <c r="B1111">
        <v>58</v>
      </c>
      <c r="C1111">
        <v>34</v>
      </c>
      <c r="D1111">
        <v>92</v>
      </c>
      <c r="E1111" t="s">
        <v>32</v>
      </c>
      <c r="F1111" t="s">
        <v>858</v>
      </c>
      <c r="G1111" t="s">
        <v>197</v>
      </c>
    </row>
    <row r="1112" spans="1:7" x14ac:dyDescent="0.2">
      <c r="A1112">
        <f t="shared" si="17"/>
        <v>58035</v>
      </c>
      <c r="B1112">
        <v>58</v>
      </c>
      <c r="C1112">
        <v>35</v>
      </c>
      <c r="D1112">
        <v>93</v>
      </c>
      <c r="E1112" t="s">
        <v>33</v>
      </c>
      <c r="F1112">
        <v>-52890.23</v>
      </c>
      <c r="G1112">
        <v>430.81599999999997</v>
      </c>
    </row>
    <row r="1113" spans="1:7" x14ac:dyDescent="0.2">
      <c r="A1113">
        <f t="shared" si="17"/>
        <v>58036</v>
      </c>
      <c r="B1113">
        <v>58</v>
      </c>
      <c r="C1113">
        <v>36</v>
      </c>
      <c r="D1113">
        <v>94</v>
      </c>
      <c r="E1113" t="s">
        <v>34</v>
      </c>
      <c r="F1113">
        <v>-61347.771999999997</v>
      </c>
      <c r="G1113">
        <v>12.109</v>
      </c>
    </row>
    <row r="1114" spans="1:7" x14ac:dyDescent="0.2">
      <c r="A1114">
        <f t="shared" si="17"/>
        <v>58037</v>
      </c>
      <c r="B1114">
        <v>58</v>
      </c>
      <c r="C1114">
        <v>37</v>
      </c>
      <c r="D1114">
        <v>95</v>
      </c>
      <c r="E1114" t="s">
        <v>35</v>
      </c>
      <c r="F1114">
        <v>-65891.493000000002</v>
      </c>
      <c r="G1114">
        <v>20.245000000000001</v>
      </c>
    </row>
    <row r="1115" spans="1:7" x14ac:dyDescent="0.2">
      <c r="A1115">
        <f t="shared" si="17"/>
        <v>58038</v>
      </c>
      <c r="B1115">
        <v>58</v>
      </c>
      <c r="C1115">
        <v>38</v>
      </c>
      <c r="D1115">
        <v>96</v>
      </c>
      <c r="E1115" t="s">
        <v>36</v>
      </c>
      <c r="F1115">
        <v>-72924.157000000007</v>
      </c>
      <c r="G1115">
        <v>8.4749999999999996</v>
      </c>
    </row>
    <row r="1116" spans="1:7" x14ac:dyDescent="0.2">
      <c r="A1116">
        <f t="shared" si="17"/>
        <v>58039</v>
      </c>
      <c r="B1116">
        <v>58</v>
      </c>
      <c r="C1116">
        <v>39</v>
      </c>
      <c r="D1116">
        <v>97</v>
      </c>
      <c r="E1116" t="s">
        <v>37</v>
      </c>
      <c r="F1116">
        <v>-76121.423999999999</v>
      </c>
      <c r="G1116">
        <v>6.7190000000000003</v>
      </c>
    </row>
    <row r="1117" spans="1:7" x14ac:dyDescent="0.2">
      <c r="A1117">
        <f t="shared" si="17"/>
        <v>58040</v>
      </c>
      <c r="B1117">
        <v>58</v>
      </c>
      <c r="C1117">
        <v>40</v>
      </c>
      <c r="D1117">
        <v>98</v>
      </c>
      <c r="E1117" t="s">
        <v>38</v>
      </c>
      <c r="F1117">
        <v>-81286.709000000003</v>
      </c>
      <c r="G1117">
        <v>8.4510000000000005</v>
      </c>
    </row>
    <row r="1118" spans="1:7" x14ac:dyDescent="0.2">
      <c r="A1118">
        <f t="shared" si="17"/>
        <v>58041</v>
      </c>
      <c r="B1118">
        <v>58</v>
      </c>
      <c r="C1118">
        <v>41</v>
      </c>
      <c r="D1118">
        <v>99</v>
      </c>
      <c r="E1118" t="s">
        <v>39</v>
      </c>
      <c r="F1118">
        <v>-82335.341</v>
      </c>
      <c r="G1118">
        <v>12.004</v>
      </c>
    </row>
    <row r="1119" spans="1:7" x14ac:dyDescent="0.2">
      <c r="A1119">
        <f t="shared" si="17"/>
        <v>58042</v>
      </c>
      <c r="B1119">
        <v>58</v>
      </c>
      <c r="C1119">
        <v>42</v>
      </c>
      <c r="D1119">
        <v>100</v>
      </c>
      <c r="E1119" t="s">
        <v>40</v>
      </c>
      <c r="F1119">
        <v>-86193.024999999994</v>
      </c>
      <c r="G1119">
        <v>0.30199999999999999</v>
      </c>
    </row>
    <row r="1120" spans="1:7" x14ac:dyDescent="0.2">
      <c r="A1120">
        <f t="shared" si="17"/>
        <v>58043</v>
      </c>
      <c r="B1120">
        <v>58</v>
      </c>
      <c r="C1120">
        <v>43</v>
      </c>
      <c r="D1120">
        <v>101</v>
      </c>
      <c r="E1120" t="s">
        <v>41</v>
      </c>
      <c r="F1120">
        <v>-86344.593999999997</v>
      </c>
      <c r="G1120">
        <v>24.004000000000001</v>
      </c>
    </row>
    <row r="1121" spans="1:7" x14ac:dyDescent="0.2">
      <c r="A1121">
        <f t="shared" si="17"/>
        <v>58044</v>
      </c>
      <c r="B1121">
        <v>58</v>
      </c>
      <c r="C1121">
        <v>44</v>
      </c>
      <c r="D1121">
        <v>102</v>
      </c>
      <c r="E1121" t="s">
        <v>42</v>
      </c>
      <c r="F1121">
        <v>-89106.437000000005</v>
      </c>
      <c r="G1121">
        <v>0.41799999999999998</v>
      </c>
    </row>
    <row r="1122" spans="1:7" x14ac:dyDescent="0.2">
      <c r="A1122">
        <f t="shared" si="17"/>
        <v>58045</v>
      </c>
      <c r="B1122">
        <v>58</v>
      </c>
      <c r="C1122">
        <v>45</v>
      </c>
      <c r="D1122">
        <v>103</v>
      </c>
      <c r="E1122" t="s">
        <v>43</v>
      </c>
      <c r="F1122">
        <v>-88031.707999999999</v>
      </c>
      <c r="G1122">
        <v>2.3010000000000002</v>
      </c>
    </row>
    <row r="1123" spans="1:7" x14ac:dyDescent="0.2">
      <c r="A1123">
        <f t="shared" si="17"/>
        <v>58046</v>
      </c>
      <c r="B1123">
        <v>58</v>
      </c>
      <c r="C1123">
        <v>46</v>
      </c>
      <c r="D1123">
        <v>104</v>
      </c>
      <c r="E1123" t="s">
        <v>44</v>
      </c>
      <c r="F1123">
        <v>-89395.104999999996</v>
      </c>
      <c r="G1123">
        <v>1.3360000000000001</v>
      </c>
    </row>
    <row r="1124" spans="1:7" x14ac:dyDescent="0.2">
      <c r="A1124">
        <f t="shared" si="17"/>
        <v>58047</v>
      </c>
      <c r="B1124">
        <v>58</v>
      </c>
      <c r="C1124">
        <v>47</v>
      </c>
      <c r="D1124">
        <v>105</v>
      </c>
      <c r="E1124" t="s">
        <v>45</v>
      </c>
      <c r="F1124">
        <v>-87070.835999999996</v>
      </c>
      <c r="G1124">
        <v>4.5439999999999996</v>
      </c>
    </row>
    <row r="1125" spans="1:7" x14ac:dyDescent="0.2">
      <c r="A1125">
        <f t="shared" si="17"/>
        <v>58048</v>
      </c>
      <c r="B1125">
        <v>58</v>
      </c>
      <c r="C1125">
        <v>48</v>
      </c>
      <c r="D1125">
        <v>106</v>
      </c>
      <c r="E1125" t="s">
        <v>46</v>
      </c>
      <c r="F1125">
        <v>-87132.138000000006</v>
      </c>
      <c r="G1125">
        <v>1.1040000000000001</v>
      </c>
    </row>
    <row r="1126" spans="1:7" x14ac:dyDescent="0.2">
      <c r="A1126">
        <f t="shared" si="17"/>
        <v>58049</v>
      </c>
      <c r="B1126">
        <v>58</v>
      </c>
      <c r="C1126">
        <v>49</v>
      </c>
      <c r="D1126">
        <v>107</v>
      </c>
      <c r="E1126" t="s">
        <v>47</v>
      </c>
      <c r="F1126">
        <v>-83564.260999999999</v>
      </c>
      <c r="G1126">
        <v>11.125</v>
      </c>
    </row>
    <row r="1127" spans="1:7" x14ac:dyDescent="0.2">
      <c r="A1127">
        <f t="shared" si="17"/>
        <v>58050</v>
      </c>
      <c r="B1127">
        <v>58</v>
      </c>
      <c r="C1127">
        <v>50</v>
      </c>
      <c r="D1127">
        <v>108</v>
      </c>
      <c r="E1127" t="s">
        <v>48</v>
      </c>
      <c r="F1127">
        <v>-82069.937999999995</v>
      </c>
      <c r="G1127">
        <v>5.3819999999999997</v>
      </c>
    </row>
    <row r="1128" spans="1:7" x14ac:dyDescent="0.2">
      <c r="A1128">
        <f t="shared" si="17"/>
        <v>58051</v>
      </c>
      <c r="B1128">
        <v>58</v>
      </c>
      <c r="C1128">
        <v>51</v>
      </c>
      <c r="D1128">
        <v>109</v>
      </c>
      <c r="E1128" t="s">
        <v>49</v>
      </c>
      <c r="F1128">
        <v>-76250.976999999999</v>
      </c>
      <c r="G1128">
        <v>5.2649999999999997</v>
      </c>
    </row>
    <row r="1129" spans="1:7" x14ac:dyDescent="0.2">
      <c r="A1129">
        <f t="shared" si="17"/>
        <v>58052</v>
      </c>
      <c r="B1129">
        <v>58</v>
      </c>
      <c r="C1129">
        <v>52</v>
      </c>
      <c r="D1129">
        <v>110</v>
      </c>
      <c r="E1129" t="s">
        <v>50</v>
      </c>
      <c r="F1129">
        <v>-72229.811000000002</v>
      </c>
      <c r="G1129">
        <v>6.5750000000000002</v>
      </c>
    </row>
    <row r="1130" spans="1:7" x14ac:dyDescent="0.2">
      <c r="A1130">
        <f t="shared" si="17"/>
        <v>58053</v>
      </c>
      <c r="B1130">
        <v>58</v>
      </c>
      <c r="C1130">
        <v>53</v>
      </c>
      <c r="D1130">
        <v>111</v>
      </c>
      <c r="E1130" t="s">
        <v>51</v>
      </c>
      <c r="F1130">
        <v>-64953.785000000003</v>
      </c>
      <c r="G1130">
        <v>4.7539999999999996</v>
      </c>
    </row>
    <row r="1131" spans="1:7" x14ac:dyDescent="0.2">
      <c r="A1131">
        <f t="shared" si="17"/>
        <v>58054</v>
      </c>
      <c r="B1131">
        <v>58</v>
      </c>
      <c r="C1131">
        <v>54</v>
      </c>
      <c r="D1131">
        <v>112</v>
      </c>
      <c r="E1131" t="s">
        <v>52</v>
      </c>
      <c r="F1131">
        <v>-60026.338000000003</v>
      </c>
      <c r="G1131">
        <v>8.2829999999999995</v>
      </c>
    </row>
    <row r="1132" spans="1:7" x14ac:dyDescent="0.2">
      <c r="A1132">
        <f t="shared" si="17"/>
        <v>58055</v>
      </c>
      <c r="B1132">
        <v>58</v>
      </c>
      <c r="C1132">
        <v>55</v>
      </c>
      <c r="D1132">
        <v>113</v>
      </c>
      <c r="E1132" t="s">
        <v>53</v>
      </c>
      <c r="F1132">
        <v>-51764.53</v>
      </c>
      <c r="G1132">
        <v>8.577</v>
      </c>
    </row>
    <row r="1133" spans="1:7" x14ac:dyDescent="0.2">
      <c r="A1133">
        <f t="shared" si="17"/>
        <v>58056</v>
      </c>
      <c r="B1133">
        <v>58</v>
      </c>
      <c r="C1133">
        <v>56</v>
      </c>
      <c r="D1133">
        <v>114</v>
      </c>
      <c r="E1133" t="s">
        <v>54</v>
      </c>
      <c r="F1133">
        <v>-45905.425999999999</v>
      </c>
      <c r="G1133">
        <v>102.676</v>
      </c>
    </row>
    <row r="1134" spans="1:7" x14ac:dyDescent="0.2">
      <c r="A1134">
        <f t="shared" si="17"/>
        <v>59033</v>
      </c>
      <c r="B1134">
        <v>59</v>
      </c>
      <c r="C1134">
        <v>33</v>
      </c>
      <c r="D1134">
        <v>92</v>
      </c>
      <c r="E1134" t="s">
        <v>31</v>
      </c>
      <c r="F1134" t="s">
        <v>857</v>
      </c>
      <c r="G1134" t="s">
        <v>245</v>
      </c>
    </row>
    <row r="1135" spans="1:7" x14ac:dyDescent="0.2">
      <c r="A1135">
        <f t="shared" si="17"/>
        <v>59034</v>
      </c>
      <c r="B1135">
        <v>59</v>
      </c>
      <c r="C1135">
        <v>34</v>
      </c>
      <c r="D1135">
        <v>93</v>
      </c>
      <c r="E1135" t="s">
        <v>32</v>
      </c>
      <c r="F1135" t="s">
        <v>861</v>
      </c>
      <c r="G1135" t="s">
        <v>197</v>
      </c>
    </row>
    <row r="1136" spans="1:7" x14ac:dyDescent="0.2">
      <c r="A1136">
        <f t="shared" si="17"/>
        <v>59035</v>
      </c>
      <c r="B1136">
        <v>59</v>
      </c>
      <c r="C1136">
        <v>35</v>
      </c>
      <c r="D1136">
        <v>94</v>
      </c>
      <c r="E1136" t="s">
        <v>33</v>
      </c>
      <c r="F1136" t="s">
        <v>865</v>
      </c>
      <c r="G1136" t="s">
        <v>235</v>
      </c>
    </row>
    <row r="1137" spans="1:7" x14ac:dyDescent="0.2">
      <c r="A1137">
        <f t="shared" si="17"/>
        <v>59036</v>
      </c>
      <c r="B1137">
        <v>59</v>
      </c>
      <c r="C1137">
        <v>36</v>
      </c>
      <c r="D1137">
        <v>95</v>
      </c>
      <c r="E1137" t="s">
        <v>34</v>
      </c>
      <c r="F1137">
        <v>-56158.913</v>
      </c>
      <c r="G1137">
        <v>18.63</v>
      </c>
    </row>
    <row r="1138" spans="1:7" x14ac:dyDescent="0.2">
      <c r="A1138">
        <f t="shared" si="17"/>
        <v>59037</v>
      </c>
      <c r="B1138">
        <v>59</v>
      </c>
      <c r="C1138">
        <v>37</v>
      </c>
      <c r="D1138">
        <v>96</v>
      </c>
      <c r="E1138" t="s">
        <v>35</v>
      </c>
      <c r="F1138">
        <v>-61354.349000000002</v>
      </c>
      <c r="G1138">
        <v>3.3530000000000002</v>
      </c>
    </row>
    <row r="1139" spans="1:7" x14ac:dyDescent="0.2">
      <c r="A1139">
        <f t="shared" si="17"/>
        <v>59038</v>
      </c>
      <c r="B1139">
        <v>59</v>
      </c>
      <c r="C1139">
        <v>38</v>
      </c>
      <c r="D1139">
        <v>97</v>
      </c>
      <c r="E1139" t="s">
        <v>36</v>
      </c>
      <c r="F1139">
        <v>-68581.453999999998</v>
      </c>
      <c r="G1139">
        <v>3.3849999999999998</v>
      </c>
    </row>
    <row r="1140" spans="1:7" x14ac:dyDescent="0.2">
      <c r="A1140">
        <f t="shared" si="17"/>
        <v>59039</v>
      </c>
      <c r="B1140">
        <v>59</v>
      </c>
      <c r="C1140">
        <v>39</v>
      </c>
      <c r="D1140">
        <v>98</v>
      </c>
      <c r="E1140" t="s">
        <v>878</v>
      </c>
      <c r="F1140">
        <v>-72294.777000000002</v>
      </c>
      <c r="G1140">
        <v>7.9290000000000003</v>
      </c>
    </row>
    <row r="1141" spans="1:7" x14ac:dyDescent="0.2">
      <c r="A1141">
        <f t="shared" si="17"/>
        <v>59040</v>
      </c>
      <c r="B1141">
        <v>59</v>
      </c>
      <c r="C1141">
        <v>40</v>
      </c>
      <c r="D1141">
        <v>99</v>
      </c>
      <c r="E1141" t="s">
        <v>38</v>
      </c>
      <c r="F1141">
        <v>-77620.616999999998</v>
      </c>
      <c r="G1141">
        <v>10.502000000000001</v>
      </c>
    </row>
    <row r="1142" spans="1:7" x14ac:dyDescent="0.2">
      <c r="A1142">
        <f t="shared" si="17"/>
        <v>59041</v>
      </c>
      <c r="B1142">
        <v>59</v>
      </c>
      <c r="C1142">
        <v>41</v>
      </c>
      <c r="D1142">
        <v>100</v>
      </c>
      <c r="E1142" t="s">
        <v>39</v>
      </c>
      <c r="F1142">
        <v>-79797.399000000005</v>
      </c>
      <c r="G1142">
        <v>7.9859999999999998</v>
      </c>
    </row>
    <row r="1143" spans="1:7" x14ac:dyDescent="0.2">
      <c r="A1143">
        <f t="shared" si="17"/>
        <v>59042</v>
      </c>
      <c r="B1143">
        <v>59</v>
      </c>
      <c r="C1143">
        <v>42</v>
      </c>
      <c r="D1143">
        <v>101</v>
      </c>
      <c r="E1143" t="s">
        <v>40</v>
      </c>
      <c r="F1143">
        <v>-83519.948999999993</v>
      </c>
      <c r="G1143">
        <v>0.309</v>
      </c>
    </row>
    <row r="1144" spans="1:7" x14ac:dyDescent="0.2">
      <c r="A1144">
        <f t="shared" si="17"/>
        <v>59043</v>
      </c>
      <c r="B1144">
        <v>59</v>
      </c>
      <c r="C1144">
        <v>43</v>
      </c>
      <c r="D1144">
        <v>102</v>
      </c>
      <c r="E1144" t="s">
        <v>41</v>
      </c>
      <c r="F1144">
        <v>-84572.877999999997</v>
      </c>
      <c r="G1144">
        <v>9.1660000000000004</v>
      </c>
    </row>
    <row r="1145" spans="1:7" x14ac:dyDescent="0.2">
      <c r="A1145">
        <f t="shared" si="17"/>
        <v>59044</v>
      </c>
      <c r="B1145">
        <v>59</v>
      </c>
      <c r="C1145">
        <v>44</v>
      </c>
      <c r="D1145">
        <v>103</v>
      </c>
      <c r="E1145" t="s">
        <v>42</v>
      </c>
      <c r="F1145">
        <v>-87267.171000000002</v>
      </c>
      <c r="G1145">
        <v>0.443</v>
      </c>
    </row>
    <row r="1146" spans="1:7" x14ac:dyDescent="0.2">
      <c r="A1146">
        <f t="shared" si="17"/>
        <v>59045</v>
      </c>
      <c r="B1146">
        <v>59</v>
      </c>
      <c r="C1146">
        <v>45</v>
      </c>
      <c r="D1146">
        <v>104</v>
      </c>
      <c r="E1146" t="s">
        <v>43</v>
      </c>
      <c r="F1146">
        <v>-86959.347999999998</v>
      </c>
      <c r="G1146">
        <v>2.3029999999999999</v>
      </c>
    </row>
    <row r="1147" spans="1:7" x14ac:dyDescent="0.2">
      <c r="A1147">
        <f t="shared" si="17"/>
        <v>59046</v>
      </c>
      <c r="B1147">
        <v>59</v>
      </c>
      <c r="C1147">
        <v>46</v>
      </c>
      <c r="D1147">
        <v>105</v>
      </c>
      <c r="E1147" t="s">
        <v>44</v>
      </c>
      <c r="F1147">
        <v>-88417.888000000006</v>
      </c>
      <c r="G1147">
        <v>1.1379999999999999</v>
      </c>
    </row>
    <row r="1148" spans="1:7" x14ac:dyDescent="0.2">
      <c r="A1148">
        <f t="shared" si="17"/>
        <v>59047</v>
      </c>
      <c r="B1148">
        <v>59</v>
      </c>
      <c r="C1148">
        <v>47</v>
      </c>
      <c r="D1148">
        <v>106</v>
      </c>
      <c r="E1148" t="s">
        <v>45</v>
      </c>
      <c r="F1148">
        <v>-86942.383000000002</v>
      </c>
      <c r="G1148">
        <v>3.016</v>
      </c>
    </row>
    <row r="1149" spans="1:7" x14ac:dyDescent="0.2">
      <c r="A1149">
        <f t="shared" si="17"/>
        <v>59048</v>
      </c>
      <c r="B1149">
        <v>59</v>
      </c>
      <c r="C1149">
        <v>48</v>
      </c>
      <c r="D1149">
        <v>107</v>
      </c>
      <c r="E1149" t="s">
        <v>46</v>
      </c>
      <c r="F1149">
        <v>-86990.260999999999</v>
      </c>
      <c r="G1149">
        <v>1.665</v>
      </c>
    </row>
    <row r="1150" spans="1:7" x14ac:dyDescent="0.2">
      <c r="A1150">
        <f t="shared" si="17"/>
        <v>59049</v>
      </c>
      <c r="B1150">
        <v>59</v>
      </c>
      <c r="C1150">
        <v>49</v>
      </c>
      <c r="D1150">
        <v>108</v>
      </c>
      <c r="E1150" t="s">
        <v>47</v>
      </c>
      <c r="F1150">
        <v>-84119.819000000003</v>
      </c>
      <c r="G1150">
        <v>8.641</v>
      </c>
    </row>
    <row r="1151" spans="1:7" x14ac:dyDescent="0.2">
      <c r="A1151">
        <f t="shared" si="17"/>
        <v>59050</v>
      </c>
      <c r="B1151">
        <v>59</v>
      </c>
      <c r="C1151">
        <v>50</v>
      </c>
      <c r="D1151">
        <v>109</v>
      </c>
      <c r="E1151" t="s">
        <v>48</v>
      </c>
      <c r="F1151">
        <v>-82630.183999999994</v>
      </c>
      <c r="G1151">
        <v>7.9489999999999998</v>
      </c>
    </row>
    <row r="1152" spans="1:7" x14ac:dyDescent="0.2">
      <c r="A1152">
        <f t="shared" si="17"/>
        <v>59051</v>
      </c>
      <c r="B1152">
        <v>59</v>
      </c>
      <c r="C1152">
        <v>51</v>
      </c>
      <c r="D1152">
        <v>110</v>
      </c>
      <c r="E1152" t="s">
        <v>49</v>
      </c>
      <c r="F1152">
        <v>-77449.733999999997</v>
      </c>
      <c r="G1152">
        <v>5.9619999999999997</v>
      </c>
    </row>
    <row r="1153" spans="1:7" x14ac:dyDescent="0.2">
      <c r="A1153">
        <f t="shared" ref="A1153:A1216" si="18">1000*B1153+C1153</f>
        <v>59052</v>
      </c>
      <c r="B1153">
        <v>59</v>
      </c>
      <c r="C1153">
        <v>52</v>
      </c>
      <c r="D1153">
        <v>111</v>
      </c>
      <c r="E1153" t="s">
        <v>50</v>
      </c>
      <c r="F1153">
        <v>-73587.476999999999</v>
      </c>
      <c r="G1153">
        <v>6.4269999999999996</v>
      </c>
    </row>
    <row r="1154" spans="1:7" x14ac:dyDescent="0.2">
      <c r="A1154">
        <f t="shared" si="18"/>
        <v>59053</v>
      </c>
      <c r="B1154">
        <v>59</v>
      </c>
      <c r="C1154">
        <v>53</v>
      </c>
      <c r="D1154">
        <v>112</v>
      </c>
      <c r="E1154" t="s">
        <v>51</v>
      </c>
      <c r="F1154">
        <v>-67063.33</v>
      </c>
      <c r="G1154">
        <v>10.246</v>
      </c>
    </row>
    <row r="1155" spans="1:7" x14ac:dyDescent="0.2">
      <c r="A1155">
        <f t="shared" si="18"/>
        <v>59054</v>
      </c>
      <c r="B1155">
        <v>59</v>
      </c>
      <c r="C1155">
        <v>54</v>
      </c>
      <c r="D1155">
        <v>113</v>
      </c>
      <c r="E1155" t="s">
        <v>52</v>
      </c>
      <c r="F1155">
        <v>-62203.618000000002</v>
      </c>
      <c r="G1155">
        <v>6.84</v>
      </c>
    </row>
    <row r="1156" spans="1:7" x14ac:dyDescent="0.2">
      <c r="A1156">
        <f t="shared" si="18"/>
        <v>59055</v>
      </c>
      <c r="B1156">
        <v>59</v>
      </c>
      <c r="C1156">
        <v>55</v>
      </c>
      <c r="D1156">
        <v>114</v>
      </c>
      <c r="E1156" t="s">
        <v>53</v>
      </c>
      <c r="F1156">
        <v>-54682.260999999999</v>
      </c>
      <c r="G1156">
        <v>71.102000000000004</v>
      </c>
    </row>
    <row r="1157" spans="1:7" x14ac:dyDescent="0.2">
      <c r="A1157">
        <f t="shared" si="18"/>
        <v>59056</v>
      </c>
      <c r="B1157">
        <v>59</v>
      </c>
      <c r="C1157">
        <v>56</v>
      </c>
      <c r="D1157">
        <v>115</v>
      </c>
      <c r="E1157" t="s">
        <v>54</v>
      </c>
      <c r="F1157" t="s">
        <v>915</v>
      </c>
      <c r="G1157" t="s">
        <v>204</v>
      </c>
    </row>
    <row r="1158" spans="1:7" x14ac:dyDescent="0.2">
      <c r="A1158">
        <f t="shared" si="18"/>
        <v>59057</v>
      </c>
      <c r="B1158">
        <v>59</v>
      </c>
      <c r="C1158">
        <v>57</v>
      </c>
      <c r="D1158">
        <v>116</v>
      </c>
      <c r="E1158" t="s">
        <v>55</v>
      </c>
      <c r="F1158" t="s">
        <v>919</v>
      </c>
      <c r="G1158" t="s">
        <v>920</v>
      </c>
    </row>
    <row r="1159" spans="1:7" x14ac:dyDescent="0.2">
      <c r="A1159">
        <f t="shared" si="18"/>
        <v>60034</v>
      </c>
      <c r="B1159">
        <v>60</v>
      </c>
      <c r="C1159">
        <v>34</v>
      </c>
      <c r="D1159">
        <v>94</v>
      </c>
      <c r="E1159" t="s">
        <v>32</v>
      </c>
      <c r="F1159" t="s">
        <v>864</v>
      </c>
      <c r="G1159" t="s">
        <v>245</v>
      </c>
    </row>
    <row r="1160" spans="1:7" x14ac:dyDescent="0.2">
      <c r="A1160">
        <f t="shared" si="18"/>
        <v>60035</v>
      </c>
      <c r="B1160">
        <v>60</v>
      </c>
      <c r="C1160">
        <v>35</v>
      </c>
      <c r="D1160">
        <v>95</v>
      </c>
      <c r="E1160" t="s">
        <v>33</v>
      </c>
      <c r="F1160" t="s">
        <v>256</v>
      </c>
      <c r="G1160" t="s">
        <v>202</v>
      </c>
    </row>
    <row r="1161" spans="1:7" x14ac:dyDescent="0.2">
      <c r="A1161">
        <f t="shared" si="18"/>
        <v>60036</v>
      </c>
      <c r="B1161">
        <v>60</v>
      </c>
      <c r="C1161">
        <v>36</v>
      </c>
      <c r="D1161">
        <v>96</v>
      </c>
      <c r="E1161" t="s">
        <v>34</v>
      </c>
      <c r="F1161">
        <v>-53079.678</v>
      </c>
      <c r="G1161">
        <v>20.492999999999999</v>
      </c>
    </row>
    <row r="1162" spans="1:7" x14ac:dyDescent="0.2">
      <c r="A1162">
        <f t="shared" si="18"/>
        <v>60037</v>
      </c>
      <c r="B1162">
        <v>60</v>
      </c>
      <c r="C1162">
        <v>37</v>
      </c>
      <c r="D1162">
        <v>97</v>
      </c>
      <c r="E1162" t="s">
        <v>35</v>
      </c>
      <c r="F1162">
        <v>-58519.137000000002</v>
      </c>
      <c r="G1162">
        <v>1.9119999999999999</v>
      </c>
    </row>
    <row r="1163" spans="1:7" x14ac:dyDescent="0.2">
      <c r="A1163">
        <f t="shared" si="18"/>
        <v>60038</v>
      </c>
      <c r="B1163">
        <v>60</v>
      </c>
      <c r="C1163">
        <v>38</v>
      </c>
      <c r="D1163">
        <v>98</v>
      </c>
      <c r="E1163" t="s">
        <v>36</v>
      </c>
      <c r="F1163">
        <v>-66423.104000000007</v>
      </c>
      <c r="G1163">
        <v>3.226</v>
      </c>
    </row>
    <row r="1164" spans="1:7" x14ac:dyDescent="0.2">
      <c r="A1164">
        <f t="shared" si="18"/>
        <v>60039</v>
      </c>
      <c r="B1164">
        <v>60</v>
      </c>
      <c r="C1164">
        <v>39</v>
      </c>
      <c r="D1164">
        <v>99</v>
      </c>
      <c r="E1164" t="s">
        <v>37</v>
      </c>
      <c r="F1164">
        <v>-70649.824999999997</v>
      </c>
      <c r="G1164">
        <v>6.6269999999999998</v>
      </c>
    </row>
    <row r="1165" spans="1:7" x14ac:dyDescent="0.2">
      <c r="A1165">
        <f t="shared" si="18"/>
        <v>60040</v>
      </c>
      <c r="B1165">
        <v>60</v>
      </c>
      <c r="C1165">
        <v>40</v>
      </c>
      <c r="D1165">
        <v>100</v>
      </c>
      <c r="E1165" t="s">
        <v>38</v>
      </c>
      <c r="F1165">
        <v>-76377.437000000005</v>
      </c>
      <c r="G1165">
        <v>8.1489999999999991</v>
      </c>
    </row>
    <row r="1166" spans="1:7" x14ac:dyDescent="0.2">
      <c r="A1166">
        <f t="shared" si="18"/>
        <v>60041</v>
      </c>
      <c r="B1166">
        <v>60</v>
      </c>
      <c r="C1166">
        <v>41</v>
      </c>
      <c r="D1166">
        <v>101</v>
      </c>
      <c r="E1166" t="s">
        <v>39</v>
      </c>
      <c r="F1166">
        <v>-78891.490999999995</v>
      </c>
      <c r="G1166">
        <v>3.7490000000000001</v>
      </c>
    </row>
    <row r="1167" spans="1:7" x14ac:dyDescent="0.2">
      <c r="A1167">
        <f t="shared" si="18"/>
        <v>60042</v>
      </c>
      <c r="B1167">
        <v>60</v>
      </c>
      <c r="C1167">
        <v>42</v>
      </c>
      <c r="D1167">
        <v>102</v>
      </c>
      <c r="E1167" t="s">
        <v>40</v>
      </c>
      <c r="F1167">
        <v>-83566.061000000002</v>
      </c>
      <c r="G1167">
        <v>8.3119999999999994</v>
      </c>
    </row>
    <row r="1168" spans="1:7" x14ac:dyDescent="0.2">
      <c r="A1168">
        <f t="shared" si="18"/>
        <v>60043</v>
      </c>
      <c r="B1168">
        <v>60</v>
      </c>
      <c r="C1168">
        <v>43</v>
      </c>
      <c r="D1168">
        <v>103</v>
      </c>
      <c r="E1168" t="s">
        <v>41</v>
      </c>
      <c r="F1168">
        <v>-84603.866999999998</v>
      </c>
      <c r="G1168">
        <v>9.81</v>
      </c>
    </row>
    <row r="1169" spans="1:7" x14ac:dyDescent="0.2">
      <c r="A1169">
        <f t="shared" si="18"/>
        <v>60044</v>
      </c>
      <c r="B1169">
        <v>60</v>
      </c>
      <c r="C1169">
        <v>44</v>
      </c>
      <c r="D1169">
        <v>104</v>
      </c>
      <c r="E1169" t="s">
        <v>42</v>
      </c>
      <c r="F1169">
        <v>-88095.71</v>
      </c>
      <c r="G1169">
        <v>2.4980000000000002</v>
      </c>
    </row>
    <row r="1170" spans="1:7" x14ac:dyDescent="0.2">
      <c r="A1170">
        <f t="shared" si="18"/>
        <v>60045</v>
      </c>
      <c r="B1170">
        <v>60</v>
      </c>
      <c r="C1170">
        <v>45</v>
      </c>
      <c r="D1170">
        <v>105</v>
      </c>
      <c r="E1170" t="s">
        <v>43</v>
      </c>
      <c r="F1170">
        <v>-87851.243000000002</v>
      </c>
      <c r="G1170">
        <v>2.5019999999999998</v>
      </c>
    </row>
    <row r="1171" spans="1:7" x14ac:dyDescent="0.2">
      <c r="A1171">
        <f t="shared" si="18"/>
        <v>60046</v>
      </c>
      <c r="B1171">
        <v>60</v>
      </c>
      <c r="C1171">
        <v>46</v>
      </c>
      <c r="D1171">
        <v>106</v>
      </c>
      <c r="E1171" t="s">
        <v>44</v>
      </c>
      <c r="F1171">
        <v>-89907.527000000002</v>
      </c>
      <c r="G1171">
        <v>1.1060000000000001</v>
      </c>
    </row>
    <row r="1172" spans="1:7" x14ac:dyDescent="0.2">
      <c r="A1172">
        <f t="shared" si="18"/>
        <v>60047</v>
      </c>
      <c r="B1172">
        <v>60</v>
      </c>
      <c r="C1172">
        <v>47</v>
      </c>
      <c r="D1172">
        <v>107</v>
      </c>
      <c r="E1172" t="s">
        <v>45</v>
      </c>
      <c r="F1172">
        <v>-88406.67</v>
      </c>
      <c r="G1172">
        <v>2.3820000000000001</v>
      </c>
    </row>
    <row r="1173" spans="1:7" x14ac:dyDescent="0.2">
      <c r="A1173">
        <f t="shared" si="18"/>
        <v>60048</v>
      </c>
      <c r="B1173">
        <v>60</v>
      </c>
      <c r="C1173">
        <v>48</v>
      </c>
      <c r="D1173">
        <v>108</v>
      </c>
      <c r="E1173" t="s">
        <v>46</v>
      </c>
      <c r="F1173">
        <v>-89252.414000000004</v>
      </c>
      <c r="G1173">
        <v>1.123</v>
      </c>
    </row>
    <row r="1174" spans="1:7" x14ac:dyDescent="0.2">
      <c r="A1174">
        <f t="shared" si="18"/>
        <v>60049</v>
      </c>
      <c r="B1174">
        <v>60</v>
      </c>
      <c r="C1174">
        <v>49</v>
      </c>
      <c r="D1174">
        <v>109</v>
      </c>
      <c r="E1174" t="s">
        <v>47</v>
      </c>
      <c r="F1174">
        <v>-86489.510999999999</v>
      </c>
      <c r="G1174">
        <v>3.9689999999999999</v>
      </c>
    </row>
    <row r="1175" spans="1:7" x14ac:dyDescent="0.2">
      <c r="A1175">
        <f t="shared" si="18"/>
        <v>60050</v>
      </c>
      <c r="B1175">
        <v>60</v>
      </c>
      <c r="C1175">
        <v>50</v>
      </c>
      <c r="D1175">
        <v>110</v>
      </c>
      <c r="E1175" t="s">
        <v>48</v>
      </c>
      <c r="F1175">
        <v>-85841.982999999993</v>
      </c>
      <c r="G1175">
        <v>13.776999999999999</v>
      </c>
    </row>
    <row r="1176" spans="1:7" x14ac:dyDescent="0.2">
      <c r="A1176">
        <f t="shared" si="18"/>
        <v>60051</v>
      </c>
      <c r="B1176">
        <v>60</v>
      </c>
      <c r="C1176">
        <v>51</v>
      </c>
      <c r="D1176">
        <v>111</v>
      </c>
      <c r="E1176" t="s">
        <v>49</v>
      </c>
      <c r="F1176">
        <v>-80836.736000000004</v>
      </c>
      <c r="G1176">
        <v>8.8490000000000002</v>
      </c>
    </row>
    <row r="1177" spans="1:7" x14ac:dyDescent="0.2">
      <c r="A1177">
        <f t="shared" si="18"/>
        <v>60052</v>
      </c>
      <c r="B1177">
        <v>60</v>
      </c>
      <c r="C1177">
        <v>52</v>
      </c>
      <c r="D1177">
        <v>112</v>
      </c>
      <c r="E1177" t="s">
        <v>50</v>
      </c>
      <c r="F1177">
        <v>-77567.508000000002</v>
      </c>
      <c r="G1177">
        <v>8.3829999999999991</v>
      </c>
    </row>
    <row r="1178" spans="1:7" x14ac:dyDescent="0.2">
      <c r="A1178">
        <f t="shared" si="18"/>
        <v>60053</v>
      </c>
      <c r="B1178">
        <v>60</v>
      </c>
      <c r="C1178">
        <v>53</v>
      </c>
      <c r="D1178">
        <v>113</v>
      </c>
      <c r="E1178" t="s">
        <v>51</v>
      </c>
      <c r="F1178">
        <v>-71119.506999999998</v>
      </c>
      <c r="G1178">
        <v>8.0109999999999992</v>
      </c>
    </row>
    <row r="1179" spans="1:7" x14ac:dyDescent="0.2">
      <c r="A1179">
        <f t="shared" si="18"/>
        <v>60054</v>
      </c>
      <c r="B1179">
        <v>60</v>
      </c>
      <c r="C1179">
        <v>54</v>
      </c>
      <c r="D1179">
        <v>114</v>
      </c>
      <c r="E1179" t="s">
        <v>52</v>
      </c>
      <c r="F1179">
        <v>-67085.89</v>
      </c>
      <c r="G1179">
        <v>11.178000000000001</v>
      </c>
    </row>
    <row r="1180" spans="1:7" x14ac:dyDescent="0.2">
      <c r="A1180">
        <f t="shared" si="18"/>
        <v>60055</v>
      </c>
      <c r="B1180">
        <v>60</v>
      </c>
      <c r="C1180">
        <v>55</v>
      </c>
      <c r="D1180">
        <v>115</v>
      </c>
      <c r="E1180" t="s">
        <v>53</v>
      </c>
      <c r="F1180" t="s">
        <v>239</v>
      </c>
      <c r="G1180" t="s">
        <v>215</v>
      </c>
    </row>
    <row r="1181" spans="1:7" x14ac:dyDescent="0.2">
      <c r="A1181">
        <f t="shared" si="18"/>
        <v>60056</v>
      </c>
      <c r="B1181">
        <v>60</v>
      </c>
      <c r="C1181">
        <v>56</v>
      </c>
      <c r="D1181">
        <v>116</v>
      </c>
      <c r="E1181" t="s">
        <v>54</v>
      </c>
      <c r="F1181" t="s">
        <v>859</v>
      </c>
      <c r="G1181" t="s">
        <v>204</v>
      </c>
    </row>
    <row r="1182" spans="1:7" x14ac:dyDescent="0.2">
      <c r="A1182">
        <f t="shared" si="18"/>
        <v>60057</v>
      </c>
      <c r="B1182">
        <v>60</v>
      </c>
      <c r="C1182">
        <v>57</v>
      </c>
      <c r="D1182">
        <v>117</v>
      </c>
      <c r="E1182" t="s">
        <v>55</v>
      </c>
      <c r="F1182" t="s">
        <v>922</v>
      </c>
      <c r="G1182" t="s">
        <v>204</v>
      </c>
    </row>
    <row r="1183" spans="1:7" x14ac:dyDescent="0.2">
      <c r="A1183">
        <f t="shared" si="18"/>
        <v>61034</v>
      </c>
      <c r="B1183">
        <v>61</v>
      </c>
      <c r="C1183">
        <v>34</v>
      </c>
      <c r="D1183">
        <v>95</v>
      </c>
      <c r="E1183" t="s">
        <v>32</v>
      </c>
      <c r="F1183" t="s">
        <v>868</v>
      </c>
      <c r="G1183" t="s">
        <v>245</v>
      </c>
    </row>
    <row r="1184" spans="1:7" x14ac:dyDescent="0.2">
      <c r="A1184">
        <f t="shared" si="18"/>
        <v>61035</v>
      </c>
      <c r="B1184">
        <v>61</v>
      </c>
      <c r="C1184">
        <v>35</v>
      </c>
      <c r="D1184">
        <v>96</v>
      </c>
      <c r="E1184" t="s">
        <v>33</v>
      </c>
      <c r="F1184" t="s">
        <v>870</v>
      </c>
      <c r="G1184" t="s">
        <v>202</v>
      </c>
    </row>
    <row r="1185" spans="1:7" x14ac:dyDescent="0.2">
      <c r="A1185">
        <f t="shared" si="18"/>
        <v>61036</v>
      </c>
      <c r="B1185">
        <v>61</v>
      </c>
      <c r="C1185">
        <v>36</v>
      </c>
      <c r="D1185">
        <v>97</v>
      </c>
      <c r="E1185" t="s">
        <v>34</v>
      </c>
      <c r="F1185">
        <v>-47423.491999999998</v>
      </c>
      <c r="G1185">
        <v>130.40899999999999</v>
      </c>
    </row>
    <row r="1186" spans="1:7" x14ac:dyDescent="0.2">
      <c r="A1186">
        <f t="shared" si="18"/>
        <v>61037</v>
      </c>
      <c r="B1186">
        <v>61</v>
      </c>
      <c r="C1186">
        <v>37</v>
      </c>
      <c r="D1186">
        <v>98</v>
      </c>
      <c r="E1186" t="s">
        <v>35</v>
      </c>
      <c r="F1186">
        <v>-54369.146000000001</v>
      </c>
      <c r="G1186">
        <v>16.082999999999998</v>
      </c>
    </row>
    <row r="1187" spans="1:7" x14ac:dyDescent="0.2">
      <c r="A1187">
        <f t="shared" si="18"/>
        <v>61038</v>
      </c>
      <c r="B1187">
        <v>61</v>
      </c>
      <c r="C1187">
        <v>38</v>
      </c>
      <c r="D1187">
        <v>99</v>
      </c>
      <c r="E1187" t="s">
        <v>36</v>
      </c>
      <c r="F1187">
        <v>-62521.400999999998</v>
      </c>
      <c r="G1187">
        <v>4.7409999999999997</v>
      </c>
    </row>
    <row r="1188" spans="1:7" x14ac:dyDescent="0.2">
      <c r="A1188">
        <f t="shared" si="18"/>
        <v>61039</v>
      </c>
      <c r="B1188">
        <v>61</v>
      </c>
      <c r="C1188">
        <v>39</v>
      </c>
      <c r="D1188">
        <v>100</v>
      </c>
      <c r="E1188" t="s">
        <v>37</v>
      </c>
      <c r="F1188">
        <v>-67327.395999999993</v>
      </c>
      <c r="G1188">
        <v>11.186</v>
      </c>
    </row>
    <row r="1189" spans="1:7" x14ac:dyDescent="0.2">
      <c r="A1189">
        <f t="shared" si="18"/>
        <v>61040</v>
      </c>
      <c r="B1189">
        <v>61</v>
      </c>
      <c r="C1189">
        <v>40</v>
      </c>
      <c r="D1189">
        <v>101</v>
      </c>
      <c r="E1189" t="s">
        <v>38</v>
      </c>
      <c r="F1189">
        <v>-73165.956999999995</v>
      </c>
      <c r="G1189">
        <v>8.3390000000000004</v>
      </c>
    </row>
    <row r="1190" spans="1:7" x14ac:dyDescent="0.2">
      <c r="A1190">
        <f t="shared" si="18"/>
        <v>61041</v>
      </c>
      <c r="B1190">
        <v>61</v>
      </c>
      <c r="C1190">
        <v>41</v>
      </c>
      <c r="D1190">
        <v>102</v>
      </c>
      <c r="E1190" t="s">
        <v>39</v>
      </c>
      <c r="F1190">
        <v>-76304.543999999994</v>
      </c>
      <c r="G1190">
        <v>2.5449999999999999</v>
      </c>
    </row>
    <row r="1191" spans="1:7" x14ac:dyDescent="0.2">
      <c r="A1191">
        <f t="shared" si="18"/>
        <v>61042</v>
      </c>
      <c r="B1191">
        <v>61</v>
      </c>
      <c r="C1191">
        <v>42</v>
      </c>
      <c r="D1191">
        <v>103</v>
      </c>
      <c r="E1191" t="s">
        <v>40</v>
      </c>
      <c r="F1191">
        <v>-80960.67</v>
      </c>
      <c r="G1191">
        <v>9.2319999999999993</v>
      </c>
    </row>
    <row r="1192" spans="1:7" x14ac:dyDescent="0.2">
      <c r="A1192">
        <f t="shared" si="18"/>
        <v>61043</v>
      </c>
      <c r="B1192">
        <v>61</v>
      </c>
      <c r="C1192">
        <v>43</v>
      </c>
      <c r="D1192">
        <v>104</v>
      </c>
      <c r="E1192" t="s">
        <v>41</v>
      </c>
      <c r="F1192">
        <v>-82503.444000000003</v>
      </c>
      <c r="G1192">
        <v>24.888000000000002</v>
      </c>
    </row>
    <row r="1193" spans="1:7" x14ac:dyDescent="0.2">
      <c r="A1193">
        <f t="shared" si="18"/>
        <v>61044</v>
      </c>
      <c r="B1193">
        <v>61</v>
      </c>
      <c r="C1193">
        <v>44</v>
      </c>
      <c r="D1193">
        <v>105</v>
      </c>
      <c r="E1193" t="s">
        <v>42</v>
      </c>
      <c r="F1193">
        <v>-85934.49</v>
      </c>
      <c r="G1193">
        <v>2.4990000000000001</v>
      </c>
    </row>
    <row r="1194" spans="1:7" x14ac:dyDescent="0.2">
      <c r="A1194">
        <f t="shared" si="18"/>
        <v>61045</v>
      </c>
      <c r="B1194">
        <v>61</v>
      </c>
      <c r="C1194">
        <v>45</v>
      </c>
      <c r="D1194">
        <v>106</v>
      </c>
      <c r="E1194" t="s">
        <v>43</v>
      </c>
      <c r="F1194">
        <v>-86362.626999999993</v>
      </c>
      <c r="G1194">
        <v>5.39</v>
      </c>
    </row>
    <row r="1195" spans="1:7" x14ac:dyDescent="0.2">
      <c r="A1195">
        <f t="shared" si="18"/>
        <v>61046</v>
      </c>
      <c r="B1195">
        <v>61</v>
      </c>
      <c r="C1195">
        <v>46</v>
      </c>
      <c r="D1195">
        <v>107</v>
      </c>
      <c r="E1195" t="s">
        <v>44</v>
      </c>
      <c r="F1195">
        <v>-88372.638999999996</v>
      </c>
      <c r="G1195">
        <v>1.2010000000000001</v>
      </c>
    </row>
    <row r="1196" spans="1:7" x14ac:dyDescent="0.2">
      <c r="A1196">
        <f t="shared" si="18"/>
        <v>61047</v>
      </c>
      <c r="B1196">
        <v>61</v>
      </c>
      <c r="C1196">
        <v>47</v>
      </c>
      <c r="D1196">
        <v>108</v>
      </c>
      <c r="E1196" t="s">
        <v>45</v>
      </c>
      <c r="F1196">
        <v>-87606.763000000006</v>
      </c>
      <c r="G1196">
        <v>2.3879999999999999</v>
      </c>
    </row>
    <row r="1197" spans="1:7" x14ac:dyDescent="0.2">
      <c r="A1197">
        <f t="shared" si="18"/>
        <v>61048</v>
      </c>
      <c r="B1197">
        <v>61</v>
      </c>
      <c r="C1197">
        <v>48</v>
      </c>
      <c r="D1197">
        <v>109</v>
      </c>
      <c r="E1197" t="s">
        <v>46</v>
      </c>
      <c r="F1197">
        <v>-88504.320999999996</v>
      </c>
      <c r="G1197">
        <v>1.536</v>
      </c>
    </row>
    <row r="1198" spans="1:7" x14ac:dyDescent="0.2">
      <c r="A1198">
        <f t="shared" si="18"/>
        <v>61049</v>
      </c>
      <c r="B1198">
        <v>61</v>
      </c>
      <c r="C1198">
        <v>49</v>
      </c>
      <c r="D1198">
        <v>110</v>
      </c>
      <c r="E1198" t="s">
        <v>47</v>
      </c>
      <c r="F1198">
        <v>-86469.968999999997</v>
      </c>
      <c r="G1198">
        <v>11.553000000000001</v>
      </c>
    </row>
    <row r="1199" spans="1:7" x14ac:dyDescent="0.2">
      <c r="A1199">
        <f t="shared" si="18"/>
        <v>61050</v>
      </c>
      <c r="B1199">
        <v>61</v>
      </c>
      <c r="C1199">
        <v>50</v>
      </c>
      <c r="D1199">
        <v>111</v>
      </c>
      <c r="E1199" t="s">
        <v>48</v>
      </c>
      <c r="F1199">
        <v>-85938.587</v>
      </c>
      <c r="G1199">
        <v>5.3360000000000003</v>
      </c>
    </row>
    <row r="1200" spans="1:7" x14ac:dyDescent="0.2">
      <c r="A1200">
        <f t="shared" si="18"/>
        <v>61051</v>
      </c>
      <c r="B1200">
        <v>61</v>
      </c>
      <c r="C1200">
        <v>51</v>
      </c>
      <c r="D1200">
        <v>112</v>
      </c>
      <c r="E1200" t="s">
        <v>49</v>
      </c>
      <c r="F1200">
        <v>-81598.964999999997</v>
      </c>
      <c r="G1200">
        <v>17.829000000000001</v>
      </c>
    </row>
    <row r="1201" spans="1:7" x14ac:dyDescent="0.2">
      <c r="A1201">
        <f t="shared" si="18"/>
        <v>61052</v>
      </c>
      <c r="B1201">
        <v>61</v>
      </c>
      <c r="C1201">
        <v>52</v>
      </c>
      <c r="D1201">
        <v>113</v>
      </c>
      <c r="E1201" t="s">
        <v>50</v>
      </c>
      <c r="F1201">
        <v>-78347.028999999995</v>
      </c>
      <c r="G1201">
        <v>27.945</v>
      </c>
    </row>
    <row r="1202" spans="1:7" x14ac:dyDescent="0.2">
      <c r="A1202">
        <f t="shared" si="18"/>
        <v>61053</v>
      </c>
      <c r="B1202">
        <v>61</v>
      </c>
      <c r="C1202">
        <v>53</v>
      </c>
      <c r="D1202">
        <v>114</v>
      </c>
      <c r="E1202" t="s">
        <v>51</v>
      </c>
      <c r="F1202" t="s">
        <v>248</v>
      </c>
      <c r="G1202" t="s">
        <v>221</v>
      </c>
    </row>
    <row r="1203" spans="1:7" x14ac:dyDescent="0.2">
      <c r="A1203">
        <f t="shared" si="18"/>
        <v>61054</v>
      </c>
      <c r="B1203">
        <v>61</v>
      </c>
      <c r="C1203">
        <v>54</v>
      </c>
      <c r="D1203">
        <v>115</v>
      </c>
      <c r="E1203" t="s">
        <v>52</v>
      </c>
      <c r="F1203">
        <v>-68656.748000000007</v>
      </c>
      <c r="G1203">
        <v>12.109</v>
      </c>
    </row>
    <row r="1204" spans="1:7" x14ac:dyDescent="0.2">
      <c r="A1204">
        <f t="shared" si="18"/>
        <v>61055</v>
      </c>
      <c r="B1204">
        <v>61</v>
      </c>
      <c r="C1204">
        <v>55</v>
      </c>
      <c r="D1204">
        <v>116</v>
      </c>
      <c r="E1204" t="s">
        <v>53</v>
      </c>
      <c r="F1204" t="s">
        <v>918</v>
      </c>
      <c r="G1204" t="s">
        <v>795</v>
      </c>
    </row>
    <row r="1205" spans="1:7" x14ac:dyDescent="0.2">
      <c r="A1205">
        <f t="shared" si="18"/>
        <v>61056</v>
      </c>
      <c r="B1205">
        <v>61</v>
      </c>
      <c r="C1205">
        <v>56</v>
      </c>
      <c r="D1205">
        <v>117</v>
      </c>
      <c r="E1205" t="s">
        <v>54</v>
      </c>
      <c r="F1205">
        <v>-57457.752999999997</v>
      </c>
      <c r="G1205">
        <v>250.34</v>
      </c>
    </row>
    <row r="1206" spans="1:7" x14ac:dyDescent="0.2">
      <c r="A1206">
        <f t="shared" si="18"/>
        <v>61057</v>
      </c>
      <c r="B1206">
        <v>61</v>
      </c>
      <c r="C1206">
        <v>57</v>
      </c>
      <c r="D1206">
        <v>118</v>
      </c>
      <c r="E1206" t="s">
        <v>55</v>
      </c>
      <c r="F1206" t="s">
        <v>927</v>
      </c>
      <c r="G1206" t="s">
        <v>235</v>
      </c>
    </row>
    <row r="1207" spans="1:7" x14ac:dyDescent="0.2">
      <c r="A1207">
        <f t="shared" si="18"/>
        <v>61058</v>
      </c>
      <c r="B1207">
        <v>61</v>
      </c>
      <c r="C1207">
        <v>58</v>
      </c>
      <c r="D1207">
        <v>119</v>
      </c>
      <c r="E1207" t="s">
        <v>56</v>
      </c>
      <c r="F1207" t="s">
        <v>931</v>
      </c>
      <c r="G1207" t="s">
        <v>245</v>
      </c>
    </row>
    <row r="1208" spans="1:7" x14ac:dyDescent="0.2">
      <c r="A1208">
        <f t="shared" si="18"/>
        <v>62035</v>
      </c>
      <c r="B1208">
        <v>62</v>
      </c>
      <c r="C1208">
        <v>35</v>
      </c>
      <c r="D1208">
        <v>97</v>
      </c>
      <c r="E1208" t="s">
        <v>33</v>
      </c>
      <c r="F1208" t="s">
        <v>873</v>
      </c>
      <c r="G1208" t="s">
        <v>199</v>
      </c>
    </row>
    <row r="1209" spans="1:7" x14ac:dyDescent="0.2">
      <c r="A1209">
        <f t="shared" si="18"/>
        <v>62036</v>
      </c>
      <c r="B1209">
        <v>62</v>
      </c>
      <c r="C1209">
        <v>36</v>
      </c>
      <c r="D1209">
        <v>98</v>
      </c>
      <c r="E1209" t="s">
        <v>34</v>
      </c>
      <c r="F1209" t="s">
        <v>877</v>
      </c>
      <c r="G1209" t="s">
        <v>202</v>
      </c>
    </row>
    <row r="1210" spans="1:7" x14ac:dyDescent="0.2">
      <c r="A1210">
        <f t="shared" si="18"/>
        <v>62037</v>
      </c>
      <c r="B1210">
        <v>62</v>
      </c>
      <c r="C1210">
        <v>37</v>
      </c>
      <c r="D1210">
        <v>99</v>
      </c>
      <c r="E1210" t="s">
        <v>35</v>
      </c>
      <c r="F1210">
        <v>-51121.142999999996</v>
      </c>
      <c r="G1210">
        <v>4.0309999999999997</v>
      </c>
    </row>
    <row r="1211" spans="1:7" x14ac:dyDescent="0.2">
      <c r="A1211">
        <f t="shared" si="18"/>
        <v>62038</v>
      </c>
      <c r="B1211">
        <v>62</v>
      </c>
      <c r="C1211">
        <v>38</v>
      </c>
      <c r="D1211">
        <v>100</v>
      </c>
      <c r="E1211" t="s">
        <v>36</v>
      </c>
      <c r="F1211">
        <v>-59820.902999999998</v>
      </c>
      <c r="G1211">
        <v>7.16</v>
      </c>
    </row>
    <row r="1212" spans="1:7" x14ac:dyDescent="0.2">
      <c r="A1212">
        <f t="shared" si="18"/>
        <v>62039</v>
      </c>
      <c r="B1212">
        <v>62</v>
      </c>
      <c r="C1212">
        <v>39</v>
      </c>
      <c r="D1212">
        <v>101</v>
      </c>
      <c r="E1212" t="s">
        <v>37</v>
      </c>
      <c r="F1212">
        <v>-65061.002</v>
      </c>
      <c r="G1212">
        <v>7.0919999999999996</v>
      </c>
    </row>
    <row r="1213" spans="1:7" x14ac:dyDescent="0.2">
      <c r="A1213">
        <f t="shared" si="18"/>
        <v>62040</v>
      </c>
      <c r="B1213">
        <v>62</v>
      </c>
      <c r="C1213">
        <v>40</v>
      </c>
      <c r="D1213">
        <v>102</v>
      </c>
      <c r="E1213" t="s">
        <v>38</v>
      </c>
      <c r="F1213">
        <v>-71587.706999999995</v>
      </c>
      <c r="G1213">
        <v>8.7669999999999995</v>
      </c>
    </row>
    <row r="1214" spans="1:7" x14ac:dyDescent="0.2">
      <c r="A1214">
        <f t="shared" si="18"/>
        <v>62041</v>
      </c>
      <c r="B1214">
        <v>62</v>
      </c>
      <c r="C1214">
        <v>41</v>
      </c>
      <c r="D1214">
        <v>103</v>
      </c>
      <c r="E1214" t="s">
        <v>39</v>
      </c>
      <c r="F1214">
        <v>-75028.671000000002</v>
      </c>
      <c r="G1214">
        <v>3.9350000000000001</v>
      </c>
    </row>
    <row r="1215" spans="1:7" x14ac:dyDescent="0.2">
      <c r="A1215">
        <f t="shared" si="18"/>
        <v>62042</v>
      </c>
      <c r="B1215">
        <v>62</v>
      </c>
      <c r="C1215">
        <v>42</v>
      </c>
      <c r="D1215">
        <v>104</v>
      </c>
      <c r="E1215" t="s">
        <v>40</v>
      </c>
      <c r="F1215">
        <v>-80349.967999999993</v>
      </c>
      <c r="G1215">
        <v>8.9209999999999994</v>
      </c>
    </row>
    <row r="1216" spans="1:7" x14ac:dyDescent="0.2">
      <c r="A1216">
        <f t="shared" si="18"/>
        <v>62043</v>
      </c>
      <c r="B1216">
        <v>62</v>
      </c>
      <c r="C1216">
        <v>43</v>
      </c>
      <c r="D1216">
        <v>105</v>
      </c>
      <c r="E1216" t="s">
        <v>41</v>
      </c>
      <c r="F1216">
        <v>-82290.088000000003</v>
      </c>
      <c r="G1216">
        <v>35.264000000000003</v>
      </c>
    </row>
    <row r="1217" spans="1:7" x14ac:dyDescent="0.2">
      <c r="A1217">
        <f t="shared" ref="A1217:A1280" si="19">1000*B1217+C1217</f>
        <v>62044</v>
      </c>
      <c r="B1217">
        <v>62</v>
      </c>
      <c r="C1217">
        <v>44</v>
      </c>
      <c r="D1217">
        <v>106</v>
      </c>
      <c r="E1217" t="s">
        <v>42</v>
      </c>
      <c r="F1217">
        <v>-86323.222999999998</v>
      </c>
      <c r="G1217">
        <v>5.391</v>
      </c>
    </row>
    <row r="1218" spans="1:7" x14ac:dyDescent="0.2">
      <c r="A1218">
        <f t="shared" si="19"/>
        <v>62045</v>
      </c>
      <c r="B1218">
        <v>62</v>
      </c>
      <c r="C1218">
        <v>45</v>
      </c>
      <c r="D1218">
        <v>107</v>
      </c>
      <c r="E1218" t="s">
        <v>43</v>
      </c>
      <c r="F1218">
        <v>-86863.702999999994</v>
      </c>
      <c r="G1218">
        <v>12.051</v>
      </c>
    </row>
    <row r="1219" spans="1:7" x14ac:dyDescent="0.2">
      <c r="A1219">
        <f t="shared" si="19"/>
        <v>62046</v>
      </c>
      <c r="B1219">
        <v>62</v>
      </c>
      <c r="C1219">
        <v>46</v>
      </c>
      <c r="D1219">
        <v>108</v>
      </c>
      <c r="E1219" t="s">
        <v>44</v>
      </c>
      <c r="F1219">
        <v>-89524.206000000006</v>
      </c>
      <c r="G1219">
        <v>1.1080000000000001</v>
      </c>
    </row>
    <row r="1220" spans="1:7" x14ac:dyDescent="0.2">
      <c r="A1220">
        <f t="shared" si="19"/>
        <v>62047</v>
      </c>
      <c r="B1220">
        <v>62</v>
      </c>
      <c r="C1220">
        <v>47</v>
      </c>
      <c r="D1220">
        <v>109</v>
      </c>
      <c r="E1220" t="s">
        <v>45</v>
      </c>
      <c r="F1220">
        <v>-88719.426000000007</v>
      </c>
      <c r="G1220">
        <v>1.2869999999999999</v>
      </c>
    </row>
    <row r="1221" spans="1:7" x14ac:dyDescent="0.2">
      <c r="A1221">
        <f t="shared" si="19"/>
        <v>62048</v>
      </c>
      <c r="B1221">
        <v>62</v>
      </c>
      <c r="C1221">
        <v>48</v>
      </c>
      <c r="D1221">
        <v>110</v>
      </c>
      <c r="E1221" t="s">
        <v>46</v>
      </c>
      <c r="F1221">
        <v>-90347.968999999997</v>
      </c>
      <c r="G1221">
        <v>0.38</v>
      </c>
    </row>
    <row r="1222" spans="1:7" x14ac:dyDescent="0.2">
      <c r="A1222">
        <f t="shared" si="19"/>
        <v>62049</v>
      </c>
      <c r="B1222">
        <v>62</v>
      </c>
      <c r="C1222">
        <v>49</v>
      </c>
      <c r="D1222">
        <v>111</v>
      </c>
      <c r="E1222" t="s">
        <v>47</v>
      </c>
      <c r="F1222">
        <v>-88392.043000000005</v>
      </c>
      <c r="G1222">
        <v>3.4239999999999999</v>
      </c>
    </row>
    <row r="1223" spans="1:7" x14ac:dyDescent="0.2">
      <c r="A1223">
        <f t="shared" si="19"/>
        <v>62050</v>
      </c>
      <c r="B1223">
        <v>62</v>
      </c>
      <c r="C1223">
        <v>50</v>
      </c>
      <c r="D1223">
        <v>112</v>
      </c>
      <c r="E1223" t="s">
        <v>48</v>
      </c>
      <c r="F1223">
        <v>-88655.055999999997</v>
      </c>
      <c r="G1223">
        <v>0.29399999999999998</v>
      </c>
    </row>
    <row r="1224" spans="1:7" x14ac:dyDescent="0.2">
      <c r="A1224">
        <f t="shared" si="19"/>
        <v>62051</v>
      </c>
      <c r="B1224">
        <v>62</v>
      </c>
      <c r="C1224">
        <v>51</v>
      </c>
      <c r="D1224">
        <v>113</v>
      </c>
      <c r="E1224" t="s">
        <v>49</v>
      </c>
      <c r="F1224">
        <v>-84416.967999999993</v>
      </c>
      <c r="G1224">
        <v>17.193000000000001</v>
      </c>
    </row>
    <row r="1225" spans="1:7" x14ac:dyDescent="0.2">
      <c r="A1225">
        <f t="shared" si="19"/>
        <v>62052</v>
      </c>
      <c r="B1225">
        <v>62</v>
      </c>
      <c r="C1225">
        <v>52</v>
      </c>
      <c r="D1225">
        <v>114</v>
      </c>
      <c r="E1225" t="s">
        <v>50</v>
      </c>
      <c r="F1225">
        <v>-81888.569000000003</v>
      </c>
      <c r="G1225">
        <v>27.945</v>
      </c>
    </row>
    <row r="1226" spans="1:7" x14ac:dyDescent="0.2">
      <c r="A1226">
        <f t="shared" si="19"/>
        <v>62053</v>
      </c>
      <c r="B1226">
        <v>62</v>
      </c>
      <c r="C1226">
        <v>53</v>
      </c>
      <c r="D1226">
        <v>115</v>
      </c>
      <c r="E1226" t="s">
        <v>51</v>
      </c>
      <c r="F1226">
        <v>-76337.797000000006</v>
      </c>
      <c r="G1226">
        <v>28.876000000000001</v>
      </c>
    </row>
    <row r="1227" spans="1:7" x14ac:dyDescent="0.2">
      <c r="A1227">
        <f t="shared" si="19"/>
        <v>62054</v>
      </c>
      <c r="B1227">
        <v>62</v>
      </c>
      <c r="C1227">
        <v>54</v>
      </c>
      <c r="D1227">
        <v>116</v>
      </c>
      <c r="E1227" t="s">
        <v>52</v>
      </c>
      <c r="F1227">
        <v>-73046.724000000002</v>
      </c>
      <c r="G1227">
        <v>13.041</v>
      </c>
    </row>
    <row r="1228" spans="1:7" x14ac:dyDescent="0.2">
      <c r="A1228">
        <f t="shared" si="19"/>
        <v>62055</v>
      </c>
      <c r="B1228">
        <v>62</v>
      </c>
      <c r="C1228">
        <v>55</v>
      </c>
      <c r="D1228">
        <v>117</v>
      </c>
      <c r="E1228" t="s">
        <v>53</v>
      </c>
      <c r="F1228">
        <v>-66493.092000000004</v>
      </c>
      <c r="G1228">
        <v>62.41</v>
      </c>
    </row>
    <row r="1229" spans="1:7" x14ac:dyDescent="0.2">
      <c r="A1229">
        <f t="shared" si="19"/>
        <v>62056</v>
      </c>
      <c r="B1229">
        <v>62</v>
      </c>
      <c r="C1229">
        <v>56</v>
      </c>
      <c r="D1229">
        <v>118</v>
      </c>
      <c r="E1229" t="s">
        <v>54</v>
      </c>
      <c r="F1229" t="s">
        <v>926</v>
      </c>
      <c r="G1229" t="s">
        <v>206</v>
      </c>
    </row>
    <row r="1230" spans="1:7" x14ac:dyDescent="0.2">
      <c r="A1230">
        <f t="shared" si="19"/>
        <v>62057</v>
      </c>
      <c r="B1230">
        <v>62</v>
      </c>
      <c r="C1230">
        <v>57</v>
      </c>
      <c r="D1230">
        <v>119</v>
      </c>
      <c r="E1230" t="s">
        <v>55</v>
      </c>
      <c r="F1230" t="s">
        <v>930</v>
      </c>
      <c r="G1230" t="s">
        <v>235</v>
      </c>
    </row>
    <row r="1231" spans="1:7" x14ac:dyDescent="0.2">
      <c r="A1231">
        <f t="shared" si="19"/>
        <v>62058</v>
      </c>
      <c r="B1231">
        <v>62</v>
      </c>
      <c r="C1231">
        <v>58</v>
      </c>
      <c r="D1231">
        <v>120</v>
      </c>
      <c r="E1231" t="s">
        <v>56</v>
      </c>
      <c r="F1231" t="s">
        <v>936</v>
      </c>
      <c r="G1231" t="s">
        <v>245</v>
      </c>
    </row>
    <row r="1232" spans="1:7" x14ac:dyDescent="0.2">
      <c r="A1232">
        <f t="shared" si="19"/>
        <v>62059</v>
      </c>
      <c r="B1232">
        <v>62</v>
      </c>
      <c r="C1232">
        <v>59</v>
      </c>
      <c r="D1232">
        <v>121</v>
      </c>
      <c r="E1232" t="s">
        <v>57</v>
      </c>
      <c r="F1232" t="s">
        <v>940</v>
      </c>
      <c r="G1232" t="s">
        <v>245</v>
      </c>
    </row>
    <row r="1233" spans="1:7" x14ac:dyDescent="0.2">
      <c r="A1233">
        <f t="shared" si="19"/>
        <v>63035</v>
      </c>
      <c r="B1233">
        <v>63</v>
      </c>
      <c r="C1233">
        <v>35</v>
      </c>
      <c r="D1233">
        <v>98</v>
      </c>
      <c r="E1233" t="s">
        <v>33</v>
      </c>
      <c r="F1233" t="s">
        <v>876</v>
      </c>
      <c r="G1233" t="s">
        <v>197</v>
      </c>
    </row>
    <row r="1234" spans="1:7" x14ac:dyDescent="0.2">
      <c r="A1234">
        <f t="shared" si="19"/>
        <v>63036</v>
      </c>
      <c r="B1234">
        <v>63</v>
      </c>
      <c r="C1234">
        <v>36</v>
      </c>
      <c r="D1234">
        <v>99</v>
      </c>
      <c r="E1234" t="s">
        <v>34</v>
      </c>
      <c r="F1234" t="s">
        <v>880</v>
      </c>
      <c r="G1234" t="s">
        <v>199</v>
      </c>
    </row>
    <row r="1235" spans="1:7" x14ac:dyDescent="0.2">
      <c r="A1235">
        <f t="shared" si="19"/>
        <v>63037</v>
      </c>
      <c r="B1235">
        <v>63</v>
      </c>
      <c r="C1235">
        <v>37</v>
      </c>
      <c r="D1235">
        <v>100</v>
      </c>
      <c r="E1235" t="s">
        <v>35</v>
      </c>
      <c r="F1235">
        <v>-46247.063999999998</v>
      </c>
      <c r="G1235">
        <v>19.561</v>
      </c>
    </row>
    <row r="1236" spans="1:7" x14ac:dyDescent="0.2">
      <c r="A1236">
        <f t="shared" si="19"/>
        <v>63038</v>
      </c>
      <c r="B1236">
        <v>63</v>
      </c>
      <c r="C1236">
        <v>38</v>
      </c>
      <c r="D1236">
        <v>101</v>
      </c>
      <c r="E1236" t="s">
        <v>36</v>
      </c>
      <c r="F1236">
        <v>-55324.906999999999</v>
      </c>
      <c r="G1236">
        <v>8.48</v>
      </c>
    </row>
    <row r="1237" spans="1:7" x14ac:dyDescent="0.2">
      <c r="A1237">
        <f t="shared" si="19"/>
        <v>63039</v>
      </c>
      <c r="B1237">
        <v>63</v>
      </c>
      <c r="C1237">
        <v>39</v>
      </c>
      <c r="D1237">
        <v>102</v>
      </c>
      <c r="E1237" t="s">
        <v>37</v>
      </c>
      <c r="F1237">
        <v>-61173.177000000003</v>
      </c>
      <c r="G1237">
        <v>4.077</v>
      </c>
    </row>
    <row r="1238" spans="1:7" x14ac:dyDescent="0.2">
      <c r="A1238">
        <f t="shared" si="19"/>
        <v>63040</v>
      </c>
      <c r="B1238">
        <v>63</v>
      </c>
      <c r="C1238">
        <v>40</v>
      </c>
      <c r="D1238">
        <v>103</v>
      </c>
      <c r="E1238" t="s">
        <v>38</v>
      </c>
      <c r="F1238">
        <v>-67815.334000000003</v>
      </c>
      <c r="G1238">
        <v>9.2319999999999993</v>
      </c>
    </row>
    <row r="1239" spans="1:7" x14ac:dyDescent="0.2">
      <c r="A1239">
        <f t="shared" si="19"/>
        <v>63041</v>
      </c>
      <c r="B1239">
        <v>63</v>
      </c>
      <c r="C1239">
        <v>41</v>
      </c>
      <c r="D1239">
        <v>104</v>
      </c>
      <c r="E1239" t="s">
        <v>39</v>
      </c>
      <c r="F1239">
        <v>-71819.012000000002</v>
      </c>
      <c r="G1239">
        <v>2.7370000000000001</v>
      </c>
    </row>
    <row r="1240" spans="1:7" x14ac:dyDescent="0.2">
      <c r="A1240">
        <f t="shared" si="19"/>
        <v>63042</v>
      </c>
      <c r="B1240">
        <v>63</v>
      </c>
      <c r="C1240">
        <v>42</v>
      </c>
      <c r="D1240">
        <v>105</v>
      </c>
      <c r="E1240" t="s">
        <v>40</v>
      </c>
      <c r="F1240">
        <v>-77337.141000000003</v>
      </c>
      <c r="G1240">
        <v>9.0649999999999995</v>
      </c>
    </row>
    <row r="1241" spans="1:7" x14ac:dyDescent="0.2">
      <c r="A1241">
        <f t="shared" si="19"/>
        <v>63043</v>
      </c>
      <c r="B1241">
        <v>63</v>
      </c>
      <c r="C1241">
        <v>43</v>
      </c>
      <c r="D1241">
        <v>106</v>
      </c>
      <c r="E1241" t="s">
        <v>41</v>
      </c>
      <c r="F1241">
        <v>-79776.222999999998</v>
      </c>
      <c r="G1241">
        <v>12.25</v>
      </c>
    </row>
    <row r="1242" spans="1:7" x14ac:dyDescent="0.2">
      <c r="A1242">
        <f t="shared" si="19"/>
        <v>63044</v>
      </c>
      <c r="B1242">
        <v>63</v>
      </c>
      <c r="C1242">
        <v>44</v>
      </c>
      <c r="D1242">
        <v>107</v>
      </c>
      <c r="E1242" t="s">
        <v>42</v>
      </c>
      <c r="F1242">
        <v>-83862.512000000002</v>
      </c>
      <c r="G1242">
        <v>8.673</v>
      </c>
    </row>
    <row r="1243" spans="1:7" x14ac:dyDescent="0.2">
      <c r="A1243">
        <f t="shared" si="19"/>
        <v>63045</v>
      </c>
      <c r="B1243">
        <v>63</v>
      </c>
      <c r="C1243">
        <v>45</v>
      </c>
      <c r="D1243">
        <v>108</v>
      </c>
      <c r="E1243" t="s">
        <v>43</v>
      </c>
      <c r="F1243">
        <v>-85031.721000000005</v>
      </c>
      <c r="G1243">
        <v>13.996</v>
      </c>
    </row>
    <row r="1244" spans="1:7" x14ac:dyDescent="0.2">
      <c r="A1244">
        <f t="shared" si="19"/>
        <v>63046</v>
      </c>
      <c r="B1244">
        <v>63</v>
      </c>
      <c r="C1244">
        <v>46</v>
      </c>
      <c r="D1244">
        <v>109</v>
      </c>
      <c r="E1244" t="s">
        <v>44</v>
      </c>
      <c r="F1244">
        <v>-87606.475999999995</v>
      </c>
      <c r="G1244">
        <v>1.1140000000000001</v>
      </c>
    </row>
    <row r="1245" spans="1:7" x14ac:dyDescent="0.2">
      <c r="A1245">
        <f t="shared" si="19"/>
        <v>63047</v>
      </c>
      <c r="B1245">
        <v>63</v>
      </c>
      <c r="C1245">
        <v>47</v>
      </c>
      <c r="D1245">
        <v>110</v>
      </c>
      <c r="E1245" t="s">
        <v>45</v>
      </c>
      <c r="F1245">
        <v>-87457.301999999996</v>
      </c>
      <c r="G1245">
        <v>1.286</v>
      </c>
    </row>
    <row r="1246" spans="1:7" x14ac:dyDescent="0.2">
      <c r="A1246">
        <f t="shared" si="19"/>
        <v>63048</v>
      </c>
      <c r="B1246">
        <v>63</v>
      </c>
      <c r="C1246">
        <v>48</v>
      </c>
      <c r="D1246">
        <v>111</v>
      </c>
      <c r="E1246" t="s">
        <v>46</v>
      </c>
      <c r="F1246">
        <v>-89252.247000000003</v>
      </c>
      <c r="G1246">
        <v>0.35699999999999998</v>
      </c>
    </row>
    <row r="1247" spans="1:7" x14ac:dyDescent="0.2">
      <c r="A1247">
        <f t="shared" si="19"/>
        <v>63049</v>
      </c>
      <c r="B1247">
        <v>63</v>
      </c>
      <c r="C1247">
        <v>49</v>
      </c>
      <c r="D1247">
        <v>112</v>
      </c>
      <c r="E1247" t="s">
        <v>47</v>
      </c>
      <c r="F1247">
        <v>-87990.130999999994</v>
      </c>
      <c r="G1247">
        <v>4.2510000000000003</v>
      </c>
    </row>
    <row r="1248" spans="1:7" x14ac:dyDescent="0.2">
      <c r="A1248">
        <f t="shared" si="19"/>
        <v>63050</v>
      </c>
      <c r="B1248">
        <v>63</v>
      </c>
      <c r="C1248">
        <v>50</v>
      </c>
      <c r="D1248">
        <v>113</v>
      </c>
      <c r="E1248" t="s">
        <v>48</v>
      </c>
      <c r="F1248">
        <v>-88328.131999999998</v>
      </c>
      <c r="G1248">
        <v>1.575</v>
      </c>
    </row>
    <row r="1249" spans="1:7" x14ac:dyDescent="0.2">
      <c r="A1249">
        <f t="shared" si="19"/>
        <v>63051</v>
      </c>
      <c r="B1249">
        <v>63</v>
      </c>
      <c r="C1249">
        <v>51</v>
      </c>
      <c r="D1249">
        <v>114</v>
      </c>
      <c r="E1249" t="s">
        <v>49</v>
      </c>
      <c r="F1249">
        <v>-84496.573999999993</v>
      </c>
      <c r="G1249">
        <v>21.838000000000001</v>
      </c>
    </row>
    <row r="1250" spans="1:7" x14ac:dyDescent="0.2">
      <c r="A1250">
        <f t="shared" si="19"/>
        <v>63052</v>
      </c>
      <c r="B1250">
        <v>63</v>
      </c>
      <c r="C1250">
        <v>52</v>
      </c>
      <c r="D1250">
        <v>115</v>
      </c>
      <c r="E1250" t="s">
        <v>50</v>
      </c>
      <c r="F1250">
        <v>-82062.759000000005</v>
      </c>
      <c r="G1250">
        <v>27.945</v>
      </c>
    </row>
    <row r="1251" spans="1:7" x14ac:dyDescent="0.2">
      <c r="A1251">
        <f t="shared" si="19"/>
        <v>63053</v>
      </c>
      <c r="B1251">
        <v>63</v>
      </c>
      <c r="C1251">
        <v>53</v>
      </c>
      <c r="D1251">
        <v>116</v>
      </c>
      <c r="E1251" t="s">
        <v>51</v>
      </c>
      <c r="F1251">
        <v>-77492.236000000004</v>
      </c>
      <c r="G1251">
        <v>96.591999999999999</v>
      </c>
    </row>
    <row r="1252" spans="1:7" x14ac:dyDescent="0.2">
      <c r="A1252">
        <f t="shared" si="19"/>
        <v>63054</v>
      </c>
      <c r="B1252">
        <v>63</v>
      </c>
      <c r="C1252">
        <v>54</v>
      </c>
      <c r="D1252">
        <v>117</v>
      </c>
      <c r="E1252" t="s">
        <v>52</v>
      </c>
      <c r="F1252">
        <v>-74185.337</v>
      </c>
      <c r="G1252">
        <v>10.378</v>
      </c>
    </row>
    <row r="1253" spans="1:7" x14ac:dyDescent="0.2">
      <c r="A1253">
        <f t="shared" si="19"/>
        <v>63055</v>
      </c>
      <c r="B1253">
        <v>63</v>
      </c>
      <c r="C1253">
        <v>55</v>
      </c>
      <c r="D1253">
        <v>118</v>
      </c>
      <c r="E1253" t="s">
        <v>53</v>
      </c>
      <c r="F1253">
        <v>-68409.366999999998</v>
      </c>
      <c r="G1253">
        <v>12.753</v>
      </c>
    </row>
    <row r="1254" spans="1:7" x14ac:dyDescent="0.2">
      <c r="A1254">
        <f t="shared" si="19"/>
        <v>63056</v>
      </c>
      <c r="B1254">
        <v>63</v>
      </c>
      <c r="C1254">
        <v>56</v>
      </c>
      <c r="D1254">
        <v>119</v>
      </c>
      <c r="E1254" t="s">
        <v>54</v>
      </c>
      <c r="F1254">
        <v>-64590.086000000003</v>
      </c>
      <c r="G1254">
        <v>200.26900000000001</v>
      </c>
    </row>
    <row r="1255" spans="1:7" x14ac:dyDescent="0.2">
      <c r="A1255">
        <f t="shared" si="19"/>
        <v>63057</v>
      </c>
      <c r="B1255">
        <v>63</v>
      </c>
      <c r="C1255">
        <v>57</v>
      </c>
      <c r="D1255">
        <v>120</v>
      </c>
      <c r="E1255" t="s">
        <v>55</v>
      </c>
      <c r="F1255" t="s">
        <v>935</v>
      </c>
      <c r="G1255" t="s">
        <v>235</v>
      </c>
    </row>
    <row r="1256" spans="1:7" x14ac:dyDescent="0.2">
      <c r="A1256">
        <f t="shared" si="19"/>
        <v>63058</v>
      </c>
      <c r="B1256">
        <v>63</v>
      </c>
      <c r="C1256">
        <v>58</v>
      </c>
      <c r="D1256">
        <v>121</v>
      </c>
      <c r="E1256" t="s">
        <v>56</v>
      </c>
      <c r="F1256" t="s">
        <v>939</v>
      </c>
      <c r="G1256" t="s">
        <v>199</v>
      </c>
    </row>
    <row r="1257" spans="1:7" x14ac:dyDescent="0.2">
      <c r="A1257">
        <f t="shared" si="19"/>
        <v>63059</v>
      </c>
      <c r="B1257">
        <v>63</v>
      </c>
      <c r="C1257">
        <v>59</v>
      </c>
      <c r="D1257">
        <v>122</v>
      </c>
      <c r="E1257" t="s">
        <v>57</v>
      </c>
      <c r="F1257" t="s">
        <v>944</v>
      </c>
      <c r="G1257" t="s">
        <v>245</v>
      </c>
    </row>
    <row r="1258" spans="1:7" x14ac:dyDescent="0.2">
      <c r="A1258">
        <f t="shared" si="19"/>
        <v>64036</v>
      </c>
      <c r="B1258">
        <v>64</v>
      </c>
      <c r="C1258">
        <v>36</v>
      </c>
      <c r="D1258">
        <v>100</v>
      </c>
      <c r="E1258" t="s">
        <v>34</v>
      </c>
      <c r="F1258" t="s">
        <v>883</v>
      </c>
      <c r="G1258" t="s">
        <v>199</v>
      </c>
    </row>
    <row r="1259" spans="1:7" x14ac:dyDescent="0.2">
      <c r="A1259">
        <f t="shared" si="19"/>
        <v>64037</v>
      </c>
      <c r="B1259">
        <v>64</v>
      </c>
      <c r="C1259">
        <v>37</v>
      </c>
      <c r="D1259">
        <v>101</v>
      </c>
      <c r="E1259" t="s">
        <v>35</v>
      </c>
      <c r="F1259" t="s">
        <v>885</v>
      </c>
      <c r="G1259" t="s">
        <v>204</v>
      </c>
    </row>
    <row r="1260" spans="1:7" x14ac:dyDescent="0.2">
      <c r="A1260">
        <f t="shared" si="19"/>
        <v>64038</v>
      </c>
      <c r="B1260">
        <v>64</v>
      </c>
      <c r="C1260">
        <v>38</v>
      </c>
      <c r="D1260">
        <v>102</v>
      </c>
      <c r="E1260" t="s">
        <v>36</v>
      </c>
      <c r="F1260">
        <v>-52159.303999999996</v>
      </c>
      <c r="G1260">
        <v>67.067999999999998</v>
      </c>
    </row>
    <row r="1261" spans="1:7" x14ac:dyDescent="0.2">
      <c r="A1261">
        <f t="shared" si="19"/>
        <v>64039</v>
      </c>
      <c r="B1261">
        <v>64</v>
      </c>
      <c r="C1261">
        <v>39</v>
      </c>
      <c r="D1261">
        <v>103</v>
      </c>
      <c r="E1261" t="s">
        <v>37</v>
      </c>
      <c r="F1261">
        <v>-58457.574999999997</v>
      </c>
      <c r="G1261">
        <v>11.204000000000001</v>
      </c>
    </row>
    <row r="1262" spans="1:7" x14ac:dyDescent="0.2">
      <c r="A1262">
        <f t="shared" si="19"/>
        <v>64040</v>
      </c>
      <c r="B1262">
        <v>64</v>
      </c>
      <c r="C1262">
        <v>40</v>
      </c>
      <c r="D1262">
        <v>104</v>
      </c>
      <c r="E1262" t="s">
        <v>38</v>
      </c>
      <c r="F1262">
        <v>-65724.06</v>
      </c>
      <c r="G1262">
        <v>9.3249999999999993</v>
      </c>
    </row>
    <row r="1263" spans="1:7" x14ac:dyDescent="0.2">
      <c r="A1263">
        <f t="shared" si="19"/>
        <v>64041</v>
      </c>
      <c r="B1263">
        <v>64</v>
      </c>
      <c r="C1263">
        <v>41</v>
      </c>
      <c r="D1263">
        <v>105</v>
      </c>
      <c r="E1263" t="s">
        <v>39</v>
      </c>
      <c r="F1263">
        <v>-69915.551000000007</v>
      </c>
      <c r="G1263">
        <v>4.0279999999999996</v>
      </c>
    </row>
    <row r="1264" spans="1:7" x14ac:dyDescent="0.2">
      <c r="A1264">
        <f t="shared" si="19"/>
        <v>64042</v>
      </c>
      <c r="B1264">
        <v>64</v>
      </c>
      <c r="C1264">
        <v>42</v>
      </c>
      <c r="D1264">
        <v>106</v>
      </c>
      <c r="E1264" t="s">
        <v>40</v>
      </c>
      <c r="F1264">
        <v>-76134.528000000006</v>
      </c>
      <c r="G1264">
        <v>9.14</v>
      </c>
    </row>
    <row r="1265" spans="1:7" x14ac:dyDescent="0.2">
      <c r="A1265">
        <f t="shared" si="19"/>
        <v>64043</v>
      </c>
      <c r="B1265">
        <v>64</v>
      </c>
      <c r="C1265">
        <v>43</v>
      </c>
      <c r="D1265">
        <v>107</v>
      </c>
      <c r="E1265" t="s">
        <v>41</v>
      </c>
      <c r="F1265">
        <v>-78749.914000000004</v>
      </c>
      <c r="G1265">
        <v>8.673</v>
      </c>
    </row>
    <row r="1266" spans="1:7" x14ac:dyDescent="0.2">
      <c r="A1266">
        <f t="shared" si="19"/>
        <v>64044</v>
      </c>
      <c r="B1266">
        <v>64</v>
      </c>
      <c r="C1266">
        <v>44</v>
      </c>
      <c r="D1266">
        <v>108</v>
      </c>
      <c r="E1266" t="s">
        <v>42</v>
      </c>
      <c r="F1266">
        <v>-83661.350000000006</v>
      </c>
      <c r="G1266">
        <v>8.68</v>
      </c>
    </row>
    <row r="1267" spans="1:7" x14ac:dyDescent="0.2">
      <c r="A1267">
        <f t="shared" si="19"/>
        <v>64045</v>
      </c>
      <c r="B1267">
        <v>64</v>
      </c>
      <c r="C1267">
        <v>45</v>
      </c>
      <c r="D1267">
        <v>109</v>
      </c>
      <c r="E1267" t="s">
        <v>43</v>
      </c>
      <c r="F1267">
        <v>-84999.455000000002</v>
      </c>
      <c r="G1267">
        <v>4.0389999999999997</v>
      </c>
    </row>
    <row r="1268" spans="1:7" x14ac:dyDescent="0.2">
      <c r="A1268">
        <f t="shared" si="19"/>
        <v>64046</v>
      </c>
      <c r="B1268">
        <v>64</v>
      </c>
      <c r="C1268">
        <v>46</v>
      </c>
      <c r="D1268">
        <v>110</v>
      </c>
      <c r="E1268" t="s">
        <v>44</v>
      </c>
      <c r="F1268">
        <v>-88330.904999999999</v>
      </c>
      <c r="G1268">
        <v>0.61199999999999999</v>
      </c>
    </row>
    <row r="1269" spans="1:7" x14ac:dyDescent="0.2">
      <c r="A1269">
        <f t="shared" si="19"/>
        <v>64047</v>
      </c>
      <c r="B1269">
        <v>64</v>
      </c>
      <c r="C1269">
        <v>47</v>
      </c>
      <c r="D1269">
        <v>111</v>
      </c>
      <c r="E1269" t="s">
        <v>45</v>
      </c>
      <c r="F1269">
        <v>-88215.447</v>
      </c>
      <c r="G1269">
        <v>1.4590000000000001</v>
      </c>
    </row>
    <row r="1270" spans="1:7" x14ac:dyDescent="0.2">
      <c r="A1270">
        <f t="shared" si="19"/>
        <v>64048</v>
      </c>
      <c r="B1270">
        <v>64</v>
      </c>
      <c r="C1270">
        <v>48</v>
      </c>
      <c r="D1270">
        <v>112</v>
      </c>
      <c r="E1270" t="s">
        <v>46</v>
      </c>
      <c r="F1270">
        <v>-90574.858999999997</v>
      </c>
      <c r="G1270">
        <v>0.25</v>
      </c>
    </row>
    <row r="1271" spans="1:7" x14ac:dyDescent="0.2">
      <c r="A1271">
        <f t="shared" si="19"/>
        <v>64049</v>
      </c>
      <c r="B1271">
        <v>64</v>
      </c>
      <c r="C1271">
        <v>49</v>
      </c>
      <c r="D1271">
        <v>113</v>
      </c>
      <c r="E1271" t="s">
        <v>47</v>
      </c>
      <c r="F1271">
        <v>-89367.116999999998</v>
      </c>
      <c r="G1271">
        <v>0.188</v>
      </c>
    </row>
    <row r="1272" spans="1:7" x14ac:dyDescent="0.2">
      <c r="A1272">
        <f t="shared" si="19"/>
        <v>64050</v>
      </c>
      <c r="B1272">
        <v>64</v>
      </c>
      <c r="C1272">
        <v>50</v>
      </c>
      <c r="D1272">
        <v>114</v>
      </c>
      <c r="E1272" t="s">
        <v>48</v>
      </c>
      <c r="F1272">
        <v>-90559.722999999998</v>
      </c>
      <c r="G1272">
        <v>2.9000000000000001E-2</v>
      </c>
    </row>
    <row r="1273" spans="1:7" x14ac:dyDescent="0.2">
      <c r="A1273">
        <f t="shared" si="19"/>
        <v>64051</v>
      </c>
      <c r="B1273">
        <v>64</v>
      </c>
      <c r="C1273">
        <v>51</v>
      </c>
      <c r="D1273">
        <v>115</v>
      </c>
      <c r="E1273" t="s">
        <v>49</v>
      </c>
      <c r="F1273">
        <v>-87003.403000000006</v>
      </c>
      <c r="G1273">
        <v>16.024999999999999</v>
      </c>
    </row>
    <row r="1274" spans="1:7" x14ac:dyDescent="0.2">
      <c r="A1274">
        <f t="shared" si="19"/>
        <v>64052</v>
      </c>
      <c r="B1274">
        <v>64</v>
      </c>
      <c r="C1274">
        <v>52</v>
      </c>
      <c r="D1274">
        <v>116</v>
      </c>
      <c r="E1274" t="s">
        <v>50</v>
      </c>
      <c r="F1274">
        <v>-85268.960999999996</v>
      </c>
      <c r="G1274">
        <v>27.945</v>
      </c>
    </row>
    <row r="1275" spans="1:7" x14ac:dyDescent="0.2">
      <c r="A1275">
        <f t="shared" si="19"/>
        <v>64053</v>
      </c>
      <c r="B1275">
        <v>64</v>
      </c>
      <c r="C1275">
        <v>53</v>
      </c>
      <c r="D1275">
        <v>117</v>
      </c>
      <c r="E1275" t="s">
        <v>51</v>
      </c>
      <c r="F1275">
        <v>-80436.077000000005</v>
      </c>
      <c r="G1275">
        <v>26.196000000000002</v>
      </c>
    </row>
    <row r="1276" spans="1:7" x14ac:dyDescent="0.2">
      <c r="A1276">
        <f t="shared" si="19"/>
        <v>64054</v>
      </c>
      <c r="B1276">
        <v>64</v>
      </c>
      <c r="C1276">
        <v>54</v>
      </c>
      <c r="D1276">
        <v>118</v>
      </c>
      <c r="E1276" t="s">
        <v>52</v>
      </c>
      <c r="F1276">
        <v>-78079.057000000001</v>
      </c>
      <c r="G1276">
        <v>10.378</v>
      </c>
    </row>
    <row r="1277" spans="1:7" x14ac:dyDescent="0.2">
      <c r="A1277">
        <f t="shared" si="19"/>
        <v>64055</v>
      </c>
      <c r="B1277">
        <v>64</v>
      </c>
      <c r="C1277">
        <v>55</v>
      </c>
      <c r="D1277">
        <v>119</v>
      </c>
      <c r="E1277" t="s">
        <v>53</v>
      </c>
      <c r="F1277">
        <v>-72305.051000000007</v>
      </c>
      <c r="G1277">
        <v>13.94</v>
      </c>
    </row>
    <row r="1278" spans="1:7" x14ac:dyDescent="0.2">
      <c r="A1278">
        <f t="shared" si="19"/>
        <v>64056</v>
      </c>
      <c r="B1278">
        <v>64</v>
      </c>
      <c r="C1278">
        <v>56</v>
      </c>
      <c r="D1278">
        <v>120</v>
      </c>
      <c r="E1278" t="s">
        <v>54</v>
      </c>
      <c r="F1278">
        <v>-68888.638999999996</v>
      </c>
      <c r="G1278">
        <v>300.166</v>
      </c>
    </row>
    <row r="1279" spans="1:7" x14ac:dyDescent="0.2">
      <c r="A1279">
        <f t="shared" si="19"/>
        <v>64057</v>
      </c>
      <c r="B1279">
        <v>64</v>
      </c>
      <c r="C1279">
        <v>57</v>
      </c>
      <c r="D1279">
        <v>121</v>
      </c>
      <c r="E1279" t="s">
        <v>55</v>
      </c>
      <c r="F1279" t="s">
        <v>938</v>
      </c>
      <c r="G1279" t="s">
        <v>235</v>
      </c>
    </row>
    <row r="1280" spans="1:7" x14ac:dyDescent="0.2">
      <c r="A1280">
        <f t="shared" si="19"/>
        <v>64058</v>
      </c>
      <c r="B1280">
        <v>64</v>
      </c>
      <c r="C1280">
        <v>58</v>
      </c>
      <c r="D1280">
        <v>122</v>
      </c>
      <c r="E1280" t="s">
        <v>56</v>
      </c>
      <c r="F1280" t="s">
        <v>943</v>
      </c>
      <c r="G1280" t="s">
        <v>199</v>
      </c>
    </row>
    <row r="1281" spans="1:7" x14ac:dyDescent="0.2">
      <c r="A1281">
        <f t="shared" ref="A1281:A1344" si="20">1000*B1281+C1281</f>
        <v>64059</v>
      </c>
      <c r="B1281">
        <v>64</v>
      </c>
      <c r="C1281">
        <v>59</v>
      </c>
      <c r="D1281">
        <v>123</v>
      </c>
      <c r="E1281" t="s">
        <v>57</v>
      </c>
      <c r="F1281" t="s">
        <v>949</v>
      </c>
      <c r="G1281" t="s">
        <v>197</v>
      </c>
    </row>
    <row r="1282" spans="1:7" x14ac:dyDescent="0.2">
      <c r="A1282">
        <f t="shared" si="20"/>
        <v>64060</v>
      </c>
      <c r="B1282">
        <v>64</v>
      </c>
      <c r="C1282">
        <v>60</v>
      </c>
      <c r="D1282">
        <v>124</v>
      </c>
      <c r="E1282" t="s">
        <v>58</v>
      </c>
      <c r="F1282" t="s">
        <v>954</v>
      </c>
      <c r="G1282" t="s">
        <v>201</v>
      </c>
    </row>
    <row r="1283" spans="1:7" x14ac:dyDescent="0.2">
      <c r="A1283">
        <f t="shared" si="20"/>
        <v>65036</v>
      </c>
      <c r="B1283">
        <v>65</v>
      </c>
      <c r="C1283">
        <v>36</v>
      </c>
      <c r="D1283">
        <v>101</v>
      </c>
      <c r="E1283" t="s">
        <v>34</v>
      </c>
      <c r="F1283" t="s">
        <v>884</v>
      </c>
      <c r="G1283" t="s">
        <v>201</v>
      </c>
    </row>
    <row r="1284" spans="1:7" x14ac:dyDescent="0.2">
      <c r="A1284">
        <f t="shared" si="20"/>
        <v>65037</v>
      </c>
      <c r="B1284">
        <v>65</v>
      </c>
      <c r="C1284">
        <v>37</v>
      </c>
      <c r="D1284">
        <v>102</v>
      </c>
      <c r="E1284" t="s">
        <v>35</v>
      </c>
      <c r="F1284" t="s">
        <v>887</v>
      </c>
      <c r="G1284" t="s">
        <v>202</v>
      </c>
    </row>
    <row r="1285" spans="1:7" x14ac:dyDescent="0.2">
      <c r="A1285">
        <f t="shared" si="20"/>
        <v>65038</v>
      </c>
      <c r="B1285">
        <v>65</v>
      </c>
      <c r="C1285">
        <v>38</v>
      </c>
      <c r="D1285">
        <v>103</v>
      </c>
      <c r="E1285" t="s">
        <v>36</v>
      </c>
      <c r="F1285" t="s">
        <v>889</v>
      </c>
      <c r="G1285" t="s">
        <v>206</v>
      </c>
    </row>
    <row r="1286" spans="1:7" x14ac:dyDescent="0.2">
      <c r="A1286">
        <f t="shared" si="20"/>
        <v>65039</v>
      </c>
      <c r="B1286">
        <v>65</v>
      </c>
      <c r="C1286">
        <v>39</v>
      </c>
      <c r="D1286">
        <v>104</v>
      </c>
      <c r="E1286" t="s">
        <v>37</v>
      </c>
      <c r="F1286" t="s">
        <v>891</v>
      </c>
      <c r="G1286" t="s">
        <v>199</v>
      </c>
    </row>
    <row r="1287" spans="1:7" x14ac:dyDescent="0.2">
      <c r="A1287">
        <f t="shared" si="20"/>
        <v>65040</v>
      </c>
      <c r="B1287">
        <v>65</v>
      </c>
      <c r="C1287">
        <v>40</v>
      </c>
      <c r="D1287">
        <v>105</v>
      </c>
      <c r="E1287" t="s">
        <v>38</v>
      </c>
      <c r="F1287">
        <v>-61464.733999999997</v>
      </c>
      <c r="G1287">
        <v>12.118</v>
      </c>
    </row>
    <row r="1288" spans="1:7" x14ac:dyDescent="0.2">
      <c r="A1288">
        <f t="shared" si="20"/>
        <v>65041</v>
      </c>
      <c r="B1288">
        <v>65</v>
      </c>
      <c r="C1288">
        <v>41</v>
      </c>
      <c r="D1288">
        <v>106</v>
      </c>
      <c r="E1288" t="s">
        <v>39</v>
      </c>
      <c r="F1288">
        <v>-66203.357000000004</v>
      </c>
      <c r="G1288">
        <v>4.1219999999999999</v>
      </c>
    </row>
    <row r="1289" spans="1:7" x14ac:dyDescent="0.2">
      <c r="A1289">
        <f t="shared" si="20"/>
        <v>65042</v>
      </c>
      <c r="B1289">
        <v>65</v>
      </c>
      <c r="C1289">
        <v>42</v>
      </c>
      <c r="D1289">
        <v>107</v>
      </c>
      <c r="E1289" t="s">
        <v>40</v>
      </c>
      <c r="F1289">
        <v>-72551.56</v>
      </c>
      <c r="G1289">
        <v>9.2330000000000005</v>
      </c>
    </row>
    <row r="1290" spans="1:7" x14ac:dyDescent="0.2">
      <c r="A1290">
        <f t="shared" si="20"/>
        <v>65043</v>
      </c>
      <c r="B1290">
        <v>65</v>
      </c>
      <c r="C1290">
        <v>43</v>
      </c>
      <c r="D1290">
        <v>108</v>
      </c>
      <c r="E1290" t="s">
        <v>41</v>
      </c>
      <c r="F1290">
        <v>-75922.778000000006</v>
      </c>
      <c r="G1290">
        <v>8.7690000000000001</v>
      </c>
    </row>
    <row r="1291" spans="1:7" x14ac:dyDescent="0.2">
      <c r="A1291">
        <f t="shared" si="20"/>
        <v>65044</v>
      </c>
      <c r="B1291">
        <v>65</v>
      </c>
      <c r="C1291">
        <v>44</v>
      </c>
      <c r="D1291">
        <v>109</v>
      </c>
      <c r="E1291" t="s">
        <v>42</v>
      </c>
      <c r="F1291">
        <v>-80738.400999999998</v>
      </c>
      <c r="G1291">
        <v>8.9540000000000006</v>
      </c>
    </row>
    <row r="1292" spans="1:7" x14ac:dyDescent="0.2">
      <c r="A1292">
        <f t="shared" si="20"/>
        <v>65045</v>
      </c>
      <c r="B1292">
        <v>65</v>
      </c>
      <c r="C1292">
        <v>45</v>
      </c>
      <c r="D1292">
        <v>110</v>
      </c>
      <c r="E1292" t="s">
        <v>43</v>
      </c>
      <c r="F1292">
        <v>-82828.686000000002</v>
      </c>
      <c r="G1292">
        <v>17.805</v>
      </c>
    </row>
    <row r="1293" spans="1:7" x14ac:dyDescent="0.2">
      <c r="A1293">
        <f t="shared" si="20"/>
        <v>65046</v>
      </c>
      <c r="B1293">
        <v>65</v>
      </c>
      <c r="C1293">
        <v>46</v>
      </c>
      <c r="D1293">
        <v>111</v>
      </c>
      <c r="E1293" t="s">
        <v>44</v>
      </c>
      <c r="F1293">
        <v>-85985.888000000006</v>
      </c>
      <c r="G1293">
        <v>0.73099999999999998</v>
      </c>
    </row>
    <row r="1294" spans="1:7" x14ac:dyDescent="0.2">
      <c r="A1294">
        <f t="shared" si="20"/>
        <v>65047</v>
      </c>
      <c r="B1294">
        <v>65</v>
      </c>
      <c r="C1294">
        <v>47</v>
      </c>
      <c r="D1294">
        <v>112</v>
      </c>
      <c r="E1294" t="s">
        <v>45</v>
      </c>
      <c r="F1294">
        <v>-86583.717999999993</v>
      </c>
      <c r="G1294">
        <v>2.4220000000000002</v>
      </c>
    </row>
    <row r="1295" spans="1:7" x14ac:dyDescent="0.2">
      <c r="A1295">
        <f t="shared" si="20"/>
        <v>65048</v>
      </c>
      <c r="B1295">
        <v>65</v>
      </c>
      <c r="C1295">
        <v>48</v>
      </c>
      <c r="D1295">
        <v>113</v>
      </c>
      <c r="E1295" t="s">
        <v>46</v>
      </c>
      <c r="F1295">
        <v>-89043.284</v>
      </c>
      <c r="G1295">
        <v>0.24399999999999999</v>
      </c>
    </row>
    <row r="1296" spans="1:7" x14ac:dyDescent="0.2">
      <c r="A1296">
        <f t="shared" si="20"/>
        <v>65049</v>
      </c>
      <c r="B1296">
        <v>65</v>
      </c>
      <c r="C1296">
        <v>49</v>
      </c>
      <c r="D1296">
        <v>114</v>
      </c>
      <c r="E1296" t="s">
        <v>47</v>
      </c>
      <c r="F1296">
        <v>-88569.801000000007</v>
      </c>
      <c r="G1296">
        <v>0.30099999999999999</v>
      </c>
    </row>
    <row r="1297" spans="1:7" x14ac:dyDescent="0.2">
      <c r="A1297">
        <f t="shared" si="20"/>
        <v>65050</v>
      </c>
      <c r="B1297">
        <v>65</v>
      </c>
      <c r="C1297">
        <v>50</v>
      </c>
      <c r="D1297">
        <v>115</v>
      </c>
      <c r="E1297" t="s">
        <v>48</v>
      </c>
      <c r="F1297">
        <v>-90033.835000000006</v>
      </c>
      <c r="G1297">
        <v>1.4999999999999999E-2</v>
      </c>
    </row>
    <row r="1298" spans="1:7" x14ac:dyDescent="0.2">
      <c r="A1298">
        <f t="shared" si="20"/>
        <v>65051</v>
      </c>
      <c r="B1298">
        <v>65</v>
      </c>
      <c r="C1298">
        <v>51</v>
      </c>
      <c r="D1298">
        <v>116</v>
      </c>
      <c r="E1298" t="s">
        <v>49</v>
      </c>
      <c r="F1298">
        <v>-86822.15</v>
      </c>
      <c r="G1298">
        <v>5.16</v>
      </c>
    </row>
    <row r="1299" spans="1:7" x14ac:dyDescent="0.2">
      <c r="A1299">
        <f t="shared" si="20"/>
        <v>65052</v>
      </c>
      <c r="B1299">
        <v>65</v>
      </c>
      <c r="C1299">
        <v>52</v>
      </c>
      <c r="D1299">
        <v>117</v>
      </c>
      <c r="E1299" t="s">
        <v>50</v>
      </c>
      <c r="F1299">
        <v>-85095.410999999993</v>
      </c>
      <c r="G1299">
        <v>13.456</v>
      </c>
    </row>
    <row r="1300" spans="1:7" x14ac:dyDescent="0.2">
      <c r="A1300">
        <f t="shared" si="20"/>
        <v>65053</v>
      </c>
      <c r="B1300">
        <v>65</v>
      </c>
      <c r="C1300">
        <v>53</v>
      </c>
      <c r="D1300">
        <v>118</v>
      </c>
      <c r="E1300" t="s">
        <v>51</v>
      </c>
      <c r="F1300">
        <v>-80971.047999999995</v>
      </c>
      <c r="G1300">
        <v>19.760000000000002</v>
      </c>
    </row>
    <row r="1301" spans="1:7" x14ac:dyDescent="0.2">
      <c r="A1301">
        <f t="shared" si="20"/>
        <v>65054</v>
      </c>
      <c r="B1301">
        <v>65</v>
      </c>
      <c r="C1301">
        <v>54</v>
      </c>
      <c r="D1301">
        <v>119</v>
      </c>
      <c r="E1301" t="s">
        <v>52</v>
      </c>
      <c r="F1301">
        <v>-78794.413</v>
      </c>
      <c r="G1301">
        <v>10.378</v>
      </c>
    </row>
    <row r="1302" spans="1:7" x14ac:dyDescent="0.2">
      <c r="A1302">
        <f t="shared" si="20"/>
        <v>65055</v>
      </c>
      <c r="B1302">
        <v>65</v>
      </c>
      <c r="C1302">
        <v>55</v>
      </c>
      <c r="D1302">
        <v>120</v>
      </c>
      <c r="E1302" t="s">
        <v>53</v>
      </c>
      <c r="F1302">
        <v>-73888.638999999996</v>
      </c>
      <c r="G1302">
        <v>9.9700000000000006</v>
      </c>
    </row>
    <row r="1303" spans="1:7" x14ac:dyDescent="0.2">
      <c r="A1303">
        <f t="shared" si="20"/>
        <v>65056</v>
      </c>
      <c r="B1303">
        <v>65</v>
      </c>
      <c r="C1303">
        <v>56</v>
      </c>
      <c r="D1303">
        <v>121</v>
      </c>
      <c r="E1303" t="s">
        <v>54</v>
      </c>
      <c r="F1303">
        <v>-70744.837</v>
      </c>
      <c r="G1303">
        <v>141.898</v>
      </c>
    </row>
    <row r="1304" spans="1:7" x14ac:dyDescent="0.2">
      <c r="A1304">
        <f t="shared" si="20"/>
        <v>65057</v>
      </c>
      <c r="B1304">
        <v>65</v>
      </c>
      <c r="C1304">
        <v>57</v>
      </c>
      <c r="D1304">
        <v>122</v>
      </c>
      <c r="E1304" t="s">
        <v>55</v>
      </c>
      <c r="F1304" t="s">
        <v>251</v>
      </c>
      <c r="G1304" t="s">
        <v>202</v>
      </c>
    </row>
    <row r="1305" spans="1:7" x14ac:dyDescent="0.2">
      <c r="A1305">
        <f t="shared" si="20"/>
        <v>65058</v>
      </c>
      <c r="B1305">
        <v>65</v>
      </c>
      <c r="C1305">
        <v>58</v>
      </c>
      <c r="D1305">
        <v>123</v>
      </c>
      <c r="E1305" t="s">
        <v>56</v>
      </c>
      <c r="F1305" t="s">
        <v>948</v>
      </c>
      <c r="G1305" t="s">
        <v>202</v>
      </c>
    </row>
    <row r="1306" spans="1:7" x14ac:dyDescent="0.2">
      <c r="A1306">
        <f t="shared" si="20"/>
        <v>65059</v>
      </c>
      <c r="B1306">
        <v>65</v>
      </c>
      <c r="C1306">
        <v>59</v>
      </c>
      <c r="D1306">
        <v>124</v>
      </c>
      <c r="E1306" t="s">
        <v>57</v>
      </c>
      <c r="F1306" t="s">
        <v>953</v>
      </c>
      <c r="G1306" t="s">
        <v>199</v>
      </c>
    </row>
    <row r="1307" spans="1:7" x14ac:dyDescent="0.2">
      <c r="A1307">
        <f t="shared" si="20"/>
        <v>65060</v>
      </c>
      <c r="B1307">
        <v>65</v>
      </c>
      <c r="C1307">
        <v>60</v>
      </c>
      <c r="D1307">
        <v>125</v>
      </c>
      <c r="E1307" t="s">
        <v>58</v>
      </c>
      <c r="F1307" t="s">
        <v>252</v>
      </c>
      <c r="G1307" t="s">
        <v>199</v>
      </c>
    </row>
    <row r="1308" spans="1:7" x14ac:dyDescent="0.2">
      <c r="A1308">
        <f t="shared" si="20"/>
        <v>65061</v>
      </c>
      <c r="B1308">
        <v>65</v>
      </c>
      <c r="C1308">
        <v>61</v>
      </c>
      <c r="D1308">
        <v>126</v>
      </c>
      <c r="E1308" t="s">
        <v>59</v>
      </c>
      <c r="F1308" t="s">
        <v>964</v>
      </c>
      <c r="G1308" t="s">
        <v>245</v>
      </c>
    </row>
    <row r="1309" spans="1:7" x14ac:dyDescent="0.2">
      <c r="A1309">
        <f t="shared" si="20"/>
        <v>66037</v>
      </c>
      <c r="B1309">
        <v>66</v>
      </c>
      <c r="C1309">
        <v>37</v>
      </c>
      <c r="D1309">
        <v>103</v>
      </c>
      <c r="E1309" t="s">
        <v>35</v>
      </c>
      <c r="F1309" t="s">
        <v>888</v>
      </c>
      <c r="G1309" t="s">
        <v>199</v>
      </c>
    </row>
    <row r="1310" spans="1:7" x14ac:dyDescent="0.2">
      <c r="A1310">
        <f t="shared" si="20"/>
        <v>66038</v>
      </c>
      <c r="B1310">
        <v>66</v>
      </c>
      <c r="C1310">
        <v>38</v>
      </c>
      <c r="D1310">
        <v>104</v>
      </c>
      <c r="E1310" t="s">
        <v>36</v>
      </c>
      <c r="F1310" t="s">
        <v>257</v>
      </c>
      <c r="G1310" t="s">
        <v>202</v>
      </c>
    </row>
    <row r="1311" spans="1:7" x14ac:dyDescent="0.2">
      <c r="A1311">
        <f t="shared" si="20"/>
        <v>66039</v>
      </c>
      <c r="B1311">
        <v>66</v>
      </c>
      <c r="C1311">
        <v>39</v>
      </c>
      <c r="D1311">
        <v>105</v>
      </c>
      <c r="E1311" t="s">
        <v>37</v>
      </c>
      <c r="F1311">
        <v>-51270.360999999997</v>
      </c>
      <c r="G1311">
        <v>1336.694</v>
      </c>
    </row>
    <row r="1312" spans="1:7" x14ac:dyDescent="0.2">
      <c r="A1312">
        <f t="shared" si="20"/>
        <v>66040</v>
      </c>
      <c r="B1312">
        <v>66</v>
      </c>
      <c r="C1312">
        <v>40</v>
      </c>
      <c r="D1312">
        <v>106</v>
      </c>
      <c r="E1312" t="s">
        <v>38</v>
      </c>
      <c r="F1312">
        <v>-58549.987000000001</v>
      </c>
      <c r="G1312">
        <v>433.14499999999998</v>
      </c>
    </row>
    <row r="1313" spans="1:7" x14ac:dyDescent="0.2">
      <c r="A1313">
        <f t="shared" si="20"/>
        <v>66041</v>
      </c>
      <c r="B1313">
        <v>66</v>
      </c>
      <c r="C1313">
        <v>41</v>
      </c>
      <c r="D1313">
        <v>107</v>
      </c>
      <c r="E1313" t="s">
        <v>39</v>
      </c>
      <c r="F1313">
        <v>-63723.81</v>
      </c>
      <c r="G1313">
        <v>8.0229999999999997</v>
      </c>
    </row>
    <row r="1314" spans="1:7" x14ac:dyDescent="0.2">
      <c r="A1314">
        <f t="shared" si="20"/>
        <v>66042</v>
      </c>
      <c r="B1314">
        <v>66</v>
      </c>
      <c r="C1314">
        <v>42</v>
      </c>
      <c r="D1314">
        <v>108</v>
      </c>
      <c r="E1314" t="s">
        <v>40</v>
      </c>
      <c r="F1314">
        <v>-70755.941999999995</v>
      </c>
      <c r="G1314">
        <v>9.2330000000000005</v>
      </c>
    </row>
    <row r="1315" spans="1:7" x14ac:dyDescent="0.2">
      <c r="A1315">
        <f t="shared" si="20"/>
        <v>66043</v>
      </c>
      <c r="B1315">
        <v>66</v>
      </c>
      <c r="C1315">
        <v>43</v>
      </c>
      <c r="D1315">
        <v>109</v>
      </c>
      <c r="E1315" t="s">
        <v>41</v>
      </c>
      <c r="F1315">
        <v>-74282.774999999994</v>
      </c>
      <c r="G1315">
        <v>9.6690000000000005</v>
      </c>
    </row>
    <row r="1316" spans="1:7" x14ac:dyDescent="0.2">
      <c r="A1316">
        <f t="shared" si="20"/>
        <v>66044</v>
      </c>
      <c r="B1316">
        <v>66</v>
      </c>
      <c r="C1316">
        <v>44</v>
      </c>
      <c r="D1316">
        <v>110</v>
      </c>
      <c r="E1316" t="s">
        <v>42</v>
      </c>
      <c r="F1316">
        <v>-80072.576000000001</v>
      </c>
      <c r="G1316">
        <v>8.9239999999999995</v>
      </c>
    </row>
    <row r="1317" spans="1:7" x14ac:dyDescent="0.2">
      <c r="A1317">
        <f t="shared" si="20"/>
        <v>66045</v>
      </c>
      <c r="B1317">
        <v>66</v>
      </c>
      <c r="C1317">
        <v>45</v>
      </c>
      <c r="D1317">
        <v>111</v>
      </c>
      <c r="E1317" t="s">
        <v>43</v>
      </c>
      <c r="F1317">
        <v>-82304.452000000005</v>
      </c>
      <c r="G1317">
        <v>6.85</v>
      </c>
    </row>
    <row r="1318" spans="1:7" x14ac:dyDescent="0.2">
      <c r="A1318">
        <f t="shared" si="20"/>
        <v>66046</v>
      </c>
      <c r="B1318">
        <v>66</v>
      </c>
      <c r="C1318">
        <v>46</v>
      </c>
      <c r="D1318">
        <v>112</v>
      </c>
      <c r="E1318" t="s">
        <v>44</v>
      </c>
      <c r="F1318">
        <v>-86321.562000000005</v>
      </c>
      <c r="G1318">
        <v>6.5439999999999996</v>
      </c>
    </row>
    <row r="1319" spans="1:7" x14ac:dyDescent="0.2">
      <c r="A1319">
        <f t="shared" si="20"/>
        <v>66047</v>
      </c>
      <c r="B1319">
        <v>66</v>
      </c>
      <c r="C1319">
        <v>47</v>
      </c>
      <c r="D1319">
        <v>113</v>
      </c>
      <c r="E1319" t="s">
        <v>45</v>
      </c>
      <c r="F1319">
        <v>-87026.822</v>
      </c>
      <c r="G1319">
        <v>16.643000000000001</v>
      </c>
    </row>
    <row r="1320" spans="1:7" x14ac:dyDescent="0.2">
      <c r="A1320">
        <f t="shared" si="20"/>
        <v>66048</v>
      </c>
      <c r="B1320">
        <v>66</v>
      </c>
      <c r="C1320">
        <v>48</v>
      </c>
      <c r="D1320">
        <v>114</v>
      </c>
      <c r="E1320" t="s">
        <v>46</v>
      </c>
      <c r="F1320">
        <v>-90014.932000000001</v>
      </c>
      <c r="G1320">
        <v>0.27600000000000002</v>
      </c>
    </row>
    <row r="1321" spans="1:7" x14ac:dyDescent="0.2">
      <c r="A1321">
        <f t="shared" si="20"/>
        <v>66049</v>
      </c>
      <c r="B1321">
        <v>66</v>
      </c>
      <c r="C1321">
        <v>49</v>
      </c>
      <c r="D1321">
        <v>115</v>
      </c>
      <c r="E1321" t="s">
        <v>47</v>
      </c>
      <c r="F1321">
        <v>-89536.346000000005</v>
      </c>
      <c r="G1321">
        <v>1.2E-2</v>
      </c>
    </row>
    <row r="1322" spans="1:7" x14ac:dyDescent="0.2">
      <c r="A1322">
        <f t="shared" si="20"/>
        <v>66050</v>
      </c>
      <c r="B1322">
        <v>66</v>
      </c>
      <c r="C1322">
        <v>50</v>
      </c>
      <c r="D1322">
        <v>116</v>
      </c>
      <c r="E1322" t="s">
        <v>48</v>
      </c>
      <c r="F1322">
        <v>-91525.97</v>
      </c>
      <c r="G1322">
        <v>9.6000000000000002E-2</v>
      </c>
    </row>
    <row r="1323" spans="1:7" x14ac:dyDescent="0.2">
      <c r="A1323">
        <f t="shared" si="20"/>
        <v>66051</v>
      </c>
      <c r="B1323">
        <v>66</v>
      </c>
      <c r="C1323">
        <v>51</v>
      </c>
      <c r="D1323">
        <v>117</v>
      </c>
      <c r="E1323" t="s">
        <v>49</v>
      </c>
      <c r="F1323">
        <v>-88639.539000000004</v>
      </c>
      <c r="G1323">
        <v>8.4369999999999994</v>
      </c>
    </row>
    <row r="1324" spans="1:7" x14ac:dyDescent="0.2">
      <c r="A1324">
        <f t="shared" si="20"/>
        <v>66052</v>
      </c>
      <c r="B1324">
        <v>66</v>
      </c>
      <c r="C1324">
        <v>52</v>
      </c>
      <c r="D1324">
        <v>118</v>
      </c>
      <c r="E1324" t="s">
        <v>50</v>
      </c>
      <c r="F1324">
        <v>-87696.584000000003</v>
      </c>
      <c r="G1324">
        <v>18.481000000000002</v>
      </c>
    </row>
    <row r="1325" spans="1:7" x14ac:dyDescent="0.2">
      <c r="A1325">
        <f t="shared" si="20"/>
        <v>66053</v>
      </c>
      <c r="B1325">
        <v>66</v>
      </c>
      <c r="C1325">
        <v>53</v>
      </c>
      <c r="D1325">
        <v>119</v>
      </c>
      <c r="E1325" t="s">
        <v>51</v>
      </c>
      <c r="F1325">
        <v>-83765.53</v>
      </c>
      <c r="G1325">
        <v>27.945</v>
      </c>
    </row>
    <row r="1326" spans="1:7" x14ac:dyDescent="0.2">
      <c r="A1326">
        <f t="shared" si="20"/>
        <v>66054</v>
      </c>
      <c r="B1326">
        <v>66</v>
      </c>
      <c r="C1326">
        <v>54</v>
      </c>
      <c r="D1326">
        <v>120</v>
      </c>
      <c r="E1326" t="s">
        <v>52</v>
      </c>
      <c r="F1326">
        <v>-82172.422999999995</v>
      </c>
      <c r="G1326">
        <v>11.817</v>
      </c>
    </row>
    <row r="1327" spans="1:7" x14ac:dyDescent="0.2">
      <c r="A1327">
        <f t="shared" si="20"/>
        <v>66055</v>
      </c>
      <c r="B1327">
        <v>66</v>
      </c>
      <c r="C1327">
        <v>55</v>
      </c>
      <c r="D1327">
        <v>121</v>
      </c>
      <c r="E1327" t="s">
        <v>53</v>
      </c>
      <c r="F1327">
        <v>-77102.331000000006</v>
      </c>
      <c r="G1327">
        <v>14.29</v>
      </c>
    </row>
    <row r="1328" spans="1:7" x14ac:dyDescent="0.2">
      <c r="A1328">
        <f t="shared" si="20"/>
        <v>66056</v>
      </c>
      <c r="B1328">
        <v>66</v>
      </c>
      <c r="C1328">
        <v>56</v>
      </c>
      <c r="D1328">
        <v>122</v>
      </c>
      <c r="E1328" t="s">
        <v>54</v>
      </c>
      <c r="F1328">
        <v>-74608.944000000003</v>
      </c>
      <c r="G1328">
        <v>27.945</v>
      </c>
    </row>
    <row r="1329" spans="1:7" x14ac:dyDescent="0.2">
      <c r="A1329">
        <f t="shared" si="20"/>
        <v>66057</v>
      </c>
      <c r="B1329">
        <v>66</v>
      </c>
      <c r="C1329">
        <v>57</v>
      </c>
      <c r="D1329">
        <v>123</v>
      </c>
      <c r="E1329" t="s">
        <v>55</v>
      </c>
      <c r="F1329" t="s">
        <v>947</v>
      </c>
      <c r="G1329" t="s">
        <v>206</v>
      </c>
    </row>
    <row r="1330" spans="1:7" x14ac:dyDescent="0.2">
      <c r="A1330">
        <f t="shared" si="20"/>
        <v>66058</v>
      </c>
      <c r="B1330">
        <v>66</v>
      </c>
      <c r="C1330">
        <v>58</v>
      </c>
      <c r="D1330">
        <v>124</v>
      </c>
      <c r="E1330" t="s">
        <v>56</v>
      </c>
      <c r="F1330" t="s">
        <v>241</v>
      </c>
      <c r="G1330" t="s">
        <v>202</v>
      </c>
    </row>
    <row r="1331" spans="1:7" x14ac:dyDescent="0.2">
      <c r="A1331">
        <f t="shared" si="20"/>
        <v>66059</v>
      </c>
      <c r="B1331">
        <v>66</v>
      </c>
      <c r="C1331">
        <v>59</v>
      </c>
      <c r="D1331">
        <v>125</v>
      </c>
      <c r="E1331" t="s">
        <v>57</v>
      </c>
      <c r="F1331" t="s">
        <v>958</v>
      </c>
      <c r="G1331" t="s">
        <v>235</v>
      </c>
    </row>
    <row r="1332" spans="1:7" x14ac:dyDescent="0.2">
      <c r="A1332">
        <f t="shared" si="20"/>
        <v>66060</v>
      </c>
      <c r="B1332">
        <v>66</v>
      </c>
      <c r="C1332">
        <v>60</v>
      </c>
      <c r="D1332">
        <v>126</v>
      </c>
      <c r="E1332" t="s">
        <v>58</v>
      </c>
      <c r="F1332" t="s">
        <v>963</v>
      </c>
      <c r="G1332" t="s">
        <v>202</v>
      </c>
    </row>
    <row r="1333" spans="1:7" x14ac:dyDescent="0.2">
      <c r="A1333">
        <f t="shared" si="20"/>
        <v>66061</v>
      </c>
      <c r="B1333">
        <v>66</v>
      </c>
      <c r="C1333">
        <v>61</v>
      </c>
      <c r="D1333">
        <v>127</v>
      </c>
      <c r="E1333" t="s">
        <v>59</v>
      </c>
      <c r="F1333" t="s">
        <v>969</v>
      </c>
      <c r="G1333" t="s">
        <v>199</v>
      </c>
    </row>
    <row r="1334" spans="1:7" x14ac:dyDescent="0.2">
      <c r="A1334">
        <f t="shared" si="20"/>
        <v>66062</v>
      </c>
      <c r="B1334">
        <v>66</v>
      </c>
      <c r="C1334">
        <v>62</v>
      </c>
      <c r="D1334">
        <v>128</v>
      </c>
      <c r="E1334" t="s">
        <v>60</v>
      </c>
      <c r="F1334" t="s">
        <v>974</v>
      </c>
      <c r="G1334" t="s">
        <v>245</v>
      </c>
    </row>
    <row r="1335" spans="1:7" x14ac:dyDescent="0.2">
      <c r="A1335">
        <f t="shared" si="20"/>
        <v>67038</v>
      </c>
      <c r="B1335">
        <v>67</v>
      </c>
      <c r="C1335">
        <v>38</v>
      </c>
      <c r="D1335">
        <v>105</v>
      </c>
      <c r="E1335" t="s">
        <v>36</v>
      </c>
      <c r="F1335" t="s">
        <v>892</v>
      </c>
      <c r="G1335" t="s">
        <v>201</v>
      </c>
    </row>
    <row r="1336" spans="1:7" x14ac:dyDescent="0.2">
      <c r="A1336">
        <f t="shared" si="20"/>
        <v>67039</v>
      </c>
      <c r="B1336">
        <v>67</v>
      </c>
      <c r="C1336">
        <v>39</v>
      </c>
      <c r="D1336">
        <v>106</v>
      </c>
      <c r="E1336" t="s">
        <v>37</v>
      </c>
      <c r="F1336" t="s">
        <v>894</v>
      </c>
      <c r="G1336" t="s">
        <v>201</v>
      </c>
    </row>
    <row r="1337" spans="1:7" x14ac:dyDescent="0.2">
      <c r="A1337">
        <f t="shared" si="20"/>
        <v>67040</v>
      </c>
      <c r="B1337">
        <v>67</v>
      </c>
      <c r="C1337">
        <v>40</v>
      </c>
      <c r="D1337">
        <v>107</v>
      </c>
      <c r="E1337" t="s">
        <v>38</v>
      </c>
      <c r="F1337">
        <v>-54379.688000000002</v>
      </c>
      <c r="G1337">
        <v>1122.45</v>
      </c>
    </row>
    <row r="1338" spans="1:7" x14ac:dyDescent="0.2">
      <c r="A1338">
        <f t="shared" si="20"/>
        <v>67041</v>
      </c>
      <c r="B1338">
        <v>67</v>
      </c>
      <c r="C1338">
        <v>41</v>
      </c>
      <c r="D1338">
        <v>108</v>
      </c>
      <c r="E1338" t="s">
        <v>39</v>
      </c>
      <c r="F1338">
        <v>-59545.764999999999</v>
      </c>
      <c r="G1338">
        <v>8.2370000000000001</v>
      </c>
    </row>
    <row r="1339" spans="1:7" x14ac:dyDescent="0.2">
      <c r="A1339">
        <f t="shared" si="20"/>
        <v>67042</v>
      </c>
      <c r="B1339">
        <v>67</v>
      </c>
      <c r="C1339">
        <v>42</v>
      </c>
      <c r="D1339">
        <v>109</v>
      </c>
      <c r="E1339" t="s">
        <v>40</v>
      </c>
      <c r="F1339">
        <v>-66665.995999999999</v>
      </c>
      <c r="G1339">
        <v>11.188000000000001</v>
      </c>
    </row>
    <row r="1340" spans="1:7" x14ac:dyDescent="0.2">
      <c r="A1340">
        <f t="shared" si="20"/>
        <v>67043</v>
      </c>
      <c r="B1340">
        <v>67</v>
      </c>
      <c r="C1340">
        <v>43</v>
      </c>
      <c r="D1340">
        <v>110</v>
      </c>
      <c r="E1340" t="s">
        <v>41</v>
      </c>
      <c r="F1340">
        <v>-71034.509999999995</v>
      </c>
      <c r="G1340">
        <v>9.4969999999999999</v>
      </c>
    </row>
    <row r="1341" spans="1:7" x14ac:dyDescent="0.2">
      <c r="A1341">
        <f t="shared" si="20"/>
        <v>67044</v>
      </c>
      <c r="B1341">
        <v>67</v>
      </c>
      <c r="C1341">
        <v>44</v>
      </c>
      <c r="D1341">
        <v>111</v>
      </c>
      <c r="E1341" t="s">
        <v>42</v>
      </c>
      <c r="F1341">
        <v>-76785.270999999993</v>
      </c>
      <c r="G1341">
        <v>9.6820000000000004</v>
      </c>
    </row>
    <row r="1342" spans="1:7" x14ac:dyDescent="0.2">
      <c r="A1342">
        <f t="shared" si="20"/>
        <v>67045</v>
      </c>
      <c r="B1342">
        <v>67</v>
      </c>
      <c r="C1342">
        <v>45</v>
      </c>
      <c r="D1342">
        <v>112</v>
      </c>
      <c r="E1342" t="s">
        <v>43</v>
      </c>
      <c r="F1342">
        <v>-79731.502999999997</v>
      </c>
      <c r="G1342">
        <v>44.085000000000001</v>
      </c>
    </row>
    <row r="1343" spans="1:7" x14ac:dyDescent="0.2">
      <c r="A1343">
        <f t="shared" si="20"/>
        <v>67046</v>
      </c>
      <c r="B1343">
        <v>67</v>
      </c>
      <c r="C1343">
        <v>46</v>
      </c>
      <c r="D1343">
        <v>113</v>
      </c>
      <c r="E1343" t="s">
        <v>44</v>
      </c>
      <c r="F1343">
        <v>-83591.092000000004</v>
      </c>
      <c r="G1343">
        <v>6.9450000000000003</v>
      </c>
    </row>
    <row r="1344" spans="1:7" x14ac:dyDescent="0.2">
      <c r="A1344">
        <f t="shared" si="20"/>
        <v>67047</v>
      </c>
      <c r="B1344">
        <v>67</v>
      </c>
      <c r="C1344">
        <v>47</v>
      </c>
      <c r="D1344">
        <v>114</v>
      </c>
      <c r="E1344" t="s">
        <v>45</v>
      </c>
      <c r="F1344">
        <v>-84930.8</v>
      </c>
      <c r="G1344">
        <v>4.5640000000000001</v>
      </c>
    </row>
    <row r="1345" spans="1:7" x14ac:dyDescent="0.2">
      <c r="A1345">
        <f t="shared" ref="A1345:A1408" si="21">1000*B1345+C1345</f>
        <v>67048</v>
      </c>
      <c r="B1345">
        <v>67</v>
      </c>
      <c r="C1345">
        <v>48</v>
      </c>
      <c r="D1345">
        <v>115</v>
      </c>
      <c r="E1345" t="s">
        <v>46</v>
      </c>
      <c r="F1345">
        <v>-88084.479000000007</v>
      </c>
      <c r="G1345">
        <v>0.65100000000000002</v>
      </c>
    </row>
    <row r="1346" spans="1:7" x14ac:dyDescent="0.2">
      <c r="A1346">
        <f t="shared" si="21"/>
        <v>67049</v>
      </c>
      <c r="B1346">
        <v>67</v>
      </c>
      <c r="C1346">
        <v>49</v>
      </c>
      <c r="D1346">
        <v>116</v>
      </c>
      <c r="E1346" t="s">
        <v>47</v>
      </c>
      <c r="F1346">
        <v>-88249.748999999996</v>
      </c>
      <c r="G1346">
        <v>0.22</v>
      </c>
    </row>
    <row r="1347" spans="1:7" x14ac:dyDescent="0.2">
      <c r="A1347">
        <f t="shared" si="21"/>
        <v>67050</v>
      </c>
      <c r="B1347">
        <v>67</v>
      </c>
      <c r="C1347">
        <v>50</v>
      </c>
      <c r="D1347">
        <v>117</v>
      </c>
      <c r="E1347" t="s">
        <v>48</v>
      </c>
      <c r="F1347">
        <v>-90397.751000000004</v>
      </c>
      <c r="G1347">
        <v>0.48299999999999998</v>
      </c>
    </row>
    <row r="1348" spans="1:7" x14ac:dyDescent="0.2">
      <c r="A1348">
        <f t="shared" si="21"/>
        <v>67051</v>
      </c>
      <c r="B1348">
        <v>67</v>
      </c>
      <c r="C1348">
        <v>51</v>
      </c>
      <c r="D1348">
        <v>118</v>
      </c>
      <c r="E1348" t="s">
        <v>49</v>
      </c>
      <c r="F1348">
        <v>-87996.213000000003</v>
      </c>
      <c r="G1348">
        <v>3.016</v>
      </c>
    </row>
    <row r="1349" spans="1:7" x14ac:dyDescent="0.2">
      <c r="A1349">
        <f t="shared" si="21"/>
        <v>67052</v>
      </c>
      <c r="B1349">
        <v>67</v>
      </c>
      <c r="C1349">
        <v>52</v>
      </c>
      <c r="D1349">
        <v>119</v>
      </c>
      <c r="E1349" t="s">
        <v>50</v>
      </c>
      <c r="F1349">
        <v>-87181.18</v>
      </c>
      <c r="G1349">
        <v>7.9569999999999999</v>
      </c>
    </row>
    <row r="1350" spans="1:7" x14ac:dyDescent="0.2">
      <c r="A1350">
        <f t="shared" si="21"/>
        <v>67053</v>
      </c>
      <c r="B1350">
        <v>67</v>
      </c>
      <c r="C1350">
        <v>53</v>
      </c>
      <c r="D1350">
        <v>120</v>
      </c>
      <c r="E1350" t="s">
        <v>51</v>
      </c>
      <c r="F1350">
        <v>-83752.986999999994</v>
      </c>
      <c r="G1350">
        <v>15.314</v>
      </c>
    </row>
    <row r="1351" spans="1:7" x14ac:dyDescent="0.2">
      <c r="A1351">
        <f t="shared" si="21"/>
        <v>67054</v>
      </c>
      <c r="B1351">
        <v>67</v>
      </c>
      <c r="C1351">
        <v>54</v>
      </c>
      <c r="D1351">
        <v>121</v>
      </c>
      <c r="E1351" t="s">
        <v>52</v>
      </c>
      <c r="F1351">
        <v>-82480.986000000004</v>
      </c>
      <c r="G1351">
        <v>10.243</v>
      </c>
    </row>
    <row r="1352" spans="1:7" x14ac:dyDescent="0.2">
      <c r="A1352">
        <f t="shared" si="21"/>
        <v>67055</v>
      </c>
      <c r="B1352">
        <v>67</v>
      </c>
      <c r="C1352">
        <v>55</v>
      </c>
      <c r="D1352">
        <v>122</v>
      </c>
      <c r="E1352" t="s">
        <v>53</v>
      </c>
      <c r="F1352">
        <v>-78144.759000000005</v>
      </c>
      <c r="G1352">
        <v>33.686999999999998</v>
      </c>
    </row>
    <row r="1353" spans="1:7" x14ac:dyDescent="0.2">
      <c r="A1353">
        <f t="shared" si="21"/>
        <v>67056</v>
      </c>
      <c r="B1353">
        <v>67</v>
      </c>
      <c r="C1353">
        <v>56</v>
      </c>
      <c r="D1353">
        <v>123</v>
      </c>
      <c r="E1353" t="s">
        <v>54</v>
      </c>
      <c r="F1353">
        <v>-75654.952999999994</v>
      </c>
      <c r="G1353">
        <v>12.109</v>
      </c>
    </row>
    <row r="1354" spans="1:7" x14ac:dyDescent="0.2">
      <c r="A1354">
        <f t="shared" si="21"/>
        <v>67057</v>
      </c>
      <c r="B1354">
        <v>67</v>
      </c>
      <c r="C1354">
        <v>57</v>
      </c>
      <c r="D1354">
        <v>124</v>
      </c>
      <c r="E1354" t="s">
        <v>55</v>
      </c>
      <c r="F1354">
        <v>-70258.61</v>
      </c>
      <c r="G1354">
        <v>56.668999999999997</v>
      </c>
    </row>
    <row r="1355" spans="1:7" x14ac:dyDescent="0.2">
      <c r="A1355">
        <f t="shared" si="21"/>
        <v>67058</v>
      </c>
      <c r="B1355">
        <v>67</v>
      </c>
      <c r="C1355">
        <v>58</v>
      </c>
      <c r="D1355">
        <v>125</v>
      </c>
      <c r="E1355" t="s">
        <v>56</v>
      </c>
      <c r="F1355" t="s">
        <v>957</v>
      </c>
      <c r="G1355" t="s">
        <v>206</v>
      </c>
    </row>
    <row r="1356" spans="1:7" x14ac:dyDescent="0.2">
      <c r="A1356">
        <f t="shared" si="21"/>
        <v>67059</v>
      </c>
      <c r="B1356">
        <v>67</v>
      </c>
      <c r="C1356">
        <v>59</v>
      </c>
      <c r="D1356">
        <v>126</v>
      </c>
      <c r="E1356" t="s">
        <v>57</v>
      </c>
      <c r="F1356" t="s">
        <v>962</v>
      </c>
      <c r="G1356" t="s">
        <v>206</v>
      </c>
    </row>
    <row r="1357" spans="1:7" x14ac:dyDescent="0.2">
      <c r="A1357">
        <f t="shared" si="21"/>
        <v>67060</v>
      </c>
      <c r="B1357">
        <v>67</v>
      </c>
      <c r="C1357">
        <v>60</v>
      </c>
      <c r="D1357">
        <v>127</v>
      </c>
      <c r="E1357" t="s">
        <v>58</v>
      </c>
      <c r="F1357" t="s">
        <v>968</v>
      </c>
      <c r="G1357" t="s">
        <v>202</v>
      </c>
    </row>
    <row r="1358" spans="1:7" x14ac:dyDescent="0.2">
      <c r="A1358">
        <f t="shared" si="21"/>
        <v>67061</v>
      </c>
      <c r="B1358">
        <v>67</v>
      </c>
      <c r="C1358">
        <v>61</v>
      </c>
      <c r="D1358">
        <v>128</v>
      </c>
      <c r="E1358" t="s">
        <v>59</v>
      </c>
      <c r="F1358" t="s">
        <v>973</v>
      </c>
      <c r="G1358" t="s">
        <v>202</v>
      </c>
    </row>
    <row r="1359" spans="1:7" x14ac:dyDescent="0.2">
      <c r="A1359">
        <f t="shared" si="21"/>
        <v>67062</v>
      </c>
      <c r="B1359">
        <v>67</v>
      </c>
      <c r="C1359">
        <v>62</v>
      </c>
      <c r="D1359">
        <v>129</v>
      </c>
      <c r="E1359" t="s">
        <v>60</v>
      </c>
      <c r="F1359" t="s">
        <v>955</v>
      </c>
      <c r="G1359" t="s">
        <v>245</v>
      </c>
    </row>
    <row r="1360" spans="1:7" x14ac:dyDescent="0.2">
      <c r="A1360">
        <f t="shared" si="21"/>
        <v>67063</v>
      </c>
      <c r="B1360">
        <v>67</v>
      </c>
      <c r="C1360">
        <v>63</v>
      </c>
      <c r="D1360">
        <v>130</v>
      </c>
      <c r="E1360" t="s">
        <v>61</v>
      </c>
      <c r="F1360" t="s">
        <v>982</v>
      </c>
      <c r="G1360" t="s">
        <v>245</v>
      </c>
    </row>
    <row r="1361" spans="1:7" x14ac:dyDescent="0.2">
      <c r="A1361">
        <f t="shared" si="21"/>
        <v>68038</v>
      </c>
      <c r="B1361">
        <v>68</v>
      </c>
      <c r="C1361">
        <v>38</v>
      </c>
      <c r="D1361">
        <v>106</v>
      </c>
      <c r="E1361" t="s">
        <v>36</v>
      </c>
      <c r="F1361" t="s">
        <v>893</v>
      </c>
      <c r="G1361" t="s">
        <v>666</v>
      </c>
    </row>
    <row r="1362" spans="1:7" x14ac:dyDescent="0.2">
      <c r="A1362">
        <f t="shared" si="21"/>
        <v>68039</v>
      </c>
      <c r="B1362">
        <v>68</v>
      </c>
      <c r="C1362">
        <v>39</v>
      </c>
      <c r="D1362">
        <v>107</v>
      </c>
      <c r="E1362" t="s">
        <v>37</v>
      </c>
      <c r="F1362" t="s">
        <v>896</v>
      </c>
      <c r="G1362" t="s">
        <v>201</v>
      </c>
    </row>
    <row r="1363" spans="1:7" x14ac:dyDescent="0.2">
      <c r="A1363">
        <f t="shared" si="21"/>
        <v>68040</v>
      </c>
      <c r="B1363">
        <v>68</v>
      </c>
      <c r="C1363">
        <v>40</v>
      </c>
      <c r="D1363">
        <v>108</v>
      </c>
      <c r="E1363" t="s">
        <v>38</v>
      </c>
      <c r="F1363" t="s">
        <v>899</v>
      </c>
      <c r="G1363" t="s">
        <v>199</v>
      </c>
    </row>
    <row r="1364" spans="1:7" x14ac:dyDescent="0.2">
      <c r="A1364">
        <f t="shared" si="21"/>
        <v>68041</v>
      </c>
      <c r="B1364">
        <v>68</v>
      </c>
      <c r="C1364">
        <v>41</v>
      </c>
      <c r="D1364">
        <v>109</v>
      </c>
      <c r="E1364" t="s">
        <v>39</v>
      </c>
      <c r="F1364">
        <v>-56689.794000000002</v>
      </c>
      <c r="G1364">
        <v>258.49</v>
      </c>
    </row>
    <row r="1365" spans="1:7" x14ac:dyDescent="0.2">
      <c r="A1365">
        <f t="shared" si="21"/>
        <v>68042</v>
      </c>
      <c r="B1365">
        <v>68</v>
      </c>
      <c r="C1365">
        <v>42</v>
      </c>
      <c r="D1365">
        <v>110</v>
      </c>
      <c r="E1365" t="s">
        <v>40</v>
      </c>
      <c r="F1365">
        <v>-64542.584999999999</v>
      </c>
      <c r="G1365">
        <v>24.222999999999999</v>
      </c>
    </row>
    <row r="1366" spans="1:7" x14ac:dyDescent="0.2">
      <c r="A1366">
        <f t="shared" si="21"/>
        <v>68043</v>
      </c>
      <c r="B1366">
        <v>68</v>
      </c>
      <c r="C1366">
        <v>43</v>
      </c>
      <c r="D1366">
        <v>111</v>
      </c>
      <c r="E1366" t="s">
        <v>41</v>
      </c>
      <c r="F1366">
        <v>-69024.622000000003</v>
      </c>
      <c r="G1366">
        <v>10.581</v>
      </c>
    </row>
    <row r="1367" spans="1:7" x14ac:dyDescent="0.2">
      <c r="A1367">
        <f t="shared" si="21"/>
        <v>68044</v>
      </c>
      <c r="B1367">
        <v>68</v>
      </c>
      <c r="C1367">
        <v>44</v>
      </c>
      <c r="D1367">
        <v>112</v>
      </c>
      <c r="E1367" t="s">
        <v>42</v>
      </c>
      <c r="F1367">
        <v>-75630.817999999999</v>
      </c>
      <c r="G1367">
        <v>9.5990000000000002</v>
      </c>
    </row>
    <row r="1368" spans="1:7" x14ac:dyDescent="0.2">
      <c r="A1368">
        <f t="shared" si="21"/>
        <v>68045</v>
      </c>
      <c r="B1368">
        <v>68</v>
      </c>
      <c r="C1368">
        <v>45</v>
      </c>
      <c r="D1368">
        <v>113</v>
      </c>
      <c r="E1368" t="s">
        <v>43</v>
      </c>
      <c r="F1368">
        <v>-78767.535999999993</v>
      </c>
      <c r="G1368">
        <v>7.13</v>
      </c>
    </row>
    <row r="1369" spans="1:7" x14ac:dyDescent="0.2">
      <c r="A1369">
        <f t="shared" si="21"/>
        <v>68046</v>
      </c>
      <c r="B1369">
        <v>68</v>
      </c>
      <c r="C1369">
        <v>46</v>
      </c>
      <c r="D1369">
        <v>114</v>
      </c>
      <c r="E1369" t="s">
        <v>44</v>
      </c>
      <c r="F1369">
        <v>-83490.942999999999</v>
      </c>
      <c r="G1369">
        <v>6.9450000000000003</v>
      </c>
    </row>
    <row r="1370" spans="1:7" x14ac:dyDescent="0.2">
      <c r="A1370">
        <f t="shared" si="21"/>
        <v>68047</v>
      </c>
      <c r="B1370">
        <v>68</v>
      </c>
      <c r="C1370">
        <v>47</v>
      </c>
      <c r="D1370">
        <v>115</v>
      </c>
      <c r="E1370" t="s">
        <v>45</v>
      </c>
      <c r="F1370">
        <v>-84982.653999999995</v>
      </c>
      <c r="G1370">
        <v>18.268000000000001</v>
      </c>
    </row>
    <row r="1371" spans="1:7" x14ac:dyDescent="0.2">
      <c r="A1371">
        <f t="shared" si="21"/>
        <v>68048</v>
      </c>
      <c r="B1371">
        <v>68</v>
      </c>
      <c r="C1371">
        <v>48</v>
      </c>
      <c r="D1371">
        <v>116</v>
      </c>
      <c r="E1371" t="s">
        <v>46</v>
      </c>
      <c r="F1371">
        <v>-88712.48</v>
      </c>
      <c r="G1371">
        <v>0.16</v>
      </c>
    </row>
    <row r="1372" spans="1:7" x14ac:dyDescent="0.2">
      <c r="A1372">
        <f t="shared" si="21"/>
        <v>68049</v>
      </c>
      <c r="B1372">
        <v>68</v>
      </c>
      <c r="C1372">
        <v>49</v>
      </c>
      <c r="D1372">
        <v>117</v>
      </c>
      <c r="E1372" t="s">
        <v>47</v>
      </c>
      <c r="F1372">
        <v>-88943.042000000001</v>
      </c>
      <c r="G1372">
        <v>4.8810000000000002</v>
      </c>
    </row>
    <row r="1373" spans="1:7" x14ac:dyDescent="0.2">
      <c r="A1373">
        <f t="shared" si="21"/>
        <v>68050</v>
      </c>
      <c r="B1373">
        <v>68</v>
      </c>
      <c r="C1373">
        <v>50</v>
      </c>
      <c r="D1373">
        <v>118</v>
      </c>
      <c r="E1373" t="s">
        <v>48</v>
      </c>
      <c r="F1373">
        <v>-91652.853000000003</v>
      </c>
      <c r="G1373">
        <v>0.499</v>
      </c>
    </row>
    <row r="1374" spans="1:7" x14ac:dyDescent="0.2">
      <c r="A1374">
        <f t="shared" si="21"/>
        <v>68051</v>
      </c>
      <c r="B1374">
        <v>68</v>
      </c>
      <c r="C1374">
        <v>51</v>
      </c>
      <c r="D1374">
        <v>119</v>
      </c>
      <c r="E1374" t="s">
        <v>49</v>
      </c>
      <c r="F1374">
        <v>-89474.18</v>
      </c>
      <c r="G1374">
        <v>7.7009999999999996</v>
      </c>
    </row>
    <row r="1375" spans="1:7" x14ac:dyDescent="0.2">
      <c r="A1375">
        <f t="shared" si="21"/>
        <v>68052</v>
      </c>
      <c r="B1375">
        <v>68</v>
      </c>
      <c r="C1375">
        <v>52</v>
      </c>
      <c r="D1375">
        <v>120</v>
      </c>
      <c r="E1375" t="s">
        <v>50</v>
      </c>
      <c r="F1375">
        <v>-89367.986999999994</v>
      </c>
      <c r="G1375">
        <v>3.085</v>
      </c>
    </row>
    <row r="1376" spans="1:7" x14ac:dyDescent="0.2">
      <c r="A1376">
        <f t="shared" si="21"/>
        <v>68053</v>
      </c>
      <c r="B1376">
        <v>68</v>
      </c>
      <c r="C1376">
        <v>53</v>
      </c>
      <c r="D1376">
        <v>121</v>
      </c>
      <c r="E1376" t="s">
        <v>51</v>
      </c>
      <c r="F1376">
        <v>-86251.448999999993</v>
      </c>
      <c r="G1376">
        <v>5.3559999999999999</v>
      </c>
    </row>
    <row r="1377" spans="1:7" x14ac:dyDescent="0.2">
      <c r="A1377">
        <f t="shared" si="21"/>
        <v>68054</v>
      </c>
      <c r="B1377">
        <v>68</v>
      </c>
      <c r="C1377">
        <v>54</v>
      </c>
      <c r="D1377">
        <v>122</v>
      </c>
      <c r="E1377" t="s">
        <v>52</v>
      </c>
      <c r="F1377">
        <v>-85354.976999999999</v>
      </c>
      <c r="G1377">
        <v>11.111000000000001</v>
      </c>
    </row>
    <row r="1378" spans="1:7" x14ac:dyDescent="0.2">
      <c r="A1378">
        <f t="shared" si="21"/>
        <v>68055</v>
      </c>
      <c r="B1378">
        <v>68</v>
      </c>
      <c r="C1378">
        <v>55</v>
      </c>
      <c r="D1378">
        <v>123</v>
      </c>
      <c r="E1378" t="s">
        <v>53</v>
      </c>
      <c r="F1378">
        <v>-81043.645999999993</v>
      </c>
      <c r="G1378">
        <v>12.109</v>
      </c>
    </row>
    <row r="1379" spans="1:7" x14ac:dyDescent="0.2">
      <c r="A1379">
        <f t="shared" si="21"/>
        <v>68056</v>
      </c>
      <c r="B1379">
        <v>68</v>
      </c>
      <c r="C1379">
        <v>56</v>
      </c>
      <c r="D1379">
        <v>124</v>
      </c>
      <c r="E1379" t="s">
        <v>54</v>
      </c>
      <c r="F1379">
        <v>-79089.774999999994</v>
      </c>
      <c r="G1379">
        <v>12.497</v>
      </c>
    </row>
    <row r="1380" spans="1:7" x14ac:dyDescent="0.2">
      <c r="A1380">
        <f t="shared" si="21"/>
        <v>68057</v>
      </c>
      <c r="B1380">
        <v>68</v>
      </c>
      <c r="C1380">
        <v>57</v>
      </c>
      <c r="D1380">
        <v>125</v>
      </c>
      <c r="E1380" t="s">
        <v>55</v>
      </c>
      <c r="F1380">
        <v>-73759.483999999997</v>
      </c>
      <c r="G1380">
        <v>25.997</v>
      </c>
    </row>
    <row r="1381" spans="1:7" x14ac:dyDescent="0.2">
      <c r="A1381">
        <f t="shared" si="21"/>
        <v>68058</v>
      </c>
      <c r="B1381">
        <v>68</v>
      </c>
      <c r="C1381">
        <v>58</v>
      </c>
      <c r="D1381">
        <v>126</v>
      </c>
      <c r="E1381" t="s">
        <v>56</v>
      </c>
      <c r="F1381">
        <v>-70820.558000000005</v>
      </c>
      <c r="G1381">
        <v>27.945</v>
      </c>
    </row>
    <row r="1382" spans="1:7" x14ac:dyDescent="0.2">
      <c r="A1382">
        <f t="shared" si="21"/>
        <v>68059</v>
      </c>
      <c r="B1382">
        <v>68</v>
      </c>
      <c r="C1382">
        <v>59</v>
      </c>
      <c r="D1382">
        <v>127</v>
      </c>
      <c r="E1382" t="s">
        <v>57</v>
      </c>
      <c r="F1382" t="s">
        <v>251</v>
      </c>
      <c r="G1382" t="s">
        <v>206</v>
      </c>
    </row>
    <row r="1383" spans="1:7" x14ac:dyDescent="0.2">
      <c r="A1383">
        <f t="shared" si="21"/>
        <v>68060</v>
      </c>
      <c r="B1383">
        <v>68</v>
      </c>
      <c r="C1383">
        <v>60</v>
      </c>
      <c r="D1383">
        <v>128</v>
      </c>
      <c r="E1383" t="s">
        <v>58</v>
      </c>
      <c r="F1383" t="s">
        <v>972</v>
      </c>
      <c r="G1383" t="s">
        <v>206</v>
      </c>
    </row>
    <row r="1384" spans="1:7" x14ac:dyDescent="0.2">
      <c r="A1384">
        <f t="shared" si="21"/>
        <v>68061</v>
      </c>
      <c r="B1384">
        <v>68</v>
      </c>
      <c r="C1384">
        <v>61</v>
      </c>
      <c r="D1384">
        <v>129</v>
      </c>
      <c r="E1384" t="s">
        <v>59</v>
      </c>
      <c r="F1384" t="s">
        <v>978</v>
      </c>
      <c r="G1384" t="s">
        <v>202</v>
      </c>
    </row>
    <row r="1385" spans="1:7" x14ac:dyDescent="0.2">
      <c r="A1385">
        <f t="shared" si="21"/>
        <v>68062</v>
      </c>
      <c r="B1385">
        <v>68</v>
      </c>
      <c r="C1385">
        <v>62</v>
      </c>
      <c r="D1385">
        <v>130</v>
      </c>
      <c r="E1385" t="s">
        <v>60</v>
      </c>
      <c r="F1385" t="s">
        <v>981</v>
      </c>
      <c r="G1385" t="s">
        <v>199</v>
      </c>
    </row>
    <row r="1386" spans="1:7" x14ac:dyDescent="0.2">
      <c r="A1386">
        <f t="shared" si="21"/>
        <v>68063</v>
      </c>
      <c r="B1386">
        <v>68</v>
      </c>
      <c r="C1386">
        <v>63</v>
      </c>
      <c r="D1386">
        <v>131</v>
      </c>
      <c r="E1386" t="s">
        <v>61</v>
      </c>
      <c r="F1386" t="s">
        <v>986</v>
      </c>
      <c r="G1386" t="s">
        <v>199</v>
      </c>
    </row>
    <row r="1387" spans="1:7" x14ac:dyDescent="0.2">
      <c r="A1387">
        <f t="shared" si="21"/>
        <v>69038</v>
      </c>
      <c r="B1387">
        <v>69</v>
      </c>
      <c r="C1387">
        <v>38</v>
      </c>
      <c r="D1387">
        <v>107</v>
      </c>
      <c r="E1387" t="s">
        <v>36</v>
      </c>
      <c r="F1387" t="s">
        <v>895</v>
      </c>
      <c r="G1387" t="s">
        <v>679</v>
      </c>
    </row>
    <row r="1388" spans="1:7" x14ac:dyDescent="0.2">
      <c r="A1388">
        <f t="shared" si="21"/>
        <v>69039</v>
      </c>
      <c r="B1388">
        <v>69</v>
      </c>
      <c r="C1388">
        <v>39</v>
      </c>
      <c r="D1388">
        <v>108</v>
      </c>
      <c r="E1388" t="s">
        <v>37</v>
      </c>
      <c r="F1388" t="s">
        <v>898</v>
      </c>
      <c r="G1388" t="s">
        <v>211</v>
      </c>
    </row>
    <row r="1389" spans="1:7" x14ac:dyDescent="0.2">
      <c r="A1389">
        <f t="shared" si="21"/>
        <v>69040</v>
      </c>
      <c r="B1389">
        <v>69</v>
      </c>
      <c r="C1389">
        <v>40</v>
      </c>
      <c r="D1389">
        <v>109</v>
      </c>
      <c r="E1389" t="s">
        <v>38</v>
      </c>
      <c r="F1389" t="s">
        <v>901</v>
      </c>
      <c r="G1389" t="s">
        <v>201</v>
      </c>
    </row>
    <row r="1390" spans="1:7" x14ac:dyDescent="0.2">
      <c r="A1390">
        <f t="shared" si="21"/>
        <v>69041</v>
      </c>
      <c r="B1390">
        <v>69</v>
      </c>
      <c r="C1390">
        <v>41</v>
      </c>
      <c r="D1390">
        <v>110</v>
      </c>
      <c r="E1390" t="s">
        <v>39</v>
      </c>
      <c r="F1390">
        <v>-52309.909</v>
      </c>
      <c r="G1390">
        <v>838.34500000000003</v>
      </c>
    </row>
    <row r="1391" spans="1:7" x14ac:dyDescent="0.2">
      <c r="A1391">
        <f t="shared" si="21"/>
        <v>69042</v>
      </c>
      <c r="B1391">
        <v>69</v>
      </c>
      <c r="C1391">
        <v>42</v>
      </c>
      <c r="D1391">
        <v>111</v>
      </c>
      <c r="E1391" t="s">
        <v>40</v>
      </c>
      <c r="F1391">
        <v>-59939.760999999999</v>
      </c>
      <c r="G1391">
        <v>12.577999999999999</v>
      </c>
    </row>
    <row r="1392" spans="1:7" x14ac:dyDescent="0.2">
      <c r="A1392">
        <f t="shared" si="21"/>
        <v>69043</v>
      </c>
      <c r="B1392">
        <v>69</v>
      </c>
      <c r="C1392">
        <v>43</v>
      </c>
      <c r="D1392">
        <v>112</v>
      </c>
      <c r="E1392" t="s">
        <v>41</v>
      </c>
      <c r="F1392">
        <v>-65258.938000000002</v>
      </c>
      <c r="G1392">
        <v>5.5149999999999997</v>
      </c>
    </row>
    <row r="1393" spans="1:7" x14ac:dyDescent="0.2">
      <c r="A1393">
        <f t="shared" si="21"/>
        <v>69044</v>
      </c>
      <c r="B1393">
        <v>69</v>
      </c>
      <c r="C1393">
        <v>44</v>
      </c>
      <c r="D1393">
        <v>113</v>
      </c>
      <c r="E1393" t="s">
        <v>42</v>
      </c>
      <c r="F1393">
        <v>-71868.119000000006</v>
      </c>
      <c r="G1393">
        <v>36.875</v>
      </c>
    </row>
    <row r="1394" spans="1:7" x14ac:dyDescent="0.2">
      <c r="A1394">
        <f t="shared" si="21"/>
        <v>69045</v>
      </c>
      <c r="B1394">
        <v>69</v>
      </c>
      <c r="C1394">
        <v>45</v>
      </c>
      <c r="D1394">
        <v>114</v>
      </c>
      <c r="E1394" t="s">
        <v>43</v>
      </c>
      <c r="F1394">
        <v>-75710.625</v>
      </c>
      <c r="G1394">
        <v>71.561000000000007</v>
      </c>
    </row>
    <row r="1395" spans="1:7" x14ac:dyDescent="0.2">
      <c r="A1395">
        <f t="shared" si="21"/>
        <v>69046</v>
      </c>
      <c r="B1395">
        <v>69</v>
      </c>
      <c r="C1395">
        <v>46</v>
      </c>
      <c r="D1395">
        <v>115</v>
      </c>
      <c r="E1395" t="s">
        <v>44</v>
      </c>
      <c r="F1395">
        <v>-80426.385999999999</v>
      </c>
      <c r="G1395">
        <v>13.545999999999999</v>
      </c>
    </row>
    <row r="1396" spans="1:7" x14ac:dyDescent="0.2">
      <c r="A1396">
        <f t="shared" si="21"/>
        <v>69047</v>
      </c>
      <c r="B1396">
        <v>69</v>
      </c>
      <c r="C1396">
        <v>47</v>
      </c>
      <c r="D1396">
        <v>116</v>
      </c>
      <c r="E1396" t="s">
        <v>45</v>
      </c>
      <c r="F1396">
        <v>-82542.653000000006</v>
      </c>
      <c r="G1396">
        <v>3.26</v>
      </c>
    </row>
    <row r="1397" spans="1:7" x14ac:dyDescent="0.2">
      <c r="A1397">
        <f t="shared" si="21"/>
        <v>69048</v>
      </c>
      <c r="B1397">
        <v>69</v>
      </c>
      <c r="C1397">
        <v>48</v>
      </c>
      <c r="D1397">
        <v>117</v>
      </c>
      <c r="E1397" t="s">
        <v>46</v>
      </c>
      <c r="F1397">
        <v>-86418.388999999996</v>
      </c>
      <c r="G1397">
        <v>1.0129999999999999</v>
      </c>
    </row>
    <row r="1398" spans="1:7" x14ac:dyDescent="0.2">
      <c r="A1398">
        <f t="shared" si="21"/>
        <v>69049</v>
      </c>
      <c r="B1398">
        <v>69</v>
      </c>
      <c r="C1398">
        <v>49</v>
      </c>
      <c r="D1398">
        <v>118</v>
      </c>
      <c r="E1398" t="s">
        <v>47</v>
      </c>
      <c r="F1398">
        <v>-87228.210999999996</v>
      </c>
      <c r="G1398">
        <v>7.7519999999999998</v>
      </c>
    </row>
    <row r="1399" spans="1:7" x14ac:dyDescent="0.2">
      <c r="A1399">
        <f t="shared" si="21"/>
        <v>69050</v>
      </c>
      <c r="B1399">
        <v>69</v>
      </c>
      <c r="C1399">
        <v>50</v>
      </c>
      <c r="D1399">
        <v>119</v>
      </c>
      <c r="E1399" t="s">
        <v>48</v>
      </c>
      <c r="F1399">
        <v>-90065.021999999997</v>
      </c>
      <c r="G1399">
        <v>0.72499999999999998</v>
      </c>
    </row>
    <row r="1400" spans="1:7" x14ac:dyDescent="0.2">
      <c r="A1400">
        <f t="shared" si="21"/>
        <v>69051</v>
      </c>
      <c r="B1400">
        <v>69</v>
      </c>
      <c r="C1400">
        <v>51</v>
      </c>
      <c r="D1400">
        <v>120</v>
      </c>
      <c r="E1400" t="s">
        <v>49</v>
      </c>
      <c r="F1400">
        <v>-88417.760999999999</v>
      </c>
      <c r="G1400">
        <v>7.1959999999999997</v>
      </c>
    </row>
    <row r="1401" spans="1:7" x14ac:dyDescent="0.2">
      <c r="A1401">
        <f t="shared" si="21"/>
        <v>69052</v>
      </c>
      <c r="B1401">
        <v>69</v>
      </c>
      <c r="C1401">
        <v>52</v>
      </c>
      <c r="D1401">
        <v>121</v>
      </c>
      <c r="E1401" t="s">
        <v>50</v>
      </c>
      <c r="F1401">
        <v>-88545.501999999993</v>
      </c>
      <c r="G1401">
        <v>25.85</v>
      </c>
    </row>
    <row r="1402" spans="1:7" x14ac:dyDescent="0.2">
      <c r="A1402">
        <f t="shared" si="21"/>
        <v>69053</v>
      </c>
      <c r="B1402">
        <v>69</v>
      </c>
      <c r="C1402">
        <v>53</v>
      </c>
      <c r="D1402">
        <v>122</v>
      </c>
      <c r="E1402" t="s">
        <v>51</v>
      </c>
      <c r="F1402">
        <v>-86080.46</v>
      </c>
      <c r="G1402">
        <v>5.2220000000000004</v>
      </c>
    </row>
    <row r="1403" spans="1:7" x14ac:dyDescent="0.2">
      <c r="A1403">
        <f t="shared" si="21"/>
        <v>69054</v>
      </c>
      <c r="B1403">
        <v>69</v>
      </c>
      <c r="C1403">
        <v>54</v>
      </c>
      <c r="D1403">
        <v>123</v>
      </c>
      <c r="E1403" t="s">
        <v>52</v>
      </c>
      <c r="F1403">
        <v>-85248.701000000001</v>
      </c>
      <c r="G1403">
        <v>9.5370000000000008</v>
      </c>
    </row>
    <row r="1404" spans="1:7" x14ac:dyDescent="0.2">
      <c r="A1404">
        <f t="shared" si="21"/>
        <v>69055</v>
      </c>
      <c r="B1404">
        <v>69</v>
      </c>
      <c r="C1404">
        <v>55</v>
      </c>
      <c r="D1404">
        <v>124</v>
      </c>
      <c r="E1404" t="s">
        <v>53</v>
      </c>
      <c r="F1404">
        <v>-81731.334000000003</v>
      </c>
      <c r="G1404">
        <v>8.3040000000000003</v>
      </c>
    </row>
    <row r="1405" spans="1:7" x14ac:dyDescent="0.2">
      <c r="A1405">
        <f t="shared" si="21"/>
        <v>69056</v>
      </c>
      <c r="B1405">
        <v>69</v>
      </c>
      <c r="C1405">
        <v>56</v>
      </c>
      <c r="D1405">
        <v>125</v>
      </c>
      <c r="E1405" t="s">
        <v>54</v>
      </c>
      <c r="F1405">
        <v>-79668.964999999997</v>
      </c>
      <c r="G1405">
        <v>10.992000000000001</v>
      </c>
    </row>
    <row r="1406" spans="1:7" x14ac:dyDescent="0.2">
      <c r="A1406">
        <f t="shared" si="21"/>
        <v>69057</v>
      </c>
      <c r="B1406">
        <v>69</v>
      </c>
      <c r="C1406">
        <v>57</v>
      </c>
      <c r="D1406">
        <v>126</v>
      </c>
      <c r="E1406" t="s">
        <v>55</v>
      </c>
      <c r="F1406">
        <v>-74973.467999999993</v>
      </c>
      <c r="G1406">
        <v>90.507999999999996</v>
      </c>
    </row>
    <row r="1407" spans="1:7" x14ac:dyDescent="0.2">
      <c r="A1407">
        <f t="shared" si="21"/>
        <v>69058</v>
      </c>
      <c r="B1407">
        <v>69</v>
      </c>
      <c r="C1407">
        <v>58</v>
      </c>
      <c r="D1407">
        <v>127</v>
      </c>
      <c r="E1407" t="s">
        <v>56</v>
      </c>
      <c r="F1407">
        <v>-71979.335999999996</v>
      </c>
      <c r="G1407">
        <v>28.876000000000001</v>
      </c>
    </row>
    <row r="1408" spans="1:7" x14ac:dyDescent="0.2">
      <c r="A1408">
        <f t="shared" si="21"/>
        <v>69059</v>
      </c>
      <c r="B1408">
        <v>69</v>
      </c>
      <c r="C1408">
        <v>59</v>
      </c>
      <c r="D1408">
        <v>128</v>
      </c>
      <c r="E1408" t="s">
        <v>57</v>
      </c>
      <c r="F1408">
        <v>-66330.756999999998</v>
      </c>
      <c r="G1408">
        <v>29.808</v>
      </c>
    </row>
    <row r="1409" spans="1:7" x14ac:dyDescent="0.2">
      <c r="A1409">
        <f t="shared" ref="A1409:A1472" si="22">1000*B1409+C1409</f>
        <v>69060</v>
      </c>
      <c r="B1409">
        <v>69</v>
      </c>
      <c r="C1409">
        <v>60</v>
      </c>
      <c r="D1409">
        <v>129</v>
      </c>
      <c r="E1409" t="s">
        <v>58</v>
      </c>
      <c r="F1409" t="s">
        <v>977</v>
      </c>
      <c r="G1409" t="s">
        <v>230</v>
      </c>
    </row>
    <row r="1410" spans="1:7" x14ac:dyDescent="0.2">
      <c r="A1410">
        <f t="shared" si="22"/>
        <v>69061</v>
      </c>
      <c r="B1410">
        <v>69</v>
      </c>
      <c r="C1410">
        <v>61</v>
      </c>
      <c r="D1410">
        <v>130</v>
      </c>
      <c r="E1410" t="s">
        <v>59</v>
      </c>
      <c r="F1410" t="s">
        <v>980</v>
      </c>
      <c r="G1410" t="s">
        <v>206</v>
      </c>
    </row>
    <row r="1411" spans="1:7" x14ac:dyDescent="0.2">
      <c r="A1411">
        <f t="shared" si="22"/>
        <v>69062</v>
      </c>
      <c r="B1411">
        <v>69</v>
      </c>
      <c r="C1411">
        <v>62</v>
      </c>
      <c r="D1411">
        <v>131</v>
      </c>
      <c r="E1411" t="s">
        <v>60</v>
      </c>
      <c r="F1411" t="s">
        <v>985</v>
      </c>
      <c r="G1411" t="s">
        <v>199</v>
      </c>
    </row>
    <row r="1412" spans="1:7" x14ac:dyDescent="0.2">
      <c r="A1412">
        <f t="shared" si="22"/>
        <v>69063</v>
      </c>
      <c r="B1412">
        <v>69</v>
      </c>
      <c r="C1412">
        <v>63</v>
      </c>
      <c r="D1412">
        <v>132</v>
      </c>
      <c r="E1412" t="s">
        <v>61</v>
      </c>
      <c r="F1412" t="s">
        <v>991</v>
      </c>
      <c r="G1412" t="s">
        <v>197</v>
      </c>
    </row>
    <row r="1413" spans="1:7" x14ac:dyDescent="0.2">
      <c r="A1413">
        <f t="shared" si="22"/>
        <v>69064</v>
      </c>
      <c r="B1413">
        <v>69</v>
      </c>
      <c r="C1413">
        <v>64</v>
      </c>
      <c r="D1413">
        <v>133</v>
      </c>
      <c r="E1413" t="s">
        <v>62</v>
      </c>
      <c r="F1413" t="s">
        <v>994</v>
      </c>
      <c r="G1413" t="s">
        <v>245</v>
      </c>
    </row>
    <row r="1414" spans="1:7" x14ac:dyDescent="0.2">
      <c r="A1414">
        <f t="shared" si="22"/>
        <v>70039</v>
      </c>
      <c r="B1414">
        <v>70</v>
      </c>
      <c r="C1414">
        <v>39</v>
      </c>
      <c r="D1414">
        <v>109</v>
      </c>
      <c r="E1414" t="s">
        <v>37</v>
      </c>
      <c r="F1414" t="s">
        <v>900</v>
      </c>
      <c r="G1414" t="s">
        <v>679</v>
      </c>
    </row>
    <row r="1415" spans="1:7" x14ac:dyDescent="0.2">
      <c r="A1415">
        <f t="shared" si="22"/>
        <v>70040</v>
      </c>
      <c r="B1415">
        <v>70</v>
      </c>
      <c r="C1415">
        <v>40</v>
      </c>
      <c r="D1415">
        <v>110</v>
      </c>
      <c r="E1415" t="s">
        <v>38</v>
      </c>
      <c r="F1415" t="s">
        <v>902</v>
      </c>
      <c r="G1415" t="s">
        <v>211</v>
      </c>
    </row>
    <row r="1416" spans="1:7" x14ac:dyDescent="0.2">
      <c r="A1416">
        <f t="shared" si="22"/>
        <v>70041</v>
      </c>
      <c r="B1416">
        <v>70</v>
      </c>
      <c r="C1416">
        <v>41</v>
      </c>
      <c r="D1416">
        <v>111</v>
      </c>
      <c r="E1416" t="s">
        <v>39</v>
      </c>
      <c r="F1416" t="s">
        <v>904</v>
      </c>
      <c r="G1416" t="s">
        <v>202</v>
      </c>
    </row>
    <row r="1417" spans="1:7" x14ac:dyDescent="0.2">
      <c r="A1417">
        <f t="shared" si="22"/>
        <v>70042</v>
      </c>
      <c r="B1417">
        <v>70</v>
      </c>
      <c r="C1417">
        <v>42</v>
      </c>
      <c r="D1417">
        <v>112</v>
      </c>
      <c r="E1417" t="s">
        <v>40</v>
      </c>
      <c r="F1417" t="s">
        <v>908</v>
      </c>
      <c r="G1417" t="s">
        <v>206</v>
      </c>
    </row>
    <row r="1418" spans="1:7" x14ac:dyDescent="0.2">
      <c r="A1418">
        <f t="shared" si="22"/>
        <v>70043</v>
      </c>
      <c r="B1418">
        <v>70</v>
      </c>
      <c r="C1418">
        <v>43</v>
      </c>
      <c r="D1418">
        <v>113</v>
      </c>
      <c r="E1418" t="s">
        <v>41</v>
      </c>
      <c r="F1418">
        <v>-62811.540999999997</v>
      </c>
      <c r="G1418">
        <v>3.3530000000000002</v>
      </c>
    </row>
    <row r="1419" spans="1:7" x14ac:dyDescent="0.2">
      <c r="A1419">
        <f t="shared" si="22"/>
        <v>70044</v>
      </c>
      <c r="B1419">
        <v>70</v>
      </c>
      <c r="C1419">
        <v>44</v>
      </c>
      <c r="D1419">
        <v>114</v>
      </c>
      <c r="E1419" t="s">
        <v>42</v>
      </c>
      <c r="F1419">
        <v>-70221.811000000002</v>
      </c>
      <c r="G1419">
        <v>3.55</v>
      </c>
    </row>
    <row r="1420" spans="1:7" x14ac:dyDescent="0.2">
      <c r="A1420">
        <f t="shared" si="22"/>
        <v>70045</v>
      </c>
      <c r="B1420">
        <v>70</v>
      </c>
      <c r="C1420">
        <v>45</v>
      </c>
      <c r="D1420">
        <v>115</v>
      </c>
      <c r="E1420" t="s">
        <v>43</v>
      </c>
      <c r="F1420">
        <v>-74229.831000000006</v>
      </c>
      <c r="G1420">
        <v>7.3159999999999998</v>
      </c>
    </row>
    <row r="1421" spans="1:7" x14ac:dyDescent="0.2">
      <c r="A1421">
        <f t="shared" si="22"/>
        <v>70046</v>
      </c>
      <c r="B1421">
        <v>70</v>
      </c>
      <c r="C1421">
        <v>46</v>
      </c>
      <c r="D1421">
        <v>116</v>
      </c>
      <c r="E1421" t="s">
        <v>44</v>
      </c>
      <c r="F1421">
        <v>-79831.634999999995</v>
      </c>
      <c r="G1421">
        <v>7.1319999999999997</v>
      </c>
    </row>
    <row r="1422" spans="1:7" x14ac:dyDescent="0.2">
      <c r="A1422">
        <f t="shared" si="22"/>
        <v>70047</v>
      </c>
      <c r="B1422">
        <v>70</v>
      </c>
      <c r="C1422">
        <v>47</v>
      </c>
      <c r="D1422">
        <v>117</v>
      </c>
      <c r="E1422" t="s">
        <v>45</v>
      </c>
      <c r="F1422">
        <v>-82182.013999999996</v>
      </c>
      <c r="G1422">
        <v>13.571999999999999</v>
      </c>
    </row>
    <row r="1423" spans="1:7" x14ac:dyDescent="0.2">
      <c r="A1423">
        <f t="shared" si="22"/>
        <v>70048</v>
      </c>
      <c r="B1423">
        <v>70</v>
      </c>
      <c r="C1423">
        <v>48</v>
      </c>
      <c r="D1423">
        <v>118</v>
      </c>
      <c r="E1423" t="s">
        <v>46</v>
      </c>
      <c r="F1423">
        <v>-86701.641000000003</v>
      </c>
      <c r="G1423">
        <v>20.001000000000001</v>
      </c>
    </row>
    <row r="1424" spans="1:7" x14ac:dyDescent="0.2">
      <c r="A1424">
        <f t="shared" si="22"/>
        <v>70049</v>
      </c>
      <c r="B1424">
        <v>70</v>
      </c>
      <c r="C1424">
        <v>49</v>
      </c>
      <c r="D1424">
        <v>119</v>
      </c>
      <c r="E1424" t="s">
        <v>47</v>
      </c>
      <c r="F1424">
        <v>-87699.281000000003</v>
      </c>
      <c r="G1424">
        <v>7.3070000000000004</v>
      </c>
    </row>
    <row r="1425" spans="1:7" x14ac:dyDescent="0.2">
      <c r="A1425">
        <f t="shared" si="22"/>
        <v>70050</v>
      </c>
      <c r="B1425">
        <v>70</v>
      </c>
      <c r="C1425">
        <v>50</v>
      </c>
      <c r="D1425">
        <v>120</v>
      </c>
      <c r="E1425" t="s">
        <v>48</v>
      </c>
      <c r="F1425">
        <v>-91098.369000000006</v>
      </c>
      <c r="G1425">
        <v>0.89600000000000002</v>
      </c>
    </row>
    <row r="1426" spans="1:7" x14ac:dyDescent="0.2">
      <c r="A1426">
        <f t="shared" si="22"/>
        <v>70051</v>
      </c>
      <c r="B1426">
        <v>70</v>
      </c>
      <c r="C1426">
        <v>51</v>
      </c>
      <c r="D1426">
        <v>121</v>
      </c>
      <c r="E1426" t="s">
        <v>49</v>
      </c>
      <c r="F1426">
        <v>-89600.320999999996</v>
      </c>
      <c r="G1426">
        <v>2.5819999999999999</v>
      </c>
    </row>
    <row r="1427" spans="1:7" x14ac:dyDescent="0.2">
      <c r="A1427">
        <f t="shared" si="22"/>
        <v>70052</v>
      </c>
      <c r="B1427">
        <v>70</v>
      </c>
      <c r="C1427">
        <v>52</v>
      </c>
      <c r="D1427">
        <v>122</v>
      </c>
      <c r="E1427" t="s">
        <v>50</v>
      </c>
      <c r="F1427">
        <v>-90314.46</v>
      </c>
      <c r="G1427">
        <v>1.5069999999999999</v>
      </c>
    </row>
    <row r="1428" spans="1:7" x14ac:dyDescent="0.2">
      <c r="A1428">
        <f t="shared" si="22"/>
        <v>70053</v>
      </c>
      <c r="B1428">
        <v>70</v>
      </c>
      <c r="C1428">
        <v>53</v>
      </c>
      <c r="D1428">
        <v>123</v>
      </c>
      <c r="E1428" t="s">
        <v>51</v>
      </c>
      <c r="F1428">
        <v>-87943.726999999999</v>
      </c>
      <c r="G1428">
        <v>3.74</v>
      </c>
    </row>
    <row r="1429" spans="1:7" x14ac:dyDescent="0.2">
      <c r="A1429">
        <f t="shared" si="22"/>
        <v>70054</v>
      </c>
      <c r="B1429">
        <v>70</v>
      </c>
      <c r="C1429">
        <v>54</v>
      </c>
      <c r="D1429">
        <v>124</v>
      </c>
      <c r="E1429" t="s">
        <v>52</v>
      </c>
      <c r="F1429">
        <v>-87661.421000000002</v>
      </c>
      <c r="G1429">
        <v>1.7929999999999999</v>
      </c>
    </row>
    <row r="1430" spans="1:7" x14ac:dyDescent="0.2">
      <c r="A1430">
        <f t="shared" si="22"/>
        <v>70055</v>
      </c>
      <c r="B1430">
        <v>70</v>
      </c>
      <c r="C1430">
        <v>55</v>
      </c>
      <c r="D1430">
        <v>125</v>
      </c>
      <c r="E1430" t="s">
        <v>53</v>
      </c>
      <c r="F1430">
        <v>-84087.95</v>
      </c>
      <c r="G1430">
        <v>7.7439999999999998</v>
      </c>
    </row>
    <row r="1431" spans="1:7" x14ac:dyDescent="0.2">
      <c r="A1431">
        <f t="shared" si="22"/>
        <v>70056</v>
      </c>
      <c r="B1431">
        <v>70</v>
      </c>
      <c r="C1431">
        <v>56</v>
      </c>
      <c r="D1431">
        <v>126</v>
      </c>
      <c r="E1431" t="s">
        <v>54</v>
      </c>
      <c r="F1431">
        <v>-82669.902000000002</v>
      </c>
      <c r="G1431">
        <v>12.497</v>
      </c>
    </row>
    <row r="1432" spans="1:7" x14ac:dyDescent="0.2">
      <c r="A1432">
        <f t="shared" si="22"/>
        <v>70057</v>
      </c>
      <c r="B1432">
        <v>70</v>
      </c>
      <c r="C1432">
        <v>57</v>
      </c>
      <c r="D1432">
        <v>127</v>
      </c>
      <c r="E1432" t="s">
        <v>55</v>
      </c>
      <c r="F1432">
        <v>-77896.107999999993</v>
      </c>
      <c r="G1432">
        <v>26</v>
      </c>
    </row>
    <row r="1433" spans="1:7" x14ac:dyDescent="0.2">
      <c r="A1433">
        <f t="shared" si="22"/>
        <v>70058</v>
      </c>
      <c r="B1433">
        <v>70</v>
      </c>
      <c r="C1433">
        <v>58</v>
      </c>
      <c r="D1433">
        <v>128</v>
      </c>
      <c r="E1433" t="s">
        <v>56</v>
      </c>
      <c r="F1433">
        <v>-75533.917000000001</v>
      </c>
      <c r="G1433">
        <v>27.945</v>
      </c>
    </row>
    <row r="1434" spans="1:7" x14ac:dyDescent="0.2">
      <c r="A1434">
        <f t="shared" si="22"/>
        <v>70059</v>
      </c>
      <c r="B1434">
        <v>70</v>
      </c>
      <c r="C1434">
        <v>59</v>
      </c>
      <c r="D1434">
        <v>129</v>
      </c>
      <c r="E1434" t="s">
        <v>57</v>
      </c>
      <c r="F1434">
        <v>-69773.558000000005</v>
      </c>
      <c r="G1434">
        <v>29.808</v>
      </c>
    </row>
    <row r="1435" spans="1:7" x14ac:dyDescent="0.2">
      <c r="A1435">
        <f t="shared" si="22"/>
        <v>70060</v>
      </c>
      <c r="B1435">
        <v>70</v>
      </c>
      <c r="C1435">
        <v>60</v>
      </c>
      <c r="D1435">
        <v>130</v>
      </c>
      <c r="E1435" t="s">
        <v>58</v>
      </c>
      <c r="F1435">
        <v>-66596.232000000004</v>
      </c>
      <c r="G1435">
        <v>27.945</v>
      </c>
    </row>
    <row r="1436" spans="1:7" x14ac:dyDescent="0.2">
      <c r="A1436">
        <f t="shared" si="22"/>
        <v>70061</v>
      </c>
      <c r="B1436">
        <v>70</v>
      </c>
      <c r="C1436">
        <v>61</v>
      </c>
      <c r="D1436">
        <v>131</v>
      </c>
      <c r="E1436" t="s">
        <v>59</v>
      </c>
      <c r="F1436" t="s">
        <v>984</v>
      </c>
      <c r="G1436" t="s">
        <v>204</v>
      </c>
    </row>
    <row r="1437" spans="1:7" x14ac:dyDescent="0.2">
      <c r="A1437">
        <f t="shared" si="22"/>
        <v>70062</v>
      </c>
      <c r="B1437">
        <v>70</v>
      </c>
      <c r="C1437">
        <v>62</v>
      </c>
      <c r="D1437">
        <v>132</v>
      </c>
      <c r="E1437" t="s">
        <v>60</v>
      </c>
      <c r="F1437" t="s">
        <v>990</v>
      </c>
      <c r="G1437" t="s">
        <v>202</v>
      </c>
    </row>
    <row r="1438" spans="1:7" x14ac:dyDescent="0.2">
      <c r="A1438">
        <f t="shared" si="22"/>
        <v>70063</v>
      </c>
      <c r="B1438">
        <v>70</v>
      </c>
      <c r="C1438">
        <v>63</v>
      </c>
      <c r="D1438">
        <v>133</v>
      </c>
      <c r="E1438" t="s">
        <v>61</v>
      </c>
      <c r="F1438" t="s">
        <v>264</v>
      </c>
      <c r="G1438" t="s">
        <v>202</v>
      </c>
    </row>
    <row r="1439" spans="1:7" x14ac:dyDescent="0.2">
      <c r="A1439">
        <f t="shared" si="22"/>
        <v>70064</v>
      </c>
      <c r="B1439">
        <v>70</v>
      </c>
      <c r="C1439">
        <v>64</v>
      </c>
      <c r="D1439">
        <v>134</v>
      </c>
      <c r="E1439" t="s">
        <v>62</v>
      </c>
      <c r="F1439" t="s">
        <v>997</v>
      </c>
      <c r="G1439" t="s">
        <v>199</v>
      </c>
    </row>
    <row r="1440" spans="1:7" x14ac:dyDescent="0.2">
      <c r="A1440">
        <f t="shared" si="22"/>
        <v>70065</v>
      </c>
      <c r="B1440">
        <v>70</v>
      </c>
      <c r="C1440">
        <v>65</v>
      </c>
      <c r="D1440">
        <v>135</v>
      </c>
      <c r="E1440" t="s">
        <v>63</v>
      </c>
      <c r="F1440" t="s">
        <v>1000</v>
      </c>
      <c r="G1440" t="s">
        <v>199</v>
      </c>
    </row>
    <row r="1441" spans="1:7" x14ac:dyDescent="0.2">
      <c r="A1441">
        <f t="shared" si="22"/>
        <v>71040</v>
      </c>
      <c r="B1441">
        <v>71</v>
      </c>
      <c r="C1441">
        <v>40</v>
      </c>
      <c r="D1441">
        <v>111</v>
      </c>
      <c r="E1441" t="s">
        <v>38</v>
      </c>
      <c r="F1441" t="s">
        <v>903</v>
      </c>
      <c r="G1441" t="s">
        <v>679</v>
      </c>
    </row>
    <row r="1442" spans="1:7" x14ac:dyDescent="0.2">
      <c r="A1442">
        <f t="shared" si="22"/>
        <v>71041</v>
      </c>
      <c r="B1442">
        <v>71</v>
      </c>
      <c r="C1442">
        <v>41</v>
      </c>
      <c r="D1442">
        <v>112</v>
      </c>
      <c r="E1442" t="s">
        <v>39</v>
      </c>
      <c r="F1442" t="s">
        <v>907</v>
      </c>
      <c r="G1442" t="s">
        <v>202</v>
      </c>
    </row>
    <row r="1443" spans="1:7" x14ac:dyDescent="0.2">
      <c r="A1443">
        <f t="shared" si="22"/>
        <v>71042</v>
      </c>
      <c r="B1443">
        <v>71</v>
      </c>
      <c r="C1443">
        <v>42</v>
      </c>
      <c r="D1443">
        <v>113</v>
      </c>
      <c r="E1443" t="s">
        <v>40</v>
      </c>
      <c r="F1443" t="s">
        <v>266</v>
      </c>
      <c r="G1443" t="s">
        <v>235</v>
      </c>
    </row>
    <row r="1444" spans="1:7" x14ac:dyDescent="0.2">
      <c r="A1444">
        <f t="shared" si="22"/>
        <v>71043</v>
      </c>
      <c r="B1444">
        <v>71</v>
      </c>
      <c r="C1444">
        <v>43</v>
      </c>
      <c r="D1444">
        <v>114</v>
      </c>
      <c r="E1444" t="s">
        <v>41</v>
      </c>
      <c r="F1444">
        <v>-58600.288</v>
      </c>
      <c r="G1444">
        <v>433.14499999999998</v>
      </c>
    </row>
    <row r="1445" spans="1:7" x14ac:dyDescent="0.2">
      <c r="A1445">
        <f t="shared" si="22"/>
        <v>71044</v>
      </c>
      <c r="B1445">
        <v>71</v>
      </c>
      <c r="C1445">
        <v>44</v>
      </c>
      <c r="D1445">
        <v>115</v>
      </c>
      <c r="E1445" t="s">
        <v>42</v>
      </c>
      <c r="F1445">
        <v>-66189.733999999997</v>
      </c>
      <c r="G1445">
        <v>88.495999999999995</v>
      </c>
    </row>
    <row r="1446" spans="1:7" x14ac:dyDescent="0.2">
      <c r="A1446">
        <f t="shared" si="22"/>
        <v>71045</v>
      </c>
      <c r="B1446">
        <v>71</v>
      </c>
      <c r="C1446">
        <v>45</v>
      </c>
      <c r="D1446">
        <v>116</v>
      </c>
      <c r="E1446" t="s">
        <v>43</v>
      </c>
      <c r="F1446">
        <v>-70736.122000000003</v>
      </c>
      <c r="G1446">
        <v>73.831999999999994</v>
      </c>
    </row>
    <row r="1447" spans="1:7" x14ac:dyDescent="0.2">
      <c r="A1447">
        <f t="shared" si="22"/>
        <v>71046</v>
      </c>
      <c r="B1447">
        <v>71</v>
      </c>
      <c r="C1447">
        <v>46</v>
      </c>
      <c r="D1447">
        <v>117</v>
      </c>
      <c r="E1447" t="s">
        <v>44</v>
      </c>
      <c r="F1447">
        <v>-76424.476999999999</v>
      </c>
      <c r="G1447">
        <v>7.2519999999999998</v>
      </c>
    </row>
    <row r="1448" spans="1:7" x14ac:dyDescent="0.2">
      <c r="A1448">
        <f t="shared" si="22"/>
        <v>71047</v>
      </c>
      <c r="B1448">
        <v>71</v>
      </c>
      <c r="C1448">
        <v>47</v>
      </c>
      <c r="D1448">
        <v>118</v>
      </c>
      <c r="E1448" t="s">
        <v>45</v>
      </c>
      <c r="F1448">
        <v>-79553.792000000001</v>
      </c>
      <c r="G1448">
        <v>2.5150000000000001</v>
      </c>
    </row>
    <row r="1449" spans="1:7" x14ac:dyDescent="0.2">
      <c r="A1449">
        <f t="shared" si="22"/>
        <v>71048</v>
      </c>
      <c r="B1449">
        <v>71</v>
      </c>
      <c r="C1449">
        <v>48</v>
      </c>
      <c r="D1449">
        <v>119</v>
      </c>
      <c r="E1449" t="s">
        <v>46</v>
      </c>
      <c r="F1449">
        <v>-83977.067999999999</v>
      </c>
      <c r="G1449">
        <v>37.695</v>
      </c>
    </row>
    <row r="1450" spans="1:7" x14ac:dyDescent="0.2">
      <c r="A1450">
        <f t="shared" si="22"/>
        <v>71049</v>
      </c>
      <c r="B1450">
        <v>71</v>
      </c>
      <c r="C1450">
        <v>49</v>
      </c>
      <c r="D1450">
        <v>120</v>
      </c>
      <c r="E1450" t="s">
        <v>47</v>
      </c>
      <c r="F1450">
        <v>-85728.369000000006</v>
      </c>
      <c r="G1450">
        <v>40.01</v>
      </c>
    </row>
    <row r="1451" spans="1:7" x14ac:dyDescent="0.2">
      <c r="A1451">
        <f t="shared" si="22"/>
        <v>71050</v>
      </c>
      <c r="B1451">
        <v>71</v>
      </c>
      <c r="C1451">
        <v>50</v>
      </c>
      <c r="D1451">
        <v>121</v>
      </c>
      <c r="E1451" t="s">
        <v>48</v>
      </c>
      <c r="F1451">
        <v>-89197.264999999999</v>
      </c>
      <c r="G1451">
        <v>0.95499999999999996</v>
      </c>
    </row>
    <row r="1452" spans="1:7" x14ac:dyDescent="0.2">
      <c r="A1452">
        <f t="shared" si="22"/>
        <v>71051</v>
      </c>
      <c r="B1452">
        <v>71</v>
      </c>
      <c r="C1452">
        <v>51</v>
      </c>
      <c r="D1452">
        <v>122</v>
      </c>
      <c r="E1452" t="s">
        <v>49</v>
      </c>
      <c r="F1452">
        <v>-88335.37</v>
      </c>
      <c r="G1452">
        <v>2.5779999999999998</v>
      </c>
    </row>
    <row r="1453" spans="1:7" x14ac:dyDescent="0.2">
      <c r="A1453">
        <f t="shared" si="22"/>
        <v>71052</v>
      </c>
      <c r="B1453">
        <v>71</v>
      </c>
      <c r="C1453">
        <v>52</v>
      </c>
      <c r="D1453">
        <v>123</v>
      </c>
      <c r="E1453" t="s">
        <v>50</v>
      </c>
      <c r="F1453">
        <v>-89172.156000000003</v>
      </c>
      <c r="G1453">
        <v>1.5049999999999999</v>
      </c>
    </row>
    <row r="1454" spans="1:7" x14ac:dyDescent="0.2">
      <c r="A1454">
        <f t="shared" si="22"/>
        <v>71053</v>
      </c>
      <c r="B1454">
        <v>71</v>
      </c>
      <c r="C1454">
        <v>53</v>
      </c>
      <c r="D1454">
        <v>124</v>
      </c>
      <c r="E1454" t="s">
        <v>51</v>
      </c>
      <c r="F1454">
        <v>-87365.733999999997</v>
      </c>
      <c r="G1454">
        <v>2.39</v>
      </c>
    </row>
    <row r="1455" spans="1:7" x14ac:dyDescent="0.2">
      <c r="A1455">
        <f t="shared" si="22"/>
        <v>71054</v>
      </c>
      <c r="B1455">
        <v>71</v>
      </c>
      <c r="C1455">
        <v>54</v>
      </c>
      <c r="D1455">
        <v>125</v>
      </c>
      <c r="E1455" t="s">
        <v>52</v>
      </c>
      <c r="F1455">
        <v>-87193.380999999994</v>
      </c>
      <c r="G1455">
        <v>1.8360000000000001</v>
      </c>
    </row>
    <row r="1456" spans="1:7" x14ac:dyDescent="0.2">
      <c r="A1456">
        <f t="shared" si="22"/>
        <v>71055</v>
      </c>
      <c r="B1456">
        <v>71</v>
      </c>
      <c r="C1456">
        <v>55</v>
      </c>
      <c r="D1456">
        <v>126</v>
      </c>
      <c r="E1456" t="s">
        <v>53</v>
      </c>
      <c r="F1456">
        <v>-84350.828999999998</v>
      </c>
      <c r="G1456">
        <v>10.401</v>
      </c>
    </row>
    <row r="1457" spans="1:7" x14ac:dyDescent="0.2">
      <c r="A1457">
        <f t="shared" si="22"/>
        <v>71056</v>
      </c>
      <c r="B1457">
        <v>71</v>
      </c>
      <c r="C1457">
        <v>56</v>
      </c>
      <c r="D1457">
        <v>127</v>
      </c>
      <c r="E1457" t="s">
        <v>54</v>
      </c>
      <c r="F1457">
        <v>-82817.944000000003</v>
      </c>
      <c r="G1457">
        <v>11.356999999999999</v>
      </c>
    </row>
    <row r="1458" spans="1:7" x14ac:dyDescent="0.2">
      <c r="A1458">
        <f t="shared" si="22"/>
        <v>71057</v>
      </c>
      <c r="B1458">
        <v>71</v>
      </c>
      <c r="C1458">
        <v>57</v>
      </c>
      <c r="D1458">
        <v>128</v>
      </c>
      <c r="E1458" t="s">
        <v>55</v>
      </c>
      <c r="F1458">
        <v>-78625.430999999997</v>
      </c>
      <c r="G1458">
        <v>54.448</v>
      </c>
    </row>
    <row r="1459" spans="1:7" x14ac:dyDescent="0.2">
      <c r="A1459">
        <f t="shared" si="22"/>
        <v>71058</v>
      </c>
      <c r="B1459">
        <v>71</v>
      </c>
      <c r="C1459">
        <v>58</v>
      </c>
      <c r="D1459">
        <v>129</v>
      </c>
      <c r="E1459" t="s">
        <v>56</v>
      </c>
      <c r="F1459">
        <v>-76287.495999999999</v>
      </c>
      <c r="G1459">
        <v>27.945</v>
      </c>
    </row>
    <row r="1460" spans="1:7" x14ac:dyDescent="0.2">
      <c r="A1460">
        <f t="shared" si="22"/>
        <v>71059</v>
      </c>
      <c r="B1460">
        <v>71</v>
      </c>
      <c r="C1460">
        <v>59</v>
      </c>
      <c r="D1460">
        <v>130</v>
      </c>
      <c r="E1460" t="s">
        <v>57</v>
      </c>
      <c r="F1460">
        <v>-71175.456999999995</v>
      </c>
      <c r="G1460">
        <v>64.272999999999996</v>
      </c>
    </row>
    <row r="1461" spans="1:7" x14ac:dyDescent="0.2">
      <c r="A1461">
        <f t="shared" si="22"/>
        <v>71060</v>
      </c>
      <c r="B1461">
        <v>71</v>
      </c>
      <c r="C1461">
        <v>60</v>
      </c>
      <c r="D1461">
        <v>131</v>
      </c>
      <c r="E1461" t="s">
        <v>58</v>
      </c>
      <c r="F1461">
        <v>-67768.032999999996</v>
      </c>
      <c r="G1461">
        <v>27.516999999999999</v>
      </c>
    </row>
    <row r="1462" spans="1:7" x14ac:dyDescent="0.2">
      <c r="A1462">
        <f t="shared" si="22"/>
        <v>71061</v>
      </c>
      <c r="B1462">
        <v>71</v>
      </c>
      <c r="C1462">
        <v>61</v>
      </c>
      <c r="D1462">
        <v>132</v>
      </c>
      <c r="E1462" t="s">
        <v>59</v>
      </c>
      <c r="F1462" t="s">
        <v>989</v>
      </c>
      <c r="G1462" t="s">
        <v>221</v>
      </c>
    </row>
    <row r="1463" spans="1:7" x14ac:dyDescent="0.2">
      <c r="A1463">
        <f t="shared" si="22"/>
        <v>71062</v>
      </c>
      <c r="B1463">
        <v>71</v>
      </c>
      <c r="C1463">
        <v>62</v>
      </c>
      <c r="D1463">
        <v>133</v>
      </c>
      <c r="E1463" t="s">
        <v>60</v>
      </c>
      <c r="F1463" t="s">
        <v>993</v>
      </c>
      <c r="G1463" t="s">
        <v>202</v>
      </c>
    </row>
    <row r="1464" spans="1:7" x14ac:dyDescent="0.2">
      <c r="A1464">
        <f t="shared" si="22"/>
        <v>71063</v>
      </c>
      <c r="B1464">
        <v>71</v>
      </c>
      <c r="C1464">
        <v>63</v>
      </c>
      <c r="D1464">
        <v>134</v>
      </c>
      <c r="E1464" t="s">
        <v>61</v>
      </c>
      <c r="F1464" t="s">
        <v>996</v>
      </c>
      <c r="G1464" t="s">
        <v>202</v>
      </c>
    </row>
    <row r="1465" spans="1:7" x14ac:dyDescent="0.2">
      <c r="A1465">
        <f t="shared" si="22"/>
        <v>71064</v>
      </c>
      <c r="B1465">
        <v>71</v>
      </c>
      <c r="C1465">
        <v>64</v>
      </c>
      <c r="D1465">
        <v>135</v>
      </c>
      <c r="E1465" t="s">
        <v>62</v>
      </c>
      <c r="F1465" t="s">
        <v>999</v>
      </c>
      <c r="G1465" t="s">
        <v>197</v>
      </c>
    </row>
    <row r="1466" spans="1:7" x14ac:dyDescent="0.2">
      <c r="A1466">
        <f t="shared" si="22"/>
        <v>71065</v>
      </c>
      <c r="B1466">
        <v>71</v>
      </c>
      <c r="C1466">
        <v>65</v>
      </c>
      <c r="D1466">
        <v>136</v>
      </c>
      <c r="E1466" t="s">
        <v>63</v>
      </c>
      <c r="F1466" t="s">
        <v>1003</v>
      </c>
      <c r="G1466" t="s">
        <v>245</v>
      </c>
    </row>
    <row r="1467" spans="1:7" x14ac:dyDescent="0.2">
      <c r="A1467">
        <f t="shared" si="22"/>
        <v>72040</v>
      </c>
      <c r="B1467">
        <v>72</v>
      </c>
      <c r="C1467">
        <v>40</v>
      </c>
      <c r="D1467">
        <v>112</v>
      </c>
      <c r="E1467" t="s">
        <v>38</v>
      </c>
      <c r="F1467" t="s">
        <v>906</v>
      </c>
      <c r="G1467" t="s">
        <v>679</v>
      </c>
    </row>
    <row r="1468" spans="1:7" x14ac:dyDescent="0.2">
      <c r="A1468">
        <f t="shared" si="22"/>
        <v>72041</v>
      </c>
      <c r="B1468">
        <v>72</v>
      </c>
      <c r="C1468">
        <v>41</v>
      </c>
      <c r="D1468">
        <v>113</v>
      </c>
      <c r="E1468" t="s">
        <v>39</v>
      </c>
      <c r="F1468" t="s">
        <v>909</v>
      </c>
      <c r="G1468" t="s">
        <v>199</v>
      </c>
    </row>
    <row r="1469" spans="1:7" x14ac:dyDescent="0.2">
      <c r="A1469">
        <f t="shared" si="22"/>
        <v>72042</v>
      </c>
      <c r="B1469">
        <v>72</v>
      </c>
      <c r="C1469">
        <v>42</v>
      </c>
      <c r="D1469">
        <v>114</v>
      </c>
      <c r="E1469" t="s">
        <v>40</v>
      </c>
      <c r="F1469" t="s">
        <v>912</v>
      </c>
      <c r="G1469" t="s">
        <v>202</v>
      </c>
    </row>
    <row r="1470" spans="1:7" x14ac:dyDescent="0.2">
      <c r="A1470">
        <f t="shared" si="22"/>
        <v>72043</v>
      </c>
      <c r="B1470">
        <v>72</v>
      </c>
      <c r="C1470">
        <v>43</v>
      </c>
      <c r="D1470">
        <v>115</v>
      </c>
      <c r="E1470" t="s">
        <v>41</v>
      </c>
      <c r="F1470">
        <v>-56319.99</v>
      </c>
      <c r="G1470">
        <v>789.44100000000003</v>
      </c>
    </row>
    <row r="1471" spans="1:7" x14ac:dyDescent="0.2">
      <c r="A1471">
        <f t="shared" si="22"/>
        <v>72044</v>
      </c>
      <c r="B1471">
        <v>72</v>
      </c>
      <c r="C1471">
        <v>44</v>
      </c>
      <c r="D1471">
        <v>116</v>
      </c>
      <c r="E1471" t="s">
        <v>42</v>
      </c>
      <c r="F1471">
        <v>-64068.909</v>
      </c>
      <c r="G1471">
        <v>3.726</v>
      </c>
    </row>
    <row r="1472" spans="1:7" x14ac:dyDescent="0.2">
      <c r="A1472">
        <f t="shared" si="22"/>
        <v>72045</v>
      </c>
      <c r="B1472">
        <v>72</v>
      </c>
      <c r="C1472">
        <v>45</v>
      </c>
      <c r="D1472">
        <v>117</v>
      </c>
      <c r="E1472" t="s">
        <v>43</v>
      </c>
      <c r="F1472">
        <v>-68897.373000000007</v>
      </c>
      <c r="G1472">
        <v>8.8919999999999995</v>
      </c>
    </row>
    <row r="1473" spans="1:7" x14ac:dyDescent="0.2">
      <c r="A1473">
        <f t="shared" ref="A1473:A1536" si="23">1000*B1473+C1473</f>
        <v>72046</v>
      </c>
      <c r="B1473">
        <v>72</v>
      </c>
      <c r="C1473">
        <v>46</v>
      </c>
      <c r="D1473">
        <v>118</v>
      </c>
      <c r="E1473" t="s">
        <v>44</v>
      </c>
      <c r="F1473">
        <v>-75388.745999999999</v>
      </c>
      <c r="G1473">
        <v>2.4910000000000001</v>
      </c>
    </row>
    <row r="1474" spans="1:7" x14ac:dyDescent="0.2">
      <c r="A1474">
        <f t="shared" si="23"/>
        <v>72047</v>
      </c>
      <c r="B1474">
        <v>72</v>
      </c>
      <c r="C1474">
        <v>47</v>
      </c>
      <c r="D1474">
        <v>119</v>
      </c>
      <c r="E1474" t="s">
        <v>45</v>
      </c>
      <c r="F1474">
        <v>-78645.764999999999</v>
      </c>
      <c r="G1474">
        <v>14.702999999999999</v>
      </c>
    </row>
    <row r="1475" spans="1:7" x14ac:dyDescent="0.2">
      <c r="A1475">
        <f t="shared" si="23"/>
        <v>72048</v>
      </c>
      <c r="B1475">
        <v>72</v>
      </c>
      <c r="C1475">
        <v>48</v>
      </c>
      <c r="D1475">
        <v>120</v>
      </c>
      <c r="E1475" t="s">
        <v>46</v>
      </c>
      <c r="F1475">
        <v>-83957.354000000007</v>
      </c>
      <c r="G1475">
        <v>3.726</v>
      </c>
    </row>
    <row r="1476" spans="1:7" x14ac:dyDescent="0.2">
      <c r="A1476">
        <f t="shared" si="23"/>
        <v>72049</v>
      </c>
      <c r="B1476">
        <v>72</v>
      </c>
      <c r="C1476">
        <v>49</v>
      </c>
      <c r="D1476">
        <v>121</v>
      </c>
      <c r="E1476" t="s">
        <v>47</v>
      </c>
      <c r="F1476">
        <v>-85835.974000000002</v>
      </c>
      <c r="G1476">
        <v>27.414000000000001</v>
      </c>
    </row>
    <row r="1477" spans="1:7" x14ac:dyDescent="0.2">
      <c r="A1477">
        <f t="shared" si="23"/>
        <v>72050</v>
      </c>
      <c r="B1477">
        <v>72</v>
      </c>
      <c r="C1477">
        <v>50</v>
      </c>
      <c r="D1477">
        <v>122</v>
      </c>
      <c r="E1477" t="s">
        <v>48</v>
      </c>
      <c r="F1477">
        <v>-89941.332999999999</v>
      </c>
      <c r="G1477">
        <v>2.395</v>
      </c>
    </row>
    <row r="1478" spans="1:7" x14ac:dyDescent="0.2">
      <c r="A1478">
        <f t="shared" si="23"/>
        <v>72051</v>
      </c>
      <c r="B1478">
        <v>72</v>
      </c>
      <c r="C1478">
        <v>51</v>
      </c>
      <c r="D1478">
        <v>123</v>
      </c>
      <c r="E1478" t="s">
        <v>49</v>
      </c>
      <c r="F1478">
        <v>-89224.069000000003</v>
      </c>
      <c r="G1478">
        <v>1.506</v>
      </c>
    </row>
    <row r="1479" spans="1:7" x14ac:dyDescent="0.2">
      <c r="A1479">
        <f t="shared" si="23"/>
        <v>72052</v>
      </c>
      <c r="B1479">
        <v>72</v>
      </c>
      <c r="C1479">
        <v>52</v>
      </c>
      <c r="D1479">
        <v>124</v>
      </c>
      <c r="E1479" t="s">
        <v>50</v>
      </c>
      <c r="F1479">
        <v>-90525.320999999996</v>
      </c>
      <c r="G1479">
        <v>1.502</v>
      </c>
    </row>
    <row r="1480" spans="1:7" x14ac:dyDescent="0.2">
      <c r="A1480">
        <f t="shared" si="23"/>
        <v>72053</v>
      </c>
      <c r="B1480">
        <v>72</v>
      </c>
      <c r="C1480">
        <v>53</v>
      </c>
      <c r="D1480">
        <v>125</v>
      </c>
      <c r="E1480" t="s">
        <v>51</v>
      </c>
      <c r="F1480">
        <v>-88837.203999999998</v>
      </c>
      <c r="G1480">
        <v>1.504</v>
      </c>
    </row>
    <row r="1481" spans="1:7" x14ac:dyDescent="0.2">
      <c r="A1481">
        <f t="shared" si="23"/>
        <v>72054</v>
      </c>
      <c r="B1481">
        <v>72</v>
      </c>
      <c r="C1481">
        <v>54</v>
      </c>
      <c r="D1481">
        <v>126</v>
      </c>
      <c r="E1481" t="s">
        <v>52</v>
      </c>
      <c r="F1481">
        <v>-89146.962</v>
      </c>
      <c r="G1481">
        <v>3.5</v>
      </c>
    </row>
    <row r="1482" spans="1:7" x14ac:dyDescent="0.2">
      <c r="A1482">
        <f t="shared" si="23"/>
        <v>72055</v>
      </c>
      <c r="B1482">
        <v>72</v>
      </c>
      <c r="C1482">
        <v>55</v>
      </c>
      <c r="D1482">
        <v>127</v>
      </c>
      <c r="E1482" t="s">
        <v>53</v>
      </c>
      <c r="F1482">
        <v>-86240.153999999995</v>
      </c>
      <c r="G1482">
        <v>5.5780000000000003</v>
      </c>
    </row>
    <row r="1483" spans="1:7" x14ac:dyDescent="0.2">
      <c r="A1483">
        <f t="shared" si="23"/>
        <v>72056</v>
      </c>
      <c r="B1483">
        <v>72</v>
      </c>
      <c r="C1483">
        <v>56</v>
      </c>
      <c r="D1483">
        <v>128</v>
      </c>
      <c r="E1483" t="s">
        <v>54</v>
      </c>
      <c r="F1483">
        <v>-85378.497000000003</v>
      </c>
      <c r="G1483">
        <v>5.1950000000000003</v>
      </c>
    </row>
    <row r="1484" spans="1:7" x14ac:dyDescent="0.2">
      <c r="A1484">
        <f t="shared" si="23"/>
        <v>72057</v>
      </c>
      <c r="B1484">
        <v>72</v>
      </c>
      <c r="C1484">
        <v>57</v>
      </c>
      <c r="D1484">
        <v>129</v>
      </c>
      <c r="E1484" t="s">
        <v>55</v>
      </c>
      <c r="F1484">
        <v>-81324.573000000004</v>
      </c>
      <c r="G1484">
        <v>21.350999999999999</v>
      </c>
    </row>
    <row r="1485" spans="1:7" x14ac:dyDescent="0.2">
      <c r="A1485">
        <f t="shared" si="23"/>
        <v>72058</v>
      </c>
      <c r="B1485">
        <v>72</v>
      </c>
      <c r="C1485">
        <v>58</v>
      </c>
      <c r="D1485">
        <v>130</v>
      </c>
      <c r="E1485" t="s">
        <v>56</v>
      </c>
      <c r="F1485">
        <v>-79422.904999999999</v>
      </c>
      <c r="G1485">
        <v>27.945</v>
      </c>
    </row>
    <row r="1486" spans="1:7" x14ac:dyDescent="0.2">
      <c r="A1486">
        <f t="shared" si="23"/>
        <v>72059</v>
      </c>
      <c r="B1486">
        <v>72</v>
      </c>
      <c r="C1486">
        <v>59</v>
      </c>
      <c r="D1486">
        <v>131</v>
      </c>
      <c r="E1486" t="s">
        <v>57</v>
      </c>
      <c r="F1486">
        <v>-74300.656000000003</v>
      </c>
      <c r="G1486">
        <v>46.994999999999997</v>
      </c>
    </row>
    <row r="1487" spans="1:7" x14ac:dyDescent="0.2">
      <c r="A1487">
        <f t="shared" si="23"/>
        <v>72060</v>
      </c>
      <c r="B1487">
        <v>72</v>
      </c>
      <c r="C1487">
        <v>60</v>
      </c>
      <c r="D1487">
        <v>132</v>
      </c>
      <c r="E1487" t="s">
        <v>58</v>
      </c>
      <c r="F1487">
        <v>-71425.807000000001</v>
      </c>
      <c r="G1487">
        <v>24.204999999999998</v>
      </c>
    </row>
    <row r="1488" spans="1:7" x14ac:dyDescent="0.2">
      <c r="A1488">
        <f t="shared" si="23"/>
        <v>72061</v>
      </c>
      <c r="B1488">
        <v>72</v>
      </c>
      <c r="C1488">
        <v>61</v>
      </c>
      <c r="D1488">
        <v>133</v>
      </c>
      <c r="E1488" t="s">
        <v>59</v>
      </c>
      <c r="F1488">
        <v>-65407.646000000001</v>
      </c>
      <c r="G1488">
        <v>50.301000000000002</v>
      </c>
    </row>
    <row r="1489" spans="1:7" x14ac:dyDescent="0.2">
      <c r="A1489">
        <f t="shared" si="23"/>
        <v>72062</v>
      </c>
      <c r="B1489">
        <v>72</v>
      </c>
      <c r="C1489">
        <v>62</v>
      </c>
      <c r="D1489">
        <v>134</v>
      </c>
      <c r="E1489" t="s">
        <v>60</v>
      </c>
      <c r="F1489" t="s">
        <v>881</v>
      </c>
      <c r="G1489" t="s">
        <v>206</v>
      </c>
    </row>
    <row r="1490" spans="1:7" x14ac:dyDescent="0.2">
      <c r="A1490">
        <f t="shared" si="23"/>
        <v>72063</v>
      </c>
      <c r="B1490">
        <v>72</v>
      </c>
      <c r="C1490">
        <v>63</v>
      </c>
      <c r="D1490">
        <v>135</v>
      </c>
      <c r="E1490" t="s">
        <v>61</v>
      </c>
      <c r="F1490" t="s">
        <v>232</v>
      </c>
      <c r="G1490" t="s">
        <v>206</v>
      </c>
    </row>
    <row r="1491" spans="1:7" x14ac:dyDescent="0.2">
      <c r="A1491">
        <f t="shared" si="23"/>
        <v>72064</v>
      </c>
      <c r="B1491">
        <v>72</v>
      </c>
      <c r="C1491">
        <v>64</v>
      </c>
      <c r="D1491">
        <v>136</v>
      </c>
      <c r="E1491" t="s">
        <v>62</v>
      </c>
      <c r="F1491" t="s">
        <v>254</v>
      </c>
      <c r="G1491" t="s">
        <v>202</v>
      </c>
    </row>
    <row r="1492" spans="1:7" x14ac:dyDescent="0.2">
      <c r="A1492">
        <f t="shared" si="23"/>
        <v>72065</v>
      </c>
      <c r="B1492">
        <v>72</v>
      </c>
      <c r="C1492">
        <v>65</v>
      </c>
      <c r="D1492">
        <v>137</v>
      </c>
      <c r="E1492" t="s">
        <v>63</v>
      </c>
      <c r="F1492" t="s">
        <v>1008</v>
      </c>
      <c r="G1492" t="s">
        <v>199</v>
      </c>
    </row>
    <row r="1493" spans="1:7" x14ac:dyDescent="0.2">
      <c r="A1493">
        <f t="shared" si="23"/>
        <v>72066</v>
      </c>
      <c r="B1493">
        <v>72</v>
      </c>
      <c r="C1493">
        <v>66</v>
      </c>
      <c r="D1493">
        <v>138</v>
      </c>
      <c r="E1493" t="s">
        <v>64</v>
      </c>
      <c r="F1493" t="s">
        <v>1012</v>
      </c>
      <c r="G1493" t="s">
        <v>201</v>
      </c>
    </row>
    <row r="1494" spans="1:7" x14ac:dyDescent="0.2">
      <c r="A1494">
        <f t="shared" si="23"/>
        <v>73041</v>
      </c>
      <c r="B1494">
        <v>73</v>
      </c>
      <c r="C1494">
        <v>41</v>
      </c>
      <c r="D1494">
        <v>114</v>
      </c>
      <c r="E1494" t="s">
        <v>39</v>
      </c>
      <c r="F1494" t="s">
        <v>911</v>
      </c>
      <c r="G1494" t="s">
        <v>201</v>
      </c>
    </row>
    <row r="1495" spans="1:7" x14ac:dyDescent="0.2">
      <c r="A1495">
        <f t="shared" si="23"/>
        <v>73042</v>
      </c>
      <c r="B1495">
        <v>73</v>
      </c>
      <c r="C1495">
        <v>42</v>
      </c>
      <c r="D1495">
        <v>115</v>
      </c>
      <c r="E1495" t="s">
        <v>40</v>
      </c>
      <c r="F1495" t="s">
        <v>914</v>
      </c>
      <c r="G1495" t="s">
        <v>199</v>
      </c>
    </row>
    <row r="1496" spans="1:7" x14ac:dyDescent="0.2">
      <c r="A1496">
        <f t="shared" si="23"/>
        <v>73043</v>
      </c>
      <c r="B1496">
        <v>73</v>
      </c>
      <c r="C1496">
        <v>43</v>
      </c>
      <c r="D1496">
        <v>116</v>
      </c>
      <c r="E1496" t="s">
        <v>41</v>
      </c>
      <c r="F1496" t="s">
        <v>917</v>
      </c>
      <c r="G1496" t="s">
        <v>202</v>
      </c>
    </row>
    <row r="1497" spans="1:7" x14ac:dyDescent="0.2">
      <c r="A1497">
        <f t="shared" si="23"/>
        <v>73044</v>
      </c>
      <c r="B1497">
        <v>73</v>
      </c>
      <c r="C1497">
        <v>44</v>
      </c>
      <c r="D1497">
        <v>117</v>
      </c>
      <c r="E1497" t="s">
        <v>42</v>
      </c>
      <c r="F1497">
        <v>-59489.864999999998</v>
      </c>
      <c r="G1497">
        <v>433.14499999999998</v>
      </c>
    </row>
    <row r="1498" spans="1:7" x14ac:dyDescent="0.2">
      <c r="A1498">
        <f t="shared" si="23"/>
        <v>73045</v>
      </c>
      <c r="B1498">
        <v>73</v>
      </c>
      <c r="C1498">
        <v>45</v>
      </c>
      <c r="D1498">
        <v>118</v>
      </c>
      <c r="E1498" t="s">
        <v>43</v>
      </c>
      <c r="F1498">
        <v>-64887.46</v>
      </c>
      <c r="G1498">
        <v>24.234999999999999</v>
      </c>
    </row>
    <row r="1499" spans="1:7" x14ac:dyDescent="0.2">
      <c r="A1499">
        <f t="shared" si="23"/>
        <v>73046</v>
      </c>
      <c r="B1499">
        <v>73</v>
      </c>
      <c r="C1499">
        <v>46</v>
      </c>
      <c r="D1499">
        <v>119</v>
      </c>
      <c r="E1499" t="s">
        <v>44</v>
      </c>
      <c r="F1499">
        <v>-71407.902000000002</v>
      </c>
      <c r="G1499">
        <v>8.2449999999999992</v>
      </c>
    </row>
    <row r="1500" spans="1:7" x14ac:dyDescent="0.2">
      <c r="A1500">
        <f t="shared" si="23"/>
        <v>73047</v>
      </c>
      <c r="B1500">
        <v>73</v>
      </c>
      <c r="C1500">
        <v>47</v>
      </c>
      <c r="D1500">
        <v>120</v>
      </c>
      <c r="E1500" t="s">
        <v>45</v>
      </c>
      <c r="F1500">
        <v>-75651.501999999993</v>
      </c>
      <c r="G1500">
        <v>4.4710000000000001</v>
      </c>
    </row>
    <row r="1501" spans="1:7" x14ac:dyDescent="0.2">
      <c r="A1501">
        <f t="shared" si="23"/>
        <v>73048</v>
      </c>
      <c r="B1501">
        <v>73</v>
      </c>
      <c r="C1501">
        <v>48</v>
      </c>
      <c r="D1501">
        <v>121</v>
      </c>
      <c r="E1501" t="s">
        <v>46</v>
      </c>
      <c r="F1501">
        <v>-81073.826000000001</v>
      </c>
      <c r="G1501">
        <v>1.9419999999999999</v>
      </c>
    </row>
    <row r="1502" spans="1:7" x14ac:dyDescent="0.2">
      <c r="A1502">
        <f t="shared" si="23"/>
        <v>73049</v>
      </c>
      <c r="B1502">
        <v>73</v>
      </c>
      <c r="C1502">
        <v>49</v>
      </c>
      <c r="D1502">
        <v>122</v>
      </c>
      <c r="E1502" t="s">
        <v>47</v>
      </c>
      <c r="F1502">
        <v>-83572.740999999995</v>
      </c>
      <c r="G1502">
        <v>50.057000000000002</v>
      </c>
    </row>
    <row r="1503" spans="1:7" x14ac:dyDescent="0.2">
      <c r="A1503">
        <f t="shared" si="23"/>
        <v>73050</v>
      </c>
      <c r="B1503">
        <v>73</v>
      </c>
      <c r="C1503">
        <v>50</v>
      </c>
      <c r="D1503">
        <v>123</v>
      </c>
      <c r="E1503" t="s">
        <v>48</v>
      </c>
      <c r="F1503">
        <v>-87816.180999999997</v>
      </c>
      <c r="G1503">
        <v>2.4159999999999999</v>
      </c>
    </row>
    <row r="1504" spans="1:7" x14ac:dyDescent="0.2">
      <c r="A1504">
        <f t="shared" si="23"/>
        <v>73051</v>
      </c>
      <c r="B1504">
        <v>73</v>
      </c>
      <c r="C1504">
        <v>51</v>
      </c>
      <c r="D1504">
        <v>124</v>
      </c>
      <c r="E1504" t="s">
        <v>49</v>
      </c>
      <c r="F1504">
        <v>-87620.248000000007</v>
      </c>
      <c r="G1504">
        <v>1.5069999999999999</v>
      </c>
    </row>
    <row r="1505" spans="1:7" x14ac:dyDescent="0.2">
      <c r="A1505">
        <f t="shared" si="23"/>
        <v>73052</v>
      </c>
      <c r="B1505">
        <v>73</v>
      </c>
      <c r="C1505">
        <v>52</v>
      </c>
      <c r="D1505">
        <v>125</v>
      </c>
      <c r="E1505" t="s">
        <v>50</v>
      </c>
      <c r="F1505">
        <v>-89022.974000000002</v>
      </c>
      <c r="G1505">
        <v>1.502</v>
      </c>
    </row>
    <row r="1506" spans="1:7" x14ac:dyDescent="0.2">
      <c r="A1506">
        <f t="shared" si="23"/>
        <v>73053</v>
      </c>
      <c r="B1506">
        <v>73</v>
      </c>
      <c r="C1506">
        <v>53</v>
      </c>
      <c r="D1506">
        <v>126</v>
      </c>
      <c r="E1506" t="s">
        <v>51</v>
      </c>
      <c r="F1506">
        <v>-87911.317999999999</v>
      </c>
      <c r="G1506">
        <v>3.8090000000000002</v>
      </c>
    </row>
    <row r="1507" spans="1:7" x14ac:dyDescent="0.2">
      <c r="A1507">
        <f t="shared" si="23"/>
        <v>73054</v>
      </c>
      <c r="B1507">
        <v>73</v>
      </c>
      <c r="C1507">
        <v>54</v>
      </c>
      <c r="D1507">
        <v>127</v>
      </c>
      <c r="E1507" t="s">
        <v>52</v>
      </c>
      <c r="F1507">
        <v>-88321.56</v>
      </c>
      <c r="G1507">
        <v>4.1100000000000003</v>
      </c>
    </row>
    <row r="1508" spans="1:7" x14ac:dyDescent="0.2">
      <c r="A1508">
        <f t="shared" si="23"/>
        <v>73055</v>
      </c>
      <c r="B1508">
        <v>73</v>
      </c>
      <c r="C1508">
        <v>55</v>
      </c>
      <c r="D1508">
        <v>128</v>
      </c>
      <c r="E1508" t="s">
        <v>53</v>
      </c>
      <c r="F1508">
        <v>-85931.581000000006</v>
      </c>
      <c r="G1508">
        <v>5.4429999999999996</v>
      </c>
    </row>
    <row r="1509" spans="1:7" x14ac:dyDescent="0.2">
      <c r="A1509">
        <f t="shared" si="23"/>
        <v>73056</v>
      </c>
      <c r="B1509">
        <v>73</v>
      </c>
      <c r="C1509">
        <v>56</v>
      </c>
      <c r="D1509">
        <v>129</v>
      </c>
      <c r="E1509" t="s">
        <v>54</v>
      </c>
      <c r="F1509">
        <v>-85063.198000000004</v>
      </c>
      <c r="G1509">
        <v>10.577</v>
      </c>
    </row>
    <row r="1510" spans="1:7" x14ac:dyDescent="0.2">
      <c r="A1510">
        <f t="shared" si="23"/>
        <v>73057</v>
      </c>
      <c r="B1510">
        <v>73</v>
      </c>
      <c r="C1510">
        <v>57</v>
      </c>
      <c r="D1510">
        <v>130</v>
      </c>
      <c r="E1510" t="s">
        <v>55</v>
      </c>
      <c r="F1510">
        <v>-81627.365999999995</v>
      </c>
      <c r="G1510">
        <v>25.946000000000002</v>
      </c>
    </row>
    <row r="1511" spans="1:7" x14ac:dyDescent="0.2">
      <c r="A1511">
        <f t="shared" si="23"/>
        <v>73058</v>
      </c>
      <c r="B1511">
        <v>73</v>
      </c>
      <c r="C1511">
        <v>58</v>
      </c>
      <c r="D1511">
        <v>131</v>
      </c>
      <c r="E1511" t="s">
        <v>56</v>
      </c>
      <c r="F1511">
        <v>-79708.44</v>
      </c>
      <c r="G1511">
        <v>32.802</v>
      </c>
    </row>
    <row r="1512" spans="1:7" x14ac:dyDescent="0.2">
      <c r="A1512">
        <f t="shared" si="23"/>
        <v>73059</v>
      </c>
      <c r="B1512">
        <v>73</v>
      </c>
      <c r="C1512">
        <v>59</v>
      </c>
      <c r="D1512">
        <v>132</v>
      </c>
      <c r="E1512" t="s">
        <v>57</v>
      </c>
      <c r="F1512">
        <v>-75227.456000000006</v>
      </c>
      <c r="G1512">
        <v>28.876000000000001</v>
      </c>
    </row>
    <row r="1513" spans="1:7" x14ac:dyDescent="0.2">
      <c r="A1513">
        <f t="shared" si="23"/>
        <v>73060</v>
      </c>
      <c r="B1513">
        <v>73</v>
      </c>
      <c r="C1513">
        <v>60</v>
      </c>
      <c r="D1513">
        <v>133</v>
      </c>
      <c r="E1513" t="s">
        <v>58</v>
      </c>
      <c r="F1513">
        <v>-72332.372000000003</v>
      </c>
      <c r="G1513">
        <v>46.575000000000003</v>
      </c>
    </row>
    <row r="1514" spans="1:7" x14ac:dyDescent="0.2">
      <c r="A1514">
        <f t="shared" si="23"/>
        <v>73061</v>
      </c>
      <c r="B1514">
        <v>73</v>
      </c>
      <c r="C1514">
        <v>61</v>
      </c>
      <c r="D1514">
        <v>134</v>
      </c>
      <c r="E1514" t="s">
        <v>59</v>
      </c>
      <c r="F1514">
        <v>-66738.751000000004</v>
      </c>
      <c r="G1514">
        <v>57.753</v>
      </c>
    </row>
    <row r="1515" spans="1:7" x14ac:dyDescent="0.2">
      <c r="A1515">
        <f t="shared" si="23"/>
        <v>73062</v>
      </c>
      <c r="B1515">
        <v>73</v>
      </c>
      <c r="C1515">
        <v>62</v>
      </c>
      <c r="D1515">
        <v>135</v>
      </c>
      <c r="E1515" t="s">
        <v>60</v>
      </c>
      <c r="F1515">
        <v>-62857.214999999997</v>
      </c>
      <c r="G1515">
        <v>154.62799999999999</v>
      </c>
    </row>
    <row r="1516" spans="1:7" x14ac:dyDescent="0.2">
      <c r="A1516">
        <f t="shared" si="23"/>
        <v>73063</v>
      </c>
      <c r="B1516">
        <v>73</v>
      </c>
      <c r="C1516">
        <v>63</v>
      </c>
      <c r="D1516">
        <v>136</v>
      </c>
      <c r="E1516" t="s">
        <v>61</v>
      </c>
      <c r="F1516" t="s">
        <v>1002</v>
      </c>
      <c r="G1516" t="s">
        <v>206</v>
      </c>
    </row>
    <row r="1517" spans="1:7" x14ac:dyDescent="0.2">
      <c r="A1517">
        <f t="shared" si="23"/>
        <v>73064</v>
      </c>
      <c r="B1517">
        <v>73</v>
      </c>
      <c r="C1517">
        <v>64</v>
      </c>
      <c r="D1517">
        <v>137</v>
      </c>
      <c r="E1517" t="s">
        <v>62</v>
      </c>
      <c r="F1517" t="s">
        <v>1007</v>
      </c>
      <c r="G1517" t="s">
        <v>202</v>
      </c>
    </row>
    <row r="1518" spans="1:7" x14ac:dyDescent="0.2">
      <c r="A1518">
        <f t="shared" si="23"/>
        <v>73065</v>
      </c>
      <c r="B1518">
        <v>73</v>
      </c>
      <c r="C1518">
        <v>65</v>
      </c>
      <c r="D1518">
        <v>138</v>
      </c>
      <c r="E1518" t="s">
        <v>63</v>
      </c>
      <c r="F1518" t="s">
        <v>1011</v>
      </c>
      <c r="G1518" t="s">
        <v>202</v>
      </c>
    </row>
    <row r="1519" spans="1:7" x14ac:dyDescent="0.2">
      <c r="A1519">
        <f t="shared" si="23"/>
        <v>73066</v>
      </c>
      <c r="B1519">
        <v>73</v>
      </c>
      <c r="C1519">
        <v>66</v>
      </c>
      <c r="D1519">
        <v>139</v>
      </c>
      <c r="E1519" t="s">
        <v>64</v>
      </c>
      <c r="F1519" t="s">
        <v>1016</v>
      </c>
      <c r="G1519" t="s">
        <v>201</v>
      </c>
    </row>
    <row r="1520" spans="1:7" x14ac:dyDescent="0.2">
      <c r="A1520">
        <f t="shared" si="23"/>
        <v>73067</v>
      </c>
      <c r="B1520">
        <v>73</v>
      </c>
      <c r="C1520">
        <v>67</v>
      </c>
      <c r="D1520">
        <v>140</v>
      </c>
      <c r="E1520" t="s">
        <v>65</v>
      </c>
      <c r="F1520" t="s">
        <v>1019</v>
      </c>
      <c r="G1520" t="s">
        <v>201</v>
      </c>
    </row>
    <row r="1521" spans="1:7" x14ac:dyDescent="0.2">
      <c r="A1521">
        <f t="shared" si="23"/>
        <v>74041</v>
      </c>
      <c r="B1521">
        <v>74</v>
      </c>
      <c r="C1521">
        <v>41</v>
      </c>
      <c r="D1521">
        <v>115</v>
      </c>
      <c r="E1521" t="s">
        <v>39</v>
      </c>
      <c r="F1521" t="s">
        <v>913</v>
      </c>
      <c r="G1521" t="s">
        <v>201</v>
      </c>
    </row>
    <row r="1522" spans="1:7" x14ac:dyDescent="0.2">
      <c r="A1522">
        <f t="shared" si="23"/>
        <v>74042</v>
      </c>
      <c r="B1522">
        <v>74</v>
      </c>
      <c r="C1522">
        <v>42</v>
      </c>
      <c r="D1522">
        <v>116</v>
      </c>
      <c r="E1522" t="s">
        <v>40</v>
      </c>
      <c r="F1522" t="s">
        <v>916</v>
      </c>
      <c r="G1522" t="s">
        <v>245</v>
      </c>
    </row>
    <row r="1523" spans="1:7" x14ac:dyDescent="0.2">
      <c r="A1523">
        <f t="shared" si="23"/>
        <v>74043</v>
      </c>
      <c r="B1523">
        <v>74</v>
      </c>
      <c r="C1523">
        <v>43</v>
      </c>
      <c r="D1523">
        <v>117</v>
      </c>
      <c r="E1523" t="s">
        <v>41</v>
      </c>
      <c r="F1523" t="s">
        <v>921</v>
      </c>
      <c r="G1523" t="s">
        <v>199</v>
      </c>
    </row>
    <row r="1524" spans="1:7" x14ac:dyDescent="0.2">
      <c r="A1524">
        <f t="shared" si="23"/>
        <v>74044</v>
      </c>
      <c r="B1524">
        <v>74</v>
      </c>
      <c r="C1524">
        <v>44</v>
      </c>
      <c r="D1524">
        <v>118</v>
      </c>
      <c r="E1524" t="s">
        <v>42</v>
      </c>
      <c r="F1524" t="s">
        <v>925</v>
      </c>
      <c r="G1524" t="s">
        <v>204</v>
      </c>
    </row>
    <row r="1525" spans="1:7" x14ac:dyDescent="0.2">
      <c r="A1525">
        <f t="shared" si="23"/>
        <v>74045</v>
      </c>
      <c r="B1525">
        <v>74</v>
      </c>
      <c r="C1525">
        <v>45</v>
      </c>
      <c r="D1525">
        <v>119</v>
      </c>
      <c r="E1525" t="s">
        <v>43</v>
      </c>
      <c r="F1525">
        <v>-62822.794000000002</v>
      </c>
      <c r="G1525">
        <v>9.3149999999999995</v>
      </c>
    </row>
    <row r="1526" spans="1:7" x14ac:dyDescent="0.2">
      <c r="A1526">
        <f t="shared" si="23"/>
        <v>74046</v>
      </c>
      <c r="B1526">
        <v>74</v>
      </c>
      <c r="C1526">
        <v>46</v>
      </c>
      <c r="D1526">
        <v>120</v>
      </c>
      <c r="E1526" t="s">
        <v>44</v>
      </c>
      <c r="F1526">
        <v>-70280.05</v>
      </c>
      <c r="G1526">
        <v>2.2909999999999999</v>
      </c>
    </row>
    <row r="1527" spans="1:7" x14ac:dyDescent="0.2">
      <c r="A1527">
        <f t="shared" si="23"/>
        <v>74047</v>
      </c>
      <c r="B1527">
        <v>74</v>
      </c>
      <c r="C1527">
        <v>47</v>
      </c>
      <c r="D1527">
        <v>121</v>
      </c>
      <c r="E1527" t="s">
        <v>45</v>
      </c>
      <c r="F1527">
        <v>-74402.820999999996</v>
      </c>
      <c r="G1527">
        <v>12.109</v>
      </c>
    </row>
    <row r="1528" spans="1:7" x14ac:dyDescent="0.2">
      <c r="A1528">
        <f t="shared" si="23"/>
        <v>74048</v>
      </c>
      <c r="B1528">
        <v>74</v>
      </c>
      <c r="C1528">
        <v>48</v>
      </c>
      <c r="D1528">
        <v>122</v>
      </c>
      <c r="E1528" t="s">
        <v>46</v>
      </c>
      <c r="F1528">
        <v>-80612.373999999996</v>
      </c>
      <c r="G1528">
        <v>2.2989999999999999</v>
      </c>
    </row>
    <row r="1529" spans="1:7" x14ac:dyDescent="0.2">
      <c r="A1529">
        <f t="shared" si="23"/>
        <v>74049</v>
      </c>
      <c r="B1529">
        <v>74</v>
      </c>
      <c r="C1529">
        <v>49</v>
      </c>
      <c r="D1529">
        <v>123</v>
      </c>
      <c r="E1529" t="s">
        <v>47</v>
      </c>
      <c r="F1529">
        <v>-83430.353000000003</v>
      </c>
      <c r="G1529">
        <v>19.827000000000002</v>
      </c>
    </row>
    <row r="1530" spans="1:7" x14ac:dyDescent="0.2">
      <c r="A1530">
        <f t="shared" si="23"/>
        <v>74050</v>
      </c>
      <c r="B1530">
        <v>74</v>
      </c>
      <c r="C1530">
        <v>50</v>
      </c>
      <c r="D1530">
        <v>124</v>
      </c>
      <c r="E1530" t="s">
        <v>48</v>
      </c>
      <c r="F1530">
        <v>-88234.192999999999</v>
      </c>
      <c r="G1530">
        <v>1.014</v>
      </c>
    </row>
    <row r="1531" spans="1:7" x14ac:dyDescent="0.2">
      <c r="A1531">
        <f t="shared" si="23"/>
        <v>74051</v>
      </c>
      <c r="B1531">
        <v>74</v>
      </c>
      <c r="C1531">
        <v>51</v>
      </c>
      <c r="D1531">
        <v>125</v>
      </c>
      <c r="E1531" t="s">
        <v>49</v>
      </c>
      <c r="F1531">
        <v>-88256.274000000005</v>
      </c>
      <c r="G1531">
        <v>2.5990000000000002</v>
      </c>
    </row>
    <row r="1532" spans="1:7" x14ac:dyDescent="0.2">
      <c r="A1532">
        <f t="shared" si="23"/>
        <v>74052</v>
      </c>
      <c r="B1532">
        <v>74</v>
      </c>
      <c r="C1532">
        <v>52</v>
      </c>
      <c r="D1532">
        <v>126</v>
      </c>
      <c r="E1532" t="s">
        <v>50</v>
      </c>
      <c r="F1532">
        <v>-90065.347999999998</v>
      </c>
      <c r="G1532">
        <v>1.504</v>
      </c>
    </row>
    <row r="1533" spans="1:7" x14ac:dyDescent="0.2">
      <c r="A1533">
        <f t="shared" si="23"/>
        <v>74053</v>
      </c>
      <c r="B1533">
        <v>74</v>
      </c>
      <c r="C1533">
        <v>53</v>
      </c>
      <c r="D1533">
        <v>127</v>
      </c>
      <c r="E1533" t="s">
        <v>51</v>
      </c>
      <c r="F1533">
        <v>-88983.909</v>
      </c>
      <c r="G1533">
        <v>3.6469999999999998</v>
      </c>
    </row>
    <row r="1534" spans="1:7" x14ac:dyDescent="0.2">
      <c r="A1534">
        <f t="shared" si="23"/>
        <v>74054</v>
      </c>
      <c r="B1534">
        <v>74</v>
      </c>
      <c r="C1534">
        <v>54</v>
      </c>
      <c r="D1534">
        <v>128</v>
      </c>
      <c r="E1534" t="s">
        <v>52</v>
      </c>
      <c r="F1534">
        <v>-89860.297999999995</v>
      </c>
      <c r="G1534">
        <v>1.0609999999999999</v>
      </c>
    </row>
    <row r="1535" spans="1:7" x14ac:dyDescent="0.2">
      <c r="A1535">
        <f t="shared" si="23"/>
        <v>74055</v>
      </c>
      <c r="B1535">
        <v>74</v>
      </c>
      <c r="C1535">
        <v>55</v>
      </c>
      <c r="D1535">
        <v>129</v>
      </c>
      <c r="E1535" t="s">
        <v>53</v>
      </c>
      <c r="F1535">
        <v>-87499.245999999999</v>
      </c>
      <c r="G1535">
        <v>4.5549999999999997</v>
      </c>
    </row>
    <row r="1536" spans="1:7" x14ac:dyDescent="0.2">
      <c r="A1536">
        <f t="shared" si="23"/>
        <v>74056</v>
      </c>
      <c r="B1536">
        <v>74</v>
      </c>
      <c r="C1536">
        <v>56</v>
      </c>
      <c r="D1536">
        <v>130</v>
      </c>
      <c r="E1536" t="s">
        <v>54</v>
      </c>
      <c r="F1536">
        <v>-87261.543999999994</v>
      </c>
      <c r="G1536">
        <v>2.5529999999999999</v>
      </c>
    </row>
    <row r="1537" spans="1:7" x14ac:dyDescent="0.2">
      <c r="A1537">
        <f t="shared" ref="A1537:A1600" si="24">1000*B1537+C1537</f>
        <v>74057</v>
      </c>
      <c r="B1537">
        <v>74</v>
      </c>
      <c r="C1537">
        <v>57</v>
      </c>
      <c r="D1537">
        <v>131</v>
      </c>
      <c r="E1537" t="s">
        <v>55</v>
      </c>
      <c r="F1537">
        <v>-83769.255999999994</v>
      </c>
      <c r="G1537">
        <v>27.945</v>
      </c>
    </row>
    <row r="1538" spans="1:7" x14ac:dyDescent="0.2">
      <c r="A1538">
        <f t="shared" si="24"/>
        <v>74058</v>
      </c>
      <c r="B1538">
        <v>74</v>
      </c>
      <c r="C1538">
        <v>58</v>
      </c>
      <c r="D1538">
        <v>132</v>
      </c>
      <c r="E1538" t="s">
        <v>56</v>
      </c>
      <c r="F1538">
        <v>-82470.895999999993</v>
      </c>
      <c r="G1538">
        <v>20.442</v>
      </c>
    </row>
    <row r="1539" spans="1:7" x14ac:dyDescent="0.2">
      <c r="A1539">
        <f t="shared" si="24"/>
        <v>74059</v>
      </c>
      <c r="B1539">
        <v>74</v>
      </c>
      <c r="C1539">
        <v>59</v>
      </c>
      <c r="D1539">
        <v>133</v>
      </c>
      <c r="E1539" t="s">
        <v>57</v>
      </c>
      <c r="F1539">
        <v>-77937.581000000006</v>
      </c>
      <c r="G1539">
        <v>12.497</v>
      </c>
    </row>
    <row r="1540" spans="1:7" x14ac:dyDescent="0.2">
      <c r="A1540">
        <f t="shared" si="24"/>
        <v>74060</v>
      </c>
      <c r="B1540">
        <v>74</v>
      </c>
      <c r="C1540">
        <v>60</v>
      </c>
      <c r="D1540">
        <v>134</v>
      </c>
      <c r="E1540" t="s">
        <v>58</v>
      </c>
      <c r="F1540">
        <v>-75646.432000000001</v>
      </c>
      <c r="G1540">
        <v>11.817</v>
      </c>
    </row>
    <row r="1541" spans="1:7" x14ac:dyDescent="0.2">
      <c r="A1541">
        <f t="shared" si="24"/>
        <v>74061</v>
      </c>
      <c r="B1541">
        <v>74</v>
      </c>
      <c r="C1541">
        <v>61</v>
      </c>
      <c r="D1541">
        <v>135</v>
      </c>
      <c r="E1541" t="s">
        <v>59</v>
      </c>
      <c r="F1541">
        <v>-70052.074999999997</v>
      </c>
      <c r="G1541">
        <v>75.450999999999993</v>
      </c>
    </row>
    <row r="1542" spans="1:7" x14ac:dyDescent="0.2">
      <c r="A1542">
        <f t="shared" si="24"/>
        <v>74062</v>
      </c>
      <c r="B1542">
        <v>74</v>
      </c>
      <c r="C1542">
        <v>62</v>
      </c>
      <c r="D1542">
        <v>136</v>
      </c>
      <c r="E1542" t="s">
        <v>60</v>
      </c>
      <c r="F1542">
        <v>-66810.89</v>
      </c>
      <c r="G1542">
        <v>12.497</v>
      </c>
    </row>
    <row r="1543" spans="1:7" x14ac:dyDescent="0.2">
      <c r="A1543">
        <f t="shared" si="24"/>
        <v>74063</v>
      </c>
      <c r="B1543">
        <v>74</v>
      </c>
      <c r="C1543">
        <v>63</v>
      </c>
      <c r="D1543">
        <v>137</v>
      </c>
      <c r="E1543" t="s">
        <v>61</v>
      </c>
      <c r="F1543">
        <v>-60145.894999999997</v>
      </c>
      <c r="G1543">
        <v>4.3780000000000001</v>
      </c>
    </row>
    <row r="1544" spans="1:7" x14ac:dyDescent="0.2">
      <c r="A1544">
        <f t="shared" si="24"/>
        <v>74064</v>
      </c>
      <c r="B1544">
        <v>74</v>
      </c>
      <c r="C1544">
        <v>64</v>
      </c>
      <c r="D1544">
        <v>138</v>
      </c>
      <c r="E1544" t="s">
        <v>62</v>
      </c>
      <c r="F1544" t="s">
        <v>1010</v>
      </c>
      <c r="G1544" t="s">
        <v>206</v>
      </c>
    </row>
    <row r="1545" spans="1:7" x14ac:dyDescent="0.2">
      <c r="A1545">
        <f t="shared" si="24"/>
        <v>74065</v>
      </c>
      <c r="B1545">
        <v>74</v>
      </c>
      <c r="C1545">
        <v>65</v>
      </c>
      <c r="D1545">
        <v>139</v>
      </c>
      <c r="E1545" t="s">
        <v>63</v>
      </c>
      <c r="F1545" t="s">
        <v>1015</v>
      </c>
      <c r="G1545" t="s">
        <v>202</v>
      </c>
    </row>
    <row r="1546" spans="1:7" x14ac:dyDescent="0.2">
      <c r="A1546">
        <f t="shared" si="24"/>
        <v>74066</v>
      </c>
      <c r="B1546">
        <v>74</v>
      </c>
      <c r="C1546">
        <v>66</v>
      </c>
      <c r="D1546">
        <v>140</v>
      </c>
      <c r="E1546" t="s">
        <v>64</v>
      </c>
      <c r="F1546" t="s">
        <v>1018</v>
      </c>
      <c r="G1546" t="s">
        <v>199</v>
      </c>
    </row>
    <row r="1547" spans="1:7" x14ac:dyDescent="0.2">
      <c r="A1547">
        <f t="shared" si="24"/>
        <v>74067</v>
      </c>
      <c r="B1547">
        <v>74</v>
      </c>
      <c r="C1547">
        <v>67</v>
      </c>
      <c r="D1547">
        <v>141</v>
      </c>
      <c r="E1547" t="s">
        <v>65</v>
      </c>
      <c r="F1547" t="s">
        <v>1023</v>
      </c>
      <c r="G1547" t="s">
        <v>199</v>
      </c>
    </row>
    <row r="1548" spans="1:7" x14ac:dyDescent="0.2">
      <c r="A1548">
        <f t="shared" si="24"/>
        <v>74068</v>
      </c>
      <c r="B1548">
        <v>74</v>
      </c>
      <c r="C1548">
        <v>68</v>
      </c>
      <c r="D1548">
        <v>142</v>
      </c>
      <c r="E1548" t="s">
        <v>66</v>
      </c>
      <c r="F1548" t="s">
        <v>1027</v>
      </c>
      <c r="G1548" t="s">
        <v>245</v>
      </c>
    </row>
    <row r="1549" spans="1:7" x14ac:dyDescent="0.2">
      <c r="A1549">
        <f t="shared" si="24"/>
        <v>75042</v>
      </c>
      <c r="B1549">
        <v>75</v>
      </c>
      <c r="C1549">
        <v>42</v>
      </c>
      <c r="D1549">
        <v>117</v>
      </c>
      <c r="E1549" t="s">
        <v>40</v>
      </c>
      <c r="F1549" t="s">
        <v>268</v>
      </c>
      <c r="G1549" t="s">
        <v>245</v>
      </c>
    </row>
    <row r="1550" spans="1:7" x14ac:dyDescent="0.2">
      <c r="A1550">
        <f t="shared" si="24"/>
        <v>75043</v>
      </c>
      <c r="B1550">
        <v>75</v>
      </c>
      <c r="C1550">
        <v>43</v>
      </c>
      <c r="D1550">
        <v>118</v>
      </c>
      <c r="E1550" t="s">
        <v>41</v>
      </c>
      <c r="F1550" t="s">
        <v>924</v>
      </c>
      <c r="G1550" t="s">
        <v>199</v>
      </c>
    </row>
    <row r="1551" spans="1:7" x14ac:dyDescent="0.2">
      <c r="A1551">
        <f t="shared" si="24"/>
        <v>75044</v>
      </c>
      <c r="B1551">
        <v>75</v>
      </c>
      <c r="C1551">
        <v>44</v>
      </c>
      <c r="D1551">
        <v>119</v>
      </c>
      <c r="E1551" t="s">
        <v>42</v>
      </c>
      <c r="F1551" t="s">
        <v>929</v>
      </c>
      <c r="G1551" t="s">
        <v>202</v>
      </c>
    </row>
    <row r="1552" spans="1:7" x14ac:dyDescent="0.2">
      <c r="A1552">
        <f t="shared" si="24"/>
        <v>75045</v>
      </c>
      <c r="B1552">
        <v>75</v>
      </c>
      <c r="C1552">
        <v>45</v>
      </c>
      <c r="D1552">
        <v>120</v>
      </c>
      <c r="E1552" t="s">
        <v>43</v>
      </c>
      <c r="F1552" t="s">
        <v>934</v>
      </c>
      <c r="G1552" t="s">
        <v>206</v>
      </c>
    </row>
    <row r="1553" spans="1:7" x14ac:dyDescent="0.2">
      <c r="A1553">
        <f t="shared" si="24"/>
        <v>75046</v>
      </c>
      <c r="B1553">
        <v>75</v>
      </c>
      <c r="C1553">
        <v>46</v>
      </c>
      <c r="D1553">
        <v>121</v>
      </c>
      <c r="E1553" t="s">
        <v>44</v>
      </c>
      <c r="F1553">
        <v>-66182.328999999998</v>
      </c>
      <c r="G1553">
        <v>3.3530000000000002</v>
      </c>
    </row>
    <row r="1554" spans="1:7" x14ac:dyDescent="0.2">
      <c r="A1554">
        <f t="shared" si="24"/>
        <v>75047</v>
      </c>
      <c r="B1554">
        <v>75</v>
      </c>
      <c r="C1554">
        <v>47</v>
      </c>
      <c r="D1554">
        <v>122</v>
      </c>
      <c r="E1554" t="s">
        <v>45</v>
      </c>
      <c r="F1554">
        <v>-71106.107999999993</v>
      </c>
      <c r="G1554">
        <v>38.191000000000003</v>
      </c>
    </row>
    <row r="1555" spans="1:7" x14ac:dyDescent="0.2">
      <c r="A1555">
        <f t="shared" si="24"/>
        <v>75048</v>
      </c>
      <c r="B1555">
        <v>75</v>
      </c>
      <c r="C1555">
        <v>48</v>
      </c>
      <c r="D1555">
        <v>123</v>
      </c>
      <c r="E1555" t="s">
        <v>46</v>
      </c>
      <c r="F1555">
        <v>-77414.180999999997</v>
      </c>
      <c r="G1555">
        <v>2.6960000000000002</v>
      </c>
    </row>
    <row r="1556" spans="1:7" x14ac:dyDescent="0.2">
      <c r="A1556">
        <f t="shared" si="24"/>
        <v>75049</v>
      </c>
      <c r="B1556">
        <v>75</v>
      </c>
      <c r="C1556">
        <v>49</v>
      </c>
      <c r="D1556">
        <v>124</v>
      </c>
      <c r="E1556" t="s">
        <v>47</v>
      </c>
      <c r="F1556">
        <v>-80870.201000000001</v>
      </c>
      <c r="G1556">
        <v>30.571999999999999</v>
      </c>
    </row>
    <row r="1557" spans="1:7" x14ac:dyDescent="0.2">
      <c r="A1557">
        <f t="shared" si="24"/>
        <v>75050</v>
      </c>
      <c r="B1557">
        <v>75</v>
      </c>
      <c r="C1557">
        <v>50</v>
      </c>
      <c r="D1557">
        <v>125</v>
      </c>
      <c r="E1557" t="s">
        <v>48</v>
      </c>
      <c r="F1557">
        <v>-85896.376000000004</v>
      </c>
      <c r="G1557">
        <v>1.0329999999999999</v>
      </c>
    </row>
    <row r="1558" spans="1:7" x14ac:dyDescent="0.2">
      <c r="A1558">
        <f t="shared" si="24"/>
        <v>75051</v>
      </c>
      <c r="B1558">
        <v>75</v>
      </c>
      <c r="C1558">
        <v>51</v>
      </c>
      <c r="D1558">
        <v>126</v>
      </c>
      <c r="E1558" t="s">
        <v>49</v>
      </c>
      <c r="F1558">
        <v>-86393.24</v>
      </c>
      <c r="G1558">
        <v>31.766999999999999</v>
      </c>
    </row>
    <row r="1559" spans="1:7" x14ac:dyDescent="0.2">
      <c r="A1559">
        <f t="shared" si="24"/>
        <v>75052</v>
      </c>
      <c r="B1559">
        <v>75</v>
      </c>
      <c r="C1559">
        <v>52</v>
      </c>
      <c r="D1559">
        <v>127</v>
      </c>
      <c r="E1559" t="s">
        <v>50</v>
      </c>
      <c r="F1559">
        <v>-88281.678</v>
      </c>
      <c r="G1559">
        <v>1.514</v>
      </c>
    </row>
    <row r="1560" spans="1:7" x14ac:dyDescent="0.2">
      <c r="A1560">
        <f t="shared" si="24"/>
        <v>75053</v>
      </c>
      <c r="B1560">
        <v>75</v>
      </c>
      <c r="C1560">
        <v>53</v>
      </c>
      <c r="D1560">
        <v>128</v>
      </c>
      <c r="E1560" t="s">
        <v>51</v>
      </c>
      <c r="F1560">
        <v>-87738.724000000002</v>
      </c>
      <c r="G1560">
        <v>3.6469999999999998</v>
      </c>
    </row>
    <row r="1561" spans="1:7" x14ac:dyDescent="0.2">
      <c r="A1561">
        <f t="shared" si="24"/>
        <v>75054</v>
      </c>
      <c r="B1561">
        <v>75</v>
      </c>
      <c r="C1561">
        <v>54</v>
      </c>
      <c r="D1561">
        <v>129</v>
      </c>
      <c r="E1561" t="s">
        <v>52</v>
      </c>
      <c r="F1561">
        <v>-88696.058959999995</v>
      </c>
      <c r="G1561">
        <v>5.3699999999999998E-3</v>
      </c>
    </row>
    <row r="1562" spans="1:7" x14ac:dyDescent="0.2">
      <c r="A1562">
        <f t="shared" si="24"/>
        <v>75055</v>
      </c>
      <c r="B1562">
        <v>75</v>
      </c>
      <c r="C1562">
        <v>55</v>
      </c>
      <c r="D1562">
        <v>130</v>
      </c>
      <c r="E1562" t="s">
        <v>53</v>
      </c>
      <c r="F1562">
        <v>-86899.743000000002</v>
      </c>
      <c r="G1562">
        <v>8.3569999999999993</v>
      </c>
    </row>
    <row r="1563" spans="1:7" x14ac:dyDescent="0.2">
      <c r="A1563">
        <f t="shared" si="24"/>
        <v>75056</v>
      </c>
      <c r="B1563">
        <v>75</v>
      </c>
      <c r="C1563">
        <v>56</v>
      </c>
      <c r="D1563">
        <v>131</v>
      </c>
      <c r="E1563" t="s">
        <v>54</v>
      </c>
      <c r="F1563">
        <v>-86683.731</v>
      </c>
      <c r="G1563">
        <v>2.569</v>
      </c>
    </row>
    <row r="1564" spans="1:7" x14ac:dyDescent="0.2">
      <c r="A1564">
        <f t="shared" si="24"/>
        <v>75057</v>
      </c>
      <c r="B1564">
        <v>75</v>
      </c>
      <c r="C1564">
        <v>57</v>
      </c>
      <c r="D1564">
        <v>132</v>
      </c>
      <c r="E1564" t="s">
        <v>55</v>
      </c>
      <c r="F1564">
        <v>-83723.649999999994</v>
      </c>
      <c r="G1564">
        <v>36.359000000000002</v>
      </c>
    </row>
    <row r="1565" spans="1:7" x14ac:dyDescent="0.2">
      <c r="A1565">
        <f t="shared" si="24"/>
        <v>75058</v>
      </c>
      <c r="B1565">
        <v>75</v>
      </c>
      <c r="C1565">
        <v>58</v>
      </c>
      <c r="D1565">
        <v>133</v>
      </c>
      <c r="E1565" t="s">
        <v>56</v>
      </c>
      <c r="F1565">
        <v>-82418.214000000007</v>
      </c>
      <c r="G1565">
        <v>16.353999999999999</v>
      </c>
    </row>
    <row r="1566" spans="1:7" x14ac:dyDescent="0.2">
      <c r="A1566">
        <f t="shared" si="24"/>
        <v>75059</v>
      </c>
      <c r="B1566">
        <v>75</v>
      </c>
      <c r="C1566">
        <v>59</v>
      </c>
      <c r="D1566">
        <v>134</v>
      </c>
      <c r="E1566" t="s">
        <v>57</v>
      </c>
      <c r="F1566">
        <v>-78527.990999999995</v>
      </c>
      <c r="G1566">
        <v>20.315999999999999</v>
      </c>
    </row>
    <row r="1567" spans="1:7" x14ac:dyDescent="0.2">
      <c r="A1567">
        <f t="shared" si="24"/>
        <v>75060</v>
      </c>
      <c r="B1567">
        <v>75</v>
      </c>
      <c r="C1567">
        <v>60</v>
      </c>
      <c r="D1567">
        <v>135</v>
      </c>
      <c r="E1567" t="s">
        <v>58</v>
      </c>
      <c r="F1567">
        <v>-76213.608999999997</v>
      </c>
      <c r="G1567">
        <v>19.128</v>
      </c>
    </row>
    <row r="1568" spans="1:7" x14ac:dyDescent="0.2">
      <c r="A1568">
        <f t="shared" si="24"/>
        <v>75061</v>
      </c>
      <c r="B1568">
        <v>75</v>
      </c>
      <c r="C1568">
        <v>61</v>
      </c>
      <c r="D1568">
        <v>136</v>
      </c>
      <c r="E1568" t="s">
        <v>59</v>
      </c>
      <c r="F1568">
        <v>-71169.914999999994</v>
      </c>
      <c r="G1568">
        <v>69.072999999999993</v>
      </c>
    </row>
    <row r="1569" spans="1:7" x14ac:dyDescent="0.2">
      <c r="A1569">
        <f t="shared" si="24"/>
        <v>75062</v>
      </c>
      <c r="B1569">
        <v>75</v>
      </c>
      <c r="C1569">
        <v>62</v>
      </c>
      <c r="D1569">
        <v>137</v>
      </c>
      <c r="E1569" t="s">
        <v>60</v>
      </c>
      <c r="F1569">
        <v>-68026.524999999994</v>
      </c>
      <c r="G1569">
        <v>42.395000000000003</v>
      </c>
    </row>
    <row r="1570" spans="1:7" x14ac:dyDescent="0.2">
      <c r="A1570">
        <f t="shared" si="24"/>
        <v>75063</v>
      </c>
      <c r="B1570">
        <v>75</v>
      </c>
      <c r="C1570">
        <v>63</v>
      </c>
      <c r="D1570">
        <v>138</v>
      </c>
      <c r="E1570" t="s">
        <v>61</v>
      </c>
      <c r="F1570">
        <v>-61749.669000000002</v>
      </c>
      <c r="G1570">
        <v>27.945</v>
      </c>
    </row>
    <row r="1571" spans="1:7" x14ac:dyDescent="0.2">
      <c r="A1571">
        <f t="shared" si="24"/>
        <v>75064</v>
      </c>
      <c r="B1571">
        <v>75</v>
      </c>
      <c r="C1571">
        <v>64</v>
      </c>
      <c r="D1571">
        <v>139</v>
      </c>
      <c r="E1571" t="s">
        <v>62</v>
      </c>
      <c r="F1571" t="s">
        <v>1014</v>
      </c>
      <c r="G1571" t="s">
        <v>206</v>
      </c>
    </row>
    <row r="1572" spans="1:7" x14ac:dyDescent="0.2">
      <c r="A1572">
        <f t="shared" si="24"/>
        <v>75065</v>
      </c>
      <c r="B1572">
        <v>75</v>
      </c>
      <c r="C1572">
        <v>65</v>
      </c>
      <c r="D1572">
        <v>140</v>
      </c>
      <c r="E1572" t="s">
        <v>63</v>
      </c>
      <c r="F1572">
        <v>-50482.271000000001</v>
      </c>
      <c r="G1572">
        <v>800.48800000000006</v>
      </c>
    </row>
    <row r="1573" spans="1:7" x14ac:dyDescent="0.2">
      <c r="A1573">
        <f t="shared" si="24"/>
        <v>75066</v>
      </c>
      <c r="B1573">
        <v>75</v>
      </c>
      <c r="C1573">
        <v>66</v>
      </c>
      <c r="D1573">
        <v>141</v>
      </c>
      <c r="E1573" t="s">
        <v>64</v>
      </c>
      <c r="F1573" t="s">
        <v>1022</v>
      </c>
      <c r="G1573" t="s">
        <v>202</v>
      </c>
    </row>
    <row r="1574" spans="1:7" x14ac:dyDescent="0.2">
      <c r="A1574">
        <f t="shared" si="24"/>
        <v>75067</v>
      </c>
      <c r="B1574">
        <v>75</v>
      </c>
      <c r="C1574">
        <v>67</v>
      </c>
      <c r="D1574">
        <v>142</v>
      </c>
      <c r="E1574" t="s">
        <v>65</v>
      </c>
      <c r="F1574" t="s">
        <v>1026</v>
      </c>
      <c r="G1574" t="s">
        <v>199</v>
      </c>
    </row>
    <row r="1575" spans="1:7" x14ac:dyDescent="0.2">
      <c r="A1575">
        <f t="shared" si="24"/>
        <v>75068</v>
      </c>
      <c r="B1575">
        <v>75</v>
      </c>
      <c r="C1575">
        <v>68</v>
      </c>
      <c r="D1575">
        <v>143</v>
      </c>
      <c r="E1575" t="s">
        <v>66</v>
      </c>
      <c r="F1575" t="s">
        <v>1031</v>
      </c>
      <c r="G1575" t="s">
        <v>197</v>
      </c>
    </row>
    <row r="1576" spans="1:7" x14ac:dyDescent="0.2">
      <c r="A1576">
        <f t="shared" si="24"/>
        <v>75069</v>
      </c>
      <c r="B1576">
        <v>75</v>
      </c>
      <c r="C1576">
        <v>69</v>
      </c>
      <c r="D1576">
        <v>144</v>
      </c>
      <c r="E1576" t="s">
        <v>67</v>
      </c>
      <c r="F1576" t="s">
        <v>1034</v>
      </c>
      <c r="G1576" t="s">
        <v>197</v>
      </c>
    </row>
    <row r="1577" spans="1:7" x14ac:dyDescent="0.2">
      <c r="A1577">
        <f t="shared" si="24"/>
        <v>76042</v>
      </c>
      <c r="B1577">
        <v>76</v>
      </c>
      <c r="C1577">
        <v>42</v>
      </c>
      <c r="D1577">
        <v>118</v>
      </c>
      <c r="E1577" t="s">
        <v>40</v>
      </c>
      <c r="F1577" t="s">
        <v>923</v>
      </c>
      <c r="G1577" t="s">
        <v>245</v>
      </c>
    </row>
    <row r="1578" spans="1:7" x14ac:dyDescent="0.2">
      <c r="A1578">
        <f t="shared" si="24"/>
        <v>76043</v>
      </c>
      <c r="B1578">
        <v>76</v>
      </c>
      <c r="C1578">
        <v>43</v>
      </c>
      <c r="D1578">
        <v>119</v>
      </c>
      <c r="E1578" t="s">
        <v>41</v>
      </c>
      <c r="F1578" t="s">
        <v>928</v>
      </c>
      <c r="G1578" t="s">
        <v>201</v>
      </c>
    </row>
    <row r="1579" spans="1:7" x14ac:dyDescent="0.2">
      <c r="A1579">
        <f t="shared" si="24"/>
        <v>76044</v>
      </c>
      <c r="B1579">
        <v>76</v>
      </c>
      <c r="C1579">
        <v>44</v>
      </c>
      <c r="D1579">
        <v>120</v>
      </c>
      <c r="E1579" t="s">
        <v>42</v>
      </c>
      <c r="F1579" t="s">
        <v>933</v>
      </c>
      <c r="G1579" t="s">
        <v>199</v>
      </c>
    </row>
    <row r="1580" spans="1:7" x14ac:dyDescent="0.2">
      <c r="A1580">
        <f t="shared" si="24"/>
        <v>76045</v>
      </c>
      <c r="B1580">
        <v>76</v>
      </c>
      <c r="C1580">
        <v>45</v>
      </c>
      <c r="D1580">
        <v>121</v>
      </c>
      <c r="E1580" t="s">
        <v>43</v>
      </c>
      <c r="F1580">
        <v>-56250.127999999997</v>
      </c>
      <c r="G1580">
        <v>619.44399999999996</v>
      </c>
    </row>
    <row r="1581" spans="1:7" x14ac:dyDescent="0.2">
      <c r="A1581">
        <f t="shared" si="24"/>
        <v>76046</v>
      </c>
      <c r="B1581">
        <v>76</v>
      </c>
      <c r="C1581">
        <v>46</v>
      </c>
      <c r="D1581">
        <v>122</v>
      </c>
      <c r="E1581" t="s">
        <v>44</v>
      </c>
      <c r="F1581">
        <v>-64616.161</v>
      </c>
      <c r="G1581">
        <v>19.561</v>
      </c>
    </row>
    <row r="1582" spans="1:7" x14ac:dyDescent="0.2">
      <c r="A1582">
        <f t="shared" si="24"/>
        <v>76047</v>
      </c>
      <c r="B1582">
        <v>76</v>
      </c>
      <c r="C1582">
        <v>47</v>
      </c>
      <c r="D1582">
        <v>123</v>
      </c>
      <c r="E1582" t="s">
        <v>45</v>
      </c>
      <c r="F1582">
        <v>-69548.077999999994</v>
      </c>
      <c r="G1582">
        <v>30.739000000000001</v>
      </c>
    </row>
    <row r="1583" spans="1:7" x14ac:dyDescent="0.2">
      <c r="A1583">
        <f t="shared" si="24"/>
        <v>76048</v>
      </c>
      <c r="B1583">
        <v>76</v>
      </c>
      <c r="C1583">
        <v>48</v>
      </c>
      <c r="D1583">
        <v>124</v>
      </c>
      <c r="E1583" t="s">
        <v>46</v>
      </c>
      <c r="F1583">
        <v>-76701.672000000006</v>
      </c>
      <c r="G1583">
        <v>2.9950000000000001</v>
      </c>
    </row>
    <row r="1584" spans="1:7" x14ac:dyDescent="0.2">
      <c r="A1584">
        <f t="shared" si="24"/>
        <v>76049</v>
      </c>
      <c r="B1584">
        <v>76</v>
      </c>
      <c r="C1584">
        <v>49</v>
      </c>
      <c r="D1584">
        <v>125</v>
      </c>
      <c r="E1584" t="s">
        <v>47</v>
      </c>
      <c r="F1584">
        <v>-80476.804999999993</v>
      </c>
      <c r="G1584">
        <v>27.023</v>
      </c>
    </row>
    <row r="1585" spans="1:7" x14ac:dyDescent="0.2">
      <c r="A1585">
        <f t="shared" si="24"/>
        <v>76050</v>
      </c>
      <c r="B1585">
        <v>76</v>
      </c>
      <c r="C1585">
        <v>50</v>
      </c>
      <c r="D1585">
        <v>126</v>
      </c>
      <c r="E1585" t="s">
        <v>48</v>
      </c>
      <c r="F1585">
        <v>-86015.24</v>
      </c>
      <c r="G1585">
        <v>10.446999999999999</v>
      </c>
    </row>
    <row r="1586" spans="1:7" x14ac:dyDescent="0.2">
      <c r="A1586">
        <f t="shared" si="24"/>
        <v>76051</v>
      </c>
      <c r="B1586">
        <v>76</v>
      </c>
      <c r="C1586">
        <v>51</v>
      </c>
      <c r="D1586">
        <v>127</v>
      </c>
      <c r="E1586" t="s">
        <v>49</v>
      </c>
      <c r="F1586">
        <v>-86699.476999999999</v>
      </c>
      <c r="G1586">
        <v>5.1260000000000003</v>
      </c>
    </row>
    <row r="1587" spans="1:7" x14ac:dyDescent="0.2">
      <c r="A1587">
        <f t="shared" si="24"/>
        <v>76052</v>
      </c>
      <c r="B1587">
        <v>76</v>
      </c>
      <c r="C1587">
        <v>52</v>
      </c>
      <c r="D1587">
        <v>128</v>
      </c>
      <c r="E1587" t="s">
        <v>50</v>
      </c>
      <c r="F1587">
        <v>-88993.716</v>
      </c>
      <c r="G1587">
        <v>0.86599999999999999</v>
      </c>
    </row>
    <row r="1588" spans="1:7" x14ac:dyDescent="0.2">
      <c r="A1588">
        <f t="shared" si="24"/>
        <v>76053</v>
      </c>
      <c r="B1588">
        <v>76</v>
      </c>
      <c r="C1588">
        <v>53</v>
      </c>
      <c r="D1588">
        <v>129</v>
      </c>
      <c r="E1588" t="s">
        <v>51</v>
      </c>
      <c r="F1588">
        <v>-88507.125</v>
      </c>
      <c r="G1588">
        <v>3.1680000000000001</v>
      </c>
    </row>
    <row r="1589" spans="1:7" x14ac:dyDescent="0.2">
      <c r="A1589">
        <f t="shared" si="24"/>
        <v>76054</v>
      </c>
      <c r="B1589">
        <v>76</v>
      </c>
      <c r="C1589">
        <v>54</v>
      </c>
      <c r="D1589">
        <v>130</v>
      </c>
      <c r="E1589" t="s">
        <v>52</v>
      </c>
      <c r="F1589">
        <v>-89880.463000000003</v>
      </c>
      <c r="G1589">
        <v>8.9999999999999993E-3</v>
      </c>
    </row>
    <row r="1590" spans="1:7" x14ac:dyDescent="0.2">
      <c r="A1590">
        <f t="shared" si="24"/>
        <v>76055</v>
      </c>
      <c r="B1590">
        <v>76</v>
      </c>
      <c r="C1590">
        <v>55</v>
      </c>
      <c r="D1590">
        <v>131</v>
      </c>
      <c r="E1590" t="s">
        <v>53</v>
      </c>
      <c r="F1590">
        <v>-88058.785999999993</v>
      </c>
      <c r="G1590">
        <v>4.9740000000000002</v>
      </c>
    </row>
    <row r="1591" spans="1:7" x14ac:dyDescent="0.2">
      <c r="A1591">
        <f t="shared" si="24"/>
        <v>76056</v>
      </c>
      <c r="B1591">
        <v>76</v>
      </c>
      <c r="C1591">
        <v>56</v>
      </c>
      <c r="D1591">
        <v>132</v>
      </c>
      <c r="E1591" t="s">
        <v>54</v>
      </c>
      <c r="F1591">
        <v>-88435.017000000007</v>
      </c>
      <c r="G1591">
        <v>1.054</v>
      </c>
    </row>
    <row r="1592" spans="1:7" x14ac:dyDescent="0.2">
      <c r="A1592">
        <f t="shared" si="24"/>
        <v>76057</v>
      </c>
      <c r="B1592">
        <v>76</v>
      </c>
      <c r="C1592">
        <v>57</v>
      </c>
      <c r="D1592">
        <v>133</v>
      </c>
      <c r="E1592" t="s">
        <v>55</v>
      </c>
      <c r="F1592">
        <v>-85494.383000000002</v>
      </c>
      <c r="G1592">
        <v>27.945</v>
      </c>
    </row>
    <row r="1593" spans="1:7" x14ac:dyDescent="0.2">
      <c r="A1593">
        <f t="shared" si="24"/>
        <v>76058</v>
      </c>
      <c r="B1593">
        <v>76</v>
      </c>
      <c r="C1593">
        <v>58</v>
      </c>
      <c r="D1593">
        <v>134</v>
      </c>
      <c r="E1593" t="s">
        <v>56</v>
      </c>
      <c r="F1593">
        <v>-84832.888999999996</v>
      </c>
      <c r="G1593">
        <v>20.387</v>
      </c>
    </row>
    <row r="1594" spans="1:7" x14ac:dyDescent="0.2">
      <c r="A1594">
        <f t="shared" si="24"/>
        <v>76059</v>
      </c>
      <c r="B1594">
        <v>76</v>
      </c>
      <c r="C1594">
        <v>59</v>
      </c>
      <c r="D1594">
        <v>135</v>
      </c>
      <c r="E1594" t="s">
        <v>57</v>
      </c>
      <c r="F1594">
        <v>-80935.861000000004</v>
      </c>
      <c r="G1594">
        <v>11.817</v>
      </c>
    </row>
    <row r="1595" spans="1:7" x14ac:dyDescent="0.2">
      <c r="A1595">
        <f t="shared" si="24"/>
        <v>76060</v>
      </c>
      <c r="B1595">
        <v>76</v>
      </c>
      <c r="C1595">
        <v>60</v>
      </c>
      <c r="D1595">
        <v>136</v>
      </c>
      <c r="E1595" t="s">
        <v>58</v>
      </c>
      <c r="F1595">
        <v>-79199.286999999997</v>
      </c>
      <c r="G1595">
        <v>11.817</v>
      </c>
    </row>
    <row r="1596" spans="1:7" x14ac:dyDescent="0.2">
      <c r="A1596">
        <f t="shared" si="24"/>
        <v>76061</v>
      </c>
      <c r="B1596">
        <v>76</v>
      </c>
      <c r="C1596">
        <v>61</v>
      </c>
      <c r="D1596">
        <v>137</v>
      </c>
      <c r="E1596" t="s">
        <v>59</v>
      </c>
      <c r="F1596">
        <v>-74072.847999999998</v>
      </c>
      <c r="G1596">
        <v>13.041</v>
      </c>
    </row>
    <row r="1597" spans="1:7" x14ac:dyDescent="0.2">
      <c r="A1597">
        <f t="shared" si="24"/>
        <v>76062</v>
      </c>
      <c r="B1597">
        <v>76</v>
      </c>
      <c r="C1597">
        <v>62</v>
      </c>
      <c r="D1597">
        <v>138</v>
      </c>
      <c r="E1597" t="s">
        <v>60</v>
      </c>
      <c r="F1597">
        <v>-71497.762000000002</v>
      </c>
      <c r="G1597">
        <v>11.817</v>
      </c>
    </row>
    <row r="1598" spans="1:7" x14ac:dyDescent="0.2">
      <c r="A1598">
        <f t="shared" si="24"/>
        <v>76063</v>
      </c>
      <c r="B1598">
        <v>76</v>
      </c>
      <c r="C1598">
        <v>63</v>
      </c>
      <c r="D1598">
        <v>139</v>
      </c>
      <c r="E1598" t="s">
        <v>61</v>
      </c>
      <c r="F1598">
        <v>-65398.042000000001</v>
      </c>
      <c r="G1598">
        <v>13.151</v>
      </c>
    </row>
    <row r="1599" spans="1:7" x14ac:dyDescent="0.2">
      <c r="A1599">
        <f t="shared" si="24"/>
        <v>76064</v>
      </c>
      <c r="B1599">
        <v>76</v>
      </c>
      <c r="C1599">
        <v>64</v>
      </c>
      <c r="D1599">
        <v>140</v>
      </c>
      <c r="E1599" t="s">
        <v>62</v>
      </c>
      <c r="F1599">
        <v>-61782.271000000001</v>
      </c>
      <c r="G1599">
        <v>27.945</v>
      </c>
    </row>
    <row r="1600" spans="1:7" x14ac:dyDescent="0.2">
      <c r="A1600">
        <f t="shared" si="24"/>
        <v>76065</v>
      </c>
      <c r="B1600">
        <v>76</v>
      </c>
      <c r="C1600">
        <v>65</v>
      </c>
      <c r="D1600">
        <v>141</v>
      </c>
      <c r="E1600" t="s">
        <v>63</v>
      </c>
      <c r="F1600">
        <v>-54540.837</v>
      </c>
      <c r="G1600">
        <v>105.259</v>
      </c>
    </row>
    <row r="1601" spans="1:7" x14ac:dyDescent="0.2">
      <c r="A1601">
        <f t="shared" ref="A1601:A1664" si="25">1000*B1601+C1601</f>
        <v>76066</v>
      </c>
      <c r="B1601">
        <v>76</v>
      </c>
      <c r="C1601">
        <v>66</v>
      </c>
      <c r="D1601">
        <v>142</v>
      </c>
      <c r="E1601" t="s">
        <v>64</v>
      </c>
      <c r="F1601" t="s">
        <v>1024</v>
      </c>
      <c r="G1601" t="s">
        <v>1025</v>
      </c>
    </row>
    <row r="1602" spans="1:7" x14ac:dyDescent="0.2">
      <c r="A1602">
        <f t="shared" si="25"/>
        <v>76067</v>
      </c>
      <c r="B1602">
        <v>76</v>
      </c>
      <c r="C1602">
        <v>67</v>
      </c>
      <c r="D1602">
        <v>143</v>
      </c>
      <c r="E1602" t="s">
        <v>65</v>
      </c>
      <c r="F1602" t="s">
        <v>1030</v>
      </c>
      <c r="G1602" t="s">
        <v>202</v>
      </c>
    </row>
    <row r="1603" spans="1:7" x14ac:dyDescent="0.2">
      <c r="A1603">
        <f t="shared" si="25"/>
        <v>76068</v>
      </c>
      <c r="B1603">
        <v>76</v>
      </c>
      <c r="C1603">
        <v>68</v>
      </c>
      <c r="D1603">
        <v>144</v>
      </c>
      <c r="E1603" t="s">
        <v>66</v>
      </c>
      <c r="F1603" t="s">
        <v>1033</v>
      </c>
      <c r="G1603" t="s">
        <v>206</v>
      </c>
    </row>
    <row r="1604" spans="1:7" x14ac:dyDescent="0.2">
      <c r="A1604">
        <f t="shared" si="25"/>
        <v>76069</v>
      </c>
      <c r="B1604">
        <v>76</v>
      </c>
      <c r="C1604">
        <v>69</v>
      </c>
      <c r="D1604">
        <v>145</v>
      </c>
      <c r="E1604" t="s">
        <v>67</v>
      </c>
      <c r="F1604" t="s">
        <v>1037</v>
      </c>
      <c r="G1604" t="s">
        <v>206</v>
      </c>
    </row>
    <row r="1605" spans="1:7" x14ac:dyDescent="0.2">
      <c r="A1605">
        <f t="shared" si="25"/>
        <v>77043</v>
      </c>
      <c r="B1605">
        <v>77</v>
      </c>
      <c r="C1605">
        <v>43</v>
      </c>
      <c r="D1605">
        <v>120</v>
      </c>
      <c r="E1605" t="s">
        <v>41</v>
      </c>
      <c r="F1605" t="s">
        <v>932</v>
      </c>
      <c r="G1605" t="s">
        <v>201</v>
      </c>
    </row>
    <row r="1606" spans="1:7" x14ac:dyDescent="0.2">
      <c r="A1606">
        <f t="shared" si="25"/>
        <v>77044</v>
      </c>
      <c r="B1606">
        <v>77</v>
      </c>
      <c r="C1606">
        <v>44</v>
      </c>
      <c r="D1606">
        <v>121</v>
      </c>
      <c r="E1606" t="s">
        <v>42</v>
      </c>
      <c r="F1606" t="s">
        <v>253</v>
      </c>
      <c r="G1606" t="s">
        <v>199</v>
      </c>
    </row>
    <row r="1607" spans="1:7" x14ac:dyDescent="0.2">
      <c r="A1607">
        <f t="shared" si="25"/>
        <v>77045</v>
      </c>
      <c r="B1607">
        <v>77</v>
      </c>
      <c r="C1607">
        <v>45</v>
      </c>
      <c r="D1607">
        <v>122</v>
      </c>
      <c r="E1607" t="s">
        <v>43</v>
      </c>
      <c r="F1607" t="s">
        <v>942</v>
      </c>
      <c r="G1607" t="s">
        <v>235</v>
      </c>
    </row>
    <row r="1608" spans="1:7" x14ac:dyDescent="0.2">
      <c r="A1608">
        <f t="shared" si="25"/>
        <v>77046</v>
      </c>
      <c r="B1608">
        <v>77</v>
      </c>
      <c r="C1608">
        <v>46</v>
      </c>
      <c r="D1608">
        <v>123</v>
      </c>
      <c r="E1608" t="s">
        <v>44</v>
      </c>
      <c r="F1608">
        <v>-60429.741999999998</v>
      </c>
      <c r="G1608">
        <v>789.44100000000003</v>
      </c>
    </row>
    <row r="1609" spans="1:7" x14ac:dyDescent="0.2">
      <c r="A1609">
        <f t="shared" si="25"/>
        <v>77047</v>
      </c>
      <c r="B1609">
        <v>77</v>
      </c>
      <c r="C1609">
        <v>47</v>
      </c>
      <c r="D1609">
        <v>124</v>
      </c>
      <c r="E1609" t="s">
        <v>45</v>
      </c>
      <c r="F1609">
        <v>-66200.134000000005</v>
      </c>
      <c r="G1609">
        <v>251.50299999999999</v>
      </c>
    </row>
    <row r="1610" spans="1:7" x14ac:dyDescent="0.2">
      <c r="A1610">
        <f t="shared" si="25"/>
        <v>77048</v>
      </c>
      <c r="B1610">
        <v>77</v>
      </c>
      <c r="C1610">
        <v>48</v>
      </c>
      <c r="D1610">
        <v>125</v>
      </c>
      <c r="E1610" t="s">
        <v>46</v>
      </c>
      <c r="F1610">
        <v>-73348.095000000001</v>
      </c>
      <c r="G1610">
        <v>2.8849999999999998</v>
      </c>
    </row>
    <row r="1611" spans="1:7" x14ac:dyDescent="0.2">
      <c r="A1611">
        <f t="shared" si="25"/>
        <v>77049</v>
      </c>
      <c r="B1611">
        <v>77</v>
      </c>
      <c r="C1611">
        <v>49</v>
      </c>
      <c r="D1611">
        <v>126</v>
      </c>
      <c r="E1611" t="s">
        <v>47</v>
      </c>
      <c r="F1611">
        <v>-77772.907999999996</v>
      </c>
      <c r="G1611">
        <v>26.920999999999999</v>
      </c>
    </row>
    <row r="1612" spans="1:7" x14ac:dyDescent="0.2">
      <c r="A1612">
        <f t="shared" si="25"/>
        <v>77050</v>
      </c>
      <c r="B1612">
        <v>77</v>
      </c>
      <c r="C1612">
        <v>50</v>
      </c>
      <c r="D1612">
        <v>127</v>
      </c>
      <c r="E1612" t="s">
        <v>48</v>
      </c>
      <c r="F1612">
        <v>-83470.803</v>
      </c>
      <c r="G1612">
        <v>10.057</v>
      </c>
    </row>
    <row r="1613" spans="1:7" x14ac:dyDescent="0.2">
      <c r="A1613">
        <f t="shared" si="25"/>
        <v>77051</v>
      </c>
      <c r="B1613">
        <v>77</v>
      </c>
      <c r="C1613">
        <v>51</v>
      </c>
      <c r="D1613">
        <v>128</v>
      </c>
      <c r="E1613" t="s">
        <v>49</v>
      </c>
      <c r="F1613">
        <v>-84630.285999999993</v>
      </c>
      <c r="G1613">
        <v>19.119</v>
      </c>
    </row>
    <row r="1614" spans="1:7" x14ac:dyDescent="0.2">
      <c r="A1614">
        <f t="shared" si="25"/>
        <v>77052</v>
      </c>
      <c r="B1614">
        <v>77</v>
      </c>
      <c r="C1614">
        <v>52</v>
      </c>
      <c r="D1614">
        <v>129</v>
      </c>
      <c r="E1614" t="s">
        <v>50</v>
      </c>
      <c r="F1614">
        <v>-87004.807000000001</v>
      </c>
      <c r="G1614">
        <v>0.86899999999999999</v>
      </c>
    </row>
    <row r="1615" spans="1:7" x14ac:dyDescent="0.2">
      <c r="A1615">
        <f t="shared" si="25"/>
        <v>77053</v>
      </c>
      <c r="B1615">
        <v>77</v>
      </c>
      <c r="C1615">
        <v>53</v>
      </c>
      <c r="D1615">
        <v>130</v>
      </c>
      <c r="E1615" t="s">
        <v>51</v>
      </c>
      <c r="F1615">
        <v>-86936.138000000006</v>
      </c>
      <c r="G1615">
        <v>3.1680000000000001</v>
      </c>
    </row>
    <row r="1616" spans="1:7" x14ac:dyDescent="0.2">
      <c r="A1616">
        <f t="shared" si="25"/>
        <v>77054</v>
      </c>
      <c r="B1616">
        <v>77</v>
      </c>
      <c r="C1616">
        <v>54</v>
      </c>
      <c r="D1616">
        <v>131</v>
      </c>
      <c r="E1616" t="s">
        <v>52</v>
      </c>
      <c r="F1616">
        <v>-88413.558000000005</v>
      </c>
      <c r="G1616">
        <v>8.9999999999999993E-3</v>
      </c>
    </row>
    <row r="1617" spans="1:7" x14ac:dyDescent="0.2">
      <c r="A1617">
        <f t="shared" si="25"/>
        <v>77055</v>
      </c>
      <c r="B1617">
        <v>77</v>
      </c>
      <c r="C1617">
        <v>55</v>
      </c>
      <c r="D1617">
        <v>132</v>
      </c>
      <c r="E1617" t="s">
        <v>53</v>
      </c>
      <c r="F1617">
        <v>-87152.680999999997</v>
      </c>
      <c r="G1617">
        <v>1.036</v>
      </c>
    </row>
    <row r="1618" spans="1:7" x14ac:dyDescent="0.2">
      <c r="A1618">
        <f t="shared" si="25"/>
        <v>77056</v>
      </c>
      <c r="B1618">
        <v>77</v>
      </c>
      <c r="C1618">
        <v>56</v>
      </c>
      <c r="D1618">
        <v>133</v>
      </c>
      <c r="E1618" t="s">
        <v>54</v>
      </c>
      <c r="F1618">
        <v>-87553.612999999998</v>
      </c>
      <c r="G1618">
        <v>0.99199999999999999</v>
      </c>
    </row>
    <row r="1619" spans="1:7" x14ac:dyDescent="0.2">
      <c r="A1619">
        <f t="shared" si="25"/>
        <v>77057</v>
      </c>
      <c r="B1619">
        <v>77</v>
      </c>
      <c r="C1619">
        <v>57</v>
      </c>
      <c r="D1619">
        <v>134</v>
      </c>
      <c r="E1619" t="s">
        <v>55</v>
      </c>
      <c r="F1619">
        <v>-85218.65</v>
      </c>
      <c r="G1619">
        <v>19.93</v>
      </c>
    </row>
    <row r="1620" spans="1:7" x14ac:dyDescent="0.2">
      <c r="A1620">
        <f t="shared" si="25"/>
        <v>77058</v>
      </c>
      <c r="B1620">
        <v>77</v>
      </c>
      <c r="C1620">
        <v>58</v>
      </c>
      <c r="D1620">
        <v>135</v>
      </c>
      <c r="E1620" t="s">
        <v>56</v>
      </c>
      <c r="F1620">
        <v>-84616.171000000002</v>
      </c>
      <c r="G1620">
        <v>10.266999999999999</v>
      </c>
    </row>
    <row r="1621" spans="1:7" x14ac:dyDescent="0.2">
      <c r="A1621">
        <f t="shared" si="25"/>
        <v>77059</v>
      </c>
      <c r="B1621">
        <v>77</v>
      </c>
      <c r="C1621">
        <v>59</v>
      </c>
      <c r="D1621">
        <v>136</v>
      </c>
      <c r="E1621" t="s">
        <v>57</v>
      </c>
      <c r="F1621">
        <v>-81340.354999999996</v>
      </c>
      <c r="G1621">
        <v>11.455</v>
      </c>
    </row>
    <row r="1622" spans="1:7" x14ac:dyDescent="0.2">
      <c r="A1622">
        <f t="shared" si="25"/>
        <v>77060</v>
      </c>
      <c r="B1622">
        <v>77</v>
      </c>
      <c r="C1622">
        <v>60</v>
      </c>
      <c r="D1622">
        <v>137</v>
      </c>
      <c r="E1622" t="s">
        <v>58</v>
      </c>
      <c r="F1622">
        <v>-79584.566999999995</v>
      </c>
      <c r="G1622">
        <v>11.737</v>
      </c>
    </row>
    <row r="1623" spans="1:7" x14ac:dyDescent="0.2">
      <c r="A1623">
        <f t="shared" si="25"/>
        <v>77061</v>
      </c>
      <c r="B1623">
        <v>77</v>
      </c>
      <c r="C1623">
        <v>61</v>
      </c>
      <c r="D1623">
        <v>138</v>
      </c>
      <c r="E1623" t="s">
        <v>59</v>
      </c>
      <c r="F1623">
        <v>-74940.482999999993</v>
      </c>
      <c r="G1623">
        <v>27.739000000000001</v>
      </c>
    </row>
    <row r="1624" spans="1:7" x14ac:dyDescent="0.2">
      <c r="A1624">
        <f t="shared" si="25"/>
        <v>77062</v>
      </c>
      <c r="B1624">
        <v>77</v>
      </c>
      <c r="C1624">
        <v>62</v>
      </c>
      <c r="D1624">
        <v>139</v>
      </c>
      <c r="E1624" t="s">
        <v>60</v>
      </c>
      <c r="F1624">
        <v>-72380.218999999997</v>
      </c>
      <c r="G1624">
        <v>10.884</v>
      </c>
    </row>
    <row r="1625" spans="1:7" x14ac:dyDescent="0.2">
      <c r="A1625">
        <f t="shared" si="25"/>
        <v>77063</v>
      </c>
      <c r="B1625">
        <v>77</v>
      </c>
      <c r="C1625">
        <v>63</v>
      </c>
      <c r="D1625">
        <v>140</v>
      </c>
      <c r="E1625" t="s">
        <v>61</v>
      </c>
      <c r="F1625">
        <v>-66985.934999999998</v>
      </c>
      <c r="G1625">
        <v>51.537999999999997</v>
      </c>
    </row>
    <row r="1626" spans="1:7" x14ac:dyDescent="0.2">
      <c r="A1626">
        <f t="shared" si="25"/>
        <v>77064</v>
      </c>
      <c r="B1626">
        <v>77</v>
      </c>
      <c r="C1626">
        <v>64</v>
      </c>
      <c r="D1626">
        <v>141</v>
      </c>
      <c r="E1626" t="s">
        <v>62</v>
      </c>
      <c r="F1626">
        <v>-63224.224000000002</v>
      </c>
      <c r="G1626">
        <v>19.760000000000002</v>
      </c>
    </row>
    <row r="1627" spans="1:7" x14ac:dyDescent="0.2">
      <c r="A1627">
        <f t="shared" si="25"/>
        <v>77065</v>
      </c>
      <c r="B1627">
        <v>77</v>
      </c>
      <c r="C1627">
        <v>65</v>
      </c>
      <c r="D1627">
        <v>142</v>
      </c>
      <c r="E1627" t="s">
        <v>63</v>
      </c>
      <c r="F1627">
        <v>-56559.514999999999</v>
      </c>
      <c r="G1627">
        <v>700.55799999999999</v>
      </c>
    </row>
    <row r="1628" spans="1:7" x14ac:dyDescent="0.2">
      <c r="A1628">
        <f t="shared" si="25"/>
        <v>77066</v>
      </c>
      <c r="B1628">
        <v>77</v>
      </c>
      <c r="C1628">
        <v>66</v>
      </c>
      <c r="D1628">
        <v>143</v>
      </c>
      <c r="E1628" t="s">
        <v>64</v>
      </c>
      <c r="F1628">
        <v>-52168.940999999999</v>
      </c>
      <c r="G1628">
        <v>13.041</v>
      </c>
    </row>
    <row r="1629" spans="1:7" x14ac:dyDescent="0.2">
      <c r="A1629">
        <f t="shared" si="25"/>
        <v>77067</v>
      </c>
      <c r="B1629">
        <v>77</v>
      </c>
      <c r="C1629">
        <v>67</v>
      </c>
      <c r="D1629">
        <v>144</v>
      </c>
      <c r="E1629" t="s">
        <v>65</v>
      </c>
      <c r="F1629">
        <v>-44609.512999999999</v>
      </c>
      <c r="G1629">
        <v>8.4770000000000003</v>
      </c>
    </row>
    <row r="1630" spans="1:7" x14ac:dyDescent="0.2">
      <c r="A1630">
        <f t="shared" si="25"/>
        <v>77068</v>
      </c>
      <c r="B1630">
        <v>77</v>
      </c>
      <c r="C1630">
        <v>68</v>
      </c>
      <c r="D1630">
        <v>145</v>
      </c>
      <c r="E1630" t="s">
        <v>66</v>
      </c>
      <c r="F1630" t="s">
        <v>1036</v>
      </c>
      <c r="G1630" t="s">
        <v>204</v>
      </c>
    </row>
    <row r="1631" spans="1:7" x14ac:dyDescent="0.2">
      <c r="A1631">
        <f t="shared" si="25"/>
        <v>77069</v>
      </c>
      <c r="B1631">
        <v>77</v>
      </c>
      <c r="C1631">
        <v>69</v>
      </c>
      <c r="D1631">
        <v>146</v>
      </c>
      <c r="E1631" t="s">
        <v>67</v>
      </c>
      <c r="F1631" t="s">
        <v>1038</v>
      </c>
      <c r="G1631" t="s">
        <v>204</v>
      </c>
    </row>
    <row r="1632" spans="1:7" x14ac:dyDescent="0.2">
      <c r="A1632">
        <f t="shared" si="25"/>
        <v>78043</v>
      </c>
      <c r="B1632">
        <v>78</v>
      </c>
      <c r="C1632">
        <v>43</v>
      </c>
      <c r="D1632">
        <v>121</v>
      </c>
      <c r="E1632" t="s">
        <v>41</v>
      </c>
      <c r="F1632" t="s">
        <v>937</v>
      </c>
      <c r="G1632" t="s">
        <v>245</v>
      </c>
    </row>
    <row r="1633" spans="1:7" x14ac:dyDescent="0.2">
      <c r="A1633">
        <f t="shared" si="25"/>
        <v>78044</v>
      </c>
      <c r="B1633">
        <v>78</v>
      </c>
      <c r="C1633">
        <v>44</v>
      </c>
      <c r="D1633">
        <v>122</v>
      </c>
      <c r="E1633" t="s">
        <v>42</v>
      </c>
      <c r="F1633" t="s">
        <v>941</v>
      </c>
      <c r="G1633" t="s">
        <v>245</v>
      </c>
    </row>
    <row r="1634" spans="1:7" x14ac:dyDescent="0.2">
      <c r="A1634">
        <f t="shared" si="25"/>
        <v>78045</v>
      </c>
      <c r="B1634">
        <v>78</v>
      </c>
      <c r="C1634">
        <v>45</v>
      </c>
      <c r="D1634">
        <v>123</v>
      </c>
      <c r="E1634" t="s">
        <v>43</v>
      </c>
      <c r="F1634" t="s">
        <v>946</v>
      </c>
      <c r="G1634" t="s">
        <v>197</v>
      </c>
    </row>
    <row r="1635" spans="1:7" x14ac:dyDescent="0.2">
      <c r="A1635">
        <f t="shared" si="25"/>
        <v>78046</v>
      </c>
      <c r="B1635">
        <v>78</v>
      </c>
      <c r="C1635">
        <v>46</v>
      </c>
      <c r="D1635">
        <v>124</v>
      </c>
      <c r="E1635" t="s">
        <v>44</v>
      </c>
      <c r="F1635" t="s">
        <v>952</v>
      </c>
      <c r="G1635" t="s">
        <v>202</v>
      </c>
    </row>
    <row r="1636" spans="1:7" x14ac:dyDescent="0.2">
      <c r="A1636">
        <f t="shared" si="25"/>
        <v>78047</v>
      </c>
      <c r="B1636">
        <v>78</v>
      </c>
      <c r="C1636">
        <v>47</v>
      </c>
      <c r="D1636">
        <v>125</v>
      </c>
      <c r="E1636" t="s">
        <v>45</v>
      </c>
      <c r="F1636">
        <v>-64519.932000000001</v>
      </c>
      <c r="G1636">
        <v>433.14499999999998</v>
      </c>
    </row>
    <row r="1637" spans="1:7" x14ac:dyDescent="0.2">
      <c r="A1637">
        <f t="shared" si="25"/>
        <v>78048</v>
      </c>
      <c r="B1637">
        <v>78</v>
      </c>
      <c r="C1637">
        <v>48</v>
      </c>
      <c r="D1637">
        <v>126</v>
      </c>
      <c r="E1637" t="s">
        <v>46</v>
      </c>
      <c r="F1637">
        <v>-72256.801999999996</v>
      </c>
      <c r="G1637">
        <v>2.476</v>
      </c>
    </row>
    <row r="1638" spans="1:7" x14ac:dyDescent="0.2">
      <c r="A1638">
        <f t="shared" si="25"/>
        <v>78049</v>
      </c>
      <c r="B1638">
        <v>78</v>
      </c>
      <c r="C1638">
        <v>49</v>
      </c>
      <c r="D1638">
        <v>127</v>
      </c>
      <c r="E1638" t="s">
        <v>47</v>
      </c>
      <c r="F1638">
        <v>-76896.183999999994</v>
      </c>
      <c r="G1638">
        <v>21.157</v>
      </c>
    </row>
    <row r="1639" spans="1:7" x14ac:dyDescent="0.2">
      <c r="A1639">
        <f t="shared" si="25"/>
        <v>78050</v>
      </c>
      <c r="B1639">
        <v>78</v>
      </c>
      <c r="C1639">
        <v>50</v>
      </c>
      <c r="D1639">
        <v>128</v>
      </c>
      <c r="E1639" t="s">
        <v>48</v>
      </c>
      <c r="F1639">
        <v>-83362.008000000002</v>
      </c>
      <c r="G1639">
        <v>17.66</v>
      </c>
    </row>
    <row r="1640" spans="1:7" x14ac:dyDescent="0.2">
      <c r="A1640">
        <f t="shared" si="25"/>
        <v>78051</v>
      </c>
      <c r="B1640">
        <v>78</v>
      </c>
      <c r="C1640">
        <v>51</v>
      </c>
      <c r="D1640">
        <v>129</v>
      </c>
      <c r="E1640" t="s">
        <v>49</v>
      </c>
      <c r="F1640">
        <v>-84629.307000000001</v>
      </c>
      <c r="G1640">
        <v>21.231000000000002</v>
      </c>
    </row>
    <row r="1641" spans="1:7" x14ac:dyDescent="0.2">
      <c r="A1641">
        <f t="shared" si="25"/>
        <v>78052</v>
      </c>
      <c r="B1641">
        <v>78</v>
      </c>
      <c r="C1641">
        <v>52</v>
      </c>
      <c r="D1641">
        <v>130</v>
      </c>
      <c r="E1641" t="s">
        <v>50</v>
      </c>
      <c r="F1641">
        <v>-87352.948999999993</v>
      </c>
      <c r="G1641">
        <v>1.0999999999999999E-2</v>
      </c>
    </row>
    <row r="1642" spans="1:7" x14ac:dyDescent="0.2">
      <c r="A1642">
        <f t="shared" si="25"/>
        <v>78053</v>
      </c>
      <c r="B1642">
        <v>78</v>
      </c>
      <c r="C1642">
        <v>53</v>
      </c>
      <c r="D1642">
        <v>131</v>
      </c>
      <c r="E1642" t="s">
        <v>51</v>
      </c>
      <c r="F1642">
        <v>-87442.71</v>
      </c>
      <c r="G1642">
        <v>0.60499999999999998</v>
      </c>
    </row>
    <row r="1643" spans="1:7" x14ac:dyDescent="0.2">
      <c r="A1643">
        <f t="shared" si="25"/>
        <v>78054</v>
      </c>
      <c r="B1643">
        <v>78</v>
      </c>
      <c r="C1643">
        <v>54</v>
      </c>
      <c r="D1643">
        <v>132</v>
      </c>
      <c r="E1643" t="s">
        <v>52</v>
      </c>
      <c r="F1643">
        <v>-89278.961790000001</v>
      </c>
      <c r="G1643">
        <v>5.1500000000000001E-3</v>
      </c>
    </row>
    <row r="1644" spans="1:7" x14ac:dyDescent="0.2">
      <c r="A1644">
        <f t="shared" si="25"/>
        <v>78055</v>
      </c>
      <c r="B1644">
        <v>78</v>
      </c>
      <c r="C1644">
        <v>55</v>
      </c>
      <c r="D1644">
        <v>133</v>
      </c>
      <c r="E1644" t="s">
        <v>53</v>
      </c>
      <c r="F1644">
        <v>-88070.930999999997</v>
      </c>
      <c r="G1644">
        <v>8.0000000000000002E-3</v>
      </c>
    </row>
    <row r="1645" spans="1:7" x14ac:dyDescent="0.2">
      <c r="A1645">
        <f t="shared" si="25"/>
        <v>78056</v>
      </c>
      <c r="B1645">
        <v>78</v>
      </c>
      <c r="C1645">
        <v>56</v>
      </c>
      <c r="D1645">
        <v>134</v>
      </c>
      <c r="E1645" t="s">
        <v>54</v>
      </c>
      <c r="F1645">
        <v>-88949.853000000003</v>
      </c>
      <c r="G1645">
        <v>0.30399999999999999</v>
      </c>
    </row>
    <row r="1646" spans="1:7" x14ac:dyDescent="0.2">
      <c r="A1646">
        <f t="shared" si="25"/>
        <v>78057</v>
      </c>
      <c r="B1646">
        <v>78</v>
      </c>
      <c r="C1646">
        <v>57</v>
      </c>
      <c r="D1646">
        <v>135</v>
      </c>
      <c r="E1646" t="s">
        <v>55</v>
      </c>
      <c r="F1646">
        <v>-86643.316999999995</v>
      </c>
      <c r="G1646">
        <v>9.4339999999999993</v>
      </c>
    </row>
    <row r="1647" spans="1:7" x14ac:dyDescent="0.2">
      <c r="A1647">
        <f t="shared" si="25"/>
        <v>78058</v>
      </c>
      <c r="B1647">
        <v>78</v>
      </c>
      <c r="C1647">
        <v>58</v>
      </c>
      <c r="D1647">
        <v>136</v>
      </c>
      <c r="E1647" t="s">
        <v>56</v>
      </c>
      <c r="F1647">
        <v>-86508.372000000003</v>
      </c>
      <c r="G1647">
        <v>0.40799999999999997</v>
      </c>
    </row>
    <row r="1648" spans="1:7" x14ac:dyDescent="0.2">
      <c r="A1648">
        <f t="shared" si="25"/>
        <v>78059</v>
      </c>
      <c r="B1648">
        <v>78</v>
      </c>
      <c r="C1648">
        <v>59</v>
      </c>
      <c r="D1648">
        <v>137</v>
      </c>
      <c r="E1648" t="s">
        <v>57</v>
      </c>
      <c r="F1648">
        <v>-83201.692999999999</v>
      </c>
      <c r="G1648">
        <v>8.1370000000000005</v>
      </c>
    </row>
    <row r="1649" spans="1:7" x14ac:dyDescent="0.2">
      <c r="A1649">
        <f t="shared" si="25"/>
        <v>78060</v>
      </c>
      <c r="B1649">
        <v>78</v>
      </c>
      <c r="C1649">
        <v>60</v>
      </c>
      <c r="D1649">
        <v>138</v>
      </c>
      <c r="E1649" t="s">
        <v>58</v>
      </c>
      <c r="F1649">
        <v>-82018.31</v>
      </c>
      <c r="G1649">
        <v>11.601000000000001</v>
      </c>
    </row>
    <row r="1650" spans="1:7" x14ac:dyDescent="0.2">
      <c r="A1650">
        <f t="shared" si="25"/>
        <v>78061</v>
      </c>
      <c r="B1650">
        <v>78</v>
      </c>
      <c r="C1650">
        <v>61</v>
      </c>
      <c r="D1650">
        <v>139</v>
      </c>
      <c r="E1650" t="s">
        <v>59</v>
      </c>
      <c r="F1650">
        <v>-77500.481</v>
      </c>
      <c r="G1650">
        <v>13.593</v>
      </c>
    </row>
    <row r="1651" spans="1:7" x14ac:dyDescent="0.2">
      <c r="A1651">
        <f t="shared" si="25"/>
        <v>78062</v>
      </c>
      <c r="B1651">
        <v>78</v>
      </c>
      <c r="C1651">
        <v>62</v>
      </c>
      <c r="D1651">
        <v>140</v>
      </c>
      <c r="E1651" t="s">
        <v>60</v>
      </c>
      <c r="F1651">
        <v>-75455.934999999998</v>
      </c>
      <c r="G1651">
        <v>12.497</v>
      </c>
    </row>
    <row r="1652" spans="1:7" x14ac:dyDescent="0.2">
      <c r="A1652">
        <f t="shared" si="25"/>
        <v>78063</v>
      </c>
      <c r="B1652">
        <v>78</v>
      </c>
      <c r="C1652">
        <v>63</v>
      </c>
      <c r="D1652">
        <v>141</v>
      </c>
      <c r="E1652" t="s">
        <v>61</v>
      </c>
      <c r="F1652">
        <v>-69925.629000000001</v>
      </c>
      <c r="G1652">
        <v>12.638999999999999</v>
      </c>
    </row>
    <row r="1653" spans="1:7" x14ac:dyDescent="0.2">
      <c r="A1653">
        <f t="shared" si="25"/>
        <v>78064</v>
      </c>
      <c r="B1653">
        <v>78</v>
      </c>
      <c r="C1653">
        <v>64</v>
      </c>
      <c r="D1653">
        <v>142</v>
      </c>
      <c r="E1653" t="s">
        <v>62</v>
      </c>
      <c r="F1653">
        <v>-66959.514999999999</v>
      </c>
      <c r="G1653">
        <v>27.945</v>
      </c>
    </row>
    <row r="1654" spans="1:7" x14ac:dyDescent="0.2">
      <c r="A1654">
        <f t="shared" si="25"/>
        <v>78065</v>
      </c>
      <c r="B1654">
        <v>78</v>
      </c>
      <c r="C1654">
        <v>65</v>
      </c>
      <c r="D1654">
        <v>143</v>
      </c>
      <c r="E1654" t="s">
        <v>63</v>
      </c>
      <c r="F1654">
        <v>-60419.182999999997</v>
      </c>
      <c r="G1654">
        <v>51.231999999999999</v>
      </c>
    </row>
    <row r="1655" spans="1:7" x14ac:dyDescent="0.2">
      <c r="A1655">
        <f t="shared" si="25"/>
        <v>78066</v>
      </c>
      <c r="B1655">
        <v>78</v>
      </c>
      <c r="C1655">
        <v>66</v>
      </c>
      <c r="D1655">
        <v>144</v>
      </c>
      <c r="E1655" t="s">
        <v>64</v>
      </c>
      <c r="F1655">
        <v>-56570.082999999999</v>
      </c>
      <c r="G1655">
        <v>7.173</v>
      </c>
    </row>
    <row r="1656" spans="1:7" x14ac:dyDescent="0.2">
      <c r="A1656">
        <f t="shared" si="25"/>
        <v>78067</v>
      </c>
      <c r="B1656">
        <v>78</v>
      </c>
      <c r="C1656">
        <v>67</v>
      </c>
      <c r="D1656">
        <v>145</v>
      </c>
      <c r="E1656" t="s">
        <v>65</v>
      </c>
      <c r="F1656">
        <v>-49120.105000000003</v>
      </c>
      <c r="G1656">
        <v>7.452</v>
      </c>
    </row>
    <row r="1657" spans="1:7" x14ac:dyDescent="0.2">
      <c r="A1657">
        <f t="shared" si="25"/>
        <v>78068</v>
      </c>
      <c r="B1657">
        <v>78</v>
      </c>
      <c r="C1657">
        <v>68</v>
      </c>
      <c r="D1657">
        <v>146</v>
      </c>
      <c r="E1657" t="s">
        <v>66</v>
      </c>
      <c r="F1657">
        <v>-44322.012000000002</v>
      </c>
      <c r="G1657">
        <v>6.7050000000000001</v>
      </c>
    </row>
    <row r="1658" spans="1:7" x14ac:dyDescent="0.2">
      <c r="A1658">
        <f t="shared" si="25"/>
        <v>78069</v>
      </c>
      <c r="B1658">
        <v>78</v>
      </c>
      <c r="C1658">
        <v>69</v>
      </c>
      <c r="D1658">
        <v>147</v>
      </c>
      <c r="E1658" t="s">
        <v>67</v>
      </c>
      <c r="F1658">
        <v>-35974.400000000001</v>
      </c>
      <c r="G1658">
        <v>6.8390000000000004</v>
      </c>
    </row>
    <row r="1659" spans="1:7" x14ac:dyDescent="0.2">
      <c r="A1659">
        <f t="shared" si="25"/>
        <v>78070</v>
      </c>
      <c r="B1659">
        <v>78</v>
      </c>
      <c r="C1659">
        <v>70</v>
      </c>
      <c r="D1659">
        <v>148</v>
      </c>
      <c r="E1659" t="s">
        <v>68</v>
      </c>
      <c r="F1659" t="s">
        <v>1041</v>
      </c>
      <c r="G1659" t="s">
        <v>197</v>
      </c>
    </row>
    <row r="1660" spans="1:7" x14ac:dyDescent="0.2">
      <c r="A1660">
        <f t="shared" si="25"/>
        <v>79044</v>
      </c>
      <c r="B1660">
        <v>79</v>
      </c>
      <c r="C1660">
        <v>44</v>
      </c>
      <c r="D1660">
        <v>123</v>
      </c>
      <c r="E1660" t="s">
        <v>42</v>
      </c>
      <c r="F1660" t="s">
        <v>945</v>
      </c>
      <c r="G1660" t="s">
        <v>245</v>
      </c>
    </row>
    <row r="1661" spans="1:7" x14ac:dyDescent="0.2">
      <c r="A1661">
        <f t="shared" si="25"/>
        <v>79045</v>
      </c>
      <c r="B1661">
        <v>79</v>
      </c>
      <c r="C1661">
        <v>45</v>
      </c>
      <c r="D1661">
        <v>124</v>
      </c>
      <c r="E1661" t="s">
        <v>43</v>
      </c>
      <c r="F1661" t="s">
        <v>951</v>
      </c>
      <c r="G1661" t="s">
        <v>197</v>
      </c>
    </row>
    <row r="1662" spans="1:7" x14ac:dyDescent="0.2">
      <c r="A1662">
        <f t="shared" si="25"/>
        <v>79046</v>
      </c>
      <c r="B1662">
        <v>79</v>
      </c>
      <c r="C1662">
        <v>46</v>
      </c>
      <c r="D1662">
        <v>125</v>
      </c>
      <c r="E1662" t="s">
        <v>44</v>
      </c>
      <c r="F1662" t="s">
        <v>956</v>
      </c>
      <c r="G1662" t="s">
        <v>197</v>
      </c>
    </row>
    <row r="1663" spans="1:7" x14ac:dyDescent="0.2">
      <c r="A1663">
        <f t="shared" si="25"/>
        <v>79047</v>
      </c>
      <c r="B1663">
        <v>79</v>
      </c>
      <c r="C1663">
        <v>47</v>
      </c>
      <c r="D1663">
        <v>126</v>
      </c>
      <c r="E1663" t="s">
        <v>45</v>
      </c>
      <c r="F1663" t="s">
        <v>961</v>
      </c>
      <c r="G1663" t="s">
        <v>204</v>
      </c>
    </row>
    <row r="1664" spans="1:7" x14ac:dyDescent="0.2">
      <c r="A1664">
        <f t="shared" si="25"/>
        <v>79048</v>
      </c>
      <c r="B1664">
        <v>79</v>
      </c>
      <c r="C1664">
        <v>48</v>
      </c>
      <c r="D1664">
        <v>127</v>
      </c>
      <c r="E1664" t="s">
        <v>46</v>
      </c>
      <c r="F1664">
        <v>-68747.402000000002</v>
      </c>
      <c r="G1664">
        <v>12.109</v>
      </c>
    </row>
    <row r="1665" spans="1:7" x14ac:dyDescent="0.2">
      <c r="A1665">
        <f t="shared" ref="A1665:A1728" si="26">1000*B1665+C1665</f>
        <v>79049</v>
      </c>
      <c r="B1665">
        <v>79</v>
      </c>
      <c r="C1665">
        <v>49</v>
      </c>
      <c r="D1665">
        <v>128</v>
      </c>
      <c r="E1665" t="s">
        <v>47</v>
      </c>
      <c r="F1665">
        <v>-74145.941000000006</v>
      </c>
      <c r="G1665">
        <v>153.47900000000001</v>
      </c>
    </row>
    <row r="1666" spans="1:7" x14ac:dyDescent="0.2">
      <c r="A1666">
        <f t="shared" si="26"/>
        <v>79050</v>
      </c>
      <c r="B1666">
        <v>79</v>
      </c>
      <c r="C1666">
        <v>50</v>
      </c>
      <c r="D1666">
        <v>129</v>
      </c>
      <c r="E1666" t="s">
        <v>48</v>
      </c>
      <c r="F1666">
        <v>-80590.903000000006</v>
      </c>
      <c r="G1666">
        <v>17.277000000000001</v>
      </c>
    </row>
    <row r="1667" spans="1:7" x14ac:dyDescent="0.2">
      <c r="A1667">
        <f t="shared" si="26"/>
        <v>79051</v>
      </c>
      <c r="B1667">
        <v>79</v>
      </c>
      <c r="C1667">
        <v>51</v>
      </c>
      <c r="D1667">
        <v>130</v>
      </c>
      <c r="E1667" t="s">
        <v>49</v>
      </c>
      <c r="F1667">
        <v>-82285.676000000007</v>
      </c>
      <c r="G1667">
        <v>14.212</v>
      </c>
    </row>
    <row r="1668" spans="1:7" x14ac:dyDescent="0.2">
      <c r="A1668">
        <f t="shared" si="26"/>
        <v>79052</v>
      </c>
      <c r="B1668">
        <v>79</v>
      </c>
      <c r="C1668">
        <v>52</v>
      </c>
      <c r="D1668">
        <v>131</v>
      </c>
      <c r="E1668" t="s">
        <v>50</v>
      </c>
      <c r="F1668">
        <v>-85211.012000000002</v>
      </c>
      <c r="G1668">
        <v>6.0999999999999999E-2</v>
      </c>
    </row>
    <row r="1669" spans="1:7" x14ac:dyDescent="0.2">
      <c r="A1669">
        <f t="shared" si="26"/>
        <v>79053</v>
      </c>
      <c r="B1669">
        <v>79</v>
      </c>
      <c r="C1669">
        <v>53</v>
      </c>
      <c r="D1669">
        <v>132</v>
      </c>
      <c r="E1669" t="s">
        <v>51</v>
      </c>
      <c r="F1669">
        <v>-85703.49</v>
      </c>
      <c r="G1669">
        <v>4.0650000000000004</v>
      </c>
    </row>
    <row r="1670" spans="1:7" x14ac:dyDescent="0.2">
      <c r="A1670">
        <f t="shared" si="26"/>
        <v>79054</v>
      </c>
      <c r="B1670">
        <v>79</v>
      </c>
      <c r="C1670">
        <v>54</v>
      </c>
      <c r="D1670">
        <v>133</v>
      </c>
      <c r="E1670" t="s">
        <v>52</v>
      </c>
      <c r="F1670">
        <v>-87643.570999999996</v>
      </c>
      <c r="G1670">
        <v>2.4</v>
      </c>
    </row>
    <row r="1671" spans="1:7" x14ac:dyDescent="0.2">
      <c r="A1671">
        <f t="shared" si="26"/>
        <v>79055</v>
      </c>
      <c r="B1671">
        <v>79</v>
      </c>
      <c r="C1671">
        <v>55</v>
      </c>
      <c r="D1671">
        <v>134</v>
      </c>
      <c r="E1671" t="s">
        <v>53</v>
      </c>
      <c r="F1671">
        <v>-86891.153999999995</v>
      </c>
      <c r="G1671">
        <v>1.6E-2</v>
      </c>
    </row>
    <row r="1672" spans="1:7" x14ac:dyDescent="0.2">
      <c r="A1672">
        <f t="shared" si="26"/>
        <v>79056</v>
      </c>
      <c r="B1672">
        <v>79</v>
      </c>
      <c r="C1672">
        <v>56</v>
      </c>
      <c r="D1672">
        <v>135</v>
      </c>
      <c r="E1672" t="s">
        <v>54</v>
      </c>
      <c r="F1672">
        <v>-87850.498000000007</v>
      </c>
      <c r="G1672">
        <v>0.30599999999999999</v>
      </c>
    </row>
    <row r="1673" spans="1:7" x14ac:dyDescent="0.2">
      <c r="A1673">
        <f t="shared" si="26"/>
        <v>79057</v>
      </c>
      <c r="B1673">
        <v>79</v>
      </c>
      <c r="C1673">
        <v>57</v>
      </c>
      <c r="D1673">
        <v>136</v>
      </c>
      <c r="E1673" t="s">
        <v>55</v>
      </c>
      <c r="F1673">
        <v>-86037.479000000007</v>
      </c>
      <c r="G1673">
        <v>53.170999999999999</v>
      </c>
    </row>
    <row r="1674" spans="1:7" x14ac:dyDescent="0.2">
      <c r="A1674">
        <f t="shared" si="26"/>
        <v>79058</v>
      </c>
      <c r="B1674">
        <v>79</v>
      </c>
      <c r="C1674">
        <v>58</v>
      </c>
      <c r="D1674">
        <v>137</v>
      </c>
      <c r="E1674" t="s">
        <v>56</v>
      </c>
      <c r="F1674">
        <v>-85918.588000000003</v>
      </c>
      <c r="G1674">
        <v>0.437</v>
      </c>
    </row>
    <row r="1675" spans="1:7" x14ac:dyDescent="0.2">
      <c r="A1675">
        <f t="shared" si="26"/>
        <v>79059</v>
      </c>
      <c r="B1675">
        <v>79</v>
      </c>
      <c r="C1675">
        <v>59</v>
      </c>
      <c r="D1675">
        <v>138</v>
      </c>
      <c r="E1675" t="s">
        <v>57</v>
      </c>
      <c r="F1675">
        <v>-83133.922000000006</v>
      </c>
      <c r="G1675">
        <v>11.15</v>
      </c>
    </row>
    <row r="1676" spans="1:7" x14ac:dyDescent="0.2">
      <c r="A1676">
        <f t="shared" si="26"/>
        <v>79060</v>
      </c>
      <c r="B1676">
        <v>79</v>
      </c>
      <c r="C1676">
        <v>60</v>
      </c>
      <c r="D1676">
        <v>139</v>
      </c>
      <c r="E1676" t="s">
        <v>58</v>
      </c>
      <c r="F1676">
        <v>-82013.941999999995</v>
      </c>
      <c r="G1676">
        <v>27.6</v>
      </c>
    </row>
    <row r="1677" spans="1:7" x14ac:dyDescent="0.2">
      <c r="A1677">
        <f t="shared" si="26"/>
        <v>79061</v>
      </c>
      <c r="B1677">
        <v>79</v>
      </c>
      <c r="C1677">
        <v>61</v>
      </c>
      <c r="D1677">
        <v>140</v>
      </c>
      <c r="E1677" t="s">
        <v>59</v>
      </c>
      <c r="F1677">
        <v>-78213.712</v>
      </c>
      <c r="G1677">
        <v>24.245999999999999</v>
      </c>
    </row>
    <row r="1678" spans="1:7" x14ac:dyDescent="0.2">
      <c r="A1678">
        <f t="shared" si="26"/>
        <v>79062</v>
      </c>
      <c r="B1678">
        <v>79</v>
      </c>
      <c r="C1678">
        <v>62</v>
      </c>
      <c r="D1678">
        <v>141</v>
      </c>
      <c r="E1678" t="s">
        <v>60</v>
      </c>
      <c r="F1678">
        <v>-75933.909</v>
      </c>
      <c r="G1678">
        <v>8.5389999999999997</v>
      </c>
    </row>
    <row r="1679" spans="1:7" x14ac:dyDescent="0.2">
      <c r="A1679">
        <f t="shared" si="26"/>
        <v>79063</v>
      </c>
      <c r="B1679">
        <v>79</v>
      </c>
      <c r="C1679">
        <v>63</v>
      </c>
      <c r="D1679">
        <v>142</v>
      </c>
      <c r="E1679" t="s">
        <v>61</v>
      </c>
      <c r="F1679">
        <v>-71313.47</v>
      </c>
      <c r="G1679">
        <v>30.158000000000001</v>
      </c>
    </row>
    <row r="1680" spans="1:7" x14ac:dyDescent="0.2">
      <c r="A1680">
        <f t="shared" si="26"/>
        <v>79064</v>
      </c>
      <c r="B1680">
        <v>79</v>
      </c>
      <c r="C1680">
        <v>64</v>
      </c>
      <c r="D1680">
        <v>143</v>
      </c>
      <c r="E1680" t="s">
        <v>62</v>
      </c>
      <c r="F1680">
        <v>-68231.3</v>
      </c>
      <c r="G1680">
        <v>200.30099999999999</v>
      </c>
    </row>
    <row r="1681" spans="1:7" x14ac:dyDescent="0.2">
      <c r="A1681">
        <f t="shared" si="26"/>
        <v>79065</v>
      </c>
      <c r="B1681">
        <v>79</v>
      </c>
      <c r="C1681">
        <v>65</v>
      </c>
      <c r="D1681">
        <v>144</v>
      </c>
      <c r="E1681" t="s">
        <v>63</v>
      </c>
      <c r="F1681">
        <v>-62368.180999999997</v>
      </c>
      <c r="G1681">
        <v>27.945</v>
      </c>
    </row>
    <row r="1682" spans="1:7" x14ac:dyDescent="0.2">
      <c r="A1682">
        <f t="shared" si="26"/>
        <v>79066</v>
      </c>
      <c r="B1682">
        <v>79</v>
      </c>
      <c r="C1682">
        <v>66</v>
      </c>
      <c r="D1682">
        <v>145</v>
      </c>
      <c r="E1682" t="s">
        <v>64</v>
      </c>
      <c r="F1682">
        <v>-58242.599000000002</v>
      </c>
      <c r="G1682">
        <v>6.52</v>
      </c>
    </row>
    <row r="1683" spans="1:7" x14ac:dyDescent="0.2">
      <c r="A1683">
        <f t="shared" si="26"/>
        <v>79067</v>
      </c>
      <c r="B1683">
        <v>79</v>
      </c>
      <c r="C1683">
        <v>67</v>
      </c>
      <c r="D1683">
        <v>146</v>
      </c>
      <c r="E1683" t="s">
        <v>65</v>
      </c>
      <c r="F1683">
        <v>-51238.218999999997</v>
      </c>
      <c r="G1683">
        <v>6.5869999999999997</v>
      </c>
    </row>
    <row r="1684" spans="1:7" x14ac:dyDescent="0.2">
      <c r="A1684">
        <f t="shared" si="26"/>
        <v>79068</v>
      </c>
      <c r="B1684">
        <v>79</v>
      </c>
      <c r="C1684">
        <v>68</v>
      </c>
      <c r="D1684">
        <v>147</v>
      </c>
      <c r="E1684" t="s">
        <v>66</v>
      </c>
      <c r="F1684">
        <v>-46607.807000000001</v>
      </c>
      <c r="G1684">
        <v>38.191000000000003</v>
      </c>
    </row>
    <row r="1685" spans="1:7" x14ac:dyDescent="0.2">
      <c r="A1685">
        <f t="shared" si="26"/>
        <v>79069</v>
      </c>
      <c r="B1685">
        <v>79</v>
      </c>
      <c r="C1685">
        <v>69</v>
      </c>
      <c r="D1685">
        <v>148</v>
      </c>
      <c r="E1685" t="s">
        <v>67</v>
      </c>
      <c r="F1685">
        <v>-38765.027000000002</v>
      </c>
      <c r="G1685">
        <v>10.246</v>
      </c>
    </row>
    <row r="1686" spans="1:7" x14ac:dyDescent="0.2">
      <c r="A1686">
        <f t="shared" si="26"/>
        <v>79070</v>
      </c>
      <c r="B1686">
        <v>79</v>
      </c>
      <c r="C1686">
        <v>70</v>
      </c>
      <c r="D1686">
        <v>149</v>
      </c>
      <c r="E1686" t="s">
        <v>68</v>
      </c>
      <c r="F1686" t="s">
        <v>1044</v>
      </c>
      <c r="G1686" t="s">
        <v>235</v>
      </c>
    </row>
    <row r="1687" spans="1:7" x14ac:dyDescent="0.2">
      <c r="A1687">
        <f t="shared" si="26"/>
        <v>79071</v>
      </c>
      <c r="B1687">
        <v>79</v>
      </c>
      <c r="C1687">
        <v>71</v>
      </c>
      <c r="D1687">
        <v>150</v>
      </c>
      <c r="E1687" t="s">
        <v>69</v>
      </c>
      <c r="F1687" t="s">
        <v>1048</v>
      </c>
      <c r="G1687" t="s">
        <v>235</v>
      </c>
    </row>
    <row r="1688" spans="1:7" x14ac:dyDescent="0.2">
      <c r="A1688">
        <f t="shared" si="26"/>
        <v>80044</v>
      </c>
      <c r="B1688">
        <v>80</v>
      </c>
      <c r="C1688">
        <v>44</v>
      </c>
      <c r="D1688">
        <v>124</v>
      </c>
      <c r="E1688" t="s">
        <v>42</v>
      </c>
      <c r="F1688" t="s">
        <v>950</v>
      </c>
      <c r="G1688" t="s">
        <v>666</v>
      </c>
    </row>
    <row r="1689" spans="1:7" x14ac:dyDescent="0.2">
      <c r="A1689">
        <f t="shared" si="26"/>
        <v>80045</v>
      </c>
      <c r="B1689">
        <v>80</v>
      </c>
      <c r="C1689">
        <v>45</v>
      </c>
      <c r="D1689">
        <v>125</v>
      </c>
      <c r="E1689" t="s">
        <v>43</v>
      </c>
      <c r="F1689" t="s">
        <v>955</v>
      </c>
      <c r="G1689" t="s">
        <v>245</v>
      </c>
    </row>
    <row r="1690" spans="1:7" x14ac:dyDescent="0.2">
      <c r="A1690">
        <f t="shared" si="26"/>
        <v>80046</v>
      </c>
      <c r="B1690">
        <v>80</v>
      </c>
      <c r="C1690">
        <v>46</v>
      </c>
      <c r="D1690">
        <v>126</v>
      </c>
      <c r="E1690" t="s">
        <v>44</v>
      </c>
      <c r="F1690" t="s">
        <v>960</v>
      </c>
      <c r="G1690" t="s">
        <v>197</v>
      </c>
    </row>
    <row r="1691" spans="1:7" x14ac:dyDescent="0.2">
      <c r="A1691">
        <f t="shared" si="26"/>
        <v>80047</v>
      </c>
      <c r="B1691">
        <v>80</v>
      </c>
      <c r="C1691">
        <v>47</v>
      </c>
      <c r="D1691">
        <v>127</v>
      </c>
      <c r="E1691" t="s">
        <v>45</v>
      </c>
      <c r="F1691" t="s">
        <v>967</v>
      </c>
      <c r="G1691" t="s">
        <v>204</v>
      </c>
    </row>
    <row r="1692" spans="1:7" x14ac:dyDescent="0.2">
      <c r="A1692">
        <f t="shared" si="26"/>
        <v>80048</v>
      </c>
      <c r="B1692">
        <v>80</v>
      </c>
      <c r="C1692">
        <v>48</v>
      </c>
      <c r="D1692">
        <v>128</v>
      </c>
      <c r="E1692" t="s">
        <v>46</v>
      </c>
      <c r="F1692">
        <v>-67241.89</v>
      </c>
      <c r="G1692">
        <v>7.2439999999999998</v>
      </c>
    </row>
    <row r="1693" spans="1:7" x14ac:dyDescent="0.2">
      <c r="A1693">
        <f t="shared" si="26"/>
        <v>80049</v>
      </c>
      <c r="B1693">
        <v>80</v>
      </c>
      <c r="C1693">
        <v>49</v>
      </c>
      <c r="D1693">
        <v>129</v>
      </c>
      <c r="E1693" t="s">
        <v>47</v>
      </c>
      <c r="F1693">
        <v>-72837.72</v>
      </c>
      <c r="G1693">
        <v>2.6930000000000001</v>
      </c>
    </row>
    <row r="1694" spans="1:7" x14ac:dyDescent="0.2">
      <c r="A1694">
        <f t="shared" si="26"/>
        <v>80050</v>
      </c>
      <c r="B1694">
        <v>80</v>
      </c>
      <c r="C1694">
        <v>50</v>
      </c>
      <c r="D1694">
        <v>130</v>
      </c>
      <c r="E1694" t="s">
        <v>48</v>
      </c>
      <c r="F1694">
        <v>-80132.206000000006</v>
      </c>
      <c r="G1694">
        <v>1.873</v>
      </c>
    </row>
    <row r="1695" spans="1:7" x14ac:dyDescent="0.2">
      <c r="A1695">
        <f t="shared" si="26"/>
        <v>80051</v>
      </c>
      <c r="B1695">
        <v>80</v>
      </c>
      <c r="C1695">
        <v>51</v>
      </c>
      <c r="D1695">
        <v>131</v>
      </c>
      <c r="E1695" t="s">
        <v>49</v>
      </c>
      <c r="F1695">
        <v>-81981.400999999998</v>
      </c>
      <c r="G1695">
        <v>2.0840000000000001</v>
      </c>
    </row>
    <row r="1696" spans="1:7" x14ac:dyDescent="0.2">
      <c r="A1696">
        <f t="shared" si="26"/>
        <v>80052</v>
      </c>
      <c r="B1696">
        <v>80</v>
      </c>
      <c r="C1696">
        <v>52</v>
      </c>
      <c r="D1696">
        <v>132</v>
      </c>
      <c r="E1696" t="s">
        <v>50</v>
      </c>
      <c r="F1696">
        <v>-85188.186000000002</v>
      </c>
      <c r="G1696">
        <v>3.4860000000000002</v>
      </c>
    </row>
    <row r="1697" spans="1:7" x14ac:dyDescent="0.2">
      <c r="A1697">
        <f t="shared" si="26"/>
        <v>80053</v>
      </c>
      <c r="B1697">
        <v>80</v>
      </c>
      <c r="C1697">
        <v>53</v>
      </c>
      <c r="D1697">
        <v>133</v>
      </c>
      <c r="E1697" t="s">
        <v>51</v>
      </c>
      <c r="F1697">
        <v>-85858.26</v>
      </c>
      <c r="G1697">
        <v>6.4269999999999996</v>
      </c>
    </row>
    <row r="1698" spans="1:7" x14ac:dyDescent="0.2">
      <c r="A1698">
        <f t="shared" si="26"/>
        <v>80054</v>
      </c>
      <c r="B1698">
        <v>80</v>
      </c>
      <c r="C1698">
        <v>54</v>
      </c>
      <c r="D1698">
        <v>134</v>
      </c>
      <c r="E1698" t="s">
        <v>52</v>
      </c>
      <c r="F1698">
        <v>-88125.822</v>
      </c>
      <c r="G1698">
        <v>8.9999999999999993E-3</v>
      </c>
    </row>
    <row r="1699" spans="1:7" x14ac:dyDescent="0.2">
      <c r="A1699">
        <f t="shared" si="26"/>
        <v>80055</v>
      </c>
      <c r="B1699">
        <v>80</v>
      </c>
      <c r="C1699">
        <v>55</v>
      </c>
      <c r="D1699">
        <v>135</v>
      </c>
      <c r="E1699" t="s">
        <v>53</v>
      </c>
      <c r="F1699">
        <v>-87581.642999999996</v>
      </c>
      <c r="G1699">
        <v>0.99199999999999999</v>
      </c>
    </row>
    <row r="1700" spans="1:7" x14ac:dyDescent="0.2">
      <c r="A1700">
        <f t="shared" si="26"/>
        <v>80056</v>
      </c>
      <c r="B1700">
        <v>80</v>
      </c>
      <c r="C1700">
        <v>56</v>
      </c>
      <c r="D1700">
        <v>136</v>
      </c>
      <c r="E1700" t="s">
        <v>54</v>
      </c>
      <c r="F1700">
        <v>-88886.921000000002</v>
      </c>
      <c r="G1700">
        <v>0.30599999999999999</v>
      </c>
    </row>
    <row r="1701" spans="1:7" x14ac:dyDescent="0.2">
      <c r="A1701">
        <f t="shared" si="26"/>
        <v>80057</v>
      </c>
      <c r="B1701">
        <v>80</v>
      </c>
      <c r="C1701">
        <v>57</v>
      </c>
      <c r="D1701">
        <v>137</v>
      </c>
      <c r="E1701" t="s">
        <v>55</v>
      </c>
      <c r="F1701">
        <v>-87140.687999999995</v>
      </c>
      <c r="G1701">
        <v>1.659</v>
      </c>
    </row>
    <row r="1702" spans="1:7" x14ac:dyDescent="0.2">
      <c r="A1702">
        <f t="shared" si="26"/>
        <v>80058</v>
      </c>
      <c r="B1702">
        <v>80</v>
      </c>
      <c r="C1702">
        <v>58</v>
      </c>
      <c r="D1702">
        <v>138</v>
      </c>
      <c r="E1702" t="s">
        <v>56</v>
      </c>
      <c r="F1702">
        <v>-87570.922000000006</v>
      </c>
      <c r="G1702">
        <v>4.931</v>
      </c>
    </row>
    <row r="1703" spans="1:7" x14ac:dyDescent="0.2">
      <c r="A1703">
        <f t="shared" si="26"/>
        <v>80059</v>
      </c>
      <c r="B1703">
        <v>80</v>
      </c>
      <c r="C1703">
        <v>59</v>
      </c>
      <c r="D1703">
        <v>139</v>
      </c>
      <c r="E1703" t="s">
        <v>57</v>
      </c>
      <c r="F1703">
        <v>-84818.797999999995</v>
      </c>
      <c r="G1703">
        <v>7.8090000000000002</v>
      </c>
    </row>
    <row r="1704" spans="1:7" x14ac:dyDescent="0.2">
      <c r="A1704">
        <f t="shared" si="26"/>
        <v>80060</v>
      </c>
      <c r="B1704">
        <v>80</v>
      </c>
      <c r="C1704">
        <v>60</v>
      </c>
      <c r="D1704">
        <v>140</v>
      </c>
      <c r="E1704" t="s">
        <v>58</v>
      </c>
      <c r="F1704">
        <v>-84258.911999999997</v>
      </c>
      <c r="G1704">
        <v>3.4470000000000001</v>
      </c>
    </row>
    <row r="1705" spans="1:7" x14ac:dyDescent="0.2">
      <c r="A1705">
        <f t="shared" si="26"/>
        <v>80061</v>
      </c>
      <c r="B1705">
        <v>80</v>
      </c>
      <c r="C1705">
        <v>61</v>
      </c>
      <c r="D1705">
        <v>141</v>
      </c>
      <c r="E1705" t="s">
        <v>59</v>
      </c>
      <c r="F1705">
        <v>-80522.921000000002</v>
      </c>
      <c r="G1705">
        <v>13.972</v>
      </c>
    </row>
    <row r="1706" spans="1:7" x14ac:dyDescent="0.2">
      <c r="A1706">
        <f t="shared" si="26"/>
        <v>80062</v>
      </c>
      <c r="B1706">
        <v>80</v>
      </c>
      <c r="C1706">
        <v>62</v>
      </c>
      <c r="D1706">
        <v>142</v>
      </c>
      <c r="E1706" t="s">
        <v>60</v>
      </c>
      <c r="F1706">
        <v>-78986.47</v>
      </c>
      <c r="G1706">
        <v>3.0790000000000002</v>
      </c>
    </row>
    <row r="1707" spans="1:7" x14ac:dyDescent="0.2">
      <c r="A1707">
        <f t="shared" si="26"/>
        <v>80063</v>
      </c>
      <c r="B1707">
        <v>80</v>
      </c>
      <c r="C1707">
        <v>63</v>
      </c>
      <c r="D1707">
        <v>143</v>
      </c>
      <c r="E1707" t="s">
        <v>61</v>
      </c>
      <c r="F1707">
        <v>-74241.3</v>
      </c>
      <c r="G1707">
        <v>10.986000000000001</v>
      </c>
    </row>
    <row r="1708" spans="1:7" x14ac:dyDescent="0.2">
      <c r="A1708">
        <f t="shared" si="26"/>
        <v>80064</v>
      </c>
      <c r="B1708">
        <v>80</v>
      </c>
      <c r="C1708">
        <v>64</v>
      </c>
      <c r="D1708">
        <v>144</v>
      </c>
      <c r="E1708" t="s">
        <v>62</v>
      </c>
      <c r="F1708">
        <v>-71759.504000000001</v>
      </c>
      <c r="G1708">
        <v>27.945</v>
      </c>
    </row>
    <row r="1709" spans="1:7" x14ac:dyDescent="0.2">
      <c r="A1709">
        <f t="shared" si="26"/>
        <v>80065</v>
      </c>
      <c r="B1709">
        <v>80</v>
      </c>
      <c r="C1709">
        <v>65</v>
      </c>
      <c r="D1709">
        <v>145</v>
      </c>
      <c r="E1709" t="s">
        <v>63</v>
      </c>
      <c r="F1709">
        <v>-66388.410999999993</v>
      </c>
      <c r="G1709">
        <v>109.17400000000001</v>
      </c>
    </row>
    <row r="1710" spans="1:7" x14ac:dyDescent="0.2">
      <c r="A1710">
        <f t="shared" si="26"/>
        <v>80066</v>
      </c>
      <c r="B1710">
        <v>80</v>
      </c>
      <c r="C1710">
        <v>66</v>
      </c>
      <c r="D1710">
        <v>146</v>
      </c>
      <c r="E1710" t="s">
        <v>64</v>
      </c>
      <c r="F1710">
        <v>-62554.917999999998</v>
      </c>
      <c r="G1710">
        <v>6.6950000000000003</v>
      </c>
    </row>
    <row r="1711" spans="1:7" x14ac:dyDescent="0.2">
      <c r="A1711">
        <f t="shared" si="26"/>
        <v>80067</v>
      </c>
      <c r="B1711">
        <v>80</v>
      </c>
      <c r="C1711">
        <v>67</v>
      </c>
      <c r="D1711">
        <v>147</v>
      </c>
      <c r="E1711" t="s">
        <v>65</v>
      </c>
      <c r="F1711">
        <v>-55757.091999999997</v>
      </c>
      <c r="G1711">
        <v>5.0010000000000003</v>
      </c>
    </row>
    <row r="1712" spans="1:7" x14ac:dyDescent="0.2">
      <c r="A1712">
        <f t="shared" si="26"/>
        <v>80068</v>
      </c>
      <c r="B1712">
        <v>80</v>
      </c>
      <c r="C1712">
        <v>68</v>
      </c>
      <c r="D1712">
        <v>148</v>
      </c>
      <c r="E1712" t="s">
        <v>66</v>
      </c>
      <c r="F1712">
        <v>-51478.989000000001</v>
      </c>
      <c r="G1712">
        <v>10.246</v>
      </c>
    </row>
    <row r="1713" spans="1:7" x14ac:dyDescent="0.2">
      <c r="A1713">
        <f t="shared" si="26"/>
        <v>80069</v>
      </c>
      <c r="B1713">
        <v>80</v>
      </c>
      <c r="C1713">
        <v>69</v>
      </c>
      <c r="D1713">
        <v>149</v>
      </c>
      <c r="E1713" t="s">
        <v>67</v>
      </c>
      <c r="F1713" t="s">
        <v>1043</v>
      </c>
      <c r="G1713" t="s">
        <v>206</v>
      </c>
    </row>
    <row r="1714" spans="1:7" x14ac:dyDescent="0.2">
      <c r="A1714">
        <f t="shared" si="26"/>
        <v>80070</v>
      </c>
      <c r="B1714">
        <v>80</v>
      </c>
      <c r="C1714">
        <v>70</v>
      </c>
      <c r="D1714">
        <v>150</v>
      </c>
      <c r="E1714" t="s">
        <v>68</v>
      </c>
      <c r="F1714" t="s">
        <v>1047</v>
      </c>
      <c r="G1714" t="s">
        <v>235</v>
      </c>
    </row>
    <row r="1715" spans="1:7" x14ac:dyDescent="0.2">
      <c r="A1715">
        <f t="shared" si="26"/>
        <v>80071</v>
      </c>
      <c r="B1715">
        <v>80</v>
      </c>
      <c r="C1715">
        <v>71</v>
      </c>
      <c r="D1715">
        <v>151</v>
      </c>
      <c r="E1715" t="s">
        <v>69</v>
      </c>
      <c r="F1715" t="s">
        <v>1051</v>
      </c>
      <c r="G1715" t="s">
        <v>235</v>
      </c>
    </row>
    <row r="1716" spans="1:7" x14ac:dyDescent="0.2">
      <c r="A1716">
        <f t="shared" si="26"/>
        <v>81045</v>
      </c>
      <c r="B1716">
        <v>81</v>
      </c>
      <c r="C1716">
        <v>45</v>
      </c>
      <c r="D1716">
        <v>126</v>
      </c>
      <c r="E1716" t="s">
        <v>43</v>
      </c>
      <c r="F1716" t="s">
        <v>959</v>
      </c>
      <c r="G1716" t="s">
        <v>245</v>
      </c>
    </row>
    <row r="1717" spans="1:7" x14ac:dyDescent="0.2">
      <c r="A1717">
        <f t="shared" si="26"/>
        <v>81046</v>
      </c>
      <c r="B1717">
        <v>81</v>
      </c>
      <c r="C1717">
        <v>46</v>
      </c>
      <c r="D1717">
        <v>127</v>
      </c>
      <c r="E1717" t="s">
        <v>44</v>
      </c>
      <c r="F1717" t="s">
        <v>966</v>
      </c>
      <c r="G1717" t="s">
        <v>245</v>
      </c>
    </row>
    <row r="1718" spans="1:7" x14ac:dyDescent="0.2">
      <c r="A1718">
        <f t="shared" si="26"/>
        <v>81047</v>
      </c>
      <c r="B1718">
        <v>81</v>
      </c>
      <c r="C1718">
        <v>47</v>
      </c>
      <c r="D1718">
        <v>128</v>
      </c>
      <c r="E1718" t="s">
        <v>45</v>
      </c>
      <c r="F1718" t="s">
        <v>971</v>
      </c>
      <c r="G1718" t="s">
        <v>235</v>
      </c>
    </row>
    <row r="1719" spans="1:7" x14ac:dyDescent="0.2">
      <c r="A1719">
        <f t="shared" si="26"/>
        <v>81048</v>
      </c>
      <c r="B1719">
        <v>81</v>
      </c>
      <c r="C1719">
        <v>48</v>
      </c>
      <c r="D1719">
        <v>129</v>
      </c>
      <c r="E1719" t="s">
        <v>46</v>
      </c>
      <c r="F1719">
        <v>-63058.046000000002</v>
      </c>
      <c r="G1719">
        <v>16.766999999999999</v>
      </c>
    </row>
    <row r="1720" spans="1:7" x14ac:dyDescent="0.2">
      <c r="A1720">
        <f t="shared" si="26"/>
        <v>81049</v>
      </c>
      <c r="B1720">
        <v>81</v>
      </c>
      <c r="C1720">
        <v>49</v>
      </c>
      <c r="D1720">
        <v>130</v>
      </c>
      <c r="E1720" t="s">
        <v>47</v>
      </c>
      <c r="F1720">
        <v>-69883.206000000006</v>
      </c>
      <c r="G1720">
        <v>38.045999999999999</v>
      </c>
    </row>
    <row r="1721" spans="1:7" x14ac:dyDescent="0.2">
      <c r="A1721">
        <f t="shared" si="26"/>
        <v>81050</v>
      </c>
      <c r="B1721">
        <v>81</v>
      </c>
      <c r="C1721">
        <v>50</v>
      </c>
      <c r="D1721">
        <v>131</v>
      </c>
      <c r="E1721" t="s">
        <v>48</v>
      </c>
      <c r="F1721">
        <v>-77264.570999999996</v>
      </c>
      <c r="G1721">
        <v>3.621</v>
      </c>
    </row>
    <row r="1722" spans="1:7" x14ac:dyDescent="0.2">
      <c r="A1722">
        <f t="shared" si="26"/>
        <v>81051</v>
      </c>
      <c r="B1722">
        <v>81</v>
      </c>
      <c r="C1722">
        <v>51</v>
      </c>
      <c r="D1722">
        <v>132</v>
      </c>
      <c r="E1722" t="s">
        <v>49</v>
      </c>
      <c r="F1722">
        <v>-79635.270999999993</v>
      </c>
      <c r="G1722">
        <v>2.4670000000000001</v>
      </c>
    </row>
    <row r="1723" spans="1:7" x14ac:dyDescent="0.2">
      <c r="A1723">
        <f t="shared" si="26"/>
        <v>81052</v>
      </c>
      <c r="B1723">
        <v>81</v>
      </c>
      <c r="C1723">
        <v>52</v>
      </c>
      <c r="D1723">
        <v>133</v>
      </c>
      <c r="E1723" t="s">
        <v>50</v>
      </c>
      <c r="F1723">
        <v>-82937.122000000003</v>
      </c>
      <c r="G1723">
        <v>2.0659999999999998</v>
      </c>
    </row>
    <row r="1724" spans="1:7" x14ac:dyDescent="0.2">
      <c r="A1724">
        <f t="shared" si="26"/>
        <v>81053</v>
      </c>
      <c r="B1724">
        <v>81</v>
      </c>
      <c r="C1724">
        <v>53</v>
      </c>
      <c r="D1724">
        <v>134</v>
      </c>
      <c r="E1724" t="s">
        <v>51</v>
      </c>
      <c r="F1724">
        <v>-84043.429000000004</v>
      </c>
      <c r="G1724">
        <v>4.8570000000000002</v>
      </c>
    </row>
    <row r="1725" spans="1:7" x14ac:dyDescent="0.2">
      <c r="A1725">
        <f t="shared" si="26"/>
        <v>81054</v>
      </c>
      <c r="B1725">
        <v>81</v>
      </c>
      <c r="C1725">
        <v>54</v>
      </c>
      <c r="D1725">
        <v>135</v>
      </c>
      <c r="E1725" t="s">
        <v>52</v>
      </c>
      <c r="F1725">
        <v>-86413.150999999998</v>
      </c>
      <c r="G1725">
        <v>3.72</v>
      </c>
    </row>
    <row r="1726" spans="1:7" x14ac:dyDescent="0.2">
      <c r="A1726">
        <f t="shared" si="26"/>
        <v>81055</v>
      </c>
      <c r="B1726">
        <v>81</v>
      </c>
      <c r="C1726">
        <v>55</v>
      </c>
      <c r="D1726">
        <v>136</v>
      </c>
      <c r="E1726" t="s">
        <v>53</v>
      </c>
      <c r="F1726">
        <v>-86338.697</v>
      </c>
      <c r="G1726">
        <v>1.8819999999999999</v>
      </c>
    </row>
    <row r="1727" spans="1:7" x14ac:dyDescent="0.2">
      <c r="A1727">
        <f t="shared" si="26"/>
        <v>81056</v>
      </c>
      <c r="B1727">
        <v>81</v>
      </c>
      <c r="C1727">
        <v>56</v>
      </c>
      <c r="D1727">
        <v>137</v>
      </c>
      <c r="E1727" t="s">
        <v>54</v>
      </c>
      <c r="F1727">
        <v>-87721.235000000001</v>
      </c>
      <c r="G1727">
        <v>0.314</v>
      </c>
    </row>
    <row r="1728" spans="1:7" x14ac:dyDescent="0.2">
      <c r="A1728">
        <f t="shared" si="26"/>
        <v>81057</v>
      </c>
      <c r="B1728">
        <v>81</v>
      </c>
      <c r="C1728">
        <v>57</v>
      </c>
      <c r="D1728">
        <v>138</v>
      </c>
      <c r="E1728" t="s">
        <v>55</v>
      </c>
      <c r="F1728">
        <v>-86519.18</v>
      </c>
      <c r="G1728">
        <v>3.1880000000000002</v>
      </c>
    </row>
    <row r="1729" spans="1:7" x14ac:dyDescent="0.2">
      <c r="A1729">
        <f t="shared" ref="A1729:A1792" si="27">1000*B1729+C1729</f>
        <v>81058</v>
      </c>
      <c r="B1729">
        <v>81</v>
      </c>
      <c r="C1729">
        <v>58</v>
      </c>
      <c r="D1729">
        <v>139</v>
      </c>
      <c r="E1729" t="s">
        <v>56</v>
      </c>
      <c r="F1729">
        <v>-86947.861999999994</v>
      </c>
      <c r="G1729">
        <v>7.23</v>
      </c>
    </row>
    <row r="1730" spans="1:7" x14ac:dyDescent="0.2">
      <c r="A1730">
        <f t="shared" si="27"/>
        <v>81059</v>
      </c>
      <c r="B1730">
        <v>81</v>
      </c>
      <c r="C1730">
        <v>59</v>
      </c>
      <c r="D1730">
        <v>140</v>
      </c>
      <c r="E1730" t="s">
        <v>57</v>
      </c>
      <c r="F1730">
        <v>-84688.089000000007</v>
      </c>
      <c r="G1730">
        <v>6.2089999999999996</v>
      </c>
    </row>
    <row r="1731" spans="1:7" x14ac:dyDescent="0.2">
      <c r="A1731">
        <f t="shared" si="27"/>
        <v>81060</v>
      </c>
      <c r="B1731">
        <v>81</v>
      </c>
      <c r="C1731">
        <v>60</v>
      </c>
      <c r="D1731">
        <v>141</v>
      </c>
      <c r="E1731" t="s">
        <v>58</v>
      </c>
      <c r="F1731">
        <v>-84192.63</v>
      </c>
      <c r="G1731">
        <v>3.2650000000000001</v>
      </c>
    </row>
    <row r="1732" spans="1:7" x14ac:dyDescent="0.2">
      <c r="A1732">
        <f t="shared" si="27"/>
        <v>81061</v>
      </c>
      <c r="B1732">
        <v>81</v>
      </c>
      <c r="C1732">
        <v>61</v>
      </c>
      <c r="D1732">
        <v>142</v>
      </c>
      <c r="E1732" t="s">
        <v>59</v>
      </c>
      <c r="F1732">
        <v>-81142.043999999994</v>
      </c>
      <c r="G1732">
        <v>23.597000000000001</v>
      </c>
    </row>
    <row r="1733" spans="1:7" x14ac:dyDescent="0.2">
      <c r="A1733">
        <f t="shared" si="27"/>
        <v>81062</v>
      </c>
      <c r="B1733">
        <v>81</v>
      </c>
      <c r="C1733">
        <v>62</v>
      </c>
      <c r="D1733">
        <v>143</v>
      </c>
      <c r="E1733" t="s">
        <v>60</v>
      </c>
      <c r="F1733">
        <v>-79517.152000000002</v>
      </c>
      <c r="G1733">
        <v>2.8039999999999998</v>
      </c>
    </row>
    <row r="1734" spans="1:7" x14ac:dyDescent="0.2">
      <c r="A1734">
        <f t="shared" si="27"/>
        <v>81063</v>
      </c>
      <c r="B1734">
        <v>81</v>
      </c>
      <c r="C1734">
        <v>63</v>
      </c>
      <c r="D1734">
        <v>144</v>
      </c>
      <c r="E1734" t="s">
        <v>61</v>
      </c>
      <c r="F1734">
        <v>-75619.133000000002</v>
      </c>
      <c r="G1734">
        <v>10.789</v>
      </c>
    </row>
    <row r="1735" spans="1:7" x14ac:dyDescent="0.2">
      <c r="A1735">
        <f t="shared" si="27"/>
        <v>81064</v>
      </c>
      <c r="B1735">
        <v>81</v>
      </c>
      <c r="C1735">
        <v>64</v>
      </c>
      <c r="D1735">
        <v>145</v>
      </c>
      <c r="E1735" t="s">
        <v>62</v>
      </c>
      <c r="F1735">
        <v>-72926.320000000007</v>
      </c>
      <c r="G1735">
        <v>19.709</v>
      </c>
    </row>
    <row r="1736" spans="1:7" x14ac:dyDescent="0.2">
      <c r="A1736">
        <f t="shared" si="27"/>
        <v>81065</v>
      </c>
      <c r="B1736">
        <v>81</v>
      </c>
      <c r="C1736">
        <v>65</v>
      </c>
      <c r="D1736">
        <v>146</v>
      </c>
      <c r="E1736" t="s">
        <v>63</v>
      </c>
      <c r="F1736">
        <v>-67763.61</v>
      </c>
      <c r="G1736">
        <v>44.862000000000002</v>
      </c>
    </row>
    <row r="1737" spans="1:7" x14ac:dyDescent="0.2">
      <c r="A1737">
        <f t="shared" si="27"/>
        <v>81066</v>
      </c>
      <c r="B1737">
        <v>81</v>
      </c>
      <c r="C1737">
        <v>66</v>
      </c>
      <c r="D1737">
        <v>147</v>
      </c>
      <c r="E1737" t="s">
        <v>64</v>
      </c>
      <c r="F1737">
        <v>-64196.038</v>
      </c>
      <c r="G1737">
        <v>8.8490000000000002</v>
      </c>
    </row>
    <row r="1738" spans="1:7" x14ac:dyDescent="0.2">
      <c r="A1738">
        <f t="shared" si="27"/>
        <v>81067</v>
      </c>
      <c r="B1738">
        <v>81</v>
      </c>
      <c r="C1738">
        <v>67</v>
      </c>
      <c r="D1738">
        <v>148</v>
      </c>
      <c r="E1738" t="s">
        <v>65</v>
      </c>
      <c r="F1738">
        <v>-57991.158000000003</v>
      </c>
      <c r="G1738">
        <v>83.834000000000003</v>
      </c>
    </row>
    <row r="1739" spans="1:7" x14ac:dyDescent="0.2">
      <c r="A1739">
        <f t="shared" si="27"/>
        <v>81068</v>
      </c>
      <c r="B1739">
        <v>81</v>
      </c>
      <c r="C1739">
        <v>68</v>
      </c>
      <c r="D1739">
        <v>149</v>
      </c>
      <c r="E1739" t="s">
        <v>66</v>
      </c>
      <c r="F1739">
        <v>-53741.614999999998</v>
      </c>
      <c r="G1739">
        <v>27.945</v>
      </c>
    </row>
    <row r="1740" spans="1:7" x14ac:dyDescent="0.2">
      <c r="A1740">
        <f t="shared" si="27"/>
        <v>81069</v>
      </c>
      <c r="B1740">
        <v>81</v>
      </c>
      <c r="C1740">
        <v>69</v>
      </c>
      <c r="D1740">
        <v>150</v>
      </c>
      <c r="E1740" t="s">
        <v>67</v>
      </c>
      <c r="F1740" t="s">
        <v>231</v>
      </c>
      <c r="G1740" t="s">
        <v>206</v>
      </c>
    </row>
    <row r="1741" spans="1:7" x14ac:dyDescent="0.2">
      <c r="A1741">
        <f t="shared" si="27"/>
        <v>81070</v>
      </c>
      <c r="B1741">
        <v>81</v>
      </c>
      <c r="C1741">
        <v>70</v>
      </c>
      <c r="D1741">
        <v>151</v>
      </c>
      <c r="E1741" t="s">
        <v>68</v>
      </c>
      <c r="F1741">
        <v>-41542.341999999997</v>
      </c>
      <c r="G1741">
        <v>300.49200000000002</v>
      </c>
    </row>
    <row r="1742" spans="1:7" x14ac:dyDescent="0.2">
      <c r="A1742">
        <f t="shared" si="27"/>
        <v>81071</v>
      </c>
      <c r="B1742">
        <v>81</v>
      </c>
      <c r="C1742">
        <v>71</v>
      </c>
      <c r="D1742">
        <v>152</v>
      </c>
      <c r="E1742" t="s">
        <v>69</v>
      </c>
      <c r="F1742" t="s">
        <v>1056</v>
      </c>
      <c r="G1742" t="s">
        <v>206</v>
      </c>
    </row>
    <row r="1743" spans="1:7" x14ac:dyDescent="0.2">
      <c r="A1743">
        <f t="shared" si="27"/>
        <v>81072</v>
      </c>
      <c r="B1743">
        <v>81</v>
      </c>
      <c r="C1743">
        <v>72</v>
      </c>
      <c r="D1743">
        <v>153</v>
      </c>
      <c r="E1743" t="s">
        <v>70</v>
      </c>
      <c r="F1743" t="s">
        <v>1061</v>
      </c>
      <c r="G1743" t="s">
        <v>235</v>
      </c>
    </row>
    <row r="1744" spans="1:7" x14ac:dyDescent="0.2">
      <c r="A1744">
        <f t="shared" si="27"/>
        <v>82045</v>
      </c>
      <c r="B1744">
        <v>82</v>
      </c>
      <c r="C1744">
        <v>45</v>
      </c>
      <c r="D1744">
        <v>127</v>
      </c>
      <c r="E1744" t="s">
        <v>43</v>
      </c>
      <c r="F1744" t="s">
        <v>965</v>
      </c>
      <c r="G1744" t="s">
        <v>666</v>
      </c>
    </row>
    <row r="1745" spans="1:7" x14ac:dyDescent="0.2">
      <c r="A1745">
        <f t="shared" si="27"/>
        <v>82046</v>
      </c>
      <c r="B1745">
        <v>82</v>
      </c>
      <c r="C1745">
        <v>46</v>
      </c>
      <c r="D1745">
        <v>128</v>
      </c>
      <c r="E1745" t="s">
        <v>44</v>
      </c>
      <c r="F1745" t="s">
        <v>970</v>
      </c>
      <c r="G1745" t="s">
        <v>245</v>
      </c>
    </row>
    <row r="1746" spans="1:7" x14ac:dyDescent="0.2">
      <c r="A1746">
        <f t="shared" si="27"/>
        <v>82047</v>
      </c>
      <c r="B1746">
        <v>82</v>
      </c>
      <c r="C1746">
        <v>47</v>
      </c>
      <c r="D1746">
        <v>129</v>
      </c>
      <c r="E1746" t="s">
        <v>45</v>
      </c>
      <c r="F1746" t="s">
        <v>976</v>
      </c>
      <c r="G1746" t="s">
        <v>197</v>
      </c>
    </row>
    <row r="1747" spans="1:7" x14ac:dyDescent="0.2">
      <c r="A1747">
        <f t="shared" si="27"/>
        <v>82048</v>
      </c>
      <c r="B1747">
        <v>82</v>
      </c>
      <c r="C1747">
        <v>48</v>
      </c>
      <c r="D1747">
        <v>130</v>
      </c>
      <c r="E1747" t="s">
        <v>46</v>
      </c>
      <c r="F1747">
        <v>-61117.589</v>
      </c>
      <c r="G1747">
        <v>22.356000000000002</v>
      </c>
    </row>
    <row r="1748" spans="1:7" x14ac:dyDescent="0.2">
      <c r="A1748">
        <f t="shared" si="27"/>
        <v>82049</v>
      </c>
      <c r="B1748">
        <v>82</v>
      </c>
      <c r="C1748">
        <v>49</v>
      </c>
      <c r="D1748">
        <v>131</v>
      </c>
      <c r="E1748" t="s">
        <v>47</v>
      </c>
      <c r="F1748">
        <v>-68025.03</v>
      </c>
      <c r="G1748">
        <v>2.7010000000000001</v>
      </c>
    </row>
    <row r="1749" spans="1:7" x14ac:dyDescent="0.2">
      <c r="A1749">
        <f t="shared" si="27"/>
        <v>82050</v>
      </c>
      <c r="B1749">
        <v>82</v>
      </c>
      <c r="C1749">
        <v>50</v>
      </c>
      <c r="D1749">
        <v>132</v>
      </c>
      <c r="E1749" t="s">
        <v>48</v>
      </c>
      <c r="F1749">
        <v>-76546.542000000001</v>
      </c>
      <c r="G1749">
        <v>1.976</v>
      </c>
    </row>
    <row r="1750" spans="1:7" x14ac:dyDescent="0.2">
      <c r="A1750">
        <f t="shared" si="27"/>
        <v>82051</v>
      </c>
      <c r="B1750">
        <v>82</v>
      </c>
      <c r="C1750">
        <v>51</v>
      </c>
      <c r="D1750">
        <v>133</v>
      </c>
      <c r="E1750" t="s">
        <v>49</v>
      </c>
      <c r="F1750">
        <v>-78923.502999999997</v>
      </c>
      <c r="G1750">
        <v>3.1280000000000001</v>
      </c>
    </row>
    <row r="1751" spans="1:7" x14ac:dyDescent="0.2">
      <c r="A1751">
        <f t="shared" si="27"/>
        <v>82052</v>
      </c>
      <c r="B1751">
        <v>82</v>
      </c>
      <c r="C1751">
        <v>52</v>
      </c>
      <c r="D1751">
        <v>134</v>
      </c>
      <c r="E1751" t="s">
        <v>50</v>
      </c>
      <c r="F1751">
        <v>-82533.740999999995</v>
      </c>
      <c r="G1751">
        <v>2.746</v>
      </c>
    </row>
    <row r="1752" spans="1:7" x14ac:dyDescent="0.2">
      <c r="A1752">
        <f t="shared" si="27"/>
        <v>82053</v>
      </c>
      <c r="B1752">
        <v>82</v>
      </c>
      <c r="C1752">
        <v>53</v>
      </c>
      <c r="D1752">
        <v>135</v>
      </c>
      <c r="E1752" t="s">
        <v>51</v>
      </c>
      <c r="F1752">
        <v>-83779.145000000004</v>
      </c>
      <c r="G1752">
        <v>2.0609999999999999</v>
      </c>
    </row>
    <row r="1753" spans="1:7" x14ac:dyDescent="0.2">
      <c r="A1753">
        <f t="shared" si="27"/>
        <v>82054</v>
      </c>
      <c r="B1753">
        <v>82</v>
      </c>
      <c r="C1753">
        <v>54</v>
      </c>
      <c r="D1753">
        <v>136</v>
      </c>
      <c r="E1753" t="s">
        <v>52</v>
      </c>
      <c r="F1753">
        <v>-86429.159</v>
      </c>
      <c r="G1753">
        <v>7.0000000000000001E-3</v>
      </c>
    </row>
    <row r="1754" spans="1:7" x14ac:dyDescent="0.2">
      <c r="A1754">
        <f t="shared" si="27"/>
        <v>82055</v>
      </c>
      <c r="B1754">
        <v>82</v>
      </c>
      <c r="C1754">
        <v>55</v>
      </c>
      <c r="D1754">
        <v>137</v>
      </c>
      <c r="E1754" t="s">
        <v>53</v>
      </c>
      <c r="F1754">
        <v>-86545.606</v>
      </c>
      <c r="G1754">
        <v>0.35799999999999998</v>
      </c>
    </row>
    <row r="1755" spans="1:7" x14ac:dyDescent="0.2">
      <c r="A1755">
        <f t="shared" si="27"/>
        <v>82056</v>
      </c>
      <c r="B1755">
        <v>82</v>
      </c>
      <c r="C1755">
        <v>56</v>
      </c>
      <c r="D1755">
        <v>138</v>
      </c>
      <c r="E1755" t="s">
        <v>54</v>
      </c>
      <c r="F1755">
        <v>-88261.638000000006</v>
      </c>
      <c r="G1755">
        <v>0.317</v>
      </c>
    </row>
    <row r="1756" spans="1:7" x14ac:dyDescent="0.2">
      <c r="A1756">
        <f t="shared" si="27"/>
        <v>82057</v>
      </c>
      <c r="B1756">
        <v>82</v>
      </c>
      <c r="C1756">
        <v>57</v>
      </c>
      <c r="D1756">
        <v>139</v>
      </c>
      <c r="E1756" t="s">
        <v>55</v>
      </c>
      <c r="F1756">
        <v>-87226.212</v>
      </c>
      <c r="G1756">
        <v>2.0089999999999999</v>
      </c>
    </row>
    <row r="1757" spans="1:7" x14ac:dyDescent="0.2">
      <c r="A1757">
        <f t="shared" si="27"/>
        <v>82058</v>
      </c>
      <c r="B1757">
        <v>82</v>
      </c>
      <c r="C1757">
        <v>58</v>
      </c>
      <c r="D1757">
        <v>140</v>
      </c>
      <c r="E1757" t="s">
        <v>56</v>
      </c>
      <c r="F1757">
        <v>-88076.089000000007</v>
      </c>
      <c r="G1757">
        <v>1.5960000000000001</v>
      </c>
    </row>
    <row r="1758" spans="1:7" x14ac:dyDescent="0.2">
      <c r="A1758">
        <f t="shared" si="27"/>
        <v>82059</v>
      </c>
      <c r="B1758">
        <v>82</v>
      </c>
      <c r="C1758">
        <v>59</v>
      </c>
      <c r="D1758">
        <v>141</v>
      </c>
      <c r="E1758" t="s">
        <v>57</v>
      </c>
      <c r="F1758">
        <v>-86015.644</v>
      </c>
      <c r="G1758">
        <v>1.665</v>
      </c>
    </row>
    <row r="1759" spans="1:7" x14ac:dyDescent="0.2">
      <c r="A1759">
        <f t="shared" si="27"/>
        <v>82060</v>
      </c>
      <c r="B1759">
        <v>82</v>
      </c>
      <c r="C1759">
        <v>60</v>
      </c>
      <c r="D1759">
        <v>142</v>
      </c>
      <c r="E1759" t="s">
        <v>58</v>
      </c>
      <c r="F1759">
        <v>-85949.98</v>
      </c>
      <c r="G1759">
        <v>1.3680000000000001</v>
      </c>
    </row>
    <row r="1760" spans="1:7" x14ac:dyDescent="0.2">
      <c r="A1760">
        <f t="shared" si="27"/>
        <v>82061</v>
      </c>
      <c r="B1760">
        <v>82</v>
      </c>
      <c r="C1760">
        <v>61</v>
      </c>
      <c r="D1760">
        <v>143</v>
      </c>
      <c r="E1760" t="s">
        <v>59</v>
      </c>
      <c r="F1760">
        <v>-82960.650999999998</v>
      </c>
      <c r="G1760">
        <v>2.996</v>
      </c>
    </row>
    <row r="1761" spans="1:7" x14ac:dyDescent="0.2">
      <c r="A1761">
        <f t="shared" si="27"/>
        <v>82062</v>
      </c>
      <c r="B1761">
        <v>82</v>
      </c>
      <c r="C1761">
        <v>62</v>
      </c>
      <c r="D1761">
        <v>144</v>
      </c>
      <c r="E1761" t="s">
        <v>60</v>
      </c>
      <c r="F1761">
        <v>-81965.535000000003</v>
      </c>
      <c r="G1761">
        <v>1.554</v>
      </c>
    </row>
    <row r="1762" spans="1:7" x14ac:dyDescent="0.2">
      <c r="A1762">
        <f t="shared" si="27"/>
        <v>82063</v>
      </c>
      <c r="B1762">
        <v>82</v>
      </c>
      <c r="C1762">
        <v>63</v>
      </c>
      <c r="D1762">
        <v>145</v>
      </c>
      <c r="E1762" t="s">
        <v>61</v>
      </c>
      <c r="F1762">
        <v>-77991.506999999998</v>
      </c>
      <c r="G1762">
        <v>3.1059999999999999</v>
      </c>
    </row>
    <row r="1763" spans="1:7" x14ac:dyDescent="0.2">
      <c r="A1763">
        <f t="shared" si="27"/>
        <v>82064</v>
      </c>
      <c r="B1763">
        <v>82</v>
      </c>
      <c r="C1763">
        <v>64</v>
      </c>
      <c r="D1763">
        <v>146</v>
      </c>
      <c r="E1763" t="s">
        <v>62</v>
      </c>
      <c r="F1763">
        <v>-76085.782999999996</v>
      </c>
      <c r="G1763">
        <v>4.1079999999999997</v>
      </c>
    </row>
    <row r="1764" spans="1:7" x14ac:dyDescent="0.2">
      <c r="A1764">
        <f t="shared" si="27"/>
        <v>82065</v>
      </c>
      <c r="B1764">
        <v>82</v>
      </c>
      <c r="C1764">
        <v>65</v>
      </c>
      <c r="D1764">
        <v>147</v>
      </c>
      <c r="E1764" t="s">
        <v>63</v>
      </c>
      <c r="F1764">
        <v>-70742.664999999994</v>
      </c>
      <c r="G1764">
        <v>8.1</v>
      </c>
    </row>
    <row r="1765" spans="1:7" x14ac:dyDescent="0.2">
      <c r="A1765">
        <f t="shared" si="27"/>
        <v>82066</v>
      </c>
      <c r="B1765">
        <v>82</v>
      </c>
      <c r="C1765">
        <v>66</v>
      </c>
      <c r="D1765">
        <v>148</v>
      </c>
      <c r="E1765" t="s">
        <v>64</v>
      </c>
      <c r="F1765">
        <v>-67859.55</v>
      </c>
      <c r="G1765">
        <v>8.7240000000000002</v>
      </c>
    </row>
    <row r="1766" spans="1:7" x14ac:dyDescent="0.2">
      <c r="A1766">
        <f t="shared" si="27"/>
        <v>82067</v>
      </c>
      <c r="B1766">
        <v>82</v>
      </c>
      <c r="C1766">
        <v>67</v>
      </c>
      <c r="D1766">
        <v>149</v>
      </c>
      <c r="E1766" t="s">
        <v>65</v>
      </c>
      <c r="F1766">
        <v>-61646.578000000001</v>
      </c>
      <c r="G1766">
        <v>11.99</v>
      </c>
    </row>
    <row r="1767" spans="1:7" x14ac:dyDescent="0.2">
      <c r="A1767">
        <f t="shared" si="27"/>
        <v>82068</v>
      </c>
      <c r="B1767">
        <v>82</v>
      </c>
      <c r="C1767">
        <v>68</v>
      </c>
      <c r="D1767">
        <v>150</v>
      </c>
      <c r="E1767" t="s">
        <v>66</v>
      </c>
      <c r="F1767">
        <v>-57831.313000000002</v>
      </c>
      <c r="G1767">
        <v>17.195</v>
      </c>
    </row>
    <row r="1768" spans="1:7" x14ac:dyDescent="0.2">
      <c r="A1768">
        <f t="shared" si="27"/>
        <v>82069</v>
      </c>
      <c r="B1768">
        <v>82</v>
      </c>
      <c r="C1768">
        <v>69</v>
      </c>
      <c r="D1768">
        <v>151</v>
      </c>
      <c r="E1768" t="s">
        <v>67</v>
      </c>
      <c r="F1768">
        <v>-50772.756000000001</v>
      </c>
      <c r="G1768">
        <v>19.416</v>
      </c>
    </row>
    <row r="1769" spans="1:7" x14ac:dyDescent="0.2">
      <c r="A1769">
        <f t="shared" si="27"/>
        <v>82070</v>
      </c>
      <c r="B1769">
        <v>82</v>
      </c>
      <c r="C1769">
        <v>70</v>
      </c>
      <c r="D1769">
        <v>152</v>
      </c>
      <c r="E1769" t="s">
        <v>68</v>
      </c>
      <c r="F1769">
        <v>-46270.381000000001</v>
      </c>
      <c r="G1769">
        <v>149.708</v>
      </c>
    </row>
    <row r="1770" spans="1:7" x14ac:dyDescent="0.2">
      <c r="A1770">
        <f t="shared" si="27"/>
        <v>82071</v>
      </c>
      <c r="B1770">
        <v>82</v>
      </c>
      <c r="C1770">
        <v>71</v>
      </c>
      <c r="D1770">
        <v>153</v>
      </c>
      <c r="E1770" t="s">
        <v>69</v>
      </c>
      <c r="F1770">
        <v>-38372.843999999997</v>
      </c>
      <c r="G1770">
        <v>150.03399999999999</v>
      </c>
    </row>
    <row r="1771" spans="1:7" x14ac:dyDescent="0.2">
      <c r="A1771">
        <f t="shared" si="27"/>
        <v>82072</v>
      </c>
      <c r="B1771">
        <v>82</v>
      </c>
      <c r="C1771">
        <v>72</v>
      </c>
      <c r="D1771">
        <v>154</v>
      </c>
      <c r="E1771" t="s">
        <v>70</v>
      </c>
      <c r="F1771" t="s">
        <v>1065</v>
      </c>
      <c r="G1771" t="s">
        <v>235</v>
      </c>
    </row>
    <row r="1772" spans="1:7" x14ac:dyDescent="0.2">
      <c r="A1772">
        <f t="shared" si="27"/>
        <v>82073</v>
      </c>
      <c r="B1772">
        <v>82</v>
      </c>
      <c r="C1772">
        <v>73</v>
      </c>
      <c r="D1772">
        <v>155</v>
      </c>
      <c r="E1772" t="s">
        <v>71</v>
      </c>
      <c r="F1772" t="s">
        <v>1069</v>
      </c>
      <c r="G1772" t="s">
        <v>235</v>
      </c>
    </row>
    <row r="1773" spans="1:7" x14ac:dyDescent="0.2">
      <c r="A1773">
        <f t="shared" si="27"/>
        <v>83046</v>
      </c>
      <c r="B1773">
        <v>83</v>
      </c>
      <c r="C1773">
        <v>46</v>
      </c>
      <c r="D1773">
        <v>129</v>
      </c>
      <c r="E1773" t="s">
        <v>44</v>
      </c>
      <c r="F1773" t="s">
        <v>975</v>
      </c>
      <c r="G1773" t="s">
        <v>666</v>
      </c>
    </row>
    <row r="1774" spans="1:7" x14ac:dyDescent="0.2">
      <c r="A1774">
        <f t="shared" si="27"/>
        <v>83047</v>
      </c>
      <c r="B1774">
        <v>83</v>
      </c>
      <c r="C1774">
        <v>47</v>
      </c>
      <c r="D1774">
        <v>130</v>
      </c>
      <c r="E1774" t="s">
        <v>45</v>
      </c>
      <c r="F1774" t="s">
        <v>979</v>
      </c>
      <c r="G1774" t="s">
        <v>245</v>
      </c>
    </row>
    <row r="1775" spans="1:7" x14ac:dyDescent="0.2">
      <c r="A1775">
        <f t="shared" si="27"/>
        <v>83048</v>
      </c>
      <c r="B1775">
        <v>83</v>
      </c>
      <c r="C1775">
        <v>48</v>
      </c>
      <c r="D1775">
        <v>131</v>
      </c>
      <c r="E1775" t="s">
        <v>46</v>
      </c>
      <c r="F1775">
        <v>-55218.964999999997</v>
      </c>
      <c r="G1775">
        <v>102.464</v>
      </c>
    </row>
    <row r="1776" spans="1:7" x14ac:dyDescent="0.2">
      <c r="A1776">
        <f t="shared" si="27"/>
        <v>83049</v>
      </c>
      <c r="B1776">
        <v>83</v>
      </c>
      <c r="C1776">
        <v>49</v>
      </c>
      <c r="D1776">
        <v>132</v>
      </c>
      <c r="E1776" t="s">
        <v>47</v>
      </c>
      <c r="F1776">
        <v>-62411.542000000001</v>
      </c>
      <c r="G1776">
        <v>60.033000000000001</v>
      </c>
    </row>
    <row r="1777" spans="1:7" x14ac:dyDescent="0.2">
      <c r="A1777">
        <f t="shared" si="27"/>
        <v>83050</v>
      </c>
      <c r="B1777">
        <v>83</v>
      </c>
      <c r="C1777">
        <v>50</v>
      </c>
      <c r="D1777">
        <v>133</v>
      </c>
      <c r="E1777" t="s">
        <v>48</v>
      </c>
      <c r="F1777">
        <v>-70873.88</v>
      </c>
      <c r="G1777">
        <v>1.9039999999999999</v>
      </c>
    </row>
    <row r="1778" spans="1:7" x14ac:dyDescent="0.2">
      <c r="A1778">
        <f t="shared" si="27"/>
        <v>83051</v>
      </c>
      <c r="B1778">
        <v>83</v>
      </c>
      <c r="C1778">
        <v>51</v>
      </c>
      <c r="D1778">
        <v>134</v>
      </c>
      <c r="E1778" t="s">
        <v>49</v>
      </c>
      <c r="F1778">
        <v>-74020.542000000001</v>
      </c>
      <c r="G1778">
        <v>1.7050000000000001</v>
      </c>
    </row>
    <row r="1779" spans="1:7" x14ac:dyDescent="0.2">
      <c r="A1779">
        <f t="shared" si="27"/>
        <v>83052</v>
      </c>
      <c r="B1779">
        <v>83</v>
      </c>
      <c r="C1779">
        <v>52</v>
      </c>
      <c r="D1779">
        <v>135</v>
      </c>
      <c r="E1779" t="s">
        <v>50</v>
      </c>
      <c r="F1779">
        <v>-77728.78</v>
      </c>
      <c r="G1779">
        <v>1.722</v>
      </c>
    </row>
    <row r="1780" spans="1:7" x14ac:dyDescent="0.2">
      <c r="A1780">
        <f t="shared" si="27"/>
        <v>83053</v>
      </c>
      <c r="B1780">
        <v>83</v>
      </c>
      <c r="C1780">
        <v>53</v>
      </c>
      <c r="D1780">
        <v>136</v>
      </c>
      <c r="E1780" t="s">
        <v>51</v>
      </c>
      <c r="F1780">
        <v>-79545.214000000007</v>
      </c>
      <c r="G1780">
        <v>14.188000000000001</v>
      </c>
    </row>
    <row r="1781" spans="1:7" x14ac:dyDescent="0.2">
      <c r="A1781">
        <f t="shared" si="27"/>
        <v>83054</v>
      </c>
      <c r="B1781">
        <v>83</v>
      </c>
      <c r="C1781">
        <v>54</v>
      </c>
      <c r="D1781">
        <v>137</v>
      </c>
      <c r="E1781" t="s">
        <v>52</v>
      </c>
      <c r="F1781">
        <v>-82383.403999999995</v>
      </c>
      <c r="G1781">
        <v>0.10299999999999999</v>
      </c>
    </row>
    <row r="1782" spans="1:7" x14ac:dyDescent="0.2">
      <c r="A1782">
        <f t="shared" si="27"/>
        <v>83055</v>
      </c>
      <c r="B1782">
        <v>83</v>
      </c>
      <c r="C1782">
        <v>55</v>
      </c>
      <c r="D1782">
        <v>138</v>
      </c>
      <c r="E1782" t="s">
        <v>53</v>
      </c>
      <c r="F1782">
        <v>-82886.937000000005</v>
      </c>
      <c r="G1782">
        <v>9.1590000000000007</v>
      </c>
    </row>
    <row r="1783" spans="1:7" x14ac:dyDescent="0.2">
      <c r="A1783">
        <f t="shared" si="27"/>
        <v>83056</v>
      </c>
      <c r="B1783">
        <v>83</v>
      </c>
      <c r="C1783">
        <v>56</v>
      </c>
      <c r="D1783">
        <v>139</v>
      </c>
      <c r="E1783" t="s">
        <v>54</v>
      </c>
      <c r="F1783">
        <v>-84913.751000000004</v>
      </c>
      <c r="G1783">
        <v>0.31900000000000001</v>
      </c>
    </row>
    <row r="1784" spans="1:7" x14ac:dyDescent="0.2">
      <c r="A1784">
        <f t="shared" si="27"/>
        <v>83057</v>
      </c>
      <c r="B1784">
        <v>83</v>
      </c>
      <c r="C1784">
        <v>57</v>
      </c>
      <c r="D1784">
        <v>140</v>
      </c>
      <c r="E1784" t="s">
        <v>55</v>
      </c>
      <c r="F1784">
        <v>-84315.870999999999</v>
      </c>
      <c r="G1784">
        <v>2.0089999999999999</v>
      </c>
    </row>
    <row r="1785" spans="1:7" x14ac:dyDescent="0.2">
      <c r="A1785">
        <f t="shared" si="27"/>
        <v>83058</v>
      </c>
      <c r="B1785">
        <v>83</v>
      </c>
      <c r="C1785">
        <v>58</v>
      </c>
      <c r="D1785">
        <v>141</v>
      </c>
      <c r="E1785" t="s">
        <v>56</v>
      </c>
      <c r="F1785">
        <v>-85432.915999999997</v>
      </c>
      <c r="G1785">
        <v>1.597</v>
      </c>
    </row>
    <row r="1786" spans="1:7" x14ac:dyDescent="0.2">
      <c r="A1786">
        <f t="shared" si="27"/>
        <v>83059</v>
      </c>
      <c r="B1786">
        <v>83</v>
      </c>
      <c r="C1786">
        <v>59</v>
      </c>
      <c r="D1786">
        <v>142</v>
      </c>
      <c r="E1786" t="s">
        <v>57</v>
      </c>
      <c r="F1786">
        <v>-83787.475999999995</v>
      </c>
      <c r="G1786">
        <v>1.665</v>
      </c>
    </row>
    <row r="1787" spans="1:7" x14ac:dyDescent="0.2">
      <c r="A1787">
        <f t="shared" si="27"/>
        <v>83060</v>
      </c>
      <c r="B1787">
        <v>83</v>
      </c>
      <c r="C1787">
        <v>60</v>
      </c>
      <c r="D1787">
        <v>143</v>
      </c>
      <c r="E1787" t="s">
        <v>58</v>
      </c>
      <c r="F1787">
        <v>-84002.233999999997</v>
      </c>
      <c r="G1787">
        <v>1.367</v>
      </c>
    </row>
    <row r="1788" spans="1:7" x14ac:dyDescent="0.2">
      <c r="A1788">
        <f t="shared" si="27"/>
        <v>83061</v>
      </c>
      <c r="B1788">
        <v>83</v>
      </c>
      <c r="C1788">
        <v>61</v>
      </c>
      <c r="D1788">
        <v>144</v>
      </c>
      <c r="E1788" t="s">
        <v>59</v>
      </c>
      <c r="F1788">
        <v>-81416.092999999993</v>
      </c>
      <c r="G1788">
        <v>2.964</v>
      </c>
    </row>
    <row r="1789" spans="1:7" x14ac:dyDescent="0.2">
      <c r="A1789">
        <f t="shared" si="27"/>
        <v>83062</v>
      </c>
      <c r="B1789">
        <v>83</v>
      </c>
      <c r="C1789">
        <v>62</v>
      </c>
      <c r="D1789">
        <v>145</v>
      </c>
      <c r="E1789" t="s">
        <v>60</v>
      </c>
      <c r="F1789">
        <v>-80651.317999999999</v>
      </c>
      <c r="G1789">
        <v>1.5780000000000001</v>
      </c>
    </row>
    <row r="1790" spans="1:7" x14ac:dyDescent="0.2">
      <c r="A1790">
        <f t="shared" si="27"/>
        <v>83063</v>
      </c>
      <c r="B1790">
        <v>83</v>
      </c>
      <c r="C1790">
        <v>63</v>
      </c>
      <c r="D1790">
        <v>146</v>
      </c>
      <c r="E1790" t="s">
        <v>61</v>
      </c>
      <c r="F1790">
        <v>-77117.540999999997</v>
      </c>
      <c r="G1790">
        <v>6.0259999999999998</v>
      </c>
    </row>
    <row r="1791" spans="1:7" x14ac:dyDescent="0.2">
      <c r="A1791">
        <f t="shared" si="27"/>
        <v>83064</v>
      </c>
      <c r="B1791">
        <v>83</v>
      </c>
      <c r="C1791">
        <v>64</v>
      </c>
      <c r="D1791">
        <v>147</v>
      </c>
      <c r="E1791" t="s">
        <v>62</v>
      </c>
      <c r="F1791">
        <v>-75356.945000000007</v>
      </c>
      <c r="G1791">
        <v>1.9650000000000001</v>
      </c>
    </row>
    <row r="1792" spans="1:7" x14ac:dyDescent="0.2">
      <c r="A1792">
        <f t="shared" si="27"/>
        <v>83065</v>
      </c>
      <c r="B1792">
        <v>83</v>
      </c>
      <c r="C1792">
        <v>65</v>
      </c>
      <c r="D1792">
        <v>148</v>
      </c>
      <c r="E1792" t="s">
        <v>63</v>
      </c>
      <c r="F1792">
        <v>-70537.081999999995</v>
      </c>
      <c r="G1792">
        <v>12.464</v>
      </c>
    </row>
    <row r="1793" spans="1:7" x14ac:dyDescent="0.2">
      <c r="A1793">
        <f t="shared" ref="A1793:A1856" si="28">1000*B1793+C1793</f>
        <v>83066</v>
      </c>
      <c r="B1793">
        <v>83</v>
      </c>
      <c r="C1793">
        <v>66</v>
      </c>
      <c r="D1793">
        <v>149</v>
      </c>
      <c r="E1793" t="s">
        <v>64</v>
      </c>
      <c r="F1793">
        <v>-67695.909</v>
      </c>
      <c r="G1793">
        <v>9.2210000000000001</v>
      </c>
    </row>
    <row r="1794" spans="1:7" x14ac:dyDescent="0.2">
      <c r="A1794">
        <f t="shared" si="28"/>
        <v>83067</v>
      </c>
      <c r="B1794">
        <v>83</v>
      </c>
      <c r="C1794">
        <v>67</v>
      </c>
      <c r="D1794">
        <v>150</v>
      </c>
      <c r="E1794" t="s">
        <v>65</v>
      </c>
      <c r="F1794">
        <v>-61945.881000000001</v>
      </c>
      <c r="G1794">
        <v>14.167999999999999</v>
      </c>
    </row>
    <row r="1795" spans="1:7" x14ac:dyDescent="0.2">
      <c r="A1795">
        <f t="shared" si="28"/>
        <v>83068</v>
      </c>
      <c r="B1795">
        <v>83</v>
      </c>
      <c r="C1795">
        <v>68</v>
      </c>
      <c r="D1795">
        <v>151</v>
      </c>
      <c r="E1795" t="s">
        <v>66</v>
      </c>
      <c r="F1795">
        <v>-58266.284</v>
      </c>
      <c r="G1795">
        <v>16.47</v>
      </c>
    </row>
    <row r="1796" spans="1:7" x14ac:dyDescent="0.2">
      <c r="A1796">
        <f t="shared" si="28"/>
        <v>83069</v>
      </c>
      <c r="B1796">
        <v>83</v>
      </c>
      <c r="C1796">
        <v>69</v>
      </c>
      <c r="D1796">
        <v>152</v>
      </c>
      <c r="E1796" t="s">
        <v>67</v>
      </c>
      <c r="F1796">
        <v>-51720.273000000001</v>
      </c>
      <c r="G1796">
        <v>54.027000000000001</v>
      </c>
    </row>
    <row r="1797" spans="1:7" x14ac:dyDescent="0.2">
      <c r="A1797">
        <f t="shared" si="28"/>
        <v>83070</v>
      </c>
      <c r="B1797">
        <v>83</v>
      </c>
      <c r="C1797">
        <v>70</v>
      </c>
      <c r="D1797">
        <v>153</v>
      </c>
      <c r="E1797" t="s">
        <v>68</v>
      </c>
      <c r="F1797" t="s">
        <v>1060</v>
      </c>
      <c r="G1797" t="s">
        <v>206</v>
      </c>
    </row>
    <row r="1798" spans="1:7" x14ac:dyDescent="0.2">
      <c r="A1798">
        <f t="shared" si="28"/>
        <v>83071</v>
      </c>
      <c r="B1798">
        <v>83</v>
      </c>
      <c r="C1798">
        <v>71</v>
      </c>
      <c r="D1798">
        <v>154</v>
      </c>
      <c r="E1798" t="s">
        <v>69</v>
      </c>
      <c r="F1798" t="s">
        <v>1064</v>
      </c>
      <c r="G1798" t="s">
        <v>206</v>
      </c>
    </row>
    <row r="1799" spans="1:7" x14ac:dyDescent="0.2">
      <c r="A1799">
        <f t="shared" si="28"/>
        <v>83072</v>
      </c>
      <c r="B1799">
        <v>83</v>
      </c>
      <c r="C1799">
        <v>72</v>
      </c>
      <c r="D1799">
        <v>155</v>
      </c>
      <c r="E1799" t="s">
        <v>70</v>
      </c>
      <c r="F1799" t="s">
        <v>1068</v>
      </c>
      <c r="G1799" t="s">
        <v>202</v>
      </c>
    </row>
    <row r="1800" spans="1:7" x14ac:dyDescent="0.2">
      <c r="A1800">
        <f t="shared" si="28"/>
        <v>83073</v>
      </c>
      <c r="B1800">
        <v>83</v>
      </c>
      <c r="C1800">
        <v>73</v>
      </c>
      <c r="D1800">
        <v>156</v>
      </c>
      <c r="E1800" t="s">
        <v>71</v>
      </c>
      <c r="F1800" t="s">
        <v>1073</v>
      </c>
      <c r="G1800" t="s">
        <v>202</v>
      </c>
    </row>
    <row r="1801" spans="1:7" x14ac:dyDescent="0.2">
      <c r="A1801">
        <f t="shared" si="28"/>
        <v>83074</v>
      </c>
      <c r="B1801">
        <v>83</v>
      </c>
      <c r="C1801">
        <v>74</v>
      </c>
      <c r="D1801">
        <v>157</v>
      </c>
      <c r="E1801" t="s">
        <v>72</v>
      </c>
      <c r="F1801" t="s">
        <v>1077</v>
      </c>
      <c r="G1801" t="s">
        <v>197</v>
      </c>
    </row>
    <row r="1802" spans="1:7" x14ac:dyDescent="0.2">
      <c r="A1802">
        <f t="shared" si="28"/>
        <v>84047</v>
      </c>
      <c r="B1802">
        <v>84</v>
      </c>
      <c r="C1802">
        <v>47</v>
      </c>
      <c r="D1802">
        <v>131</v>
      </c>
      <c r="E1802" t="s">
        <v>45</v>
      </c>
      <c r="F1802" t="s">
        <v>983</v>
      </c>
      <c r="G1802" t="s">
        <v>245</v>
      </c>
    </row>
    <row r="1803" spans="1:7" x14ac:dyDescent="0.2">
      <c r="A1803">
        <f t="shared" si="28"/>
        <v>84048</v>
      </c>
      <c r="B1803">
        <v>84</v>
      </c>
      <c r="C1803">
        <v>48</v>
      </c>
      <c r="D1803">
        <v>132</v>
      </c>
      <c r="E1803" t="s">
        <v>46</v>
      </c>
      <c r="F1803" t="s">
        <v>988</v>
      </c>
      <c r="G1803" t="s">
        <v>206</v>
      </c>
    </row>
    <row r="1804" spans="1:7" x14ac:dyDescent="0.2">
      <c r="A1804">
        <f t="shared" si="28"/>
        <v>84049</v>
      </c>
      <c r="B1804">
        <v>84</v>
      </c>
      <c r="C1804">
        <v>49</v>
      </c>
      <c r="D1804">
        <v>133</v>
      </c>
      <c r="E1804" t="s">
        <v>47</v>
      </c>
      <c r="F1804" t="s">
        <v>908</v>
      </c>
      <c r="G1804" t="s">
        <v>206</v>
      </c>
    </row>
    <row r="1805" spans="1:7" x14ac:dyDescent="0.2">
      <c r="A1805">
        <f t="shared" si="28"/>
        <v>84050</v>
      </c>
      <c r="B1805">
        <v>84</v>
      </c>
      <c r="C1805">
        <v>50</v>
      </c>
      <c r="D1805">
        <v>134</v>
      </c>
      <c r="E1805" t="s">
        <v>48</v>
      </c>
      <c r="F1805">
        <v>-66433.748000000007</v>
      </c>
      <c r="G1805">
        <v>3.1669999999999998</v>
      </c>
    </row>
    <row r="1806" spans="1:7" x14ac:dyDescent="0.2">
      <c r="A1806">
        <f t="shared" si="28"/>
        <v>84051</v>
      </c>
      <c r="B1806">
        <v>84</v>
      </c>
      <c r="C1806">
        <v>51</v>
      </c>
      <c r="D1806">
        <v>135</v>
      </c>
      <c r="E1806" t="s">
        <v>49</v>
      </c>
      <c r="F1806">
        <v>-69690.323000000004</v>
      </c>
      <c r="G1806">
        <v>2.64</v>
      </c>
    </row>
    <row r="1807" spans="1:7" x14ac:dyDescent="0.2">
      <c r="A1807">
        <f t="shared" si="28"/>
        <v>84052</v>
      </c>
      <c r="B1807">
        <v>84</v>
      </c>
      <c r="C1807">
        <v>52</v>
      </c>
      <c r="D1807">
        <v>136</v>
      </c>
      <c r="E1807" t="s">
        <v>50</v>
      </c>
      <c r="F1807">
        <v>-74425.269</v>
      </c>
      <c r="G1807">
        <v>2.2810000000000001</v>
      </c>
    </row>
    <row r="1808" spans="1:7" x14ac:dyDescent="0.2">
      <c r="A1808">
        <f t="shared" si="28"/>
        <v>84053</v>
      </c>
      <c r="B1808">
        <v>84</v>
      </c>
      <c r="C1808">
        <v>53</v>
      </c>
      <c r="D1808">
        <v>137</v>
      </c>
      <c r="E1808" t="s">
        <v>1006</v>
      </c>
      <c r="F1808">
        <v>-76356.258000000002</v>
      </c>
      <c r="G1808">
        <v>8.3829999999999991</v>
      </c>
    </row>
    <row r="1809" spans="1:7" x14ac:dyDescent="0.2">
      <c r="A1809">
        <f t="shared" si="28"/>
        <v>84054</v>
      </c>
      <c r="B1809">
        <v>84</v>
      </c>
      <c r="C1809">
        <v>54</v>
      </c>
      <c r="D1809">
        <v>138</v>
      </c>
      <c r="E1809" t="s">
        <v>52</v>
      </c>
      <c r="F1809">
        <v>-79972.232999999993</v>
      </c>
      <c r="G1809">
        <v>2.8039999999999998</v>
      </c>
    </row>
    <row r="1810" spans="1:7" x14ac:dyDescent="0.2">
      <c r="A1810">
        <f t="shared" si="28"/>
        <v>84055</v>
      </c>
      <c r="B1810">
        <v>84</v>
      </c>
      <c r="C1810">
        <v>55</v>
      </c>
      <c r="D1810">
        <v>139</v>
      </c>
      <c r="E1810" t="s">
        <v>53</v>
      </c>
      <c r="F1810">
        <v>-80700.921000000002</v>
      </c>
      <c r="G1810">
        <v>3.14</v>
      </c>
    </row>
    <row r="1811" spans="1:7" x14ac:dyDescent="0.2">
      <c r="A1811">
        <f t="shared" si="28"/>
        <v>84056</v>
      </c>
      <c r="B1811">
        <v>84</v>
      </c>
      <c r="C1811">
        <v>56</v>
      </c>
      <c r="D1811">
        <v>140</v>
      </c>
      <c r="E1811" t="s">
        <v>54</v>
      </c>
      <c r="F1811">
        <v>-83269.354000000007</v>
      </c>
      <c r="G1811">
        <v>7.9329999999999998</v>
      </c>
    </row>
    <row r="1812" spans="1:7" x14ac:dyDescent="0.2">
      <c r="A1812">
        <f t="shared" si="28"/>
        <v>84057</v>
      </c>
      <c r="B1812">
        <v>84</v>
      </c>
      <c r="C1812">
        <v>57</v>
      </c>
      <c r="D1812">
        <v>141</v>
      </c>
      <c r="E1812" t="s">
        <v>55</v>
      </c>
      <c r="F1812">
        <v>-82931.635999999999</v>
      </c>
      <c r="G1812">
        <v>4.2190000000000003</v>
      </c>
    </row>
    <row r="1813" spans="1:7" x14ac:dyDescent="0.2">
      <c r="A1813">
        <f t="shared" si="28"/>
        <v>84058</v>
      </c>
      <c r="B1813">
        <v>84</v>
      </c>
      <c r="C1813">
        <v>58</v>
      </c>
      <c r="D1813">
        <v>142</v>
      </c>
      <c r="E1813" t="s">
        <v>56</v>
      </c>
      <c r="F1813">
        <v>-84533.187999999995</v>
      </c>
      <c r="G1813">
        <v>2.5089999999999999</v>
      </c>
    </row>
    <row r="1814" spans="1:7" x14ac:dyDescent="0.2">
      <c r="A1814">
        <f t="shared" si="28"/>
        <v>84059</v>
      </c>
      <c r="B1814">
        <v>84</v>
      </c>
      <c r="C1814">
        <v>59</v>
      </c>
      <c r="D1814">
        <v>143</v>
      </c>
      <c r="E1814" t="s">
        <v>57</v>
      </c>
      <c r="F1814">
        <v>-83068.245999999999</v>
      </c>
      <c r="G1814">
        <v>1.897</v>
      </c>
    </row>
    <row r="1815" spans="1:7" x14ac:dyDescent="0.2">
      <c r="A1815">
        <f t="shared" si="28"/>
        <v>84060</v>
      </c>
      <c r="B1815">
        <v>84</v>
      </c>
      <c r="C1815">
        <v>60</v>
      </c>
      <c r="D1815">
        <v>144</v>
      </c>
      <c r="E1815" t="s">
        <v>58</v>
      </c>
      <c r="F1815">
        <v>-83747.956999999995</v>
      </c>
      <c r="G1815">
        <v>1.367</v>
      </c>
    </row>
    <row r="1816" spans="1:7" x14ac:dyDescent="0.2">
      <c r="A1816">
        <f t="shared" si="28"/>
        <v>84061</v>
      </c>
      <c r="B1816">
        <v>84</v>
      </c>
      <c r="C1816">
        <v>61</v>
      </c>
      <c r="D1816">
        <v>145</v>
      </c>
      <c r="E1816" t="s">
        <v>59</v>
      </c>
      <c r="F1816">
        <v>-81267.474000000002</v>
      </c>
      <c r="G1816">
        <v>2.859</v>
      </c>
    </row>
    <row r="1817" spans="1:7" x14ac:dyDescent="0.2">
      <c r="A1817">
        <f t="shared" si="28"/>
        <v>84062</v>
      </c>
      <c r="B1817">
        <v>84</v>
      </c>
      <c r="C1817">
        <v>62</v>
      </c>
      <c r="D1817">
        <v>146</v>
      </c>
      <c r="E1817" t="s">
        <v>60</v>
      </c>
      <c r="F1817">
        <v>-80996.308999999994</v>
      </c>
      <c r="G1817">
        <v>3.0920000000000001</v>
      </c>
    </row>
    <row r="1818" spans="1:7" x14ac:dyDescent="0.2">
      <c r="A1818">
        <f t="shared" si="28"/>
        <v>84063</v>
      </c>
      <c r="B1818">
        <v>84</v>
      </c>
      <c r="C1818">
        <v>63</v>
      </c>
      <c r="D1818">
        <v>147</v>
      </c>
      <c r="E1818" t="s">
        <v>61</v>
      </c>
      <c r="F1818">
        <v>-77544.755999999994</v>
      </c>
      <c r="G1818">
        <v>2.63</v>
      </c>
    </row>
    <row r="1819" spans="1:7" x14ac:dyDescent="0.2">
      <c r="A1819">
        <f t="shared" si="28"/>
        <v>84064</v>
      </c>
      <c r="B1819">
        <v>84</v>
      </c>
      <c r="C1819">
        <v>64</v>
      </c>
      <c r="D1819">
        <v>148</v>
      </c>
      <c r="E1819" t="s">
        <v>62</v>
      </c>
      <c r="F1819">
        <v>-76269.328999999998</v>
      </c>
      <c r="G1819">
        <v>1.554</v>
      </c>
    </row>
    <row r="1820" spans="1:7" x14ac:dyDescent="0.2">
      <c r="A1820">
        <f t="shared" si="28"/>
        <v>84065</v>
      </c>
      <c r="B1820">
        <v>84</v>
      </c>
      <c r="C1820">
        <v>65</v>
      </c>
      <c r="D1820">
        <v>149</v>
      </c>
      <c r="E1820" t="s">
        <v>63</v>
      </c>
      <c r="F1820">
        <v>-71488.668999999994</v>
      </c>
      <c r="G1820">
        <v>3.6669999999999998</v>
      </c>
    </row>
    <row r="1821" spans="1:7" x14ac:dyDescent="0.2">
      <c r="A1821">
        <f t="shared" si="28"/>
        <v>84066</v>
      </c>
      <c r="B1821">
        <v>84</v>
      </c>
      <c r="C1821">
        <v>66</v>
      </c>
      <c r="D1821">
        <v>150</v>
      </c>
      <c r="E1821" t="s">
        <v>64</v>
      </c>
      <c r="F1821">
        <v>-69309.600000000006</v>
      </c>
      <c r="G1821">
        <v>4.3479999999999999</v>
      </c>
    </row>
    <row r="1822" spans="1:7" x14ac:dyDescent="0.2">
      <c r="A1822">
        <f t="shared" si="28"/>
        <v>84067</v>
      </c>
      <c r="B1822">
        <v>84</v>
      </c>
      <c r="C1822">
        <v>67</v>
      </c>
      <c r="D1822">
        <v>151</v>
      </c>
      <c r="E1822" t="s">
        <v>65</v>
      </c>
      <c r="F1822">
        <v>-63622.737999999998</v>
      </c>
      <c r="G1822">
        <v>8.3019999999999996</v>
      </c>
    </row>
    <row r="1823" spans="1:7" x14ac:dyDescent="0.2">
      <c r="A1823">
        <f t="shared" si="28"/>
        <v>84068</v>
      </c>
      <c r="B1823">
        <v>84</v>
      </c>
      <c r="C1823">
        <v>68</v>
      </c>
      <c r="D1823">
        <v>152</v>
      </c>
      <c r="E1823" t="s">
        <v>66</v>
      </c>
      <c r="F1823">
        <v>-60500.377</v>
      </c>
      <c r="G1823">
        <v>8.83</v>
      </c>
    </row>
    <row r="1824" spans="1:7" x14ac:dyDescent="0.2">
      <c r="A1824">
        <f t="shared" si="28"/>
        <v>84069</v>
      </c>
      <c r="B1824">
        <v>84</v>
      </c>
      <c r="C1824">
        <v>69</v>
      </c>
      <c r="D1824">
        <v>153</v>
      </c>
      <c r="E1824" t="s">
        <v>67</v>
      </c>
      <c r="F1824">
        <v>-53973.328999999998</v>
      </c>
      <c r="G1824">
        <v>11.983000000000001</v>
      </c>
    </row>
    <row r="1825" spans="1:7" x14ac:dyDescent="0.2">
      <c r="A1825">
        <f t="shared" si="28"/>
        <v>84070</v>
      </c>
      <c r="B1825">
        <v>84</v>
      </c>
      <c r="C1825">
        <v>70</v>
      </c>
      <c r="D1825">
        <v>154</v>
      </c>
      <c r="E1825" t="s">
        <v>68</v>
      </c>
      <c r="F1825">
        <v>-49932.082999999999</v>
      </c>
      <c r="G1825">
        <v>17.280999999999999</v>
      </c>
    </row>
    <row r="1826" spans="1:7" x14ac:dyDescent="0.2">
      <c r="A1826">
        <f t="shared" si="28"/>
        <v>84071</v>
      </c>
      <c r="B1826">
        <v>84</v>
      </c>
      <c r="C1826">
        <v>71</v>
      </c>
      <c r="D1826">
        <v>155</v>
      </c>
      <c r="E1826" t="s">
        <v>69</v>
      </c>
      <c r="F1826">
        <v>-42545.046999999999</v>
      </c>
      <c r="G1826">
        <v>19.245999999999999</v>
      </c>
    </row>
    <row r="1827" spans="1:7" x14ac:dyDescent="0.2">
      <c r="A1827">
        <f t="shared" si="28"/>
        <v>84072</v>
      </c>
      <c r="B1827">
        <v>84</v>
      </c>
      <c r="C1827">
        <v>72</v>
      </c>
      <c r="D1827">
        <v>156</v>
      </c>
      <c r="E1827" t="s">
        <v>70</v>
      </c>
      <c r="F1827">
        <v>-37816.896000000001</v>
      </c>
      <c r="G1827">
        <v>149.75700000000001</v>
      </c>
    </row>
    <row r="1828" spans="1:7" x14ac:dyDescent="0.2">
      <c r="A1828">
        <f t="shared" si="28"/>
        <v>84073</v>
      </c>
      <c r="B1828">
        <v>84</v>
      </c>
      <c r="C1828">
        <v>73</v>
      </c>
      <c r="D1828">
        <v>157</v>
      </c>
      <c r="E1828" t="s">
        <v>71</v>
      </c>
      <c r="F1828">
        <v>-29593.33</v>
      </c>
      <c r="G1828">
        <v>150.06899999999999</v>
      </c>
    </row>
    <row r="1829" spans="1:7" x14ac:dyDescent="0.2">
      <c r="A1829">
        <f t="shared" si="28"/>
        <v>84074</v>
      </c>
      <c r="B1829">
        <v>84</v>
      </c>
      <c r="C1829">
        <v>74</v>
      </c>
      <c r="D1829">
        <v>158</v>
      </c>
      <c r="E1829" t="s">
        <v>72</v>
      </c>
      <c r="F1829" t="s">
        <v>1082</v>
      </c>
      <c r="G1829" t="s">
        <v>235</v>
      </c>
    </row>
    <row r="1830" spans="1:7" x14ac:dyDescent="0.2">
      <c r="A1830">
        <f t="shared" si="28"/>
        <v>84075</v>
      </c>
      <c r="B1830">
        <v>84</v>
      </c>
      <c r="C1830">
        <v>75</v>
      </c>
      <c r="D1830">
        <v>159</v>
      </c>
      <c r="E1830" t="s">
        <v>73</v>
      </c>
      <c r="F1830" t="s">
        <v>1085</v>
      </c>
      <c r="G1830" t="s">
        <v>250</v>
      </c>
    </row>
    <row r="1831" spans="1:7" x14ac:dyDescent="0.2">
      <c r="A1831">
        <f t="shared" si="28"/>
        <v>85047</v>
      </c>
      <c r="B1831">
        <v>85</v>
      </c>
      <c r="C1831">
        <v>47</v>
      </c>
      <c r="D1831">
        <v>132</v>
      </c>
      <c r="E1831" t="s">
        <v>45</v>
      </c>
      <c r="F1831" t="s">
        <v>987</v>
      </c>
      <c r="G1831" t="s">
        <v>245</v>
      </c>
    </row>
    <row r="1832" spans="1:7" x14ac:dyDescent="0.2">
      <c r="A1832">
        <f t="shared" si="28"/>
        <v>85048</v>
      </c>
      <c r="B1832">
        <v>85</v>
      </c>
      <c r="C1832">
        <v>48</v>
      </c>
      <c r="D1832">
        <v>133</v>
      </c>
      <c r="E1832" t="s">
        <v>46</v>
      </c>
      <c r="F1832" t="s">
        <v>992</v>
      </c>
      <c r="G1832" t="s">
        <v>202</v>
      </c>
    </row>
    <row r="1833" spans="1:7" x14ac:dyDescent="0.2">
      <c r="A1833">
        <f t="shared" si="28"/>
        <v>85049</v>
      </c>
      <c r="B1833">
        <v>85</v>
      </c>
      <c r="C1833">
        <v>49</v>
      </c>
      <c r="D1833">
        <v>134</v>
      </c>
      <c r="E1833" t="s">
        <v>47</v>
      </c>
      <c r="F1833" t="s">
        <v>262</v>
      </c>
      <c r="G1833" t="s">
        <v>202</v>
      </c>
    </row>
    <row r="1834" spans="1:7" x14ac:dyDescent="0.2">
      <c r="A1834">
        <f t="shared" si="28"/>
        <v>85050</v>
      </c>
      <c r="B1834">
        <v>85</v>
      </c>
      <c r="C1834">
        <v>50</v>
      </c>
      <c r="D1834">
        <v>135</v>
      </c>
      <c r="E1834" t="s">
        <v>48</v>
      </c>
      <c r="F1834">
        <v>-60632.243999999999</v>
      </c>
      <c r="G1834">
        <v>3.0739999999999998</v>
      </c>
    </row>
    <row r="1835" spans="1:7" x14ac:dyDescent="0.2">
      <c r="A1835">
        <f t="shared" si="28"/>
        <v>85051</v>
      </c>
      <c r="B1835">
        <v>85</v>
      </c>
      <c r="C1835">
        <v>51</v>
      </c>
      <c r="D1835">
        <v>136</v>
      </c>
      <c r="E1835" t="s">
        <v>49</v>
      </c>
      <c r="F1835">
        <v>-64506.879999999997</v>
      </c>
      <c r="G1835">
        <v>5.83</v>
      </c>
    </row>
    <row r="1836" spans="1:7" x14ac:dyDescent="0.2">
      <c r="A1836">
        <f t="shared" si="28"/>
        <v>85052</v>
      </c>
      <c r="B1836">
        <v>85</v>
      </c>
      <c r="C1836">
        <v>52</v>
      </c>
      <c r="D1836">
        <v>137</v>
      </c>
      <c r="E1836" t="s">
        <v>50</v>
      </c>
      <c r="F1836">
        <v>-69303.752999999997</v>
      </c>
      <c r="G1836">
        <v>2.1</v>
      </c>
    </row>
    <row r="1837" spans="1:7" x14ac:dyDescent="0.2">
      <c r="A1837">
        <f t="shared" si="28"/>
        <v>85053</v>
      </c>
      <c r="B1837">
        <v>85</v>
      </c>
      <c r="C1837">
        <v>53</v>
      </c>
      <c r="D1837">
        <v>138</v>
      </c>
      <c r="E1837" t="s">
        <v>51</v>
      </c>
      <c r="F1837">
        <v>-71979.899999999994</v>
      </c>
      <c r="G1837">
        <v>5.9619999999999997</v>
      </c>
    </row>
    <row r="1838" spans="1:7" x14ac:dyDescent="0.2">
      <c r="A1838">
        <f t="shared" si="28"/>
        <v>85054</v>
      </c>
      <c r="B1838">
        <v>85</v>
      </c>
      <c r="C1838">
        <v>54</v>
      </c>
      <c r="D1838">
        <v>139</v>
      </c>
      <c r="E1838" t="s">
        <v>52</v>
      </c>
      <c r="F1838">
        <v>-75644.576000000001</v>
      </c>
      <c r="G1838">
        <v>2.1419999999999999</v>
      </c>
    </row>
    <row r="1839" spans="1:7" x14ac:dyDescent="0.2">
      <c r="A1839">
        <f t="shared" si="28"/>
        <v>85055</v>
      </c>
      <c r="B1839">
        <v>85</v>
      </c>
      <c r="C1839">
        <v>55</v>
      </c>
      <c r="D1839">
        <v>140</v>
      </c>
      <c r="E1839" t="s">
        <v>53</v>
      </c>
      <c r="F1839">
        <v>-77050.104999999996</v>
      </c>
      <c r="G1839">
        <v>8.2010000000000005</v>
      </c>
    </row>
    <row r="1840" spans="1:7" x14ac:dyDescent="0.2">
      <c r="A1840">
        <f t="shared" si="28"/>
        <v>85056</v>
      </c>
      <c r="B1840">
        <v>85</v>
      </c>
      <c r="C1840">
        <v>56</v>
      </c>
      <c r="D1840">
        <v>141</v>
      </c>
      <c r="E1840" t="s">
        <v>54</v>
      </c>
      <c r="F1840">
        <v>-79732.626000000004</v>
      </c>
      <c r="G1840">
        <v>5.319</v>
      </c>
    </row>
    <row r="1841" spans="1:7" x14ac:dyDescent="0.2">
      <c r="A1841">
        <f t="shared" si="28"/>
        <v>85057</v>
      </c>
      <c r="B1841">
        <v>85</v>
      </c>
      <c r="C1841">
        <v>57</v>
      </c>
      <c r="D1841">
        <v>142</v>
      </c>
      <c r="E1841" t="s">
        <v>55</v>
      </c>
      <c r="F1841">
        <v>-80024.226999999999</v>
      </c>
      <c r="G1841">
        <v>6.3090000000000002</v>
      </c>
    </row>
    <row r="1842" spans="1:7" x14ac:dyDescent="0.2">
      <c r="A1842">
        <f t="shared" si="28"/>
        <v>85058</v>
      </c>
      <c r="B1842">
        <v>85</v>
      </c>
      <c r="C1842">
        <v>58</v>
      </c>
      <c r="D1842">
        <v>143</v>
      </c>
      <c r="E1842" t="s">
        <v>56</v>
      </c>
      <c r="F1842">
        <v>-81606.671000000002</v>
      </c>
      <c r="G1842">
        <v>2.508</v>
      </c>
    </row>
    <row r="1843" spans="1:7" x14ac:dyDescent="0.2">
      <c r="A1843">
        <f t="shared" si="28"/>
        <v>85059</v>
      </c>
      <c r="B1843">
        <v>85</v>
      </c>
      <c r="C1843">
        <v>59</v>
      </c>
      <c r="D1843">
        <v>144</v>
      </c>
      <c r="E1843" t="s">
        <v>57</v>
      </c>
      <c r="F1843">
        <v>-80750.517000000007</v>
      </c>
      <c r="G1843">
        <v>2.762</v>
      </c>
    </row>
    <row r="1844" spans="1:7" x14ac:dyDescent="0.2">
      <c r="A1844">
        <f t="shared" si="28"/>
        <v>85060</v>
      </c>
      <c r="B1844">
        <v>85</v>
      </c>
      <c r="C1844">
        <v>60</v>
      </c>
      <c r="D1844">
        <v>145</v>
      </c>
      <c r="E1844" t="s">
        <v>58</v>
      </c>
      <c r="F1844">
        <v>-81431.951000000001</v>
      </c>
      <c r="G1844">
        <v>1.3839999999999999</v>
      </c>
    </row>
    <row r="1845" spans="1:7" x14ac:dyDescent="0.2">
      <c r="A1845">
        <f t="shared" si="28"/>
        <v>85061</v>
      </c>
      <c r="B1845">
        <v>85</v>
      </c>
      <c r="C1845">
        <v>61</v>
      </c>
      <c r="D1845">
        <v>146</v>
      </c>
      <c r="E1845" t="s">
        <v>59</v>
      </c>
      <c r="F1845">
        <v>-79454.308999999994</v>
      </c>
      <c r="G1845">
        <v>4.3079999999999998</v>
      </c>
    </row>
    <row r="1846" spans="1:7" x14ac:dyDescent="0.2">
      <c r="A1846">
        <f t="shared" si="28"/>
        <v>85062</v>
      </c>
      <c r="B1846">
        <v>85</v>
      </c>
      <c r="C1846">
        <v>62</v>
      </c>
      <c r="D1846">
        <v>147</v>
      </c>
      <c r="E1846" t="s">
        <v>60</v>
      </c>
      <c r="F1846">
        <v>-79266.354000000007</v>
      </c>
      <c r="G1846">
        <v>1.3720000000000001</v>
      </c>
    </row>
    <row r="1847" spans="1:7" x14ac:dyDescent="0.2">
      <c r="A1847">
        <f t="shared" si="28"/>
        <v>85063</v>
      </c>
      <c r="B1847">
        <v>85</v>
      </c>
      <c r="C1847">
        <v>63</v>
      </c>
      <c r="D1847">
        <v>148</v>
      </c>
      <c r="E1847" t="s">
        <v>61</v>
      </c>
      <c r="F1847">
        <v>-76299.331000000006</v>
      </c>
      <c r="G1847">
        <v>10.013</v>
      </c>
    </row>
    <row r="1848" spans="1:7" x14ac:dyDescent="0.2">
      <c r="A1848">
        <f t="shared" si="28"/>
        <v>85064</v>
      </c>
      <c r="B1848">
        <v>85</v>
      </c>
      <c r="C1848">
        <v>64</v>
      </c>
      <c r="D1848">
        <v>149</v>
      </c>
      <c r="E1848" t="s">
        <v>62</v>
      </c>
      <c r="F1848">
        <v>-75127.010999999999</v>
      </c>
      <c r="G1848">
        <v>3.36</v>
      </c>
    </row>
    <row r="1849" spans="1:7" x14ac:dyDescent="0.2">
      <c r="A1849">
        <f t="shared" si="28"/>
        <v>85065</v>
      </c>
      <c r="B1849">
        <v>85</v>
      </c>
      <c r="C1849">
        <v>65</v>
      </c>
      <c r="D1849">
        <v>150</v>
      </c>
      <c r="E1849" t="s">
        <v>63</v>
      </c>
      <c r="F1849">
        <v>-71105.721000000005</v>
      </c>
      <c r="G1849">
        <v>7.3840000000000003</v>
      </c>
    </row>
    <row r="1850" spans="1:7" x14ac:dyDescent="0.2">
      <c r="A1850">
        <f t="shared" si="28"/>
        <v>85066</v>
      </c>
      <c r="B1850">
        <v>85</v>
      </c>
      <c r="C1850">
        <v>66</v>
      </c>
      <c r="D1850">
        <v>151</v>
      </c>
      <c r="E1850" t="s">
        <v>64</v>
      </c>
      <c r="F1850">
        <v>-68752.404999999999</v>
      </c>
      <c r="G1850">
        <v>3.2930000000000001</v>
      </c>
    </row>
    <row r="1851" spans="1:7" x14ac:dyDescent="0.2">
      <c r="A1851">
        <f t="shared" si="28"/>
        <v>85067</v>
      </c>
      <c r="B1851">
        <v>85</v>
      </c>
      <c r="C1851">
        <v>67</v>
      </c>
      <c r="D1851">
        <v>152</v>
      </c>
      <c r="E1851" t="s">
        <v>65</v>
      </c>
      <c r="F1851">
        <v>-63604.771000000001</v>
      </c>
      <c r="G1851">
        <v>12.529</v>
      </c>
    </row>
    <row r="1852" spans="1:7" x14ac:dyDescent="0.2">
      <c r="A1852">
        <f t="shared" si="28"/>
        <v>85068</v>
      </c>
      <c r="B1852">
        <v>85</v>
      </c>
      <c r="C1852">
        <v>68</v>
      </c>
      <c r="D1852">
        <v>153</v>
      </c>
      <c r="E1852" t="s">
        <v>66</v>
      </c>
      <c r="F1852">
        <v>-60468.603999999999</v>
      </c>
      <c r="G1852">
        <v>9.3209999999999997</v>
      </c>
    </row>
    <row r="1853" spans="1:7" x14ac:dyDescent="0.2">
      <c r="A1853">
        <f t="shared" si="28"/>
        <v>85069</v>
      </c>
      <c r="B1853">
        <v>85</v>
      </c>
      <c r="C1853">
        <v>69</v>
      </c>
      <c r="D1853">
        <v>154</v>
      </c>
      <c r="E1853" t="s">
        <v>67</v>
      </c>
      <c r="F1853">
        <v>-54427.131000000001</v>
      </c>
      <c r="G1853">
        <v>14.412000000000001</v>
      </c>
    </row>
    <row r="1854" spans="1:7" x14ac:dyDescent="0.2">
      <c r="A1854">
        <f t="shared" si="28"/>
        <v>85070</v>
      </c>
      <c r="B1854">
        <v>85</v>
      </c>
      <c r="C1854">
        <v>70</v>
      </c>
      <c r="D1854">
        <v>155</v>
      </c>
      <c r="E1854" t="s">
        <v>68</v>
      </c>
      <c r="F1854">
        <v>-50502.608</v>
      </c>
      <c r="G1854">
        <v>16.600000000000001</v>
      </c>
    </row>
    <row r="1855" spans="1:7" x14ac:dyDescent="0.2">
      <c r="A1855">
        <f t="shared" si="28"/>
        <v>85071</v>
      </c>
      <c r="B1855">
        <v>85</v>
      </c>
      <c r="C1855">
        <v>71</v>
      </c>
      <c r="D1855">
        <v>156</v>
      </c>
      <c r="E1855" t="s">
        <v>69</v>
      </c>
      <c r="F1855">
        <v>-43699.544000000002</v>
      </c>
      <c r="G1855">
        <v>54.122</v>
      </c>
    </row>
    <row r="1856" spans="1:7" x14ac:dyDescent="0.2">
      <c r="A1856">
        <f t="shared" si="28"/>
        <v>85072</v>
      </c>
      <c r="B1856">
        <v>85</v>
      </c>
      <c r="C1856">
        <v>72</v>
      </c>
      <c r="D1856">
        <v>157</v>
      </c>
      <c r="E1856" t="s">
        <v>70</v>
      </c>
      <c r="F1856" t="s">
        <v>1076</v>
      </c>
      <c r="G1856" t="s">
        <v>206</v>
      </c>
    </row>
    <row r="1857" spans="1:7" x14ac:dyDescent="0.2">
      <c r="A1857">
        <f t="shared" ref="A1857:A1920" si="29">1000*B1857+C1857</f>
        <v>85073</v>
      </c>
      <c r="B1857">
        <v>85</v>
      </c>
      <c r="C1857">
        <v>73</v>
      </c>
      <c r="D1857">
        <v>158</v>
      </c>
      <c r="E1857" t="s">
        <v>71</v>
      </c>
      <c r="F1857" t="s">
        <v>1081</v>
      </c>
      <c r="G1857" t="s">
        <v>206</v>
      </c>
    </row>
    <row r="1858" spans="1:7" x14ac:dyDescent="0.2">
      <c r="A1858">
        <f t="shared" si="29"/>
        <v>85074</v>
      </c>
      <c r="B1858">
        <v>85</v>
      </c>
      <c r="C1858">
        <v>74</v>
      </c>
      <c r="D1858">
        <v>159</v>
      </c>
      <c r="E1858" t="s">
        <v>72</v>
      </c>
      <c r="F1858" t="s">
        <v>1084</v>
      </c>
      <c r="G1858" t="s">
        <v>202</v>
      </c>
    </row>
    <row r="1859" spans="1:7" x14ac:dyDescent="0.2">
      <c r="A1859">
        <f t="shared" si="29"/>
        <v>85075</v>
      </c>
      <c r="B1859">
        <v>85</v>
      </c>
      <c r="C1859">
        <v>75</v>
      </c>
      <c r="D1859">
        <v>160</v>
      </c>
      <c r="E1859" t="s">
        <v>73</v>
      </c>
      <c r="F1859" t="s">
        <v>1088</v>
      </c>
      <c r="G1859" t="s">
        <v>202</v>
      </c>
    </row>
    <row r="1860" spans="1:7" x14ac:dyDescent="0.2">
      <c r="A1860">
        <f t="shared" si="29"/>
        <v>85076</v>
      </c>
      <c r="B1860">
        <v>85</v>
      </c>
      <c r="C1860">
        <v>76</v>
      </c>
      <c r="D1860">
        <v>161</v>
      </c>
      <c r="E1860" t="s">
        <v>74</v>
      </c>
      <c r="F1860" t="s">
        <v>1092</v>
      </c>
      <c r="G1860" t="s">
        <v>197</v>
      </c>
    </row>
    <row r="1861" spans="1:7" x14ac:dyDescent="0.2">
      <c r="A1861">
        <f t="shared" si="29"/>
        <v>86048</v>
      </c>
      <c r="B1861">
        <v>86</v>
      </c>
      <c r="C1861">
        <v>48</v>
      </c>
      <c r="D1861">
        <v>134</v>
      </c>
      <c r="E1861" t="s">
        <v>46</v>
      </c>
      <c r="F1861" t="s">
        <v>995</v>
      </c>
      <c r="G1861" t="s">
        <v>197</v>
      </c>
    </row>
    <row r="1862" spans="1:7" x14ac:dyDescent="0.2">
      <c r="A1862">
        <f t="shared" si="29"/>
        <v>86049</v>
      </c>
      <c r="B1862">
        <v>86</v>
      </c>
      <c r="C1862">
        <v>49</v>
      </c>
      <c r="D1862">
        <v>135</v>
      </c>
      <c r="E1862" t="s">
        <v>47</v>
      </c>
      <c r="F1862" t="s">
        <v>998</v>
      </c>
      <c r="G1862" t="s">
        <v>199</v>
      </c>
    </row>
    <row r="1863" spans="1:7" x14ac:dyDescent="0.2">
      <c r="A1863">
        <f t="shared" si="29"/>
        <v>86050</v>
      </c>
      <c r="B1863">
        <v>86</v>
      </c>
      <c r="C1863">
        <v>50</v>
      </c>
      <c r="D1863">
        <v>136</v>
      </c>
      <c r="E1863" t="s">
        <v>48</v>
      </c>
      <c r="F1863" t="s">
        <v>259</v>
      </c>
      <c r="G1863" t="s">
        <v>202</v>
      </c>
    </row>
    <row r="1864" spans="1:7" x14ac:dyDescent="0.2">
      <c r="A1864">
        <f t="shared" si="29"/>
        <v>86051</v>
      </c>
      <c r="B1864">
        <v>86</v>
      </c>
      <c r="C1864">
        <v>51</v>
      </c>
      <c r="D1864">
        <v>137</v>
      </c>
      <c r="E1864" t="s">
        <v>49</v>
      </c>
      <c r="F1864">
        <v>-60060.383999999998</v>
      </c>
      <c r="G1864">
        <v>52.164000000000001</v>
      </c>
    </row>
    <row r="1865" spans="1:7" x14ac:dyDescent="0.2">
      <c r="A1865">
        <f t="shared" si="29"/>
        <v>86052</v>
      </c>
      <c r="B1865">
        <v>86</v>
      </c>
      <c r="C1865">
        <v>52</v>
      </c>
      <c r="D1865">
        <v>138</v>
      </c>
      <c r="E1865" t="s">
        <v>50</v>
      </c>
      <c r="F1865">
        <v>-65695.985000000001</v>
      </c>
      <c r="G1865">
        <v>3.7869999999999999</v>
      </c>
    </row>
    <row r="1866" spans="1:7" x14ac:dyDescent="0.2">
      <c r="A1866">
        <f t="shared" si="29"/>
        <v>86053</v>
      </c>
      <c r="B1866">
        <v>86</v>
      </c>
      <c r="C1866">
        <v>53</v>
      </c>
      <c r="D1866">
        <v>139</v>
      </c>
      <c r="E1866" t="s">
        <v>51</v>
      </c>
      <c r="F1866">
        <v>-68470.953999999998</v>
      </c>
      <c r="G1866">
        <v>4.0049999999999999</v>
      </c>
    </row>
    <row r="1867" spans="1:7" x14ac:dyDescent="0.2">
      <c r="A1867">
        <f t="shared" si="29"/>
        <v>86054</v>
      </c>
      <c r="B1867">
        <v>86</v>
      </c>
      <c r="C1867">
        <v>54</v>
      </c>
      <c r="D1867">
        <v>140</v>
      </c>
      <c r="E1867" t="s">
        <v>52</v>
      </c>
      <c r="F1867">
        <v>-72986.451000000001</v>
      </c>
      <c r="G1867">
        <v>2.3290000000000002</v>
      </c>
    </row>
    <row r="1868" spans="1:7" x14ac:dyDescent="0.2">
      <c r="A1868">
        <f t="shared" si="29"/>
        <v>86055</v>
      </c>
      <c r="B1868">
        <v>86</v>
      </c>
      <c r="C1868">
        <v>55</v>
      </c>
      <c r="D1868">
        <v>141</v>
      </c>
      <c r="E1868" t="s">
        <v>53</v>
      </c>
      <c r="F1868">
        <v>-74477.523000000001</v>
      </c>
      <c r="G1868">
        <v>9.1950000000000003</v>
      </c>
    </row>
    <row r="1869" spans="1:7" x14ac:dyDescent="0.2">
      <c r="A1869">
        <f t="shared" si="29"/>
        <v>86056</v>
      </c>
      <c r="B1869">
        <v>86</v>
      </c>
      <c r="C1869">
        <v>56</v>
      </c>
      <c r="D1869">
        <v>142</v>
      </c>
      <c r="E1869" t="s">
        <v>54</v>
      </c>
      <c r="F1869">
        <v>-77842.263999999996</v>
      </c>
      <c r="G1869">
        <v>5.92</v>
      </c>
    </row>
    <row r="1870" spans="1:7" x14ac:dyDescent="0.2">
      <c r="A1870">
        <f t="shared" si="29"/>
        <v>86057</v>
      </c>
      <c r="B1870">
        <v>86</v>
      </c>
      <c r="C1870">
        <v>57</v>
      </c>
      <c r="D1870">
        <v>143</v>
      </c>
      <c r="E1870" t="s">
        <v>55</v>
      </c>
      <c r="F1870">
        <v>-78171.514999999999</v>
      </c>
      <c r="G1870">
        <v>7.33</v>
      </c>
    </row>
    <row r="1871" spans="1:7" x14ac:dyDescent="0.2">
      <c r="A1871">
        <f t="shared" si="29"/>
        <v>86058</v>
      </c>
      <c r="B1871">
        <v>86</v>
      </c>
      <c r="C1871">
        <v>58</v>
      </c>
      <c r="D1871">
        <v>144</v>
      </c>
      <c r="E1871" t="s">
        <v>56</v>
      </c>
      <c r="F1871">
        <v>-80431.87</v>
      </c>
      <c r="G1871">
        <v>2.8849999999999998</v>
      </c>
    </row>
    <row r="1872" spans="1:7" x14ac:dyDescent="0.2">
      <c r="A1872">
        <f t="shared" si="29"/>
        <v>86059</v>
      </c>
      <c r="B1872">
        <v>86</v>
      </c>
      <c r="C1872">
        <v>59</v>
      </c>
      <c r="D1872">
        <v>145</v>
      </c>
      <c r="E1872" t="s">
        <v>57</v>
      </c>
      <c r="F1872">
        <v>-79625.94</v>
      </c>
      <c r="G1872">
        <v>7.1689999999999996</v>
      </c>
    </row>
    <row r="1873" spans="1:7" x14ac:dyDescent="0.2">
      <c r="A1873">
        <f t="shared" si="29"/>
        <v>86060</v>
      </c>
      <c r="B1873">
        <v>86</v>
      </c>
      <c r="C1873">
        <v>60</v>
      </c>
      <c r="D1873">
        <v>146</v>
      </c>
      <c r="E1873" t="s">
        <v>58</v>
      </c>
      <c r="F1873">
        <v>-80925.866999999998</v>
      </c>
      <c r="G1873">
        <v>1.3859999999999999</v>
      </c>
    </row>
    <row r="1874" spans="1:7" x14ac:dyDescent="0.2">
      <c r="A1874">
        <f t="shared" si="29"/>
        <v>86061</v>
      </c>
      <c r="B1874">
        <v>86</v>
      </c>
      <c r="C1874">
        <v>61</v>
      </c>
      <c r="D1874">
        <v>147</v>
      </c>
      <c r="E1874" t="s">
        <v>59</v>
      </c>
      <c r="F1874">
        <v>-79042.259999999995</v>
      </c>
      <c r="G1874">
        <v>1.399</v>
      </c>
    </row>
    <row r="1875" spans="1:7" x14ac:dyDescent="0.2">
      <c r="A1875">
        <f t="shared" si="29"/>
        <v>86062</v>
      </c>
      <c r="B1875">
        <v>86</v>
      </c>
      <c r="C1875">
        <v>62</v>
      </c>
      <c r="D1875">
        <v>148</v>
      </c>
      <c r="E1875" t="s">
        <v>60</v>
      </c>
      <c r="F1875">
        <v>-79336.263999999996</v>
      </c>
      <c r="G1875">
        <v>1.367</v>
      </c>
    </row>
    <row r="1876" spans="1:7" x14ac:dyDescent="0.2">
      <c r="A1876">
        <f t="shared" si="29"/>
        <v>86063</v>
      </c>
      <c r="B1876">
        <v>86</v>
      </c>
      <c r="C1876">
        <v>63</v>
      </c>
      <c r="D1876">
        <v>149</v>
      </c>
      <c r="E1876" t="s">
        <v>61</v>
      </c>
      <c r="F1876">
        <v>-76441.111999999994</v>
      </c>
      <c r="G1876">
        <v>3.9510000000000001</v>
      </c>
    </row>
    <row r="1877" spans="1:7" x14ac:dyDescent="0.2">
      <c r="A1877">
        <f t="shared" si="29"/>
        <v>86064</v>
      </c>
      <c r="B1877">
        <v>86</v>
      </c>
      <c r="C1877">
        <v>64</v>
      </c>
      <c r="D1877">
        <v>150</v>
      </c>
      <c r="E1877" t="s">
        <v>62</v>
      </c>
      <c r="F1877">
        <v>-75763.933999999994</v>
      </c>
      <c r="G1877">
        <v>6.0759999999999996</v>
      </c>
    </row>
    <row r="1878" spans="1:7" x14ac:dyDescent="0.2">
      <c r="A1878">
        <f t="shared" si="29"/>
        <v>86065</v>
      </c>
      <c r="B1878">
        <v>86</v>
      </c>
      <c r="C1878">
        <v>65</v>
      </c>
      <c r="D1878">
        <v>151</v>
      </c>
      <c r="E1878" t="s">
        <v>63</v>
      </c>
      <c r="F1878">
        <v>-71623.504000000001</v>
      </c>
      <c r="G1878">
        <v>4.1369999999999996</v>
      </c>
    </row>
    <row r="1879" spans="1:7" x14ac:dyDescent="0.2">
      <c r="A1879">
        <f t="shared" si="29"/>
        <v>86066</v>
      </c>
      <c r="B1879">
        <v>86</v>
      </c>
      <c r="C1879">
        <v>66</v>
      </c>
      <c r="D1879">
        <v>152</v>
      </c>
      <c r="E1879" t="s">
        <v>64</v>
      </c>
      <c r="F1879">
        <v>-70117.873000000007</v>
      </c>
      <c r="G1879">
        <v>4.6239999999999997</v>
      </c>
    </row>
    <row r="1880" spans="1:7" x14ac:dyDescent="0.2">
      <c r="A1880">
        <f t="shared" si="29"/>
        <v>86067</v>
      </c>
      <c r="B1880">
        <v>86</v>
      </c>
      <c r="C1880">
        <v>67</v>
      </c>
      <c r="D1880">
        <v>153</v>
      </c>
      <c r="E1880" t="s">
        <v>65</v>
      </c>
      <c r="F1880">
        <v>-65012.103000000003</v>
      </c>
      <c r="G1880">
        <v>5.0940000000000003</v>
      </c>
    </row>
    <row r="1881" spans="1:7" x14ac:dyDescent="0.2">
      <c r="A1881">
        <f t="shared" si="29"/>
        <v>86068</v>
      </c>
      <c r="B1881">
        <v>86</v>
      </c>
      <c r="C1881">
        <v>68</v>
      </c>
      <c r="D1881">
        <v>154</v>
      </c>
      <c r="E1881" t="s">
        <v>66</v>
      </c>
      <c r="F1881">
        <v>-62605.02</v>
      </c>
      <c r="G1881">
        <v>4.9859999999999998</v>
      </c>
    </row>
    <row r="1882" spans="1:7" x14ac:dyDescent="0.2">
      <c r="A1882">
        <f t="shared" si="29"/>
        <v>86069</v>
      </c>
      <c r="B1882">
        <v>86</v>
      </c>
      <c r="C1882">
        <v>69</v>
      </c>
      <c r="D1882">
        <v>155</v>
      </c>
      <c r="E1882" t="s">
        <v>67</v>
      </c>
      <c r="F1882">
        <v>-56625.913</v>
      </c>
      <c r="G1882">
        <v>9.9250000000000007</v>
      </c>
    </row>
    <row r="1883" spans="1:7" x14ac:dyDescent="0.2">
      <c r="A1883">
        <f t="shared" si="29"/>
        <v>86070</v>
      </c>
      <c r="B1883">
        <v>86</v>
      </c>
      <c r="C1883">
        <v>70</v>
      </c>
      <c r="D1883">
        <v>156</v>
      </c>
      <c r="E1883" t="s">
        <v>68</v>
      </c>
      <c r="F1883">
        <v>-53265.720999999998</v>
      </c>
      <c r="G1883">
        <v>9.3079999999999998</v>
      </c>
    </row>
    <row r="1884" spans="1:7" x14ac:dyDescent="0.2">
      <c r="A1884">
        <f t="shared" si="29"/>
        <v>86071</v>
      </c>
      <c r="B1884">
        <v>86</v>
      </c>
      <c r="C1884">
        <v>71</v>
      </c>
      <c r="D1884">
        <v>157</v>
      </c>
      <c r="E1884" t="s">
        <v>69</v>
      </c>
      <c r="F1884">
        <v>-46440.523000000001</v>
      </c>
      <c r="G1884">
        <v>12.077999999999999</v>
      </c>
    </row>
    <row r="1885" spans="1:7" x14ac:dyDescent="0.2">
      <c r="A1885">
        <f t="shared" si="29"/>
        <v>86072</v>
      </c>
      <c r="B1885">
        <v>86</v>
      </c>
      <c r="C1885">
        <v>72</v>
      </c>
      <c r="D1885">
        <v>158</v>
      </c>
      <c r="E1885" t="s">
        <v>70</v>
      </c>
      <c r="F1885">
        <v>-42102.39</v>
      </c>
      <c r="G1885">
        <v>17.494</v>
      </c>
    </row>
    <row r="1886" spans="1:7" x14ac:dyDescent="0.2">
      <c r="A1886">
        <f t="shared" si="29"/>
        <v>86073</v>
      </c>
      <c r="B1886">
        <v>86</v>
      </c>
      <c r="C1886">
        <v>73</v>
      </c>
      <c r="D1886">
        <v>159</v>
      </c>
      <c r="E1886" t="s">
        <v>71</v>
      </c>
      <c r="F1886">
        <v>-34439.148000000001</v>
      </c>
      <c r="G1886">
        <v>19.689</v>
      </c>
    </row>
    <row r="1887" spans="1:7" x14ac:dyDescent="0.2">
      <c r="A1887">
        <f t="shared" si="29"/>
        <v>86074</v>
      </c>
      <c r="B1887">
        <v>86</v>
      </c>
      <c r="C1887">
        <v>74</v>
      </c>
      <c r="D1887">
        <v>160</v>
      </c>
      <c r="E1887" t="s">
        <v>72</v>
      </c>
      <c r="F1887">
        <v>-29326.455000000002</v>
      </c>
      <c r="G1887">
        <v>149.827</v>
      </c>
    </row>
    <row r="1888" spans="1:7" x14ac:dyDescent="0.2">
      <c r="A1888">
        <f t="shared" si="29"/>
        <v>86075</v>
      </c>
      <c r="B1888">
        <v>86</v>
      </c>
      <c r="C1888">
        <v>75</v>
      </c>
      <c r="D1888">
        <v>161</v>
      </c>
      <c r="E1888" t="s">
        <v>73</v>
      </c>
      <c r="F1888">
        <v>-20840.203000000001</v>
      </c>
      <c r="G1888">
        <v>149.922</v>
      </c>
    </row>
    <row r="1889" spans="1:7" x14ac:dyDescent="0.2">
      <c r="A1889">
        <f t="shared" si="29"/>
        <v>86076</v>
      </c>
      <c r="B1889">
        <v>86</v>
      </c>
      <c r="C1889">
        <v>76</v>
      </c>
      <c r="D1889">
        <v>162</v>
      </c>
      <c r="E1889" t="s">
        <v>74</v>
      </c>
      <c r="F1889" t="s">
        <v>1096</v>
      </c>
      <c r="G1889" t="s">
        <v>235</v>
      </c>
    </row>
    <row r="1890" spans="1:7" x14ac:dyDescent="0.2">
      <c r="A1890">
        <f t="shared" si="29"/>
        <v>87049</v>
      </c>
      <c r="B1890">
        <v>87</v>
      </c>
      <c r="C1890">
        <v>49</v>
      </c>
      <c r="D1890">
        <v>136</v>
      </c>
      <c r="E1890" t="s">
        <v>47</v>
      </c>
      <c r="F1890" t="s">
        <v>1001</v>
      </c>
      <c r="G1890" t="s">
        <v>197</v>
      </c>
    </row>
    <row r="1891" spans="1:7" x14ac:dyDescent="0.2">
      <c r="A1891">
        <f t="shared" si="29"/>
        <v>87050</v>
      </c>
      <c r="B1891">
        <v>87</v>
      </c>
      <c r="C1891">
        <v>50</v>
      </c>
      <c r="D1891">
        <v>137</v>
      </c>
      <c r="E1891" t="s">
        <v>48</v>
      </c>
      <c r="F1891" t="s">
        <v>1005</v>
      </c>
      <c r="G1891" t="s">
        <v>199</v>
      </c>
    </row>
    <row r="1892" spans="1:7" x14ac:dyDescent="0.2">
      <c r="A1892">
        <f t="shared" si="29"/>
        <v>87051</v>
      </c>
      <c r="B1892">
        <v>87</v>
      </c>
      <c r="C1892">
        <v>51</v>
      </c>
      <c r="D1892">
        <v>138</v>
      </c>
      <c r="E1892" t="s">
        <v>49</v>
      </c>
      <c r="F1892">
        <v>-54220.402999999998</v>
      </c>
      <c r="G1892">
        <v>1064.232</v>
      </c>
    </row>
    <row r="1893" spans="1:7" x14ac:dyDescent="0.2">
      <c r="A1893">
        <f t="shared" si="29"/>
        <v>87052</v>
      </c>
      <c r="B1893">
        <v>87</v>
      </c>
      <c r="C1893">
        <v>52</v>
      </c>
      <c r="D1893">
        <v>139</v>
      </c>
      <c r="E1893" t="s">
        <v>50</v>
      </c>
      <c r="F1893">
        <v>-60205.072</v>
      </c>
      <c r="G1893">
        <v>3.54</v>
      </c>
    </row>
    <row r="1894" spans="1:7" x14ac:dyDescent="0.2">
      <c r="A1894">
        <f t="shared" si="29"/>
        <v>87053</v>
      </c>
      <c r="B1894">
        <v>87</v>
      </c>
      <c r="C1894">
        <v>53</v>
      </c>
      <c r="D1894">
        <v>140</v>
      </c>
      <c r="E1894" t="s">
        <v>51</v>
      </c>
      <c r="F1894">
        <v>-63606.213000000003</v>
      </c>
      <c r="G1894">
        <v>12.109</v>
      </c>
    </row>
    <row r="1895" spans="1:7" x14ac:dyDescent="0.2">
      <c r="A1895">
        <f t="shared" si="29"/>
        <v>87054</v>
      </c>
      <c r="B1895">
        <v>87</v>
      </c>
      <c r="C1895">
        <v>54</v>
      </c>
      <c r="D1895">
        <v>141</v>
      </c>
      <c r="E1895" t="s">
        <v>52</v>
      </c>
      <c r="F1895">
        <v>-68197.298999999999</v>
      </c>
      <c r="G1895">
        <v>2.8879999999999999</v>
      </c>
    </row>
    <row r="1896" spans="1:7" x14ac:dyDescent="0.2">
      <c r="A1896">
        <f t="shared" si="29"/>
        <v>87055</v>
      </c>
      <c r="B1896">
        <v>87</v>
      </c>
      <c r="C1896">
        <v>55</v>
      </c>
      <c r="D1896">
        <v>142</v>
      </c>
      <c r="E1896" t="s">
        <v>53</v>
      </c>
      <c r="F1896">
        <v>-70514.55</v>
      </c>
      <c r="G1896">
        <v>7.0670000000000002</v>
      </c>
    </row>
    <row r="1897" spans="1:7" x14ac:dyDescent="0.2">
      <c r="A1897">
        <f t="shared" si="29"/>
        <v>87056</v>
      </c>
      <c r="B1897">
        <v>87</v>
      </c>
      <c r="C1897">
        <v>56</v>
      </c>
      <c r="D1897">
        <v>143</v>
      </c>
      <c r="E1897" t="s">
        <v>54</v>
      </c>
      <c r="F1897">
        <v>-73937.197</v>
      </c>
      <c r="G1897">
        <v>6.7560000000000002</v>
      </c>
    </row>
    <row r="1898" spans="1:7" x14ac:dyDescent="0.2">
      <c r="A1898">
        <f t="shared" si="29"/>
        <v>87057</v>
      </c>
      <c r="B1898">
        <v>87</v>
      </c>
      <c r="C1898">
        <v>57</v>
      </c>
      <c r="D1898">
        <v>144</v>
      </c>
      <c r="E1898" t="s">
        <v>55</v>
      </c>
      <c r="F1898">
        <v>-74849.652000000002</v>
      </c>
      <c r="G1898">
        <v>12.936999999999999</v>
      </c>
    </row>
    <row r="1899" spans="1:7" x14ac:dyDescent="0.2">
      <c r="A1899">
        <f t="shared" si="29"/>
        <v>87058</v>
      </c>
      <c r="B1899">
        <v>87</v>
      </c>
      <c r="C1899">
        <v>58</v>
      </c>
      <c r="D1899">
        <v>145</v>
      </c>
      <c r="E1899" t="s">
        <v>56</v>
      </c>
      <c r="F1899">
        <v>-77067.021999999997</v>
      </c>
      <c r="G1899">
        <v>33.902000000000001</v>
      </c>
    </row>
    <row r="1900" spans="1:7" x14ac:dyDescent="0.2">
      <c r="A1900">
        <f t="shared" si="29"/>
        <v>87059</v>
      </c>
      <c r="B1900">
        <v>87</v>
      </c>
      <c r="C1900">
        <v>59</v>
      </c>
      <c r="D1900">
        <v>146</v>
      </c>
      <c r="E1900" t="s">
        <v>57</v>
      </c>
      <c r="F1900">
        <v>-76681.005999999994</v>
      </c>
      <c r="G1900">
        <v>34.816000000000003</v>
      </c>
    </row>
    <row r="1901" spans="1:7" x14ac:dyDescent="0.2">
      <c r="A1901">
        <f t="shared" si="29"/>
        <v>87060</v>
      </c>
      <c r="B1901">
        <v>87</v>
      </c>
      <c r="C1901">
        <v>60</v>
      </c>
      <c r="D1901">
        <v>147</v>
      </c>
      <c r="E1901" t="s">
        <v>58</v>
      </c>
      <c r="F1901">
        <v>-78146.748000000007</v>
      </c>
      <c r="G1901">
        <v>1.3879999999999999</v>
      </c>
    </row>
    <row r="1902" spans="1:7" x14ac:dyDescent="0.2">
      <c r="A1902">
        <f t="shared" si="29"/>
        <v>87061</v>
      </c>
      <c r="B1902">
        <v>87</v>
      </c>
      <c r="C1902">
        <v>61</v>
      </c>
      <c r="D1902">
        <v>148</v>
      </c>
      <c r="E1902" t="s">
        <v>59</v>
      </c>
      <c r="F1902">
        <v>-76865.716</v>
      </c>
      <c r="G1902">
        <v>5.7229999999999999</v>
      </c>
    </row>
    <row r="1903" spans="1:7" x14ac:dyDescent="0.2">
      <c r="A1903">
        <f t="shared" si="29"/>
        <v>87062</v>
      </c>
      <c r="B1903">
        <v>87</v>
      </c>
      <c r="C1903">
        <v>62</v>
      </c>
      <c r="D1903">
        <v>149</v>
      </c>
      <c r="E1903" t="s">
        <v>60</v>
      </c>
      <c r="F1903">
        <v>-77135.736999999994</v>
      </c>
      <c r="G1903">
        <v>1.3109999999999999</v>
      </c>
    </row>
    <row r="1904" spans="1:7" x14ac:dyDescent="0.2">
      <c r="A1904">
        <f t="shared" si="29"/>
        <v>87063</v>
      </c>
      <c r="B1904">
        <v>87</v>
      </c>
      <c r="C1904">
        <v>63</v>
      </c>
      <c r="D1904">
        <v>150</v>
      </c>
      <c r="E1904" t="s">
        <v>61</v>
      </c>
      <c r="F1904">
        <v>-74792.233999999997</v>
      </c>
      <c r="G1904">
        <v>6.2530000000000001</v>
      </c>
    </row>
    <row r="1905" spans="1:7" x14ac:dyDescent="0.2">
      <c r="A1905">
        <f t="shared" si="29"/>
        <v>87064</v>
      </c>
      <c r="B1905">
        <v>87</v>
      </c>
      <c r="C1905">
        <v>64</v>
      </c>
      <c r="D1905">
        <v>151</v>
      </c>
      <c r="E1905" t="s">
        <v>62</v>
      </c>
      <c r="F1905">
        <v>-74188.736999999994</v>
      </c>
      <c r="G1905">
        <v>3.056</v>
      </c>
    </row>
    <row r="1906" spans="1:7" x14ac:dyDescent="0.2">
      <c r="A1906">
        <f t="shared" si="29"/>
        <v>87065</v>
      </c>
      <c r="B1906">
        <v>87</v>
      </c>
      <c r="C1906">
        <v>65</v>
      </c>
      <c r="D1906">
        <v>152</v>
      </c>
      <c r="E1906" t="s">
        <v>63</v>
      </c>
      <c r="F1906">
        <v>-70716.915999999997</v>
      </c>
      <c r="G1906">
        <v>40.018000000000001</v>
      </c>
    </row>
    <row r="1907" spans="1:7" x14ac:dyDescent="0.2">
      <c r="A1907">
        <f t="shared" si="29"/>
        <v>87066</v>
      </c>
      <c r="B1907">
        <v>87</v>
      </c>
      <c r="C1907">
        <v>66</v>
      </c>
      <c r="D1907">
        <v>153</v>
      </c>
      <c r="E1907" t="s">
        <v>64</v>
      </c>
      <c r="F1907">
        <v>-69142.942999999999</v>
      </c>
      <c r="G1907">
        <v>4.048</v>
      </c>
    </row>
    <row r="1908" spans="1:7" x14ac:dyDescent="0.2">
      <c r="A1908">
        <f t="shared" si="29"/>
        <v>87067</v>
      </c>
      <c r="B1908">
        <v>87</v>
      </c>
      <c r="C1908">
        <v>67</v>
      </c>
      <c r="D1908">
        <v>154</v>
      </c>
      <c r="E1908" t="s">
        <v>65</v>
      </c>
      <c r="F1908">
        <v>-64639.311000000002</v>
      </c>
      <c r="G1908">
        <v>8.2279999999999998</v>
      </c>
    </row>
    <row r="1909" spans="1:7" x14ac:dyDescent="0.2">
      <c r="A1909">
        <f t="shared" si="29"/>
        <v>87068</v>
      </c>
      <c r="B1909">
        <v>87</v>
      </c>
      <c r="C1909">
        <v>68</v>
      </c>
      <c r="D1909">
        <v>155</v>
      </c>
      <c r="E1909" t="s">
        <v>66</v>
      </c>
      <c r="F1909">
        <v>-62209.188999999998</v>
      </c>
      <c r="G1909">
        <v>6.0979999999999999</v>
      </c>
    </row>
    <row r="1910" spans="1:7" x14ac:dyDescent="0.2">
      <c r="A1910">
        <f t="shared" si="29"/>
        <v>87069</v>
      </c>
      <c r="B1910">
        <v>87</v>
      </c>
      <c r="C1910">
        <v>69</v>
      </c>
      <c r="D1910">
        <v>156</v>
      </c>
      <c r="E1910" t="s">
        <v>67</v>
      </c>
      <c r="F1910">
        <v>-56834.55</v>
      </c>
      <c r="G1910">
        <v>14.279</v>
      </c>
    </row>
    <row r="1911" spans="1:7" x14ac:dyDescent="0.2">
      <c r="A1911">
        <f t="shared" si="29"/>
        <v>87070</v>
      </c>
      <c r="B1911">
        <v>87</v>
      </c>
      <c r="C1911">
        <v>70</v>
      </c>
      <c r="D1911">
        <v>157</v>
      </c>
      <c r="E1911" t="s">
        <v>68</v>
      </c>
      <c r="F1911">
        <v>-53421.898000000001</v>
      </c>
      <c r="G1911">
        <v>10.92</v>
      </c>
    </row>
    <row r="1912" spans="1:7" x14ac:dyDescent="0.2">
      <c r="A1912">
        <f t="shared" si="29"/>
        <v>87071</v>
      </c>
      <c r="B1912">
        <v>87</v>
      </c>
      <c r="C1912">
        <v>71</v>
      </c>
      <c r="D1912">
        <v>158</v>
      </c>
      <c r="E1912" t="s">
        <v>69</v>
      </c>
      <c r="F1912">
        <v>-47212.19</v>
      </c>
      <c r="G1912">
        <v>15.125</v>
      </c>
    </row>
    <row r="1913" spans="1:7" x14ac:dyDescent="0.2">
      <c r="A1913">
        <f t="shared" si="29"/>
        <v>87072</v>
      </c>
      <c r="B1913">
        <v>87</v>
      </c>
      <c r="C1913">
        <v>72</v>
      </c>
      <c r="D1913">
        <v>159</v>
      </c>
      <c r="E1913" t="s">
        <v>70</v>
      </c>
      <c r="F1913">
        <v>-42852.6</v>
      </c>
      <c r="G1913">
        <v>16.812999999999999</v>
      </c>
    </row>
    <row r="1914" spans="1:7" x14ac:dyDescent="0.2">
      <c r="A1914">
        <f t="shared" si="29"/>
        <v>87073</v>
      </c>
      <c r="B1914">
        <v>87</v>
      </c>
      <c r="C1914">
        <v>73</v>
      </c>
      <c r="D1914">
        <v>160</v>
      </c>
      <c r="E1914" t="s">
        <v>71</v>
      </c>
      <c r="F1914">
        <v>-35823.695</v>
      </c>
      <c r="G1914">
        <v>54.316000000000003</v>
      </c>
    </row>
    <row r="1915" spans="1:7" x14ac:dyDescent="0.2">
      <c r="A1915">
        <f t="shared" si="29"/>
        <v>87074</v>
      </c>
      <c r="B1915">
        <v>87</v>
      </c>
      <c r="C1915">
        <v>74</v>
      </c>
      <c r="D1915">
        <v>161</v>
      </c>
      <c r="E1915" t="s">
        <v>72</v>
      </c>
      <c r="F1915" t="s">
        <v>1091</v>
      </c>
      <c r="G1915" t="s">
        <v>206</v>
      </c>
    </row>
    <row r="1916" spans="1:7" x14ac:dyDescent="0.2">
      <c r="A1916">
        <f t="shared" si="29"/>
        <v>87075</v>
      </c>
      <c r="B1916">
        <v>87</v>
      </c>
      <c r="C1916">
        <v>75</v>
      </c>
      <c r="D1916">
        <v>162</v>
      </c>
      <c r="E1916" t="s">
        <v>73</v>
      </c>
      <c r="F1916" t="s">
        <v>1095</v>
      </c>
      <c r="G1916" t="s">
        <v>206</v>
      </c>
    </row>
    <row r="1917" spans="1:7" x14ac:dyDescent="0.2">
      <c r="A1917">
        <f t="shared" si="29"/>
        <v>87076</v>
      </c>
      <c r="B1917">
        <v>87</v>
      </c>
      <c r="C1917">
        <v>76</v>
      </c>
      <c r="D1917">
        <v>163</v>
      </c>
      <c r="E1917" t="s">
        <v>74</v>
      </c>
      <c r="F1917" t="s">
        <v>1097</v>
      </c>
      <c r="G1917" t="s">
        <v>202</v>
      </c>
    </row>
    <row r="1918" spans="1:7" x14ac:dyDescent="0.2">
      <c r="A1918">
        <f t="shared" si="29"/>
        <v>87077</v>
      </c>
      <c r="B1918">
        <v>87</v>
      </c>
      <c r="C1918">
        <v>77</v>
      </c>
      <c r="D1918">
        <v>164</v>
      </c>
      <c r="E1918" t="s">
        <v>75</v>
      </c>
      <c r="F1918" t="s">
        <v>1102</v>
      </c>
      <c r="G1918" t="s">
        <v>233</v>
      </c>
    </row>
    <row r="1919" spans="1:7" x14ac:dyDescent="0.2">
      <c r="A1919">
        <f t="shared" si="29"/>
        <v>88049</v>
      </c>
      <c r="B1919">
        <v>88</v>
      </c>
      <c r="C1919">
        <v>49</v>
      </c>
      <c r="D1919">
        <v>137</v>
      </c>
      <c r="E1919" t="s">
        <v>47</v>
      </c>
      <c r="F1919" t="s">
        <v>1004</v>
      </c>
      <c r="G1919" t="s">
        <v>245</v>
      </c>
    </row>
    <row r="1920" spans="1:7" x14ac:dyDescent="0.2">
      <c r="A1920">
        <f t="shared" si="29"/>
        <v>88050</v>
      </c>
      <c r="B1920">
        <v>88</v>
      </c>
      <c r="C1920">
        <v>50</v>
      </c>
      <c r="D1920">
        <v>138</v>
      </c>
      <c r="E1920" t="s">
        <v>48</v>
      </c>
      <c r="F1920" t="s">
        <v>1009</v>
      </c>
      <c r="G1920" t="s">
        <v>201</v>
      </c>
    </row>
    <row r="1921" spans="1:7" x14ac:dyDescent="0.2">
      <c r="A1921">
        <f t="shared" ref="A1921:A1984" si="30">1000*B1921+C1921</f>
        <v>88051</v>
      </c>
      <c r="B1921">
        <v>88</v>
      </c>
      <c r="C1921">
        <v>51</v>
      </c>
      <c r="D1921">
        <v>139</v>
      </c>
      <c r="E1921" t="s">
        <v>49</v>
      </c>
      <c r="F1921" t="s">
        <v>1005</v>
      </c>
      <c r="G1921" t="s">
        <v>199</v>
      </c>
    </row>
    <row r="1922" spans="1:7" x14ac:dyDescent="0.2">
      <c r="A1922">
        <f t="shared" si="30"/>
        <v>88052</v>
      </c>
      <c r="B1922">
        <v>88</v>
      </c>
      <c r="C1922">
        <v>52</v>
      </c>
      <c r="D1922">
        <v>140</v>
      </c>
      <c r="E1922" t="s">
        <v>50</v>
      </c>
      <c r="F1922">
        <v>-56576.228000000003</v>
      </c>
      <c r="G1922">
        <v>62.41</v>
      </c>
    </row>
    <row r="1923" spans="1:7" x14ac:dyDescent="0.2">
      <c r="A1923">
        <f t="shared" si="30"/>
        <v>88053</v>
      </c>
      <c r="B1923">
        <v>88</v>
      </c>
      <c r="C1923">
        <v>53</v>
      </c>
      <c r="D1923">
        <v>141</v>
      </c>
      <c r="E1923" t="s">
        <v>51</v>
      </c>
      <c r="F1923">
        <v>-59926.656999999999</v>
      </c>
      <c r="G1923">
        <v>15.835000000000001</v>
      </c>
    </row>
    <row r="1924" spans="1:7" x14ac:dyDescent="0.2">
      <c r="A1924">
        <f t="shared" si="30"/>
        <v>88054</v>
      </c>
      <c r="B1924">
        <v>88</v>
      </c>
      <c r="C1924">
        <v>54</v>
      </c>
      <c r="D1924">
        <v>142</v>
      </c>
      <c r="E1924" t="s">
        <v>52</v>
      </c>
      <c r="F1924">
        <v>-65229.639000000003</v>
      </c>
      <c r="G1924">
        <v>2.7010000000000001</v>
      </c>
    </row>
    <row r="1925" spans="1:7" x14ac:dyDescent="0.2">
      <c r="A1925">
        <f t="shared" si="30"/>
        <v>88055</v>
      </c>
      <c r="B1925">
        <v>88</v>
      </c>
      <c r="C1925">
        <v>55</v>
      </c>
      <c r="D1925">
        <v>143</v>
      </c>
      <c r="E1925" t="s">
        <v>53</v>
      </c>
      <c r="F1925">
        <v>-67675.509000000005</v>
      </c>
      <c r="G1925">
        <v>7.5730000000000004</v>
      </c>
    </row>
    <row r="1926" spans="1:7" x14ac:dyDescent="0.2">
      <c r="A1926">
        <f t="shared" si="30"/>
        <v>88056</v>
      </c>
      <c r="B1926">
        <v>88</v>
      </c>
      <c r="C1926">
        <v>56</v>
      </c>
      <c r="D1926">
        <v>144</v>
      </c>
      <c r="E1926" t="s">
        <v>54</v>
      </c>
      <c r="F1926">
        <v>-71767.120999999999</v>
      </c>
      <c r="G1926">
        <v>7.1360000000000001</v>
      </c>
    </row>
    <row r="1927" spans="1:7" x14ac:dyDescent="0.2">
      <c r="A1927">
        <f t="shared" si="30"/>
        <v>88057</v>
      </c>
      <c r="B1927">
        <v>88</v>
      </c>
      <c r="C1927">
        <v>57</v>
      </c>
      <c r="D1927">
        <v>145</v>
      </c>
      <c r="E1927" t="s">
        <v>55</v>
      </c>
      <c r="F1927">
        <v>-72835.316999999995</v>
      </c>
      <c r="G1927">
        <v>12.269</v>
      </c>
    </row>
    <row r="1928" spans="1:7" x14ac:dyDescent="0.2">
      <c r="A1928">
        <f t="shared" si="30"/>
        <v>88058</v>
      </c>
      <c r="B1928">
        <v>88</v>
      </c>
      <c r="C1928">
        <v>58</v>
      </c>
      <c r="D1928">
        <v>146</v>
      </c>
      <c r="E1928" t="s">
        <v>56</v>
      </c>
      <c r="F1928">
        <v>-75635.388999999996</v>
      </c>
      <c r="G1928">
        <v>16.306000000000001</v>
      </c>
    </row>
    <row r="1929" spans="1:7" x14ac:dyDescent="0.2">
      <c r="A1929">
        <f t="shared" si="30"/>
        <v>88059</v>
      </c>
      <c r="B1929">
        <v>88</v>
      </c>
      <c r="C1929">
        <v>59</v>
      </c>
      <c r="D1929">
        <v>147</v>
      </c>
      <c r="E1929" t="s">
        <v>57</v>
      </c>
      <c r="F1929">
        <v>-75444.066999999995</v>
      </c>
      <c r="G1929">
        <v>15.856999999999999</v>
      </c>
    </row>
    <row r="1930" spans="1:7" x14ac:dyDescent="0.2">
      <c r="A1930">
        <f t="shared" si="30"/>
        <v>88060</v>
      </c>
      <c r="B1930">
        <v>88</v>
      </c>
      <c r="C1930">
        <v>60</v>
      </c>
      <c r="D1930">
        <v>148</v>
      </c>
      <c r="E1930" t="s">
        <v>58</v>
      </c>
      <c r="F1930">
        <v>-77407.995999999999</v>
      </c>
      <c r="G1930">
        <v>2.1269999999999998</v>
      </c>
    </row>
    <row r="1931" spans="1:7" x14ac:dyDescent="0.2">
      <c r="A1931">
        <f t="shared" si="30"/>
        <v>88061</v>
      </c>
      <c r="B1931">
        <v>88</v>
      </c>
      <c r="C1931">
        <v>61</v>
      </c>
      <c r="D1931">
        <v>149</v>
      </c>
      <c r="E1931" t="s">
        <v>59</v>
      </c>
      <c r="F1931">
        <v>-76064.255999999994</v>
      </c>
      <c r="G1931">
        <v>2.2669999999999999</v>
      </c>
    </row>
    <row r="1932" spans="1:7" x14ac:dyDescent="0.2">
      <c r="A1932">
        <f t="shared" si="30"/>
        <v>88062</v>
      </c>
      <c r="B1932">
        <v>88</v>
      </c>
      <c r="C1932">
        <v>62</v>
      </c>
      <c r="D1932">
        <v>150</v>
      </c>
      <c r="E1932" t="s">
        <v>60</v>
      </c>
      <c r="F1932">
        <v>-77051.138999999996</v>
      </c>
      <c r="G1932">
        <v>1.274</v>
      </c>
    </row>
    <row r="1933" spans="1:7" x14ac:dyDescent="0.2">
      <c r="A1933">
        <f t="shared" si="30"/>
        <v>88063</v>
      </c>
      <c r="B1933">
        <v>88</v>
      </c>
      <c r="C1933">
        <v>63</v>
      </c>
      <c r="D1933">
        <v>151</v>
      </c>
      <c r="E1933" t="s">
        <v>61</v>
      </c>
      <c r="F1933">
        <v>-74652.854000000007</v>
      </c>
      <c r="G1933">
        <v>1.325</v>
      </c>
    </row>
    <row r="1934" spans="1:7" x14ac:dyDescent="0.2">
      <c r="A1934">
        <f t="shared" si="30"/>
        <v>88064</v>
      </c>
      <c r="B1934">
        <v>88</v>
      </c>
      <c r="C1934">
        <v>64</v>
      </c>
      <c r="D1934">
        <v>152</v>
      </c>
      <c r="E1934" t="s">
        <v>62</v>
      </c>
      <c r="F1934">
        <v>-74706.915999999997</v>
      </c>
      <c r="G1934">
        <v>1.206</v>
      </c>
    </row>
    <row r="1935" spans="1:7" x14ac:dyDescent="0.2">
      <c r="A1935">
        <f t="shared" si="30"/>
        <v>88065</v>
      </c>
      <c r="B1935">
        <v>88</v>
      </c>
      <c r="C1935">
        <v>65</v>
      </c>
      <c r="D1935">
        <v>153</v>
      </c>
      <c r="E1935" t="s">
        <v>63</v>
      </c>
      <c r="F1935">
        <v>-71313.338000000003</v>
      </c>
      <c r="G1935">
        <v>3.9950000000000001</v>
      </c>
    </row>
    <row r="1936" spans="1:7" x14ac:dyDescent="0.2">
      <c r="A1936">
        <f t="shared" si="30"/>
        <v>88066</v>
      </c>
      <c r="B1936">
        <v>88</v>
      </c>
      <c r="C1936">
        <v>66</v>
      </c>
      <c r="D1936">
        <v>154</v>
      </c>
      <c r="E1936" t="s">
        <v>64</v>
      </c>
      <c r="F1936">
        <v>-70393.907000000007</v>
      </c>
      <c r="G1936">
        <v>7.4450000000000003</v>
      </c>
    </row>
    <row r="1937" spans="1:7" x14ac:dyDescent="0.2">
      <c r="A1937">
        <f t="shared" si="30"/>
        <v>88067</v>
      </c>
      <c r="B1937">
        <v>88</v>
      </c>
      <c r="C1937">
        <v>67</v>
      </c>
      <c r="D1937">
        <v>155</v>
      </c>
      <c r="E1937" t="s">
        <v>65</v>
      </c>
      <c r="F1937">
        <v>-66039.539000000004</v>
      </c>
      <c r="G1937">
        <v>17.474</v>
      </c>
    </row>
    <row r="1938" spans="1:7" x14ac:dyDescent="0.2">
      <c r="A1938">
        <f t="shared" si="30"/>
        <v>88068</v>
      </c>
      <c r="B1938">
        <v>88</v>
      </c>
      <c r="C1938">
        <v>68</v>
      </c>
      <c r="D1938">
        <v>156</v>
      </c>
      <c r="E1938" t="s">
        <v>66</v>
      </c>
      <c r="F1938">
        <v>-64211.709000000003</v>
      </c>
      <c r="G1938">
        <v>24.629000000000001</v>
      </c>
    </row>
    <row r="1939" spans="1:7" x14ac:dyDescent="0.2">
      <c r="A1939">
        <f t="shared" si="30"/>
        <v>88069</v>
      </c>
      <c r="B1939">
        <v>88</v>
      </c>
      <c r="C1939">
        <v>69</v>
      </c>
      <c r="D1939">
        <v>157</v>
      </c>
      <c r="E1939" t="s">
        <v>67</v>
      </c>
      <c r="F1939">
        <v>-58709.273000000001</v>
      </c>
      <c r="G1939">
        <v>27.945</v>
      </c>
    </row>
    <row r="1940" spans="1:7" x14ac:dyDescent="0.2">
      <c r="A1940">
        <f t="shared" si="30"/>
        <v>88070</v>
      </c>
      <c r="B1940">
        <v>88</v>
      </c>
      <c r="C1940">
        <v>70</v>
      </c>
      <c r="D1940">
        <v>158</v>
      </c>
      <c r="E1940" t="s">
        <v>68</v>
      </c>
      <c r="F1940">
        <v>-56010.237000000001</v>
      </c>
      <c r="G1940">
        <v>7.9939999999999998</v>
      </c>
    </row>
    <row r="1941" spans="1:7" x14ac:dyDescent="0.2">
      <c r="A1941">
        <f t="shared" si="30"/>
        <v>88071</v>
      </c>
      <c r="B1941">
        <v>88</v>
      </c>
      <c r="C1941">
        <v>71</v>
      </c>
      <c r="D1941">
        <v>159</v>
      </c>
      <c r="E1941" t="s">
        <v>69</v>
      </c>
      <c r="F1941">
        <v>-49708.603999999999</v>
      </c>
      <c r="G1941">
        <v>37.662999999999997</v>
      </c>
    </row>
    <row r="1942" spans="1:7" x14ac:dyDescent="0.2">
      <c r="A1942">
        <f t="shared" si="30"/>
        <v>88072</v>
      </c>
      <c r="B1942">
        <v>88</v>
      </c>
      <c r="C1942">
        <v>72</v>
      </c>
      <c r="D1942">
        <v>160</v>
      </c>
      <c r="E1942" t="s">
        <v>70</v>
      </c>
      <c r="F1942">
        <v>-45938.942999999999</v>
      </c>
      <c r="G1942">
        <v>9.5410000000000004</v>
      </c>
    </row>
    <row r="1943" spans="1:7" x14ac:dyDescent="0.2">
      <c r="A1943">
        <f t="shared" si="30"/>
        <v>88073</v>
      </c>
      <c r="B1943">
        <v>88</v>
      </c>
      <c r="C1943">
        <v>73</v>
      </c>
      <c r="D1943">
        <v>161</v>
      </c>
      <c r="E1943" t="s">
        <v>71</v>
      </c>
      <c r="F1943">
        <v>-38778.997000000003</v>
      </c>
      <c r="G1943">
        <v>24.382000000000001</v>
      </c>
    </row>
    <row r="1944" spans="1:7" x14ac:dyDescent="0.2">
      <c r="A1944">
        <f t="shared" si="30"/>
        <v>88074</v>
      </c>
      <c r="B1944">
        <v>88</v>
      </c>
      <c r="C1944">
        <v>74</v>
      </c>
      <c r="D1944">
        <v>162</v>
      </c>
      <c r="E1944" t="s">
        <v>72</v>
      </c>
      <c r="F1944">
        <v>-33999.207000000002</v>
      </c>
      <c r="G1944">
        <v>17.658000000000001</v>
      </c>
    </row>
    <row r="1945" spans="1:7" x14ac:dyDescent="0.2">
      <c r="A1945">
        <f t="shared" si="30"/>
        <v>88075</v>
      </c>
      <c r="B1945">
        <v>88</v>
      </c>
      <c r="C1945">
        <v>75</v>
      </c>
      <c r="D1945">
        <v>163</v>
      </c>
      <c r="E1945" t="s">
        <v>73</v>
      </c>
      <c r="F1945">
        <v>-26002.243999999999</v>
      </c>
      <c r="G1945">
        <v>18.533999999999999</v>
      </c>
    </row>
    <row r="1946" spans="1:7" x14ac:dyDescent="0.2">
      <c r="A1946">
        <f t="shared" si="30"/>
        <v>88076</v>
      </c>
      <c r="B1946">
        <v>88</v>
      </c>
      <c r="C1946">
        <v>76</v>
      </c>
      <c r="D1946">
        <v>164</v>
      </c>
      <c r="E1946" t="s">
        <v>74</v>
      </c>
      <c r="F1946">
        <v>-20422.106</v>
      </c>
      <c r="G1946">
        <v>149.91900000000001</v>
      </c>
    </row>
    <row r="1947" spans="1:7" x14ac:dyDescent="0.2">
      <c r="A1947">
        <f t="shared" si="30"/>
        <v>88077</v>
      </c>
      <c r="B1947">
        <v>88</v>
      </c>
      <c r="C1947">
        <v>77</v>
      </c>
      <c r="D1947">
        <v>165</v>
      </c>
      <c r="E1947" t="s">
        <v>75</v>
      </c>
      <c r="F1947" t="s">
        <v>1109</v>
      </c>
      <c r="G1947" t="s">
        <v>218</v>
      </c>
    </row>
    <row r="1948" spans="1:7" x14ac:dyDescent="0.2">
      <c r="A1948">
        <f t="shared" si="30"/>
        <v>88078</v>
      </c>
      <c r="B1948">
        <v>88</v>
      </c>
      <c r="C1948">
        <v>78</v>
      </c>
      <c r="D1948">
        <v>166</v>
      </c>
      <c r="E1948" t="s">
        <v>76</v>
      </c>
      <c r="F1948" t="s">
        <v>1112</v>
      </c>
      <c r="G1948" t="s">
        <v>235</v>
      </c>
    </row>
    <row r="1949" spans="1:7" x14ac:dyDescent="0.2">
      <c r="A1949">
        <f t="shared" si="30"/>
        <v>89050</v>
      </c>
      <c r="B1949">
        <v>89</v>
      </c>
      <c r="C1949">
        <v>50</v>
      </c>
      <c r="D1949">
        <v>139</v>
      </c>
      <c r="E1949" t="s">
        <v>48</v>
      </c>
      <c r="F1949" t="s">
        <v>1013</v>
      </c>
      <c r="G1949" t="s">
        <v>245</v>
      </c>
    </row>
    <row r="1950" spans="1:7" x14ac:dyDescent="0.2">
      <c r="A1950">
        <f t="shared" si="30"/>
        <v>89051</v>
      </c>
      <c r="B1950">
        <v>89</v>
      </c>
      <c r="C1950">
        <v>51</v>
      </c>
      <c r="D1950">
        <v>140</v>
      </c>
      <c r="E1950" t="s">
        <v>49</v>
      </c>
      <c r="F1950" t="s">
        <v>1017</v>
      </c>
      <c r="G1950" t="s">
        <v>211</v>
      </c>
    </row>
    <row r="1951" spans="1:7" x14ac:dyDescent="0.2">
      <c r="A1951">
        <f t="shared" si="30"/>
        <v>89052</v>
      </c>
      <c r="B1951">
        <v>89</v>
      </c>
      <c r="C1951">
        <v>52</v>
      </c>
      <c r="D1951">
        <v>141</v>
      </c>
      <c r="E1951" t="s">
        <v>50</v>
      </c>
      <c r="F1951" t="s">
        <v>1021</v>
      </c>
      <c r="G1951" t="s">
        <v>199</v>
      </c>
    </row>
    <row r="1952" spans="1:7" x14ac:dyDescent="0.2">
      <c r="A1952">
        <f t="shared" si="30"/>
        <v>89053</v>
      </c>
      <c r="B1952">
        <v>89</v>
      </c>
      <c r="C1952">
        <v>53</v>
      </c>
      <c r="D1952">
        <v>142</v>
      </c>
      <c r="E1952" t="s">
        <v>51</v>
      </c>
      <c r="F1952">
        <v>-54769.983999999997</v>
      </c>
      <c r="G1952">
        <v>374.46100000000001</v>
      </c>
    </row>
    <row r="1953" spans="1:7" x14ac:dyDescent="0.2">
      <c r="A1953">
        <f t="shared" si="30"/>
        <v>89054</v>
      </c>
      <c r="B1953">
        <v>89</v>
      </c>
      <c r="C1953">
        <v>54</v>
      </c>
      <c r="D1953">
        <v>143</v>
      </c>
      <c r="E1953" t="s">
        <v>52</v>
      </c>
      <c r="F1953">
        <v>-60202.873</v>
      </c>
      <c r="G1953">
        <v>4.657</v>
      </c>
    </row>
    <row r="1954" spans="1:7" x14ac:dyDescent="0.2">
      <c r="A1954">
        <f t="shared" si="30"/>
        <v>89055</v>
      </c>
      <c r="B1954">
        <v>89</v>
      </c>
      <c r="C1954">
        <v>55</v>
      </c>
      <c r="D1954">
        <v>144</v>
      </c>
      <c r="E1954" t="s">
        <v>53</v>
      </c>
      <c r="F1954">
        <v>-63271.353000000003</v>
      </c>
      <c r="G1954">
        <v>20.132000000000001</v>
      </c>
    </row>
    <row r="1955" spans="1:7" x14ac:dyDescent="0.2">
      <c r="A1955">
        <f t="shared" si="30"/>
        <v>89056</v>
      </c>
      <c r="B1955">
        <v>89</v>
      </c>
      <c r="C1955">
        <v>56</v>
      </c>
      <c r="D1955">
        <v>145</v>
      </c>
      <c r="E1955" t="s">
        <v>54</v>
      </c>
      <c r="F1955">
        <v>-67516.176000000007</v>
      </c>
      <c r="G1955">
        <v>8.4770000000000003</v>
      </c>
    </row>
    <row r="1956" spans="1:7" x14ac:dyDescent="0.2">
      <c r="A1956">
        <f t="shared" si="30"/>
        <v>89057</v>
      </c>
      <c r="B1956">
        <v>89</v>
      </c>
      <c r="C1956">
        <v>57</v>
      </c>
      <c r="D1956">
        <v>146</v>
      </c>
      <c r="E1956" t="s">
        <v>55</v>
      </c>
      <c r="F1956">
        <v>-69050.282999999996</v>
      </c>
      <c r="G1956">
        <v>33.616</v>
      </c>
    </row>
    <row r="1957" spans="1:7" x14ac:dyDescent="0.2">
      <c r="A1957">
        <f t="shared" si="30"/>
        <v>89058</v>
      </c>
      <c r="B1957">
        <v>89</v>
      </c>
      <c r="C1957">
        <v>58</v>
      </c>
      <c r="D1957">
        <v>147</v>
      </c>
      <c r="E1957" t="s">
        <v>56</v>
      </c>
      <c r="F1957">
        <v>-72013.891000000003</v>
      </c>
      <c r="G1957">
        <v>8.58</v>
      </c>
    </row>
    <row r="1958" spans="1:7" x14ac:dyDescent="0.2">
      <c r="A1958">
        <f t="shared" si="30"/>
        <v>89059</v>
      </c>
      <c r="B1958">
        <v>89</v>
      </c>
      <c r="C1958">
        <v>59</v>
      </c>
      <c r="D1958">
        <v>148</v>
      </c>
      <c r="E1958" t="s">
        <v>57</v>
      </c>
      <c r="F1958">
        <v>-72535.423999999999</v>
      </c>
      <c r="G1958">
        <v>15.042999999999999</v>
      </c>
    </row>
    <row r="1959" spans="1:7" x14ac:dyDescent="0.2">
      <c r="A1959">
        <f t="shared" si="30"/>
        <v>89060</v>
      </c>
      <c r="B1959">
        <v>89</v>
      </c>
      <c r="C1959">
        <v>60</v>
      </c>
      <c r="D1959">
        <v>149</v>
      </c>
      <c r="E1959" t="s">
        <v>58</v>
      </c>
      <c r="F1959">
        <v>-74375.466</v>
      </c>
      <c r="G1959">
        <v>2.1280000000000001</v>
      </c>
    </row>
    <row r="1960" spans="1:7" x14ac:dyDescent="0.2">
      <c r="A1960">
        <f t="shared" si="30"/>
        <v>89061</v>
      </c>
      <c r="B1960">
        <v>89</v>
      </c>
      <c r="C1960">
        <v>61</v>
      </c>
      <c r="D1960">
        <v>150</v>
      </c>
      <c r="E1960" t="s">
        <v>59</v>
      </c>
      <c r="F1960">
        <v>-73597.138999999996</v>
      </c>
      <c r="G1960">
        <v>20.041</v>
      </c>
    </row>
    <row r="1961" spans="1:7" x14ac:dyDescent="0.2">
      <c r="A1961">
        <f t="shared" si="30"/>
        <v>89062</v>
      </c>
      <c r="B1961">
        <v>89</v>
      </c>
      <c r="C1961">
        <v>62</v>
      </c>
      <c r="D1961">
        <v>151</v>
      </c>
      <c r="E1961" t="s">
        <v>60</v>
      </c>
      <c r="F1961">
        <v>-74576.278999999995</v>
      </c>
      <c r="G1961">
        <v>1.2729999999999999</v>
      </c>
    </row>
    <row r="1962" spans="1:7" x14ac:dyDescent="0.2">
      <c r="A1962">
        <f t="shared" si="30"/>
        <v>89063</v>
      </c>
      <c r="B1962">
        <v>89</v>
      </c>
      <c r="C1962">
        <v>63</v>
      </c>
      <c r="D1962">
        <v>152</v>
      </c>
      <c r="E1962" t="s">
        <v>61</v>
      </c>
      <c r="F1962">
        <v>-72888.255000000005</v>
      </c>
      <c r="G1962">
        <v>1.3260000000000001</v>
      </c>
    </row>
    <row r="1963" spans="1:7" x14ac:dyDescent="0.2">
      <c r="A1963">
        <f t="shared" si="30"/>
        <v>89064</v>
      </c>
      <c r="B1963">
        <v>89</v>
      </c>
      <c r="C1963">
        <v>64</v>
      </c>
      <c r="D1963">
        <v>153</v>
      </c>
      <c r="E1963" t="s">
        <v>62</v>
      </c>
      <c r="F1963">
        <v>-72882.551000000007</v>
      </c>
      <c r="G1963">
        <v>1.2030000000000001</v>
      </c>
    </row>
    <row r="1964" spans="1:7" x14ac:dyDescent="0.2">
      <c r="A1964">
        <f t="shared" si="30"/>
        <v>89065</v>
      </c>
      <c r="B1964">
        <v>89</v>
      </c>
      <c r="C1964">
        <v>65</v>
      </c>
      <c r="D1964">
        <v>154</v>
      </c>
      <c r="E1964" t="s">
        <v>63</v>
      </c>
      <c r="F1964">
        <v>-70156.303</v>
      </c>
      <c r="G1964">
        <v>45.314</v>
      </c>
    </row>
    <row r="1965" spans="1:7" x14ac:dyDescent="0.2">
      <c r="A1965">
        <f t="shared" si="30"/>
        <v>89066</v>
      </c>
      <c r="B1965">
        <v>89</v>
      </c>
      <c r="C1965">
        <v>66</v>
      </c>
      <c r="D1965">
        <v>155</v>
      </c>
      <c r="E1965" t="s">
        <v>64</v>
      </c>
      <c r="F1965">
        <v>-69155.55</v>
      </c>
      <c r="G1965">
        <v>9.6649999999999991</v>
      </c>
    </row>
    <row r="1966" spans="1:7" x14ac:dyDescent="0.2">
      <c r="A1966">
        <f t="shared" si="30"/>
        <v>89067</v>
      </c>
      <c r="B1966">
        <v>89</v>
      </c>
      <c r="C1966">
        <v>67</v>
      </c>
      <c r="D1966">
        <v>156</v>
      </c>
      <c r="E1966" t="s">
        <v>65</v>
      </c>
      <c r="F1966">
        <v>-65478.964</v>
      </c>
      <c r="G1966">
        <v>60.012</v>
      </c>
    </row>
    <row r="1967" spans="1:7" x14ac:dyDescent="0.2">
      <c r="A1967">
        <f t="shared" si="30"/>
        <v>89068</v>
      </c>
      <c r="B1967">
        <v>89</v>
      </c>
      <c r="C1967">
        <v>68</v>
      </c>
      <c r="D1967">
        <v>157</v>
      </c>
      <c r="E1967" t="s">
        <v>66</v>
      </c>
      <c r="F1967">
        <v>-63413.639000000003</v>
      </c>
      <c r="G1967">
        <v>26.504999999999999</v>
      </c>
    </row>
    <row r="1968" spans="1:7" x14ac:dyDescent="0.2">
      <c r="A1968">
        <f t="shared" si="30"/>
        <v>89069</v>
      </c>
      <c r="B1968">
        <v>89</v>
      </c>
      <c r="C1968">
        <v>69</v>
      </c>
      <c r="D1968">
        <v>158</v>
      </c>
      <c r="E1968" t="s">
        <v>67</v>
      </c>
      <c r="F1968">
        <v>-58703.194000000003</v>
      </c>
      <c r="G1968">
        <v>25.219000000000001</v>
      </c>
    </row>
    <row r="1969" spans="1:7" x14ac:dyDescent="0.2">
      <c r="A1969">
        <f t="shared" si="30"/>
        <v>89070</v>
      </c>
      <c r="B1969">
        <v>89</v>
      </c>
      <c r="C1969">
        <v>70</v>
      </c>
      <c r="D1969">
        <v>159</v>
      </c>
      <c r="E1969" t="s">
        <v>68</v>
      </c>
      <c r="F1969">
        <v>-55838.606</v>
      </c>
      <c r="G1969">
        <v>17.794</v>
      </c>
    </row>
    <row r="1970" spans="1:7" x14ac:dyDescent="0.2">
      <c r="A1970">
        <f t="shared" si="30"/>
        <v>89071</v>
      </c>
      <c r="B1970">
        <v>89</v>
      </c>
      <c r="C1970">
        <v>71</v>
      </c>
      <c r="D1970">
        <v>160</v>
      </c>
      <c r="E1970" t="s">
        <v>69</v>
      </c>
      <c r="F1970">
        <v>-50269.936999999998</v>
      </c>
      <c r="G1970">
        <v>56.820999999999998</v>
      </c>
    </row>
    <row r="1971" spans="1:7" x14ac:dyDescent="0.2">
      <c r="A1971">
        <f t="shared" si="30"/>
        <v>89072</v>
      </c>
      <c r="B1971">
        <v>89</v>
      </c>
      <c r="C1971">
        <v>72</v>
      </c>
      <c r="D1971">
        <v>161</v>
      </c>
      <c r="E1971" t="s">
        <v>70</v>
      </c>
      <c r="F1971">
        <v>-46314.671999999999</v>
      </c>
      <c r="G1971">
        <v>22.550999999999998</v>
      </c>
    </row>
    <row r="1972" spans="1:7" x14ac:dyDescent="0.2">
      <c r="A1972">
        <f t="shared" si="30"/>
        <v>89073</v>
      </c>
      <c r="B1972">
        <v>89</v>
      </c>
      <c r="C1972">
        <v>73</v>
      </c>
      <c r="D1972">
        <v>162</v>
      </c>
      <c r="E1972" t="s">
        <v>71</v>
      </c>
      <c r="F1972">
        <v>-39780.194000000003</v>
      </c>
      <c r="G1972">
        <v>52.238</v>
      </c>
    </row>
    <row r="1973" spans="1:7" x14ac:dyDescent="0.2">
      <c r="A1973">
        <f t="shared" si="30"/>
        <v>89074</v>
      </c>
      <c r="B1973">
        <v>89</v>
      </c>
      <c r="C1973">
        <v>74</v>
      </c>
      <c r="D1973">
        <v>163</v>
      </c>
      <c r="E1973" t="s">
        <v>72</v>
      </c>
      <c r="F1973">
        <v>-34908.192999999999</v>
      </c>
      <c r="G1973">
        <v>52.750999999999998</v>
      </c>
    </row>
    <row r="1974" spans="1:7" x14ac:dyDescent="0.2">
      <c r="A1974">
        <f t="shared" si="30"/>
        <v>89075</v>
      </c>
      <c r="B1974">
        <v>89</v>
      </c>
      <c r="C1974">
        <v>75</v>
      </c>
      <c r="D1974">
        <v>164</v>
      </c>
      <c r="E1974" t="s">
        <v>73</v>
      </c>
      <c r="F1974">
        <v>-27472.436000000002</v>
      </c>
      <c r="G1974">
        <v>54.555</v>
      </c>
    </row>
    <row r="1975" spans="1:7" x14ac:dyDescent="0.2">
      <c r="A1975">
        <f t="shared" si="30"/>
        <v>89076</v>
      </c>
      <c r="B1975">
        <v>89</v>
      </c>
      <c r="C1975">
        <v>76</v>
      </c>
      <c r="D1975">
        <v>165</v>
      </c>
      <c r="E1975" t="s">
        <v>74</v>
      </c>
      <c r="F1975" t="s">
        <v>1108</v>
      </c>
      <c r="G1975" t="s">
        <v>206</v>
      </c>
    </row>
    <row r="1976" spans="1:7" x14ac:dyDescent="0.2">
      <c r="A1976">
        <f t="shared" si="30"/>
        <v>89077</v>
      </c>
      <c r="B1976">
        <v>89</v>
      </c>
      <c r="C1976">
        <v>77</v>
      </c>
      <c r="D1976">
        <v>166</v>
      </c>
      <c r="E1976" t="s">
        <v>75</v>
      </c>
      <c r="F1976" t="s">
        <v>1111</v>
      </c>
      <c r="G1976" t="s">
        <v>206</v>
      </c>
    </row>
    <row r="1977" spans="1:7" x14ac:dyDescent="0.2">
      <c r="A1977">
        <f t="shared" si="30"/>
        <v>89078</v>
      </c>
      <c r="B1977">
        <v>89</v>
      </c>
      <c r="C1977">
        <v>78</v>
      </c>
      <c r="D1977">
        <v>167</v>
      </c>
      <c r="E1977" t="s">
        <v>76</v>
      </c>
      <c r="F1977" t="s">
        <v>1118</v>
      </c>
      <c r="G1977" t="s">
        <v>244</v>
      </c>
    </row>
    <row r="1978" spans="1:7" x14ac:dyDescent="0.2">
      <c r="A1978">
        <f t="shared" si="30"/>
        <v>90051</v>
      </c>
      <c r="B1978">
        <v>90</v>
      </c>
      <c r="C1978">
        <v>51</v>
      </c>
      <c r="D1978">
        <v>141</v>
      </c>
      <c r="E1978" t="s">
        <v>49</v>
      </c>
      <c r="F1978" t="s">
        <v>1020</v>
      </c>
      <c r="G1978" t="s">
        <v>245</v>
      </c>
    </row>
    <row r="1979" spans="1:7" x14ac:dyDescent="0.2">
      <c r="A1979">
        <f t="shared" si="30"/>
        <v>90052</v>
      </c>
      <c r="B1979">
        <v>90</v>
      </c>
      <c r="C1979">
        <v>52</v>
      </c>
      <c r="D1979">
        <v>142</v>
      </c>
      <c r="E1979" t="s">
        <v>50</v>
      </c>
      <c r="F1979" t="s">
        <v>240</v>
      </c>
      <c r="G1979" t="s">
        <v>201</v>
      </c>
    </row>
    <row r="1980" spans="1:7" x14ac:dyDescent="0.2">
      <c r="A1980">
        <f t="shared" si="30"/>
        <v>90053</v>
      </c>
      <c r="B1980">
        <v>90</v>
      </c>
      <c r="C1980">
        <v>53</v>
      </c>
      <c r="D1980">
        <v>143</v>
      </c>
      <c r="E1980" t="s">
        <v>51</v>
      </c>
      <c r="F1980" t="s">
        <v>1029</v>
      </c>
      <c r="G1980" t="s">
        <v>204</v>
      </c>
    </row>
    <row r="1981" spans="1:7" x14ac:dyDescent="0.2">
      <c r="A1981">
        <f t="shared" si="30"/>
        <v>90054</v>
      </c>
      <c r="B1981">
        <v>90</v>
      </c>
      <c r="C1981">
        <v>54</v>
      </c>
      <c r="D1981">
        <v>144</v>
      </c>
      <c r="E1981" t="s">
        <v>52</v>
      </c>
      <c r="F1981">
        <v>-56872.292999999998</v>
      </c>
      <c r="G1981">
        <v>5.31</v>
      </c>
    </row>
    <row r="1982" spans="1:7" x14ac:dyDescent="0.2">
      <c r="A1982">
        <f t="shared" si="30"/>
        <v>90055</v>
      </c>
      <c r="B1982">
        <v>90</v>
      </c>
      <c r="C1982">
        <v>55</v>
      </c>
      <c r="D1982">
        <v>145</v>
      </c>
      <c r="E1982" t="s">
        <v>53</v>
      </c>
      <c r="F1982">
        <v>-60054.415000000001</v>
      </c>
      <c r="G1982">
        <v>9.0670000000000002</v>
      </c>
    </row>
    <row r="1983" spans="1:7" x14ac:dyDescent="0.2">
      <c r="A1983">
        <f t="shared" si="30"/>
        <v>90056</v>
      </c>
      <c r="B1983">
        <v>90</v>
      </c>
      <c r="C1983">
        <v>56</v>
      </c>
      <c r="D1983">
        <v>146</v>
      </c>
      <c r="E1983" t="s">
        <v>54</v>
      </c>
      <c r="F1983">
        <v>-64947.086000000003</v>
      </c>
      <c r="G1983">
        <v>20.863</v>
      </c>
    </row>
    <row r="1984" spans="1:7" x14ac:dyDescent="0.2">
      <c r="A1984">
        <f t="shared" si="30"/>
        <v>90057</v>
      </c>
      <c r="B1984">
        <v>90</v>
      </c>
      <c r="C1984">
        <v>57</v>
      </c>
      <c r="D1984">
        <v>147</v>
      </c>
      <c r="E1984" t="s">
        <v>55</v>
      </c>
      <c r="F1984">
        <v>-66678.39</v>
      </c>
      <c r="G1984">
        <v>10.712</v>
      </c>
    </row>
    <row r="1985" spans="1:7" x14ac:dyDescent="0.2">
      <c r="A1985">
        <f t="shared" ref="A1985:A2048" si="31">1000*B1985+C1985</f>
        <v>90058</v>
      </c>
      <c r="B1985">
        <v>90</v>
      </c>
      <c r="C1985">
        <v>58</v>
      </c>
      <c r="D1985">
        <v>148</v>
      </c>
      <c r="E1985" t="s">
        <v>56</v>
      </c>
      <c r="F1985">
        <v>-70398.407999999996</v>
      </c>
      <c r="G1985">
        <v>11.195</v>
      </c>
    </row>
    <row r="1986" spans="1:7" x14ac:dyDescent="0.2">
      <c r="A1986">
        <f t="shared" si="31"/>
        <v>90059</v>
      </c>
      <c r="B1986">
        <v>90</v>
      </c>
      <c r="C1986">
        <v>59</v>
      </c>
      <c r="D1986">
        <v>149</v>
      </c>
      <c r="E1986" t="s">
        <v>57</v>
      </c>
      <c r="F1986">
        <v>-71039.365999999995</v>
      </c>
      <c r="G1986">
        <v>9.8740000000000006</v>
      </c>
    </row>
    <row r="1987" spans="1:7" x14ac:dyDescent="0.2">
      <c r="A1987">
        <f t="shared" si="31"/>
        <v>90060</v>
      </c>
      <c r="B1987">
        <v>90</v>
      </c>
      <c r="C1987">
        <v>60</v>
      </c>
      <c r="D1987">
        <v>150</v>
      </c>
      <c r="E1987" t="s">
        <v>58</v>
      </c>
      <c r="F1987">
        <v>-73679.755000000005</v>
      </c>
      <c r="G1987">
        <v>1.2889999999999999</v>
      </c>
    </row>
    <row r="1988" spans="1:7" x14ac:dyDescent="0.2">
      <c r="A1988">
        <f t="shared" si="31"/>
        <v>90061</v>
      </c>
      <c r="B1988">
        <v>90</v>
      </c>
      <c r="C1988">
        <v>61</v>
      </c>
      <c r="D1988">
        <v>151</v>
      </c>
      <c r="E1988" t="s">
        <v>59</v>
      </c>
      <c r="F1988">
        <v>-73386.062999999995</v>
      </c>
      <c r="G1988">
        <v>4.6529999999999996</v>
      </c>
    </row>
    <row r="1989" spans="1:7" x14ac:dyDescent="0.2">
      <c r="A1989">
        <f t="shared" si="31"/>
        <v>90062</v>
      </c>
      <c r="B1989">
        <v>90</v>
      </c>
      <c r="C1989">
        <v>62</v>
      </c>
      <c r="D1989">
        <v>152</v>
      </c>
      <c r="E1989" t="s">
        <v>60</v>
      </c>
      <c r="F1989">
        <v>-74762.603000000003</v>
      </c>
      <c r="G1989">
        <v>1.212</v>
      </c>
    </row>
    <row r="1990" spans="1:7" x14ac:dyDescent="0.2">
      <c r="A1990">
        <f t="shared" si="31"/>
        <v>90063</v>
      </c>
      <c r="B1990">
        <v>90</v>
      </c>
      <c r="C1990">
        <v>63</v>
      </c>
      <c r="D1990">
        <v>153</v>
      </c>
      <c r="E1990" t="s">
        <v>61</v>
      </c>
      <c r="F1990">
        <v>-73367.221999999994</v>
      </c>
      <c r="G1990">
        <v>1.33</v>
      </c>
    </row>
    <row r="1991" spans="1:7" x14ac:dyDescent="0.2">
      <c r="A1991">
        <f t="shared" si="31"/>
        <v>90064</v>
      </c>
      <c r="B1991">
        <v>90</v>
      </c>
      <c r="C1991">
        <v>64</v>
      </c>
      <c r="D1991">
        <v>154</v>
      </c>
      <c r="E1991" t="s">
        <v>62</v>
      </c>
      <c r="F1991">
        <v>-73705.953999999998</v>
      </c>
      <c r="G1991">
        <v>1.1970000000000001</v>
      </c>
    </row>
    <row r="1992" spans="1:7" x14ac:dyDescent="0.2">
      <c r="A1992">
        <f t="shared" si="31"/>
        <v>90065</v>
      </c>
      <c r="B1992">
        <v>90</v>
      </c>
      <c r="C1992">
        <v>65</v>
      </c>
      <c r="D1992">
        <v>155</v>
      </c>
      <c r="E1992" t="s">
        <v>63</v>
      </c>
      <c r="F1992">
        <v>-71250.05</v>
      </c>
      <c r="G1992">
        <v>9.8490000000000002</v>
      </c>
    </row>
    <row r="1993" spans="1:7" x14ac:dyDescent="0.2">
      <c r="A1993">
        <f t="shared" si="31"/>
        <v>90066</v>
      </c>
      <c r="B1993">
        <v>90</v>
      </c>
      <c r="C1993">
        <v>66</v>
      </c>
      <c r="D1993">
        <v>156</v>
      </c>
      <c r="E1993" t="s">
        <v>64</v>
      </c>
      <c r="F1993">
        <v>-70528.964000000007</v>
      </c>
      <c r="G1993">
        <v>1.194</v>
      </c>
    </row>
    <row r="1994" spans="1:7" x14ac:dyDescent="0.2">
      <c r="A1994">
        <f t="shared" si="31"/>
        <v>90067</v>
      </c>
      <c r="B1994">
        <v>90</v>
      </c>
      <c r="C1994">
        <v>67</v>
      </c>
      <c r="D1994">
        <v>157</v>
      </c>
      <c r="E1994" t="s">
        <v>65</v>
      </c>
      <c r="F1994">
        <v>-66832.831999999995</v>
      </c>
      <c r="G1994">
        <v>23.469000000000001</v>
      </c>
    </row>
    <row r="1995" spans="1:7" x14ac:dyDescent="0.2">
      <c r="A1995">
        <f t="shared" si="31"/>
        <v>90068</v>
      </c>
      <c r="B1995">
        <v>90</v>
      </c>
      <c r="C1995">
        <v>68</v>
      </c>
      <c r="D1995">
        <v>158</v>
      </c>
      <c r="E1995" t="s">
        <v>66</v>
      </c>
      <c r="F1995">
        <v>-65303.807999999997</v>
      </c>
      <c r="G1995">
        <v>25.219000000000001</v>
      </c>
    </row>
    <row r="1996" spans="1:7" x14ac:dyDescent="0.2">
      <c r="A1996">
        <f t="shared" si="31"/>
        <v>90069</v>
      </c>
      <c r="B1996">
        <v>90</v>
      </c>
      <c r="C1996">
        <v>69</v>
      </c>
      <c r="D1996">
        <v>159</v>
      </c>
      <c r="E1996" t="s">
        <v>67</v>
      </c>
      <c r="F1996">
        <v>-60570.398000000001</v>
      </c>
      <c r="G1996">
        <v>27.945</v>
      </c>
    </row>
    <row r="1997" spans="1:7" x14ac:dyDescent="0.2">
      <c r="A1997">
        <f t="shared" si="31"/>
        <v>90070</v>
      </c>
      <c r="B1997">
        <v>90</v>
      </c>
      <c r="C1997">
        <v>70</v>
      </c>
      <c r="D1997">
        <v>160</v>
      </c>
      <c r="E1997" t="s">
        <v>68</v>
      </c>
      <c r="F1997">
        <v>-58162.705999999998</v>
      </c>
      <c r="G1997">
        <v>7.2329999999999997</v>
      </c>
    </row>
    <row r="1998" spans="1:7" x14ac:dyDescent="0.2">
      <c r="A1998">
        <f t="shared" si="31"/>
        <v>90071</v>
      </c>
      <c r="B1998">
        <v>90</v>
      </c>
      <c r="C1998">
        <v>71</v>
      </c>
      <c r="D1998">
        <v>161</v>
      </c>
      <c r="E1998" t="s">
        <v>69</v>
      </c>
      <c r="F1998">
        <v>-52562.343999999997</v>
      </c>
      <c r="G1998">
        <v>27.945</v>
      </c>
    </row>
    <row r="1999" spans="1:7" x14ac:dyDescent="0.2">
      <c r="A1999">
        <f t="shared" si="31"/>
        <v>90072</v>
      </c>
      <c r="B1999">
        <v>90</v>
      </c>
      <c r="C1999">
        <v>72</v>
      </c>
      <c r="D1999">
        <v>162</v>
      </c>
      <c r="E1999" t="s">
        <v>70</v>
      </c>
      <c r="F1999">
        <v>-49169.008000000002</v>
      </c>
      <c r="G1999">
        <v>8.968</v>
      </c>
    </row>
    <row r="2000" spans="1:7" x14ac:dyDescent="0.2">
      <c r="A2000">
        <f t="shared" si="31"/>
        <v>90073</v>
      </c>
      <c r="B2000">
        <v>90</v>
      </c>
      <c r="C2000">
        <v>73</v>
      </c>
      <c r="D2000">
        <v>163</v>
      </c>
      <c r="E2000" t="s">
        <v>71</v>
      </c>
      <c r="F2000">
        <v>-42534.629000000001</v>
      </c>
      <c r="G2000">
        <v>38.061</v>
      </c>
    </row>
    <row r="2001" spans="1:7" x14ac:dyDescent="0.2">
      <c r="A2001">
        <f t="shared" si="31"/>
        <v>90074</v>
      </c>
      <c r="B2001">
        <v>90</v>
      </c>
      <c r="C2001">
        <v>74</v>
      </c>
      <c r="D2001">
        <v>164</v>
      </c>
      <c r="E2001" t="s">
        <v>72</v>
      </c>
      <c r="F2001">
        <v>-38235.758999999998</v>
      </c>
      <c r="G2001">
        <v>9.6739999999999995</v>
      </c>
    </row>
    <row r="2002" spans="1:7" x14ac:dyDescent="0.2">
      <c r="A2002">
        <f t="shared" si="31"/>
        <v>90075</v>
      </c>
      <c r="B2002">
        <v>90</v>
      </c>
      <c r="C2002">
        <v>75</v>
      </c>
      <c r="D2002">
        <v>165</v>
      </c>
      <c r="E2002" t="s">
        <v>73</v>
      </c>
      <c r="F2002">
        <v>-30659.776000000002</v>
      </c>
      <c r="G2002">
        <v>23.594000000000001</v>
      </c>
    </row>
    <row r="2003" spans="1:7" x14ac:dyDescent="0.2">
      <c r="A2003">
        <f t="shared" si="31"/>
        <v>90076</v>
      </c>
      <c r="B2003">
        <v>90</v>
      </c>
      <c r="C2003">
        <v>76</v>
      </c>
      <c r="D2003">
        <v>166</v>
      </c>
      <c r="E2003" t="s">
        <v>74</v>
      </c>
      <c r="F2003">
        <v>-25431.517</v>
      </c>
      <c r="G2003">
        <v>17.966000000000001</v>
      </c>
    </row>
    <row r="2004" spans="1:7" x14ac:dyDescent="0.2">
      <c r="A2004">
        <f t="shared" si="31"/>
        <v>90077</v>
      </c>
      <c r="B2004">
        <v>90</v>
      </c>
      <c r="C2004">
        <v>77</v>
      </c>
      <c r="D2004">
        <v>167</v>
      </c>
      <c r="E2004" t="s">
        <v>75</v>
      </c>
      <c r="F2004">
        <v>-17072.439999999999</v>
      </c>
      <c r="G2004">
        <v>18.346</v>
      </c>
    </row>
    <row r="2005" spans="1:7" x14ac:dyDescent="0.2">
      <c r="A2005">
        <f t="shared" si="31"/>
        <v>90078</v>
      </c>
      <c r="B2005">
        <v>90</v>
      </c>
      <c r="C2005">
        <v>78</v>
      </c>
      <c r="D2005">
        <v>168</v>
      </c>
      <c r="E2005" t="s">
        <v>76</v>
      </c>
      <c r="F2005">
        <v>-11007.46</v>
      </c>
      <c r="G2005">
        <v>149.95099999999999</v>
      </c>
    </row>
    <row r="2006" spans="1:7" x14ac:dyDescent="0.2">
      <c r="A2006">
        <f t="shared" si="31"/>
        <v>90079</v>
      </c>
      <c r="B2006">
        <v>90</v>
      </c>
      <c r="C2006">
        <v>79</v>
      </c>
      <c r="D2006">
        <v>169</v>
      </c>
      <c r="E2006" t="s">
        <v>77</v>
      </c>
      <c r="F2006" t="s">
        <v>1125</v>
      </c>
      <c r="G2006" t="s">
        <v>202</v>
      </c>
    </row>
    <row r="2007" spans="1:7" x14ac:dyDescent="0.2">
      <c r="A2007">
        <f t="shared" si="31"/>
        <v>91052</v>
      </c>
      <c r="B2007">
        <v>91</v>
      </c>
      <c r="C2007">
        <v>52</v>
      </c>
      <c r="D2007">
        <v>143</v>
      </c>
      <c r="E2007" t="s">
        <v>50</v>
      </c>
      <c r="F2007" t="s">
        <v>1028</v>
      </c>
      <c r="G2007" t="s">
        <v>201</v>
      </c>
    </row>
    <row r="2008" spans="1:7" x14ac:dyDescent="0.2">
      <c r="A2008">
        <f t="shared" si="31"/>
        <v>91053</v>
      </c>
      <c r="B2008">
        <v>91</v>
      </c>
      <c r="C2008">
        <v>53</v>
      </c>
      <c r="D2008">
        <v>144</v>
      </c>
      <c r="E2008" t="s">
        <v>51</v>
      </c>
      <c r="F2008" t="s">
        <v>1032</v>
      </c>
      <c r="G2008" t="s">
        <v>199</v>
      </c>
    </row>
    <row r="2009" spans="1:7" x14ac:dyDescent="0.2">
      <c r="A2009">
        <f t="shared" si="31"/>
        <v>91054</v>
      </c>
      <c r="B2009">
        <v>91</v>
      </c>
      <c r="C2009">
        <v>54</v>
      </c>
      <c r="D2009">
        <v>145</v>
      </c>
      <c r="E2009" t="s">
        <v>52</v>
      </c>
      <c r="F2009">
        <v>-51493.328999999998</v>
      </c>
      <c r="G2009">
        <v>11.178000000000001</v>
      </c>
    </row>
    <row r="2010" spans="1:7" x14ac:dyDescent="0.2">
      <c r="A2010">
        <f t="shared" si="31"/>
        <v>91055</v>
      </c>
      <c r="B2010">
        <v>91</v>
      </c>
      <c r="C2010">
        <v>55</v>
      </c>
      <c r="D2010">
        <v>146</v>
      </c>
      <c r="E2010" t="s">
        <v>53</v>
      </c>
      <c r="F2010">
        <v>-55310.372000000003</v>
      </c>
      <c r="G2010">
        <v>2.8929999999999998</v>
      </c>
    </row>
    <row r="2011" spans="1:7" x14ac:dyDescent="0.2">
      <c r="A2011">
        <f t="shared" si="31"/>
        <v>91056</v>
      </c>
      <c r="B2011">
        <v>91</v>
      </c>
      <c r="C2011">
        <v>56</v>
      </c>
      <c r="D2011">
        <v>147</v>
      </c>
      <c r="E2011" t="s">
        <v>54</v>
      </c>
      <c r="F2011">
        <v>-60264.029000000002</v>
      </c>
      <c r="G2011">
        <v>19.748000000000001</v>
      </c>
    </row>
    <row r="2012" spans="1:7" x14ac:dyDescent="0.2">
      <c r="A2012">
        <f t="shared" si="31"/>
        <v>91057</v>
      </c>
      <c r="B2012">
        <v>91</v>
      </c>
      <c r="C2012">
        <v>57</v>
      </c>
      <c r="D2012">
        <v>148</v>
      </c>
      <c r="E2012" t="s">
        <v>55</v>
      </c>
      <c r="F2012">
        <v>-62708.735000000001</v>
      </c>
      <c r="G2012">
        <v>19.468</v>
      </c>
    </row>
    <row r="2013" spans="1:7" x14ac:dyDescent="0.2">
      <c r="A2013">
        <f t="shared" si="31"/>
        <v>91058</v>
      </c>
      <c r="B2013">
        <v>91</v>
      </c>
      <c r="C2013">
        <v>58</v>
      </c>
      <c r="D2013">
        <v>149</v>
      </c>
      <c r="E2013" t="s">
        <v>56</v>
      </c>
      <c r="F2013">
        <v>-66669.913</v>
      </c>
      <c r="G2013">
        <v>10.246</v>
      </c>
    </row>
    <row r="2014" spans="1:7" x14ac:dyDescent="0.2">
      <c r="A2014">
        <f t="shared" si="31"/>
        <v>91059</v>
      </c>
      <c r="B2014">
        <v>91</v>
      </c>
      <c r="C2014">
        <v>59</v>
      </c>
      <c r="D2014">
        <v>150</v>
      </c>
      <c r="E2014" t="s">
        <v>57</v>
      </c>
      <c r="F2014">
        <v>-68300.479000000007</v>
      </c>
      <c r="G2014">
        <v>9.0150000000000006</v>
      </c>
    </row>
    <row r="2015" spans="1:7" x14ac:dyDescent="0.2">
      <c r="A2015">
        <f t="shared" si="31"/>
        <v>91060</v>
      </c>
      <c r="B2015">
        <v>91</v>
      </c>
      <c r="C2015">
        <v>60</v>
      </c>
      <c r="D2015">
        <v>151</v>
      </c>
      <c r="E2015" t="s">
        <v>58</v>
      </c>
      <c r="F2015">
        <v>-70942.987999999998</v>
      </c>
      <c r="G2015">
        <v>1.2929999999999999</v>
      </c>
    </row>
    <row r="2016" spans="1:7" x14ac:dyDescent="0.2">
      <c r="A2016">
        <f t="shared" si="31"/>
        <v>91061</v>
      </c>
      <c r="B2016">
        <v>91</v>
      </c>
      <c r="C2016">
        <v>61</v>
      </c>
      <c r="D2016">
        <v>152</v>
      </c>
      <c r="E2016" t="s">
        <v>59</v>
      </c>
      <c r="F2016">
        <v>-71254.186000000002</v>
      </c>
      <c r="G2016">
        <v>25.911999999999999</v>
      </c>
    </row>
    <row r="2017" spans="1:7" x14ac:dyDescent="0.2">
      <c r="A2017">
        <f t="shared" si="31"/>
        <v>91062</v>
      </c>
      <c r="B2017">
        <v>91</v>
      </c>
      <c r="C2017">
        <v>62</v>
      </c>
      <c r="D2017">
        <v>153</v>
      </c>
      <c r="E2017" t="s">
        <v>60</v>
      </c>
      <c r="F2017">
        <v>-72559.686000000002</v>
      </c>
      <c r="G2017">
        <v>1.2190000000000001</v>
      </c>
    </row>
    <row r="2018" spans="1:7" x14ac:dyDescent="0.2">
      <c r="A2018">
        <f t="shared" si="31"/>
        <v>91063</v>
      </c>
      <c r="B2018">
        <v>91</v>
      </c>
      <c r="C2018">
        <v>63</v>
      </c>
      <c r="D2018">
        <v>154</v>
      </c>
      <c r="E2018" t="s">
        <v>61</v>
      </c>
      <c r="F2018">
        <v>-71738.120999999999</v>
      </c>
      <c r="G2018">
        <v>1.3460000000000001</v>
      </c>
    </row>
    <row r="2019" spans="1:7" x14ac:dyDescent="0.2">
      <c r="A2019">
        <f t="shared" si="31"/>
        <v>91064</v>
      </c>
      <c r="B2019">
        <v>91</v>
      </c>
      <c r="C2019">
        <v>64</v>
      </c>
      <c r="D2019">
        <v>155</v>
      </c>
      <c r="E2019" t="s">
        <v>62</v>
      </c>
      <c r="F2019">
        <v>-72069.88</v>
      </c>
      <c r="G2019">
        <v>1.1910000000000001</v>
      </c>
    </row>
    <row r="2020" spans="1:7" x14ac:dyDescent="0.2">
      <c r="A2020">
        <f t="shared" si="31"/>
        <v>91065</v>
      </c>
      <c r="B2020">
        <v>91</v>
      </c>
      <c r="C2020">
        <v>65</v>
      </c>
      <c r="D2020">
        <v>156</v>
      </c>
      <c r="E2020" t="s">
        <v>63</v>
      </c>
      <c r="F2020">
        <v>-70090.797000000006</v>
      </c>
      <c r="G2020">
        <v>3.8140000000000001</v>
      </c>
    </row>
    <row r="2021" spans="1:7" x14ac:dyDescent="0.2">
      <c r="A2021">
        <f t="shared" si="31"/>
        <v>91066</v>
      </c>
      <c r="B2021">
        <v>91</v>
      </c>
      <c r="C2021">
        <v>66</v>
      </c>
      <c r="D2021">
        <v>157</v>
      </c>
      <c r="E2021" t="s">
        <v>64</v>
      </c>
      <c r="F2021">
        <v>-69424.558000000005</v>
      </c>
      <c r="G2021">
        <v>5.1769999999999996</v>
      </c>
    </row>
    <row r="2022" spans="1:7" x14ac:dyDescent="0.2">
      <c r="A2022">
        <f t="shared" si="31"/>
        <v>91067</v>
      </c>
      <c r="B2022">
        <v>91</v>
      </c>
      <c r="C2022">
        <v>67</v>
      </c>
      <c r="D2022">
        <v>158</v>
      </c>
      <c r="E2022" t="s">
        <v>65</v>
      </c>
      <c r="F2022">
        <v>-66187.592999999993</v>
      </c>
      <c r="G2022">
        <v>27.108000000000001</v>
      </c>
    </row>
    <row r="2023" spans="1:7" x14ac:dyDescent="0.2">
      <c r="A2023">
        <f t="shared" si="31"/>
        <v>91068</v>
      </c>
      <c r="B2023">
        <v>91</v>
      </c>
      <c r="C2023">
        <v>68</v>
      </c>
      <c r="D2023">
        <v>159</v>
      </c>
      <c r="E2023" t="s">
        <v>66</v>
      </c>
      <c r="F2023">
        <v>-64561.034</v>
      </c>
      <c r="G2023">
        <v>3.6789999999999998</v>
      </c>
    </row>
    <row r="2024" spans="1:7" x14ac:dyDescent="0.2">
      <c r="A2024">
        <f t="shared" si="31"/>
        <v>91069</v>
      </c>
      <c r="B2024">
        <v>91</v>
      </c>
      <c r="C2024">
        <v>69</v>
      </c>
      <c r="D2024">
        <v>160</v>
      </c>
      <c r="E2024" t="s">
        <v>67</v>
      </c>
      <c r="F2024">
        <v>-60302.027999999998</v>
      </c>
      <c r="G2024">
        <v>34.262</v>
      </c>
    </row>
    <row r="2025" spans="1:7" x14ac:dyDescent="0.2">
      <c r="A2025">
        <f t="shared" si="31"/>
        <v>91070</v>
      </c>
      <c r="B2025">
        <v>91</v>
      </c>
      <c r="C2025">
        <v>70</v>
      </c>
      <c r="D2025">
        <v>161</v>
      </c>
      <c r="E2025" t="s">
        <v>68</v>
      </c>
      <c r="F2025">
        <v>-57839.4</v>
      </c>
      <c r="G2025">
        <v>15.353999999999999</v>
      </c>
    </row>
    <row r="2026" spans="1:7" x14ac:dyDescent="0.2">
      <c r="A2026">
        <f t="shared" si="31"/>
        <v>91071</v>
      </c>
      <c r="B2026">
        <v>91</v>
      </c>
      <c r="C2026">
        <v>71</v>
      </c>
      <c r="D2026">
        <v>162</v>
      </c>
      <c r="E2026" t="s">
        <v>69</v>
      </c>
      <c r="F2026">
        <v>-52831.752999999997</v>
      </c>
      <c r="G2026">
        <v>75.036000000000001</v>
      </c>
    </row>
    <row r="2027" spans="1:7" x14ac:dyDescent="0.2">
      <c r="A2027">
        <f t="shared" si="31"/>
        <v>91072</v>
      </c>
      <c r="B2027">
        <v>91</v>
      </c>
      <c r="C2027">
        <v>72</v>
      </c>
      <c r="D2027">
        <v>163</v>
      </c>
      <c r="E2027" t="s">
        <v>70</v>
      </c>
      <c r="F2027">
        <v>-49263.682000000001</v>
      </c>
      <c r="G2027">
        <v>24.777999999999999</v>
      </c>
    </row>
    <row r="2028" spans="1:7" x14ac:dyDescent="0.2">
      <c r="A2028">
        <f t="shared" si="31"/>
        <v>91073</v>
      </c>
      <c r="B2028">
        <v>91</v>
      </c>
      <c r="C2028">
        <v>73</v>
      </c>
      <c r="D2028">
        <v>164</v>
      </c>
      <c r="E2028" t="s">
        <v>71</v>
      </c>
      <c r="F2028">
        <v>-43282.8</v>
      </c>
      <c r="G2028">
        <v>27.945</v>
      </c>
    </row>
    <row r="2029" spans="1:7" x14ac:dyDescent="0.2">
      <c r="A2029">
        <f t="shared" si="31"/>
        <v>91074</v>
      </c>
      <c r="B2029">
        <v>91</v>
      </c>
      <c r="C2029">
        <v>74</v>
      </c>
      <c r="D2029">
        <v>165</v>
      </c>
      <c r="E2029" t="s">
        <v>72</v>
      </c>
      <c r="F2029">
        <v>-38861.021999999997</v>
      </c>
      <c r="G2029">
        <v>24.977</v>
      </c>
    </row>
    <row r="2030" spans="1:7" x14ac:dyDescent="0.2">
      <c r="A2030">
        <f t="shared" si="31"/>
        <v>91075</v>
      </c>
      <c r="B2030">
        <v>91</v>
      </c>
      <c r="C2030">
        <v>75</v>
      </c>
      <c r="D2030">
        <v>166</v>
      </c>
      <c r="E2030" t="s">
        <v>73</v>
      </c>
      <c r="F2030">
        <v>-31893.477999999999</v>
      </c>
      <c r="G2030">
        <v>72.31</v>
      </c>
    </row>
    <row r="2031" spans="1:7" x14ac:dyDescent="0.2">
      <c r="A2031">
        <f t="shared" si="31"/>
        <v>91076</v>
      </c>
      <c r="B2031">
        <v>91</v>
      </c>
      <c r="C2031">
        <v>76</v>
      </c>
      <c r="D2031">
        <v>167</v>
      </c>
      <c r="E2031" t="s">
        <v>74</v>
      </c>
      <c r="F2031">
        <v>-26501.992999999999</v>
      </c>
      <c r="G2031">
        <v>72.682000000000002</v>
      </c>
    </row>
    <row r="2032" spans="1:7" x14ac:dyDescent="0.2">
      <c r="A2032">
        <f t="shared" si="31"/>
        <v>91077</v>
      </c>
      <c r="B2032">
        <v>91</v>
      </c>
      <c r="C2032">
        <v>77</v>
      </c>
      <c r="D2032">
        <v>168</v>
      </c>
      <c r="E2032" t="s">
        <v>75</v>
      </c>
      <c r="F2032">
        <v>-18666.225999999999</v>
      </c>
      <c r="G2032">
        <v>55.216000000000001</v>
      </c>
    </row>
    <row r="2033" spans="1:7" x14ac:dyDescent="0.2">
      <c r="A2033">
        <f t="shared" si="31"/>
        <v>91078</v>
      </c>
      <c r="B2033">
        <v>91</v>
      </c>
      <c r="C2033">
        <v>78</v>
      </c>
      <c r="D2033">
        <v>169</v>
      </c>
      <c r="E2033" t="s">
        <v>76</v>
      </c>
      <c r="F2033" t="s">
        <v>1124</v>
      </c>
      <c r="G2033" t="s">
        <v>206</v>
      </c>
    </row>
    <row r="2034" spans="1:7" x14ac:dyDescent="0.2">
      <c r="A2034">
        <f t="shared" si="31"/>
        <v>91079</v>
      </c>
      <c r="B2034">
        <v>91</v>
      </c>
      <c r="C2034">
        <v>79</v>
      </c>
      <c r="D2034">
        <v>170</v>
      </c>
      <c r="E2034" t="s">
        <v>77</v>
      </c>
      <c r="F2034" t="s">
        <v>1130</v>
      </c>
      <c r="G2034" t="s">
        <v>206</v>
      </c>
    </row>
    <row r="2035" spans="1:7" x14ac:dyDescent="0.2">
      <c r="A2035">
        <f t="shared" si="31"/>
        <v>91080</v>
      </c>
      <c r="B2035">
        <v>91</v>
      </c>
      <c r="C2035">
        <v>80</v>
      </c>
      <c r="D2035">
        <v>171</v>
      </c>
      <c r="E2035" t="s">
        <v>78</v>
      </c>
      <c r="F2035" t="s">
        <v>1133</v>
      </c>
      <c r="G2035" t="s">
        <v>1134</v>
      </c>
    </row>
    <row r="2036" spans="1:7" x14ac:dyDescent="0.2">
      <c r="A2036">
        <f t="shared" si="31"/>
        <v>92053</v>
      </c>
      <c r="B2036">
        <v>92</v>
      </c>
      <c r="C2036">
        <v>53</v>
      </c>
      <c r="D2036">
        <v>145</v>
      </c>
      <c r="E2036" t="s">
        <v>51</v>
      </c>
      <c r="F2036" t="s">
        <v>1035</v>
      </c>
      <c r="G2036" t="s">
        <v>201</v>
      </c>
    </row>
    <row r="2037" spans="1:7" x14ac:dyDescent="0.2">
      <c r="A2037">
        <f t="shared" si="31"/>
        <v>92054</v>
      </c>
      <c r="B2037">
        <v>92</v>
      </c>
      <c r="C2037">
        <v>54</v>
      </c>
      <c r="D2037">
        <v>146</v>
      </c>
      <c r="E2037" t="s">
        <v>52</v>
      </c>
      <c r="F2037">
        <v>-47954.942999999999</v>
      </c>
      <c r="G2037">
        <v>24.219000000000001</v>
      </c>
    </row>
    <row r="2038" spans="1:7" x14ac:dyDescent="0.2">
      <c r="A2038">
        <f t="shared" si="31"/>
        <v>92055</v>
      </c>
      <c r="B2038">
        <v>92</v>
      </c>
      <c r="C2038">
        <v>55</v>
      </c>
      <c r="D2038">
        <v>147</v>
      </c>
      <c r="E2038" t="s">
        <v>53</v>
      </c>
      <c r="F2038">
        <v>-51920.063999999998</v>
      </c>
      <c r="G2038">
        <v>8.3829999999999991</v>
      </c>
    </row>
    <row r="2039" spans="1:7" x14ac:dyDescent="0.2">
      <c r="A2039">
        <f t="shared" si="31"/>
        <v>92056</v>
      </c>
      <c r="B2039">
        <v>92</v>
      </c>
      <c r="C2039">
        <v>56</v>
      </c>
      <c r="D2039">
        <v>148</v>
      </c>
      <c r="E2039" t="s">
        <v>54</v>
      </c>
      <c r="F2039">
        <v>-57593.735000000001</v>
      </c>
      <c r="G2039">
        <v>63.079000000000001</v>
      </c>
    </row>
    <row r="2040" spans="1:7" x14ac:dyDescent="0.2">
      <c r="A2040">
        <f t="shared" si="31"/>
        <v>92057</v>
      </c>
      <c r="B2040">
        <v>92</v>
      </c>
      <c r="C2040">
        <v>57</v>
      </c>
      <c r="D2040">
        <v>149</v>
      </c>
      <c r="E2040" t="s">
        <v>55</v>
      </c>
      <c r="F2040">
        <v>-60219.913</v>
      </c>
      <c r="G2040">
        <v>200.262</v>
      </c>
    </row>
    <row r="2041" spans="1:7" x14ac:dyDescent="0.2">
      <c r="A2041">
        <f t="shared" si="31"/>
        <v>92058</v>
      </c>
      <c r="B2041">
        <v>92</v>
      </c>
      <c r="C2041">
        <v>58</v>
      </c>
      <c r="D2041">
        <v>150</v>
      </c>
      <c r="E2041" t="s">
        <v>56</v>
      </c>
      <c r="F2041">
        <v>-64846.853999999999</v>
      </c>
      <c r="G2041">
        <v>11.696999999999999</v>
      </c>
    </row>
    <row r="2042" spans="1:7" x14ac:dyDescent="0.2">
      <c r="A2042">
        <f t="shared" si="31"/>
        <v>92059</v>
      </c>
      <c r="B2042">
        <v>92</v>
      </c>
      <c r="C2042">
        <v>59</v>
      </c>
      <c r="D2042">
        <v>151</v>
      </c>
      <c r="E2042" t="s">
        <v>57</v>
      </c>
      <c r="F2042">
        <v>-66779.63</v>
      </c>
      <c r="G2042">
        <v>11.651</v>
      </c>
    </row>
    <row r="2043" spans="1:7" x14ac:dyDescent="0.2">
      <c r="A2043">
        <f t="shared" si="31"/>
        <v>92060</v>
      </c>
      <c r="B2043">
        <v>92</v>
      </c>
      <c r="C2043">
        <v>60</v>
      </c>
      <c r="D2043">
        <v>152</v>
      </c>
      <c r="E2043" t="s">
        <v>58</v>
      </c>
      <c r="F2043">
        <v>-70149.407000000007</v>
      </c>
      <c r="G2043">
        <v>24.484999999999999</v>
      </c>
    </row>
    <row r="2044" spans="1:7" x14ac:dyDescent="0.2">
      <c r="A2044">
        <f t="shared" si="31"/>
        <v>92061</v>
      </c>
      <c r="B2044">
        <v>92</v>
      </c>
      <c r="C2044">
        <v>61</v>
      </c>
      <c r="D2044">
        <v>153</v>
      </c>
      <c r="E2044" t="s">
        <v>59</v>
      </c>
      <c r="F2044">
        <v>-70647.823999999993</v>
      </c>
      <c r="G2044">
        <v>9.0660000000000007</v>
      </c>
    </row>
    <row r="2045" spans="1:7" x14ac:dyDescent="0.2">
      <c r="A2045">
        <f t="shared" si="31"/>
        <v>92062</v>
      </c>
      <c r="B2045">
        <v>92</v>
      </c>
      <c r="C2045">
        <v>62</v>
      </c>
      <c r="D2045">
        <v>154</v>
      </c>
      <c r="E2045" t="s">
        <v>60</v>
      </c>
      <c r="F2045">
        <v>-72455.176000000007</v>
      </c>
      <c r="G2045">
        <v>1.462</v>
      </c>
    </row>
    <row r="2046" spans="1:7" x14ac:dyDescent="0.2">
      <c r="A2046">
        <f t="shared" si="31"/>
        <v>92063</v>
      </c>
      <c r="B2046">
        <v>92</v>
      </c>
      <c r="C2046">
        <v>63</v>
      </c>
      <c r="D2046">
        <v>155</v>
      </c>
      <c r="E2046" t="s">
        <v>61</v>
      </c>
      <c r="F2046">
        <v>-71818.092000000004</v>
      </c>
      <c r="G2046">
        <v>1.401</v>
      </c>
    </row>
    <row r="2047" spans="1:7" x14ac:dyDescent="0.2">
      <c r="A2047">
        <f t="shared" si="31"/>
        <v>92064</v>
      </c>
      <c r="B2047">
        <v>92</v>
      </c>
      <c r="C2047">
        <v>64</v>
      </c>
      <c r="D2047">
        <v>156</v>
      </c>
      <c r="E2047" t="s">
        <v>62</v>
      </c>
      <c r="F2047">
        <v>-72534.914000000004</v>
      </c>
      <c r="G2047">
        <v>1.19</v>
      </c>
    </row>
    <row r="2048" spans="1:7" x14ac:dyDescent="0.2">
      <c r="A2048">
        <f t="shared" si="31"/>
        <v>92065</v>
      </c>
      <c r="B2048">
        <v>92</v>
      </c>
      <c r="C2048">
        <v>65</v>
      </c>
      <c r="D2048">
        <v>157</v>
      </c>
      <c r="E2048" t="s">
        <v>63</v>
      </c>
      <c r="F2048">
        <v>-70763.429999999993</v>
      </c>
      <c r="G2048">
        <v>1.222</v>
      </c>
    </row>
    <row r="2049" spans="1:7" x14ac:dyDescent="0.2">
      <c r="A2049">
        <f t="shared" ref="A2049:A2112" si="32">1000*B2049+C2049</f>
        <v>92066</v>
      </c>
      <c r="B2049">
        <v>92</v>
      </c>
      <c r="C2049">
        <v>66</v>
      </c>
      <c r="D2049">
        <v>158</v>
      </c>
      <c r="E2049" t="s">
        <v>64</v>
      </c>
      <c r="F2049">
        <v>-70407.349000000002</v>
      </c>
      <c r="G2049">
        <v>2.3650000000000002</v>
      </c>
    </row>
    <row r="2050" spans="1:7" x14ac:dyDescent="0.2">
      <c r="A2050">
        <f t="shared" si="32"/>
        <v>92067</v>
      </c>
      <c r="B2050">
        <v>92</v>
      </c>
      <c r="C2050">
        <v>67</v>
      </c>
      <c r="D2050">
        <v>159</v>
      </c>
      <c r="E2050" t="s">
        <v>65</v>
      </c>
      <c r="F2050">
        <v>-67329.534</v>
      </c>
      <c r="G2050">
        <v>3.0880000000000001</v>
      </c>
    </row>
    <row r="2051" spans="1:7" x14ac:dyDescent="0.2">
      <c r="A2051">
        <f t="shared" si="32"/>
        <v>92068</v>
      </c>
      <c r="B2051">
        <v>92</v>
      </c>
      <c r="C2051">
        <v>68</v>
      </c>
      <c r="D2051">
        <v>160</v>
      </c>
      <c r="E2051" t="s">
        <v>66</v>
      </c>
      <c r="F2051">
        <v>-66064.228000000003</v>
      </c>
      <c r="G2051">
        <v>24.254000000000001</v>
      </c>
    </row>
    <row r="2052" spans="1:7" x14ac:dyDescent="0.2">
      <c r="A2052">
        <f t="shared" si="32"/>
        <v>92069</v>
      </c>
      <c r="B2052">
        <v>92</v>
      </c>
      <c r="C2052">
        <v>69</v>
      </c>
      <c r="D2052">
        <v>161</v>
      </c>
      <c r="E2052" t="s">
        <v>67</v>
      </c>
      <c r="F2052">
        <v>-61898.707999999999</v>
      </c>
      <c r="G2052">
        <v>27.945</v>
      </c>
    </row>
    <row r="2053" spans="1:7" x14ac:dyDescent="0.2">
      <c r="A2053">
        <f t="shared" si="32"/>
        <v>92070</v>
      </c>
      <c r="B2053">
        <v>92</v>
      </c>
      <c r="C2053">
        <v>70</v>
      </c>
      <c r="D2053">
        <v>162</v>
      </c>
      <c r="E2053" t="s">
        <v>68</v>
      </c>
      <c r="F2053">
        <v>-59826.347000000002</v>
      </c>
      <c r="G2053">
        <v>15.359</v>
      </c>
    </row>
    <row r="2054" spans="1:7" x14ac:dyDescent="0.2">
      <c r="A2054">
        <f t="shared" si="32"/>
        <v>92071</v>
      </c>
      <c r="B2054">
        <v>92</v>
      </c>
      <c r="C2054">
        <v>71</v>
      </c>
      <c r="D2054">
        <v>163</v>
      </c>
      <c r="E2054" t="s">
        <v>69</v>
      </c>
      <c r="F2054">
        <v>-54791.409</v>
      </c>
      <c r="G2054">
        <v>27.945</v>
      </c>
    </row>
    <row r="2055" spans="1:7" x14ac:dyDescent="0.2">
      <c r="A2055">
        <f t="shared" si="32"/>
        <v>92072</v>
      </c>
      <c r="B2055">
        <v>92</v>
      </c>
      <c r="C2055">
        <v>72</v>
      </c>
      <c r="D2055">
        <v>164</v>
      </c>
      <c r="E2055" t="s">
        <v>70</v>
      </c>
      <c r="F2055">
        <v>-51818.504999999997</v>
      </c>
      <c r="G2055">
        <v>15.82</v>
      </c>
    </row>
    <row r="2056" spans="1:7" x14ac:dyDescent="0.2">
      <c r="A2056">
        <f t="shared" si="32"/>
        <v>92073</v>
      </c>
      <c r="B2056">
        <v>92</v>
      </c>
      <c r="C2056">
        <v>73</v>
      </c>
      <c r="D2056">
        <v>165</v>
      </c>
      <c r="E2056" t="s">
        <v>71</v>
      </c>
      <c r="F2056">
        <v>-45847.853000000003</v>
      </c>
      <c r="G2056">
        <v>13.863</v>
      </c>
    </row>
    <row r="2057" spans="1:7" x14ac:dyDescent="0.2">
      <c r="A2057">
        <f t="shared" si="32"/>
        <v>92074</v>
      </c>
      <c r="B2057">
        <v>92</v>
      </c>
      <c r="C2057">
        <v>74</v>
      </c>
      <c r="D2057">
        <v>166</v>
      </c>
      <c r="E2057" t="s">
        <v>72</v>
      </c>
      <c r="F2057">
        <v>-41888.031000000003</v>
      </c>
      <c r="G2057">
        <v>9.4779999999999998</v>
      </c>
    </row>
    <row r="2058" spans="1:7" x14ac:dyDescent="0.2">
      <c r="A2058">
        <f t="shared" si="32"/>
        <v>92075</v>
      </c>
      <c r="B2058">
        <v>92</v>
      </c>
      <c r="C2058">
        <v>75</v>
      </c>
      <c r="D2058">
        <v>167</v>
      </c>
      <c r="E2058" t="s">
        <v>73</v>
      </c>
      <c r="F2058" t="s">
        <v>1116</v>
      </c>
      <c r="G2058" t="s">
        <v>1117</v>
      </c>
    </row>
    <row r="2059" spans="1:7" x14ac:dyDescent="0.2">
      <c r="A2059">
        <f t="shared" si="32"/>
        <v>92076</v>
      </c>
      <c r="B2059">
        <v>92</v>
      </c>
      <c r="C2059">
        <v>76</v>
      </c>
      <c r="D2059">
        <v>168</v>
      </c>
      <c r="E2059" t="s">
        <v>74</v>
      </c>
      <c r="F2059">
        <v>-29995.213</v>
      </c>
      <c r="G2059">
        <v>9.9039999999999999</v>
      </c>
    </row>
    <row r="2060" spans="1:7" x14ac:dyDescent="0.2">
      <c r="A2060">
        <f t="shared" si="32"/>
        <v>92077</v>
      </c>
      <c r="B2060">
        <v>92</v>
      </c>
      <c r="C2060">
        <v>77</v>
      </c>
      <c r="D2060">
        <v>169</v>
      </c>
      <c r="E2060" t="s">
        <v>75</v>
      </c>
      <c r="F2060">
        <v>-22093.839</v>
      </c>
      <c r="G2060">
        <v>23.308</v>
      </c>
    </row>
    <row r="2061" spans="1:7" x14ac:dyDescent="0.2">
      <c r="A2061">
        <f t="shared" si="32"/>
        <v>92078</v>
      </c>
      <c r="B2061">
        <v>92</v>
      </c>
      <c r="C2061">
        <v>78</v>
      </c>
      <c r="D2061">
        <v>170</v>
      </c>
      <c r="E2061" t="s">
        <v>76</v>
      </c>
      <c r="F2061">
        <v>-16299.192999999999</v>
      </c>
      <c r="G2061">
        <v>18.247</v>
      </c>
    </row>
    <row r="2062" spans="1:7" x14ac:dyDescent="0.2">
      <c r="A2062">
        <f t="shared" si="32"/>
        <v>92079</v>
      </c>
      <c r="B2062">
        <v>92</v>
      </c>
      <c r="C2062">
        <v>79</v>
      </c>
      <c r="D2062">
        <v>171</v>
      </c>
      <c r="E2062" t="s">
        <v>77</v>
      </c>
      <c r="F2062">
        <v>-7562.2950000000001</v>
      </c>
      <c r="G2062">
        <v>20.713000000000001</v>
      </c>
    </row>
    <row r="2063" spans="1:7" x14ac:dyDescent="0.2">
      <c r="A2063">
        <f t="shared" si="32"/>
        <v>92080</v>
      </c>
      <c r="B2063">
        <v>92</v>
      </c>
      <c r="C2063">
        <v>80</v>
      </c>
      <c r="D2063">
        <v>172</v>
      </c>
      <c r="E2063" t="s">
        <v>78</v>
      </c>
      <c r="F2063">
        <v>-1058.7439999999999</v>
      </c>
      <c r="G2063">
        <v>150.07900000000001</v>
      </c>
    </row>
    <row r="2064" spans="1:7" x14ac:dyDescent="0.2">
      <c r="A2064">
        <f t="shared" si="32"/>
        <v>93054</v>
      </c>
      <c r="B2064">
        <v>93</v>
      </c>
      <c r="C2064">
        <v>54</v>
      </c>
      <c r="D2064">
        <v>147</v>
      </c>
      <c r="E2064" t="s">
        <v>52</v>
      </c>
      <c r="F2064" t="s">
        <v>1039</v>
      </c>
      <c r="G2064" t="s">
        <v>204</v>
      </c>
    </row>
    <row r="2065" spans="1:7" x14ac:dyDescent="0.2">
      <c r="A2065">
        <f t="shared" si="32"/>
        <v>93055</v>
      </c>
      <c r="B2065">
        <v>93</v>
      </c>
      <c r="C2065">
        <v>55</v>
      </c>
      <c r="D2065">
        <v>148</v>
      </c>
      <c r="E2065" t="s">
        <v>53</v>
      </c>
      <c r="F2065">
        <v>-46910.942000000003</v>
      </c>
      <c r="G2065">
        <v>13.041</v>
      </c>
    </row>
    <row r="2066" spans="1:7" x14ac:dyDescent="0.2">
      <c r="A2066">
        <f t="shared" si="32"/>
        <v>93056</v>
      </c>
      <c r="B2066">
        <v>93</v>
      </c>
      <c r="C2066">
        <v>56</v>
      </c>
      <c r="D2066">
        <v>149</v>
      </c>
      <c r="E2066" t="s">
        <v>54</v>
      </c>
      <c r="F2066">
        <v>-53120.309000000001</v>
      </c>
      <c r="G2066">
        <v>437.80200000000002</v>
      </c>
    </row>
    <row r="2067" spans="1:7" x14ac:dyDescent="0.2">
      <c r="A2067">
        <f t="shared" si="32"/>
        <v>93057</v>
      </c>
      <c r="B2067">
        <v>93</v>
      </c>
      <c r="C2067">
        <v>57</v>
      </c>
      <c r="D2067">
        <v>150</v>
      </c>
      <c r="E2067" t="s">
        <v>55</v>
      </c>
      <c r="F2067">
        <v>-56129.966</v>
      </c>
      <c r="G2067">
        <v>435.47300000000001</v>
      </c>
    </row>
    <row r="2068" spans="1:7" x14ac:dyDescent="0.2">
      <c r="A2068">
        <f t="shared" si="32"/>
        <v>93058</v>
      </c>
      <c r="B2068">
        <v>93</v>
      </c>
      <c r="C2068">
        <v>58</v>
      </c>
      <c r="D2068">
        <v>151</v>
      </c>
      <c r="E2068" t="s">
        <v>56</v>
      </c>
      <c r="F2068">
        <v>-61225.052000000003</v>
      </c>
      <c r="G2068">
        <v>17.698</v>
      </c>
    </row>
    <row r="2069" spans="1:7" x14ac:dyDescent="0.2">
      <c r="A2069">
        <f t="shared" si="32"/>
        <v>93059</v>
      </c>
      <c r="B2069">
        <v>93</v>
      </c>
      <c r="C2069">
        <v>59</v>
      </c>
      <c r="D2069">
        <v>152</v>
      </c>
      <c r="E2069" t="s">
        <v>57</v>
      </c>
      <c r="F2069">
        <v>-63758.063000000002</v>
      </c>
      <c r="G2069">
        <v>18.536999999999999</v>
      </c>
    </row>
    <row r="2070" spans="1:7" x14ac:dyDescent="0.2">
      <c r="A2070">
        <f t="shared" si="32"/>
        <v>93060</v>
      </c>
      <c r="B2070">
        <v>93</v>
      </c>
      <c r="C2070">
        <v>60</v>
      </c>
      <c r="D2070">
        <v>153</v>
      </c>
      <c r="E2070" t="s">
        <v>58</v>
      </c>
      <c r="F2070">
        <v>-67330.297000000006</v>
      </c>
      <c r="G2070">
        <v>2.7469999999999999</v>
      </c>
    </row>
    <row r="2071" spans="1:7" x14ac:dyDescent="0.2">
      <c r="A2071">
        <f t="shared" si="32"/>
        <v>93061</v>
      </c>
      <c r="B2071">
        <v>93</v>
      </c>
      <c r="C2071">
        <v>61</v>
      </c>
      <c r="D2071">
        <v>154</v>
      </c>
      <c r="E2071" t="s">
        <v>59</v>
      </c>
      <c r="F2071">
        <v>-68511.975999999995</v>
      </c>
      <c r="G2071">
        <v>46.326000000000001</v>
      </c>
    </row>
    <row r="2072" spans="1:7" x14ac:dyDescent="0.2">
      <c r="A2072">
        <f t="shared" si="32"/>
        <v>93062</v>
      </c>
      <c r="B2072">
        <v>93</v>
      </c>
      <c r="C2072">
        <v>62</v>
      </c>
      <c r="D2072">
        <v>155</v>
      </c>
      <c r="E2072" t="s">
        <v>60</v>
      </c>
      <c r="F2072">
        <v>-70190.819000000003</v>
      </c>
      <c r="G2072">
        <v>1.4870000000000001</v>
      </c>
    </row>
    <row r="2073" spans="1:7" x14ac:dyDescent="0.2">
      <c r="A2073">
        <f t="shared" si="32"/>
        <v>93063</v>
      </c>
      <c r="B2073">
        <v>93</v>
      </c>
      <c r="C2073">
        <v>63</v>
      </c>
      <c r="D2073">
        <v>156</v>
      </c>
      <c r="E2073" t="s">
        <v>61</v>
      </c>
      <c r="F2073">
        <v>-70082.547999999995</v>
      </c>
      <c r="G2073">
        <v>3.59</v>
      </c>
    </row>
    <row r="2074" spans="1:7" x14ac:dyDescent="0.2">
      <c r="A2074">
        <f t="shared" si="32"/>
        <v>93064</v>
      </c>
      <c r="B2074">
        <v>93</v>
      </c>
      <c r="C2074">
        <v>64</v>
      </c>
      <c r="D2074">
        <v>157</v>
      </c>
      <c r="E2074" t="s">
        <v>62</v>
      </c>
      <c r="F2074">
        <v>-70823.472999999998</v>
      </c>
      <c r="G2074">
        <v>1.1890000000000001</v>
      </c>
    </row>
    <row r="2075" spans="1:7" x14ac:dyDescent="0.2">
      <c r="A2075">
        <f t="shared" si="32"/>
        <v>93065</v>
      </c>
      <c r="B2075">
        <v>93</v>
      </c>
      <c r="C2075">
        <v>65</v>
      </c>
      <c r="D2075">
        <v>158</v>
      </c>
      <c r="E2075" t="s">
        <v>63</v>
      </c>
      <c r="F2075">
        <v>-69470.668000000005</v>
      </c>
      <c r="G2075">
        <v>1.401</v>
      </c>
    </row>
    <row r="2076" spans="1:7" x14ac:dyDescent="0.2">
      <c r="A2076">
        <f t="shared" si="32"/>
        <v>93066</v>
      </c>
      <c r="B2076">
        <v>93</v>
      </c>
      <c r="C2076">
        <v>66</v>
      </c>
      <c r="D2076">
        <v>159</v>
      </c>
      <c r="E2076" t="s">
        <v>64</v>
      </c>
      <c r="F2076">
        <v>-69167.134000000005</v>
      </c>
      <c r="G2076">
        <v>1.528</v>
      </c>
    </row>
    <row r="2077" spans="1:7" x14ac:dyDescent="0.2">
      <c r="A2077">
        <f t="shared" si="32"/>
        <v>93067</v>
      </c>
      <c r="B2077">
        <v>93</v>
      </c>
      <c r="C2077">
        <v>67</v>
      </c>
      <c r="D2077">
        <v>160</v>
      </c>
      <c r="E2077" t="s">
        <v>65</v>
      </c>
      <c r="F2077">
        <v>-66382.73</v>
      </c>
      <c r="G2077">
        <v>15.02</v>
      </c>
    </row>
    <row r="2078" spans="1:7" x14ac:dyDescent="0.2">
      <c r="A2078">
        <f t="shared" si="32"/>
        <v>93068</v>
      </c>
      <c r="B2078">
        <v>93</v>
      </c>
      <c r="C2078">
        <v>68</v>
      </c>
      <c r="D2078">
        <v>161</v>
      </c>
      <c r="E2078" t="s">
        <v>66</v>
      </c>
      <c r="F2078">
        <v>-65201.608</v>
      </c>
      <c r="G2078">
        <v>8.7799999999999994</v>
      </c>
    </row>
    <row r="2079" spans="1:7" x14ac:dyDescent="0.2">
      <c r="A2079">
        <f t="shared" si="32"/>
        <v>93069</v>
      </c>
      <c r="B2079">
        <v>93</v>
      </c>
      <c r="C2079">
        <v>69</v>
      </c>
      <c r="D2079">
        <v>162</v>
      </c>
      <c r="E2079" t="s">
        <v>67</v>
      </c>
      <c r="F2079">
        <v>-61477.790999999997</v>
      </c>
      <c r="G2079">
        <v>26.06</v>
      </c>
    </row>
    <row r="2080" spans="1:7" x14ac:dyDescent="0.2">
      <c r="A2080">
        <f t="shared" si="32"/>
        <v>93070</v>
      </c>
      <c r="B2080">
        <v>93</v>
      </c>
      <c r="C2080">
        <v>70</v>
      </c>
      <c r="D2080">
        <v>163</v>
      </c>
      <c r="E2080" t="s">
        <v>68</v>
      </c>
      <c r="F2080">
        <v>-59299.093999999997</v>
      </c>
      <c r="G2080">
        <v>15.364000000000001</v>
      </c>
    </row>
    <row r="2081" spans="1:7" x14ac:dyDescent="0.2">
      <c r="A2081">
        <f t="shared" si="32"/>
        <v>93071</v>
      </c>
      <c r="B2081">
        <v>93</v>
      </c>
      <c r="C2081">
        <v>71</v>
      </c>
      <c r="D2081">
        <v>164</v>
      </c>
      <c r="E2081" t="s">
        <v>69</v>
      </c>
      <c r="F2081">
        <v>-54642.37</v>
      </c>
      <c r="G2081">
        <v>27.945</v>
      </c>
    </row>
    <row r="2082" spans="1:7" x14ac:dyDescent="0.2">
      <c r="A2082">
        <f t="shared" si="32"/>
        <v>93072</v>
      </c>
      <c r="B2082">
        <v>93</v>
      </c>
      <c r="C2082">
        <v>72</v>
      </c>
      <c r="D2082">
        <v>165</v>
      </c>
      <c r="E2082" t="s">
        <v>70</v>
      </c>
      <c r="F2082">
        <v>-51635.506999999998</v>
      </c>
      <c r="G2082">
        <v>27.945</v>
      </c>
    </row>
    <row r="2083" spans="1:7" x14ac:dyDescent="0.2">
      <c r="A2083">
        <f t="shared" si="32"/>
        <v>93073</v>
      </c>
      <c r="B2083">
        <v>93</v>
      </c>
      <c r="C2083">
        <v>73</v>
      </c>
      <c r="D2083">
        <v>166</v>
      </c>
      <c r="E2083" t="s">
        <v>71</v>
      </c>
      <c r="F2083">
        <v>-46097.775000000001</v>
      </c>
      <c r="G2083">
        <v>27.945</v>
      </c>
    </row>
    <row r="2084" spans="1:7" x14ac:dyDescent="0.2">
      <c r="A2084">
        <f t="shared" si="32"/>
        <v>93074</v>
      </c>
      <c r="B2084">
        <v>93</v>
      </c>
      <c r="C2084">
        <v>74</v>
      </c>
      <c r="D2084">
        <v>167</v>
      </c>
      <c r="E2084" t="s">
        <v>72</v>
      </c>
      <c r="F2084">
        <v>-42098.057999999997</v>
      </c>
      <c r="G2084">
        <v>18.260999999999999</v>
      </c>
    </row>
    <row r="2085" spans="1:7" x14ac:dyDescent="0.2">
      <c r="A2085">
        <f t="shared" si="32"/>
        <v>93075</v>
      </c>
      <c r="B2085">
        <v>93</v>
      </c>
      <c r="C2085">
        <v>75</v>
      </c>
      <c r="D2085">
        <v>168</v>
      </c>
      <c r="E2085" t="s">
        <v>73</v>
      </c>
      <c r="F2085">
        <v>-35794.885000000002</v>
      </c>
      <c r="G2085">
        <v>30.821000000000002</v>
      </c>
    </row>
    <row r="2086" spans="1:7" x14ac:dyDescent="0.2">
      <c r="A2086">
        <f t="shared" si="32"/>
        <v>93076</v>
      </c>
      <c r="B2086">
        <v>93</v>
      </c>
      <c r="C2086">
        <v>76</v>
      </c>
      <c r="D2086">
        <v>169</v>
      </c>
      <c r="E2086" t="s">
        <v>74</v>
      </c>
      <c r="F2086">
        <v>-30722.690999999999</v>
      </c>
      <c r="G2086">
        <v>25.167000000000002</v>
      </c>
    </row>
    <row r="2087" spans="1:7" x14ac:dyDescent="0.2">
      <c r="A2087">
        <f t="shared" si="32"/>
        <v>93077</v>
      </c>
      <c r="B2087">
        <v>93</v>
      </c>
      <c r="C2087">
        <v>77</v>
      </c>
      <c r="D2087">
        <v>170</v>
      </c>
      <c r="E2087" t="s">
        <v>75</v>
      </c>
      <c r="F2087" t="s">
        <v>1128</v>
      </c>
      <c r="G2087" t="s">
        <v>1129</v>
      </c>
    </row>
    <row r="2088" spans="1:7" x14ac:dyDescent="0.2">
      <c r="A2088">
        <f t="shared" si="32"/>
        <v>93078</v>
      </c>
      <c r="B2088">
        <v>93</v>
      </c>
      <c r="C2088">
        <v>78</v>
      </c>
      <c r="D2088">
        <v>171</v>
      </c>
      <c r="E2088" t="s">
        <v>76</v>
      </c>
      <c r="F2088">
        <v>-17469.702000000001</v>
      </c>
      <c r="G2088">
        <v>72.747</v>
      </c>
    </row>
    <row r="2089" spans="1:7" x14ac:dyDescent="0.2">
      <c r="A2089">
        <f t="shared" si="32"/>
        <v>93079</v>
      </c>
      <c r="B2089">
        <v>93</v>
      </c>
      <c r="C2089">
        <v>79</v>
      </c>
      <c r="D2089">
        <v>172</v>
      </c>
      <c r="E2089" t="s">
        <v>77</v>
      </c>
      <c r="F2089">
        <v>-9318.0059999999994</v>
      </c>
      <c r="G2089">
        <v>56.158000000000001</v>
      </c>
    </row>
    <row r="2090" spans="1:7" x14ac:dyDescent="0.2">
      <c r="A2090">
        <f t="shared" si="32"/>
        <v>93080</v>
      </c>
      <c r="B2090">
        <v>93</v>
      </c>
      <c r="C2090">
        <v>80</v>
      </c>
      <c r="D2090">
        <v>173</v>
      </c>
      <c r="E2090" t="s">
        <v>78</v>
      </c>
      <c r="F2090" t="s">
        <v>1139</v>
      </c>
      <c r="G2090" t="s">
        <v>206</v>
      </c>
    </row>
    <row r="2091" spans="1:7" x14ac:dyDescent="0.2">
      <c r="A2091">
        <f t="shared" si="32"/>
        <v>94054</v>
      </c>
      <c r="B2091">
        <v>94</v>
      </c>
      <c r="C2091">
        <v>54</v>
      </c>
      <c r="D2091">
        <v>148</v>
      </c>
      <c r="E2091" t="s">
        <v>52</v>
      </c>
      <c r="F2091" t="s">
        <v>1040</v>
      </c>
      <c r="G2091" t="s">
        <v>235</v>
      </c>
    </row>
    <row r="2092" spans="1:7" x14ac:dyDescent="0.2">
      <c r="A2092">
        <f t="shared" si="32"/>
        <v>94055</v>
      </c>
      <c r="B2092">
        <v>94</v>
      </c>
      <c r="C2092">
        <v>55</v>
      </c>
      <c r="D2092">
        <v>149</v>
      </c>
      <c r="E2092" t="s">
        <v>53</v>
      </c>
      <c r="F2092" t="s">
        <v>1042</v>
      </c>
      <c r="G2092" t="s">
        <v>197</v>
      </c>
    </row>
    <row r="2093" spans="1:7" x14ac:dyDescent="0.2">
      <c r="A2093">
        <f t="shared" si="32"/>
        <v>94056</v>
      </c>
      <c r="B2093">
        <v>94</v>
      </c>
      <c r="C2093">
        <v>56</v>
      </c>
      <c r="D2093">
        <v>150</v>
      </c>
      <c r="E2093" t="s">
        <v>54</v>
      </c>
      <c r="F2093" t="s">
        <v>1046</v>
      </c>
      <c r="G2093" t="s">
        <v>235</v>
      </c>
    </row>
    <row r="2094" spans="1:7" x14ac:dyDescent="0.2">
      <c r="A2094">
        <f t="shared" si="32"/>
        <v>94057</v>
      </c>
      <c r="B2094">
        <v>94</v>
      </c>
      <c r="C2094">
        <v>57</v>
      </c>
      <c r="D2094">
        <v>151</v>
      </c>
      <c r="E2094" t="s">
        <v>55</v>
      </c>
      <c r="F2094">
        <v>-53310.332999999999</v>
      </c>
      <c r="G2094">
        <v>435.47300000000001</v>
      </c>
    </row>
    <row r="2095" spans="1:7" x14ac:dyDescent="0.2">
      <c r="A2095">
        <f t="shared" si="32"/>
        <v>94058</v>
      </c>
      <c r="B2095">
        <v>94</v>
      </c>
      <c r="C2095">
        <v>58</v>
      </c>
      <c r="D2095">
        <v>152</v>
      </c>
      <c r="E2095" t="s">
        <v>56</v>
      </c>
      <c r="F2095" t="s">
        <v>1055</v>
      </c>
      <c r="G2095" t="s">
        <v>204</v>
      </c>
    </row>
    <row r="2096" spans="1:7" x14ac:dyDescent="0.2">
      <c r="A2096">
        <f t="shared" si="32"/>
        <v>94059</v>
      </c>
      <c r="B2096">
        <v>94</v>
      </c>
      <c r="C2096">
        <v>59</v>
      </c>
      <c r="D2096">
        <v>153</v>
      </c>
      <c r="E2096" t="s">
        <v>57</v>
      </c>
      <c r="F2096">
        <v>-61568.463000000003</v>
      </c>
      <c r="G2096">
        <v>11.882</v>
      </c>
    </row>
    <row r="2097" spans="1:7" x14ac:dyDescent="0.2">
      <c r="A2097">
        <f t="shared" si="32"/>
        <v>94060</v>
      </c>
      <c r="B2097">
        <v>94</v>
      </c>
      <c r="C2097">
        <v>60</v>
      </c>
      <c r="D2097">
        <v>154</v>
      </c>
      <c r="E2097" t="s">
        <v>58</v>
      </c>
      <c r="F2097">
        <v>-65824.975999999995</v>
      </c>
      <c r="G2097">
        <v>52.642000000000003</v>
      </c>
    </row>
    <row r="2098" spans="1:7" x14ac:dyDescent="0.2">
      <c r="A2098">
        <f t="shared" si="32"/>
        <v>94061</v>
      </c>
      <c r="B2098">
        <v>94</v>
      </c>
      <c r="C2098">
        <v>61</v>
      </c>
      <c r="D2098">
        <v>155</v>
      </c>
      <c r="E2098" t="s">
        <v>59</v>
      </c>
      <c r="F2098">
        <v>-66939.930999999997</v>
      </c>
      <c r="G2098">
        <v>4.718</v>
      </c>
    </row>
    <row r="2099" spans="1:7" x14ac:dyDescent="0.2">
      <c r="A2099">
        <f t="shared" si="32"/>
        <v>94062</v>
      </c>
      <c r="B2099">
        <v>94</v>
      </c>
      <c r="C2099">
        <v>62</v>
      </c>
      <c r="D2099">
        <v>156</v>
      </c>
      <c r="E2099" t="s">
        <v>60</v>
      </c>
      <c r="F2099">
        <v>-69360.429999999993</v>
      </c>
      <c r="G2099">
        <v>8.5459999999999994</v>
      </c>
    </row>
    <row r="2100" spans="1:7" x14ac:dyDescent="0.2">
      <c r="A2100">
        <f t="shared" si="32"/>
        <v>94063</v>
      </c>
      <c r="B2100">
        <v>94</v>
      </c>
      <c r="C2100">
        <v>63</v>
      </c>
      <c r="D2100">
        <v>157</v>
      </c>
      <c r="E2100" t="s">
        <v>61</v>
      </c>
      <c r="F2100">
        <v>-69458.907999999996</v>
      </c>
      <c r="G2100">
        <v>4.2590000000000003</v>
      </c>
    </row>
    <row r="2101" spans="1:7" x14ac:dyDescent="0.2">
      <c r="A2101">
        <f t="shared" si="32"/>
        <v>94064</v>
      </c>
      <c r="B2101">
        <v>94</v>
      </c>
      <c r="C2101">
        <v>64</v>
      </c>
      <c r="D2101">
        <v>158</v>
      </c>
      <c r="E2101" t="s">
        <v>62</v>
      </c>
      <c r="F2101">
        <v>-70689.546000000002</v>
      </c>
      <c r="G2101">
        <v>1.1890000000000001</v>
      </c>
    </row>
    <row r="2102" spans="1:7" x14ac:dyDescent="0.2">
      <c r="A2102">
        <f t="shared" si="32"/>
        <v>94065</v>
      </c>
      <c r="B2102">
        <v>94</v>
      </c>
      <c r="C2102">
        <v>65</v>
      </c>
      <c r="D2102">
        <v>159</v>
      </c>
      <c r="E2102" t="s">
        <v>63</v>
      </c>
      <c r="F2102">
        <v>-69532.362999999998</v>
      </c>
      <c r="G2102">
        <v>1.256</v>
      </c>
    </row>
    <row r="2103" spans="1:7" x14ac:dyDescent="0.2">
      <c r="A2103">
        <f t="shared" si="32"/>
        <v>94066</v>
      </c>
      <c r="B2103">
        <v>94</v>
      </c>
      <c r="C2103">
        <v>66</v>
      </c>
      <c r="D2103">
        <v>160</v>
      </c>
      <c r="E2103" t="s">
        <v>64</v>
      </c>
      <c r="F2103">
        <v>-69672.73</v>
      </c>
      <c r="G2103">
        <v>0.77200000000000002</v>
      </c>
    </row>
    <row r="2104" spans="1:7" x14ac:dyDescent="0.2">
      <c r="A2104">
        <f t="shared" si="32"/>
        <v>94067</v>
      </c>
      <c r="B2104">
        <v>94</v>
      </c>
      <c r="C2104">
        <v>67</v>
      </c>
      <c r="D2104">
        <v>161</v>
      </c>
      <c r="E2104" t="s">
        <v>65</v>
      </c>
      <c r="F2104">
        <v>-67197.27</v>
      </c>
      <c r="G2104">
        <v>2.242</v>
      </c>
    </row>
    <row r="2105" spans="1:7" x14ac:dyDescent="0.2">
      <c r="A2105">
        <f t="shared" si="32"/>
        <v>94068</v>
      </c>
      <c r="B2105">
        <v>94</v>
      </c>
      <c r="C2105">
        <v>68</v>
      </c>
      <c r="D2105">
        <v>162</v>
      </c>
      <c r="E2105" t="s">
        <v>66</v>
      </c>
      <c r="F2105">
        <v>-66334.519</v>
      </c>
      <c r="G2105">
        <v>0.82199999999999995</v>
      </c>
    </row>
    <row r="2106" spans="1:7" x14ac:dyDescent="0.2">
      <c r="A2106">
        <f t="shared" si="32"/>
        <v>94069</v>
      </c>
      <c r="B2106">
        <v>94</v>
      </c>
      <c r="C2106">
        <v>69</v>
      </c>
      <c r="D2106">
        <v>163</v>
      </c>
      <c r="E2106" t="s">
        <v>67</v>
      </c>
      <c r="F2106">
        <v>-62728.722999999998</v>
      </c>
      <c r="G2106">
        <v>5.524</v>
      </c>
    </row>
    <row r="2107" spans="1:7" x14ac:dyDescent="0.2">
      <c r="A2107">
        <f t="shared" si="32"/>
        <v>94070</v>
      </c>
      <c r="B2107">
        <v>94</v>
      </c>
      <c r="C2107">
        <v>70</v>
      </c>
      <c r="D2107">
        <v>164</v>
      </c>
      <c r="E2107" t="s">
        <v>68</v>
      </c>
      <c r="F2107">
        <v>-61017.417999999998</v>
      </c>
      <c r="G2107">
        <v>15.369</v>
      </c>
    </row>
    <row r="2108" spans="1:7" x14ac:dyDescent="0.2">
      <c r="A2108">
        <f t="shared" si="32"/>
        <v>94071</v>
      </c>
      <c r="B2108">
        <v>94</v>
      </c>
      <c r="C2108">
        <v>71</v>
      </c>
      <c r="D2108">
        <v>165</v>
      </c>
      <c r="E2108" t="s">
        <v>69</v>
      </c>
      <c r="F2108">
        <v>-56442.241999999998</v>
      </c>
      <c r="G2108">
        <v>26.539000000000001</v>
      </c>
    </row>
    <row r="2109" spans="1:7" x14ac:dyDescent="0.2">
      <c r="A2109">
        <f t="shared" si="32"/>
        <v>94072</v>
      </c>
      <c r="B2109">
        <v>94</v>
      </c>
      <c r="C2109">
        <v>72</v>
      </c>
      <c r="D2109">
        <v>166</v>
      </c>
      <c r="E2109" t="s">
        <v>70</v>
      </c>
      <c r="F2109">
        <v>-53858.983</v>
      </c>
      <c r="G2109">
        <v>27.945</v>
      </c>
    </row>
    <row r="2110" spans="1:7" x14ac:dyDescent="0.2">
      <c r="A2110">
        <f t="shared" si="32"/>
        <v>94073</v>
      </c>
      <c r="B2110">
        <v>94</v>
      </c>
      <c r="C2110">
        <v>73</v>
      </c>
      <c r="D2110">
        <v>167</v>
      </c>
      <c r="E2110" t="s">
        <v>71</v>
      </c>
      <c r="F2110">
        <v>-48351.059000000001</v>
      </c>
      <c r="G2110">
        <v>27.945</v>
      </c>
    </row>
    <row r="2111" spans="1:7" x14ac:dyDescent="0.2">
      <c r="A2111">
        <f t="shared" si="32"/>
        <v>94074</v>
      </c>
      <c r="B2111">
        <v>94</v>
      </c>
      <c r="C2111">
        <v>74</v>
      </c>
      <c r="D2111">
        <v>168</v>
      </c>
      <c r="E2111" t="s">
        <v>72</v>
      </c>
      <c r="F2111">
        <v>-44893.108999999997</v>
      </c>
      <c r="G2111">
        <v>13.271000000000001</v>
      </c>
    </row>
    <row r="2112" spans="1:7" x14ac:dyDescent="0.2">
      <c r="A2112">
        <f t="shared" si="32"/>
        <v>94075</v>
      </c>
      <c r="B2112">
        <v>94</v>
      </c>
      <c r="C2112">
        <v>75</v>
      </c>
      <c r="D2112">
        <v>169</v>
      </c>
      <c r="E2112" t="s">
        <v>73</v>
      </c>
      <c r="F2112">
        <v>-38409.232000000004</v>
      </c>
      <c r="G2112">
        <v>11.374000000000001</v>
      </c>
    </row>
    <row r="2113" spans="1:7" x14ac:dyDescent="0.2">
      <c r="A2113">
        <f t="shared" ref="A2113:A2176" si="33">1000*B2113+C2113</f>
        <v>94076</v>
      </c>
      <c r="B2113">
        <v>94</v>
      </c>
      <c r="C2113">
        <v>76</v>
      </c>
      <c r="D2113">
        <v>170</v>
      </c>
      <c r="E2113" t="s">
        <v>74</v>
      </c>
      <c r="F2113">
        <v>-33926.247000000003</v>
      </c>
      <c r="G2113">
        <v>9.7729999999999997</v>
      </c>
    </row>
    <row r="2114" spans="1:7" x14ac:dyDescent="0.2">
      <c r="A2114">
        <f t="shared" si="33"/>
        <v>94077</v>
      </c>
      <c r="B2114">
        <v>94</v>
      </c>
      <c r="C2114">
        <v>77</v>
      </c>
      <c r="D2114">
        <v>171</v>
      </c>
      <c r="E2114" t="s">
        <v>75</v>
      </c>
      <c r="F2114">
        <v>-26412.025000000001</v>
      </c>
      <c r="G2114">
        <v>38.466000000000001</v>
      </c>
    </row>
    <row r="2115" spans="1:7" x14ac:dyDescent="0.2">
      <c r="A2115">
        <f t="shared" si="33"/>
        <v>94078</v>
      </c>
      <c r="B2115">
        <v>94</v>
      </c>
      <c r="C2115">
        <v>78</v>
      </c>
      <c r="D2115">
        <v>172</v>
      </c>
      <c r="E2115" t="s">
        <v>76</v>
      </c>
      <c r="F2115">
        <v>-21106.92</v>
      </c>
      <c r="G2115">
        <v>10.377000000000001</v>
      </c>
    </row>
    <row r="2116" spans="1:7" x14ac:dyDescent="0.2">
      <c r="A2116">
        <f t="shared" si="33"/>
        <v>94079</v>
      </c>
      <c r="B2116">
        <v>94</v>
      </c>
      <c r="C2116">
        <v>79</v>
      </c>
      <c r="D2116">
        <v>173</v>
      </c>
      <c r="E2116" t="s">
        <v>77</v>
      </c>
      <c r="F2116">
        <v>-12832.44</v>
      </c>
      <c r="G2116">
        <v>22.783999999999999</v>
      </c>
    </row>
    <row r="2117" spans="1:7" x14ac:dyDescent="0.2">
      <c r="A2117">
        <f t="shared" si="33"/>
        <v>94080</v>
      </c>
      <c r="B2117">
        <v>94</v>
      </c>
      <c r="C2117">
        <v>80</v>
      </c>
      <c r="D2117">
        <v>174</v>
      </c>
      <c r="E2117" t="s">
        <v>78</v>
      </c>
      <c r="F2117">
        <v>-6641.009</v>
      </c>
      <c r="G2117">
        <v>19.210999999999999</v>
      </c>
    </row>
    <row r="2118" spans="1:7" x14ac:dyDescent="0.2">
      <c r="A2118">
        <f t="shared" si="33"/>
        <v>95055</v>
      </c>
      <c r="B2118">
        <v>95</v>
      </c>
      <c r="C2118">
        <v>55</v>
      </c>
      <c r="D2118">
        <v>150</v>
      </c>
      <c r="E2118" t="s">
        <v>53</v>
      </c>
      <c r="F2118" t="s">
        <v>1045</v>
      </c>
      <c r="G2118" t="s">
        <v>197</v>
      </c>
    </row>
    <row r="2119" spans="1:7" x14ac:dyDescent="0.2">
      <c r="A2119">
        <f t="shared" si="33"/>
        <v>95056</v>
      </c>
      <c r="B2119">
        <v>95</v>
      </c>
      <c r="C2119">
        <v>56</v>
      </c>
      <c r="D2119">
        <v>151</v>
      </c>
      <c r="E2119" t="s">
        <v>54</v>
      </c>
      <c r="F2119" t="s">
        <v>1050</v>
      </c>
      <c r="G2119" t="s">
        <v>197</v>
      </c>
    </row>
    <row r="2120" spans="1:7" x14ac:dyDescent="0.2">
      <c r="A2120">
        <f t="shared" si="33"/>
        <v>95057</v>
      </c>
      <c r="B2120">
        <v>95</v>
      </c>
      <c r="C2120">
        <v>57</v>
      </c>
      <c r="D2120">
        <v>152</v>
      </c>
      <c r="E2120" t="s">
        <v>55</v>
      </c>
      <c r="F2120" t="s">
        <v>1054</v>
      </c>
      <c r="G2120" t="s">
        <v>235</v>
      </c>
    </row>
    <row r="2121" spans="1:7" x14ac:dyDescent="0.2">
      <c r="A2121">
        <f t="shared" si="33"/>
        <v>95058</v>
      </c>
      <c r="B2121">
        <v>95</v>
      </c>
      <c r="C2121">
        <v>58</v>
      </c>
      <c r="D2121">
        <v>153</v>
      </c>
      <c r="E2121" t="s">
        <v>56</v>
      </c>
      <c r="F2121" t="s">
        <v>1059</v>
      </c>
      <c r="G2121" t="s">
        <v>204</v>
      </c>
    </row>
    <row r="2122" spans="1:7" x14ac:dyDescent="0.2">
      <c r="A2122">
        <f t="shared" si="33"/>
        <v>95059</v>
      </c>
      <c r="B2122">
        <v>95</v>
      </c>
      <c r="C2122">
        <v>59</v>
      </c>
      <c r="D2122">
        <v>154</v>
      </c>
      <c r="E2122" t="s">
        <v>57</v>
      </c>
      <c r="F2122">
        <v>-58104.976000000002</v>
      </c>
      <c r="G2122">
        <v>113.009</v>
      </c>
    </row>
    <row r="2123" spans="1:7" x14ac:dyDescent="0.2">
      <c r="A2123">
        <f t="shared" si="33"/>
        <v>95060</v>
      </c>
      <c r="B2123">
        <v>95</v>
      </c>
      <c r="C2123">
        <v>60</v>
      </c>
      <c r="D2123">
        <v>155</v>
      </c>
      <c r="E2123" t="s">
        <v>58</v>
      </c>
      <c r="F2123">
        <v>-62283.724000000002</v>
      </c>
      <c r="G2123">
        <v>9.1530000000000005</v>
      </c>
    </row>
    <row r="2124" spans="1:7" x14ac:dyDescent="0.2">
      <c r="A2124">
        <f t="shared" si="33"/>
        <v>95061</v>
      </c>
      <c r="B2124">
        <v>95</v>
      </c>
      <c r="C2124">
        <v>61</v>
      </c>
      <c r="D2124">
        <v>156</v>
      </c>
      <c r="E2124" t="s">
        <v>59</v>
      </c>
      <c r="F2124">
        <v>-64163.644</v>
      </c>
      <c r="G2124">
        <v>3.6309999999999998</v>
      </c>
    </row>
    <row r="2125" spans="1:7" x14ac:dyDescent="0.2">
      <c r="A2125">
        <f t="shared" si="33"/>
        <v>95062</v>
      </c>
      <c r="B2125">
        <v>95</v>
      </c>
      <c r="C2125">
        <v>62</v>
      </c>
      <c r="D2125">
        <v>157</v>
      </c>
      <c r="E2125" t="s">
        <v>60</v>
      </c>
      <c r="F2125">
        <v>-66677.577000000005</v>
      </c>
      <c r="G2125">
        <v>4.4329999999999998</v>
      </c>
    </row>
    <row r="2126" spans="1:7" x14ac:dyDescent="0.2">
      <c r="A2126">
        <f t="shared" si="33"/>
        <v>95063</v>
      </c>
      <c r="B2126">
        <v>95</v>
      </c>
      <c r="C2126">
        <v>63</v>
      </c>
      <c r="D2126">
        <v>158</v>
      </c>
      <c r="E2126" t="s">
        <v>61</v>
      </c>
      <c r="F2126">
        <v>-67255.187999999995</v>
      </c>
      <c r="G2126">
        <v>10.255000000000001</v>
      </c>
    </row>
    <row r="2127" spans="1:7" x14ac:dyDescent="0.2">
      <c r="A2127">
        <f t="shared" si="33"/>
        <v>95064</v>
      </c>
      <c r="B2127">
        <v>95</v>
      </c>
      <c r="C2127">
        <v>64</v>
      </c>
      <c r="D2127">
        <v>159</v>
      </c>
      <c r="E2127" t="s">
        <v>62</v>
      </c>
      <c r="F2127">
        <v>-68561.436000000002</v>
      </c>
      <c r="G2127">
        <v>1.1919999999999999</v>
      </c>
    </row>
    <row r="2128" spans="1:7" x14ac:dyDescent="0.2">
      <c r="A2128">
        <f t="shared" si="33"/>
        <v>95065</v>
      </c>
      <c r="B2128">
        <v>95</v>
      </c>
      <c r="C2128">
        <v>65</v>
      </c>
      <c r="D2128">
        <v>160</v>
      </c>
      <c r="E2128" t="s">
        <v>63</v>
      </c>
      <c r="F2128">
        <v>-67836.256999999998</v>
      </c>
      <c r="G2128">
        <v>1.262</v>
      </c>
    </row>
    <row r="2129" spans="1:7" x14ac:dyDescent="0.2">
      <c r="A2129">
        <f t="shared" si="33"/>
        <v>95066</v>
      </c>
      <c r="B2129">
        <v>95</v>
      </c>
      <c r="C2129">
        <v>66</v>
      </c>
      <c r="D2129">
        <v>161</v>
      </c>
      <c r="E2129" t="s">
        <v>64</v>
      </c>
      <c r="F2129">
        <v>-68055.801000000007</v>
      </c>
      <c r="G2129">
        <v>0.76800000000000002</v>
      </c>
    </row>
    <row r="2130" spans="1:7" x14ac:dyDescent="0.2">
      <c r="A2130">
        <f t="shared" si="33"/>
        <v>95067</v>
      </c>
      <c r="B2130">
        <v>95</v>
      </c>
      <c r="C2130">
        <v>67</v>
      </c>
      <c r="D2130">
        <v>162</v>
      </c>
      <c r="E2130" t="s">
        <v>65</v>
      </c>
      <c r="F2130">
        <v>-66041.540999999997</v>
      </c>
      <c r="G2130">
        <v>3.1659999999999999</v>
      </c>
    </row>
    <row r="2131" spans="1:7" x14ac:dyDescent="0.2">
      <c r="A2131">
        <f t="shared" si="33"/>
        <v>95068</v>
      </c>
      <c r="B2131">
        <v>95</v>
      </c>
      <c r="C2131">
        <v>68</v>
      </c>
      <c r="D2131">
        <v>163</v>
      </c>
      <c r="E2131" t="s">
        <v>66</v>
      </c>
      <c r="F2131">
        <v>-65167.722999999998</v>
      </c>
      <c r="G2131">
        <v>4.6390000000000002</v>
      </c>
    </row>
    <row r="2132" spans="1:7" x14ac:dyDescent="0.2">
      <c r="A2132">
        <f t="shared" si="33"/>
        <v>95069</v>
      </c>
      <c r="B2132">
        <v>95</v>
      </c>
      <c r="C2132">
        <v>69</v>
      </c>
      <c r="D2132">
        <v>164</v>
      </c>
      <c r="E2132" t="s">
        <v>67</v>
      </c>
      <c r="F2132">
        <v>-61904.035000000003</v>
      </c>
      <c r="G2132">
        <v>24.393999999999998</v>
      </c>
    </row>
    <row r="2133" spans="1:7" x14ac:dyDescent="0.2">
      <c r="A2133">
        <f t="shared" si="33"/>
        <v>95070</v>
      </c>
      <c r="B2133">
        <v>95</v>
      </c>
      <c r="C2133">
        <v>70</v>
      </c>
      <c r="D2133">
        <v>165</v>
      </c>
      <c r="E2133" t="s">
        <v>68</v>
      </c>
      <c r="F2133">
        <v>-60295.381999999998</v>
      </c>
      <c r="G2133">
        <v>26.539000000000001</v>
      </c>
    </row>
    <row r="2134" spans="1:7" x14ac:dyDescent="0.2">
      <c r="A2134">
        <f t="shared" si="33"/>
        <v>95071</v>
      </c>
      <c r="B2134">
        <v>95</v>
      </c>
      <c r="C2134">
        <v>71</v>
      </c>
      <c r="D2134">
        <v>166</v>
      </c>
      <c r="E2134" t="s">
        <v>69</v>
      </c>
      <c r="F2134">
        <v>-56020.981</v>
      </c>
      <c r="G2134">
        <v>29.808</v>
      </c>
    </row>
    <row r="2135" spans="1:7" x14ac:dyDescent="0.2">
      <c r="A2135">
        <f t="shared" si="33"/>
        <v>95072</v>
      </c>
      <c r="B2135">
        <v>95</v>
      </c>
      <c r="C2135">
        <v>72</v>
      </c>
      <c r="D2135">
        <v>167</v>
      </c>
      <c r="E2135" t="s">
        <v>70</v>
      </c>
      <c r="F2135">
        <v>-53467.756000000001</v>
      </c>
      <c r="G2135">
        <v>27.945</v>
      </c>
    </row>
    <row r="2136" spans="1:7" x14ac:dyDescent="0.2">
      <c r="A2136">
        <f t="shared" si="33"/>
        <v>95073</v>
      </c>
      <c r="B2136">
        <v>95</v>
      </c>
      <c r="C2136">
        <v>73</v>
      </c>
      <c r="D2136">
        <v>168</v>
      </c>
      <c r="E2136" t="s">
        <v>71</v>
      </c>
      <c r="F2136">
        <v>-48393.908000000003</v>
      </c>
      <c r="G2136">
        <v>27.945</v>
      </c>
    </row>
    <row r="2137" spans="1:7" x14ac:dyDescent="0.2">
      <c r="A2137">
        <f t="shared" si="33"/>
        <v>95074</v>
      </c>
      <c r="B2137">
        <v>95</v>
      </c>
      <c r="C2137">
        <v>74</v>
      </c>
      <c r="D2137">
        <v>169</v>
      </c>
      <c r="E2137" t="s">
        <v>72</v>
      </c>
      <c r="F2137">
        <v>-44917.873</v>
      </c>
      <c r="G2137">
        <v>15.436</v>
      </c>
    </row>
    <row r="2138" spans="1:7" x14ac:dyDescent="0.2">
      <c r="A2138">
        <f t="shared" si="33"/>
        <v>95075</v>
      </c>
      <c r="B2138">
        <v>95</v>
      </c>
      <c r="C2138">
        <v>75</v>
      </c>
      <c r="D2138">
        <v>170</v>
      </c>
      <c r="E2138" t="s">
        <v>73</v>
      </c>
      <c r="F2138">
        <v>-38913.192999999999</v>
      </c>
      <c r="G2138">
        <v>23.109000000000002</v>
      </c>
    </row>
    <row r="2139" spans="1:7" x14ac:dyDescent="0.2">
      <c r="A2139">
        <f t="shared" si="33"/>
        <v>95076</v>
      </c>
      <c r="B2139">
        <v>95</v>
      </c>
      <c r="C2139">
        <v>76</v>
      </c>
      <c r="D2139">
        <v>171</v>
      </c>
      <c r="E2139" t="s">
        <v>74</v>
      </c>
      <c r="F2139">
        <v>-34301.942000000003</v>
      </c>
      <c r="G2139">
        <v>17.823</v>
      </c>
    </row>
    <row r="2140" spans="1:7" x14ac:dyDescent="0.2">
      <c r="A2140">
        <f t="shared" si="33"/>
        <v>95077</v>
      </c>
      <c r="B2140">
        <v>95</v>
      </c>
      <c r="C2140">
        <v>77</v>
      </c>
      <c r="D2140">
        <v>172</v>
      </c>
      <c r="E2140" t="s">
        <v>75</v>
      </c>
      <c r="F2140">
        <v>-27379.368999999999</v>
      </c>
      <c r="G2140">
        <v>32.402000000000001</v>
      </c>
    </row>
    <row r="2141" spans="1:7" x14ac:dyDescent="0.2">
      <c r="A2141">
        <f t="shared" si="33"/>
        <v>95078</v>
      </c>
      <c r="B2141">
        <v>95</v>
      </c>
      <c r="C2141">
        <v>78</v>
      </c>
      <c r="D2141">
        <v>173</v>
      </c>
      <c r="E2141" t="s">
        <v>76</v>
      </c>
      <c r="F2141">
        <v>-21942.911</v>
      </c>
      <c r="G2141">
        <v>55.976999999999997</v>
      </c>
    </row>
    <row r="2142" spans="1:7" x14ac:dyDescent="0.2">
      <c r="A2142">
        <f t="shared" si="33"/>
        <v>95079</v>
      </c>
      <c r="B2142">
        <v>95</v>
      </c>
      <c r="C2142">
        <v>79</v>
      </c>
      <c r="D2142">
        <v>174</v>
      </c>
      <c r="E2142" t="s">
        <v>77</v>
      </c>
      <c r="F2142" t="s">
        <v>1143</v>
      </c>
      <c r="G2142" t="s">
        <v>1129</v>
      </c>
    </row>
    <row r="2143" spans="1:7" x14ac:dyDescent="0.2">
      <c r="A2143">
        <f t="shared" si="33"/>
        <v>95080</v>
      </c>
      <c r="B2143">
        <v>95</v>
      </c>
      <c r="C2143">
        <v>80</v>
      </c>
      <c r="D2143">
        <v>175</v>
      </c>
      <c r="E2143" t="s">
        <v>78</v>
      </c>
      <c r="F2143">
        <v>-7972.576</v>
      </c>
      <c r="G2143">
        <v>72.896000000000001</v>
      </c>
    </row>
    <row r="2144" spans="1:7" x14ac:dyDescent="0.2">
      <c r="A2144">
        <f t="shared" si="33"/>
        <v>95081</v>
      </c>
      <c r="B2144">
        <v>95</v>
      </c>
      <c r="C2144">
        <v>81</v>
      </c>
      <c r="D2144">
        <v>176</v>
      </c>
      <c r="E2144" t="s">
        <v>79</v>
      </c>
      <c r="F2144">
        <v>581.59400000000005</v>
      </c>
      <c r="G2144">
        <v>75.085999999999999</v>
      </c>
    </row>
    <row r="2145" spans="1:7" x14ac:dyDescent="0.2">
      <c r="A2145">
        <f t="shared" si="33"/>
        <v>96055</v>
      </c>
      <c r="B2145">
        <v>96</v>
      </c>
      <c r="C2145">
        <v>55</v>
      </c>
      <c r="D2145">
        <v>151</v>
      </c>
      <c r="E2145" t="s">
        <v>53</v>
      </c>
      <c r="F2145" t="s">
        <v>1049</v>
      </c>
      <c r="G2145" t="s">
        <v>245</v>
      </c>
    </row>
    <row r="2146" spans="1:7" x14ac:dyDescent="0.2">
      <c r="A2146">
        <f t="shared" si="33"/>
        <v>96056</v>
      </c>
      <c r="B2146">
        <v>96</v>
      </c>
      <c r="C2146">
        <v>56</v>
      </c>
      <c r="D2146">
        <v>152</v>
      </c>
      <c r="E2146" t="s">
        <v>54</v>
      </c>
      <c r="F2146" t="s">
        <v>1053</v>
      </c>
      <c r="G2146" t="s">
        <v>197</v>
      </c>
    </row>
    <row r="2147" spans="1:7" x14ac:dyDescent="0.2">
      <c r="A2147">
        <f t="shared" si="33"/>
        <v>96057</v>
      </c>
      <c r="B2147">
        <v>96</v>
      </c>
      <c r="C2147">
        <v>57</v>
      </c>
      <c r="D2147">
        <v>153</v>
      </c>
      <c r="E2147" t="s">
        <v>55</v>
      </c>
      <c r="F2147" t="s">
        <v>1058</v>
      </c>
      <c r="G2147" t="s">
        <v>235</v>
      </c>
    </row>
    <row r="2148" spans="1:7" x14ac:dyDescent="0.2">
      <c r="A2148">
        <f t="shared" si="33"/>
        <v>96058</v>
      </c>
      <c r="B2148">
        <v>96</v>
      </c>
      <c r="C2148">
        <v>58</v>
      </c>
      <c r="D2148">
        <v>154</v>
      </c>
      <c r="E2148" t="s">
        <v>56</v>
      </c>
      <c r="F2148" t="s">
        <v>1063</v>
      </c>
      <c r="G2148" t="s">
        <v>204</v>
      </c>
    </row>
    <row r="2149" spans="1:7" x14ac:dyDescent="0.2">
      <c r="A2149">
        <f t="shared" si="33"/>
        <v>96059</v>
      </c>
      <c r="B2149">
        <v>96</v>
      </c>
      <c r="C2149">
        <v>59</v>
      </c>
      <c r="D2149">
        <v>155</v>
      </c>
      <c r="E2149" t="s">
        <v>57</v>
      </c>
      <c r="F2149">
        <v>-55415.267999999996</v>
      </c>
      <c r="G2149">
        <v>17.198</v>
      </c>
    </row>
    <row r="2150" spans="1:7" x14ac:dyDescent="0.2">
      <c r="A2150">
        <f t="shared" si="33"/>
        <v>96060</v>
      </c>
      <c r="B2150">
        <v>96</v>
      </c>
      <c r="C2150">
        <v>60</v>
      </c>
      <c r="D2150">
        <v>156</v>
      </c>
      <c r="E2150" t="s">
        <v>58</v>
      </c>
      <c r="F2150">
        <v>-60473.644</v>
      </c>
      <c r="G2150">
        <v>200.03299999999999</v>
      </c>
    </row>
    <row r="2151" spans="1:7" x14ac:dyDescent="0.2">
      <c r="A2151">
        <f t="shared" si="33"/>
        <v>96061</v>
      </c>
      <c r="B2151">
        <v>96</v>
      </c>
      <c r="C2151">
        <v>61</v>
      </c>
      <c r="D2151">
        <v>157</v>
      </c>
      <c r="E2151" t="s">
        <v>59</v>
      </c>
      <c r="F2151">
        <v>-62297.042999999998</v>
      </c>
      <c r="G2151">
        <v>7.0060000000000002</v>
      </c>
    </row>
    <row r="2152" spans="1:7" x14ac:dyDescent="0.2">
      <c r="A2152">
        <f t="shared" si="33"/>
        <v>96062</v>
      </c>
      <c r="B2152">
        <v>96</v>
      </c>
      <c r="C2152">
        <v>62</v>
      </c>
      <c r="D2152">
        <v>158</v>
      </c>
      <c r="E2152" t="s">
        <v>60</v>
      </c>
      <c r="F2152">
        <v>-65250.243000000002</v>
      </c>
      <c r="G2152">
        <v>4.8920000000000003</v>
      </c>
    </row>
    <row r="2153" spans="1:7" x14ac:dyDescent="0.2">
      <c r="A2153">
        <f t="shared" si="33"/>
        <v>96063</v>
      </c>
      <c r="B2153">
        <v>96</v>
      </c>
      <c r="C2153">
        <v>63</v>
      </c>
      <c r="D2153">
        <v>159</v>
      </c>
      <c r="E2153" t="s">
        <v>61</v>
      </c>
      <c r="F2153">
        <v>-66043.285000000003</v>
      </c>
      <c r="G2153">
        <v>4.3250000000000002</v>
      </c>
    </row>
    <row r="2154" spans="1:7" x14ac:dyDescent="0.2">
      <c r="A2154">
        <f t="shared" si="33"/>
        <v>96064</v>
      </c>
      <c r="B2154">
        <v>96</v>
      </c>
      <c r="C2154">
        <v>64</v>
      </c>
      <c r="D2154">
        <v>160</v>
      </c>
      <c r="E2154" t="s">
        <v>62</v>
      </c>
      <c r="F2154">
        <v>-67941.740999999995</v>
      </c>
      <c r="G2154">
        <v>1.278</v>
      </c>
    </row>
    <row r="2155" spans="1:7" x14ac:dyDescent="0.2">
      <c r="A2155">
        <f t="shared" si="33"/>
        <v>96065</v>
      </c>
      <c r="B2155">
        <v>96</v>
      </c>
      <c r="C2155">
        <v>65</v>
      </c>
      <c r="D2155">
        <v>161</v>
      </c>
      <c r="E2155" t="s">
        <v>63</v>
      </c>
      <c r="F2155">
        <v>-67461.589000000007</v>
      </c>
      <c r="G2155">
        <v>1.35</v>
      </c>
    </row>
    <row r="2156" spans="1:7" x14ac:dyDescent="0.2">
      <c r="A2156">
        <f t="shared" si="33"/>
        <v>96066</v>
      </c>
      <c r="B2156">
        <v>96</v>
      </c>
      <c r="C2156">
        <v>66</v>
      </c>
      <c r="D2156">
        <v>162</v>
      </c>
      <c r="E2156" t="s">
        <v>64</v>
      </c>
      <c r="F2156">
        <v>-68181.478000000003</v>
      </c>
      <c r="G2156">
        <v>0.76700000000000002</v>
      </c>
    </row>
    <row r="2157" spans="1:7" x14ac:dyDescent="0.2">
      <c r="A2157">
        <f t="shared" si="33"/>
        <v>96067</v>
      </c>
      <c r="B2157">
        <v>96</v>
      </c>
      <c r="C2157">
        <v>67</v>
      </c>
      <c r="D2157">
        <v>163</v>
      </c>
      <c r="E2157" t="s">
        <v>65</v>
      </c>
      <c r="F2157">
        <v>-66378.335000000006</v>
      </c>
      <c r="G2157">
        <v>0.76500000000000001</v>
      </c>
    </row>
    <row r="2158" spans="1:7" x14ac:dyDescent="0.2">
      <c r="A2158">
        <f t="shared" si="33"/>
        <v>96068</v>
      </c>
      <c r="B2158">
        <v>96</v>
      </c>
      <c r="C2158">
        <v>68</v>
      </c>
      <c r="D2158">
        <v>164</v>
      </c>
      <c r="E2158" t="s">
        <v>66</v>
      </c>
      <c r="F2158">
        <v>-65942.89</v>
      </c>
      <c r="G2158">
        <v>0.77500000000000002</v>
      </c>
    </row>
    <row r="2159" spans="1:7" x14ac:dyDescent="0.2">
      <c r="A2159">
        <f t="shared" si="33"/>
        <v>96069</v>
      </c>
      <c r="B2159">
        <v>96</v>
      </c>
      <c r="C2159">
        <v>69</v>
      </c>
      <c r="D2159">
        <v>165</v>
      </c>
      <c r="E2159" t="s">
        <v>67</v>
      </c>
      <c r="F2159">
        <v>-62929.620999999999</v>
      </c>
      <c r="G2159">
        <v>1.671</v>
      </c>
    </row>
    <row r="2160" spans="1:7" x14ac:dyDescent="0.2">
      <c r="A2160">
        <f t="shared" si="33"/>
        <v>96070</v>
      </c>
      <c r="B2160">
        <v>96</v>
      </c>
      <c r="C2160">
        <v>70</v>
      </c>
      <c r="D2160">
        <v>166</v>
      </c>
      <c r="E2160" t="s">
        <v>68</v>
      </c>
      <c r="F2160">
        <v>-61595.74</v>
      </c>
      <c r="G2160">
        <v>7.101</v>
      </c>
    </row>
    <row r="2161" spans="1:7" x14ac:dyDescent="0.2">
      <c r="A2161">
        <f t="shared" si="33"/>
        <v>96071</v>
      </c>
      <c r="B2161">
        <v>96</v>
      </c>
      <c r="C2161">
        <v>71</v>
      </c>
      <c r="D2161">
        <v>167</v>
      </c>
      <c r="E2161" t="s">
        <v>69</v>
      </c>
      <c r="F2161">
        <v>-57501.125</v>
      </c>
      <c r="G2161">
        <v>31.670999999999999</v>
      </c>
    </row>
    <row r="2162" spans="1:7" x14ac:dyDescent="0.2">
      <c r="A2162">
        <f t="shared" si="33"/>
        <v>96072</v>
      </c>
      <c r="B2162">
        <v>96</v>
      </c>
      <c r="C2162">
        <v>72</v>
      </c>
      <c r="D2162">
        <v>168</v>
      </c>
      <c r="E2162" t="s">
        <v>70</v>
      </c>
      <c r="F2162">
        <v>-55360.552000000003</v>
      </c>
      <c r="G2162">
        <v>27.945</v>
      </c>
    </row>
    <row r="2163" spans="1:7" x14ac:dyDescent="0.2">
      <c r="A2163">
        <f t="shared" si="33"/>
        <v>96073</v>
      </c>
      <c r="B2163">
        <v>96</v>
      </c>
      <c r="C2163">
        <v>73</v>
      </c>
      <c r="D2163">
        <v>169</v>
      </c>
      <c r="E2163" t="s">
        <v>71</v>
      </c>
      <c r="F2163">
        <v>-50290.43</v>
      </c>
      <c r="G2163">
        <v>27.945</v>
      </c>
    </row>
    <row r="2164" spans="1:7" x14ac:dyDescent="0.2">
      <c r="A2164">
        <f t="shared" si="33"/>
        <v>96074</v>
      </c>
      <c r="B2164">
        <v>96</v>
      </c>
      <c r="C2164">
        <v>74</v>
      </c>
      <c r="D2164">
        <v>170</v>
      </c>
      <c r="E2164" t="s">
        <v>72</v>
      </c>
      <c r="F2164">
        <v>-47290.832000000002</v>
      </c>
      <c r="G2164">
        <v>13.195</v>
      </c>
    </row>
    <row r="2165" spans="1:7" x14ac:dyDescent="0.2">
      <c r="A2165">
        <f t="shared" si="33"/>
        <v>96075</v>
      </c>
      <c r="B2165">
        <v>96</v>
      </c>
      <c r="C2165">
        <v>75</v>
      </c>
      <c r="D2165">
        <v>171</v>
      </c>
      <c r="E2165" t="s">
        <v>73</v>
      </c>
      <c r="F2165">
        <v>-41250.28</v>
      </c>
      <c r="G2165">
        <v>27.945</v>
      </c>
    </row>
    <row r="2166" spans="1:7" x14ac:dyDescent="0.2">
      <c r="A2166">
        <f t="shared" si="33"/>
        <v>96076</v>
      </c>
      <c r="B2166">
        <v>96</v>
      </c>
      <c r="C2166">
        <v>76</v>
      </c>
      <c r="D2166">
        <v>172</v>
      </c>
      <c r="E2166" t="s">
        <v>74</v>
      </c>
      <c r="F2166">
        <v>-37243.841999999997</v>
      </c>
      <c r="G2166">
        <v>12.782</v>
      </c>
    </row>
    <row r="2167" spans="1:7" x14ac:dyDescent="0.2">
      <c r="A2167">
        <f t="shared" si="33"/>
        <v>96077</v>
      </c>
      <c r="B2167">
        <v>96</v>
      </c>
      <c r="C2167">
        <v>77</v>
      </c>
      <c r="D2167">
        <v>173</v>
      </c>
      <c r="E2167" t="s">
        <v>75</v>
      </c>
      <c r="F2167">
        <v>-30268.435000000001</v>
      </c>
      <c r="G2167">
        <v>11.026</v>
      </c>
    </row>
    <row r="2168" spans="1:7" x14ac:dyDescent="0.2">
      <c r="A2168">
        <f t="shared" si="33"/>
        <v>96078</v>
      </c>
      <c r="B2168">
        <v>96</v>
      </c>
      <c r="C2168">
        <v>78</v>
      </c>
      <c r="D2168">
        <v>174</v>
      </c>
      <c r="E2168" t="s">
        <v>76</v>
      </c>
      <c r="F2168">
        <v>-25318.163</v>
      </c>
      <c r="G2168">
        <v>10.351000000000001</v>
      </c>
    </row>
    <row r="2169" spans="1:7" x14ac:dyDescent="0.2">
      <c r="A2169">
        <f t="shared" si="33"/>
        <v>96079</v>
      </c>
      <c r="B2169">
        <v>96</v>
      </c>
      <c r="C2169">
        <v>79</v>
      </c>
      <c r="D2169">
        <v>175</v>
      </c>
      <c r="E2169" t="s">
        <v>77</v>
      </c>
      <c r="F2169">
        <v>-17403.955000000002</v>
      </c>
      <c r="G2169">
        <v>38.64</v>
      </c>
    </row>
    <row r="2170" spans="1:7" x14ac:dyDescent="0.2">
      <c r="A2170">
        <f t="shared" si="33"/>
        <v>96080</v>
      </c>
      <c r="B2170">
        <v>96</v>
      </c>
      <c r="C2170">
        <v>80</v>
      </c>
      <c r="D2170">
        <v>176</v>
      </c>
      <c r="E2170" t="s">
        <v>78</v>
      </c>
      <c r="F2170">
        <v>-11784.95</v>
      </c>
      <c r="G2170">
        <v>11.119</v>
      </c>
    </row>
    <row r="2171" spans="1:7" x14ac:dyDescent="0.2">
      <c r="A2171">
        <f t="shared" si="33"/>
        <v>96081</v>
      </c>
      <c r="B2171">
        <v>96</v>
      </c>
      <c r="C2171">
        <v>81</v>
      </c>
      <c r="D2171">
        <v>177</v>
      </c>
      <c r="E2171" t="s">
        <v>79</v>
      </c>
      <c r="F2171">
        <v>-3340.5259999999998</v>
      </c>
      <c r="G2171">
        <v>21.629000000000001</v>
      </c>
    </row>
    <row r="2172" spans="1:7" x14ac:dyDescent="0.2">
      <c r="A2172">
        <f t="shared" si="33"/>
        <v>96082</v>
      </c>
      <c r="B2172">
        <v>96</v>
      </c>
      <c r="C2172">
        <v>82</v>
      </c>
      <c r="D2172">
        <v>178</v>
      </c>
      <c r="E2172" t="s">
        <v>80</v>
      </c>
      <c r="F2172">
        <v>3574.2939999999999</v>
      </c>
      <c r="G2172">
        <v>23.963000000000001</v>
      </c>
    </row>
    <row r="2173" spans="1:7" x14ac:dyDescent="0.2">
      <c r="A2173">
        <f t="shared" si="33"/>
        <v>97055</v>
      </c>
      <c r="B2173">
        <v>97</v>
      </c>
      <c r="C2173">
        <v>55</v>
      </c>
      <c r="D2173">
        <v>152</v>
      </c>
      <c r="E2173" t="s">
        <v>53</v>
      </c>
      <c r="F2173" t="s">
        <v>1052</v>
      </c>
      <c r="G2173" t="s">
        <v>245</v>
      </c>
    </row>
    <row r="2174" spans="1:7" x14ac:dyDescent="0.2">
      <c r="A2174">
        <f t="shared" si="33"/>
        <v>97056</v>
      </c>
      <c r="B2174">
        <v>97</v>
      </c>
      <c r="C2174">
        <v>56</v>
      </c>
      <c r="D2174">
        <v>153</v>
      </c>
      <c r="E2174" t="s">
        <v>54</v>
      </c>
      <c r="F2174" t="s">
        <v>1057</v>
      </c>
      <c r="G2174" t="s">
        <v>197</v>
      </c>
    </row>
    <row r="2175" spans="1:7" x14ac:dyDescent="0.2">
      <c r="A2175">
        <f t="shared" si="33"/>
        <v>97057</v>
      </c>
      <c r="B2175">
        <v>97</v>
      </c>
      <c r="C2175">
        <v>57</v>
      </c>
      <c r="D2175">
        <v>154</v>
      </c>
      <c r="E2175" t="s">
        <v>55</v>
      </c>
      <c r="F2175" t="s">
        <v>1062</v>
      </c>
      <c r="G2175" t="s">
        <v>235</v>
      </c>
    </row>
    <row r="2176" spans="1:7" x14ac:dyDescent="0.2">
      <c r="A2176">
        <f t="shared" si="33"/>
        <v>97058</v>
      </c>
      <c r="B2176">
        <v>97</v>
      </c>
      <c r="C2176">
        <v>58</v>
      </c>
      <c r="D2176">
        <v>155</v>
      </c>
      <c r="E2176" t="s">
        <v>56</v>
      </c>
      <c r="F2176" t="s">
        <v>1067</v>
      </c>
      <c r="G2176" t="s">
        <v>235</v>
      </c>
    </row>
    <row r="2177" spans="1:7" x14ac:dyDescent="0.2">
      <c r="A2177">
        <f t="shared" ref="A2177:A2240" si="34">1000*B2177+C2177</f>
        <v>97059</v>
      </c>
      <c r="B2177">
        <v>97</v>
      </c>
      <c r="C2177">
        <v>59</v>
      </c>
      <c r="D2177">
        <v>156</v>
      </c>
      <c r="E2177" t="s">
        <v>57</v>
      </c>
      <c r="F2177" t="s">
        <v>1072</v>
      </c>
      <c r="G2177" t="s">
        <v>204</v>
      </c>
    </row>
    <row r="2178" spans="1:7" x14ac:dyDescent="0.2">
      <c r="A2178">
        <f t="shared" si="34"/>
        <v>97060</v>
      </c>
      <c r="B2178">
        <v>97</v>
      </c>
      <c r="C2178">
        <v>60</v>
      </c>
      <c r="D2178">
        <v>157</v>
      </c>
      <c r="E2178" t="s">
        <v>58</v>
      </c>
      <c r="F2178">
        <v>-56461.542999999998</v>
      </c>
      <c r="G2178">
        <v>24.917999999999999</v>
      </c>
    </row>
    <row r="2179" spans="1:7" x14ac:dyDescent="0.2">
      <c r="A2179">
        <f t="shared" si="34"/>
        <v>97061</v>
      </c>
      <c r="B2179">
        <v>97</v>
      </c>
      <c r="C2179">
        <v>61</v>
      </c>
      <c r="D2179">
        <v>158</v>
      </c>
      <c r="E2179" t="s">
        <v>59</v>
      </c>
      <c r="F2179">
        <v>-59089.209000000003</v>
      </c>
      <c r="G2179">
        <v>13.452999999999999</v>
      </c>
    </row>
    <row r="2180" spans="1:7" x14ac:dyDescent="0.2">
      <c r="A2180">
        <f t="shared" si="34"/>
        <v>97062</v>
      </c>
      <c r="B2180">
        <v>97</v>
      </c>
      <c r="C2180">
        <v>62</v>
      </c>
      <c r="D2180">
        <v>159</v>
      </c>
      <c r="E2180" t="s">
        <v>60</v>
      </c>
      <c r="F2180">
        <v>-62207.775000000001</v>
      </c>
      <c r="G2180">
        <v>5.9340000000000002</v>
      </c>
    </row>
    <row r="2181" spans="1:7" x14ac:dyDescent="0.2">
      <c r="A2181">
        <f t="shared" si="34"/>
        <v>97063</v>
      </c>
      <c r="B2181">
        <v>97</v>
      </c>
      <c r="C2181">
        <v>63</v>
      </c>
      <c r="D2181">
        <v>160</v>
      </c>
      <c r="E2181" t="s">
        <v>61</v>
      </c>
      <c r="F2181">
        <v>-63480.463000000003</v>
      </c>
      <c r="G2181">
        <v>9.5009999999999994</v>
      </c>
    </row>
    <row r="2182" spans="1:7" x14ac:dyDescent="0.2">
      <c r="A2182">
        <f t="shared" si="34"/>
        <v>97064</v>
      </c>
      <c r="B2182">
        <v>97</v>
      </c>
      <c r="C2182">
        <v>64</v>
      </c>
      <c r="D2182">
        <v>161</v>
      </c>
      <c r="E2182" t="s">
        <v>62</v>
      </c>
      <c r="F2182">
        <v>-65505.824000000001</v>
      </c>
      <c r="G2182">
        <v>1.6220000000000001</v>
      </c>
    </row>
    <row r="2183" spans="1:7" x14ac:dyDescent="0.2">
      <c r="A2183">
        <f t="shared" si="34"/>
        <v>97065</v>
      </c>
      <c r="B2183">
        <v>97</v>
      </c>
      <c r="C2183">
        <v>65</v>
      </c>
      <c r="D2183">
        <v>162</v>
      </c>
      <c r="E2183" t="s">
        <v>63</v>
      </c>
      <c r="F2183">
        <v>-65675.957999999999</v>
      </c>
      <c r="G2183">
        <v>36.372</v>
      </c>
    </row>
    <row r="2184" spans="1:7" x14ac:dyDescent="0.2">
      <c r="A2184">
        <f t="shared" si="34"/>
        <v>97066</v>
      </c>
      <c r="B2184">
        <v>97</v>
      </c>
      <c r="C2184">
        <v>66</v>
      </c>
      <c r="D2184">
        <v>163</v>
      </c>
      <c r="E2184" t="s">
        <v>64</v>
      </c>
      <c r="F2184">
        <v>-66381.17</v>
      </c>
      <c r="G2184">
        <v>0.76500000000000001</v>
      </c>
    </row>
    <row r="2185" spans="1:7" x14ac:dyDescent="0.2">
      <c r="A2185">
        <f t="shared" si="34"/>
        <v>97067</v>
      </c>
      <c r="B2185">
        <v>97</v>
      </c>
      <c r="C2185">
        <v>67</v>
      </c>
      <c r="D2185">
        <v>164</v>
      </c>
      <c r="E2185" t="s">
        <v>65</v>
      </c>
      <c r="F2185">
        <v>-64981.502999999997</v>
      </c>
      <c r="G2185">
        <v>1.528</v>
      </c>
    </row>
    <row r="2186" spans="1:7" x14ac:dyDescent="0.2">
      <c r="A2186">
        <f t="shared" si="34"/>
        <v>97068</v>
      </c>
      <c r="B2186">
        <v>97</v>
      </c>
      <c r="C2186">
        <v>68</v>
      </c>
      <c r="D2186">
        <v>165</v>
      </c>
      <c r="E2186" t="s">
        <v>66</v>
      </c>
      <c r="F2186">
        <v>-64521.61</v>
      </c>
      <c r="G2186">
        <v>0.96399999999999997</v>
      </c>
    </row>
    <row r="2187" spans="1:7" x14ac:dyDescent="0.2">
      <c r="A2187">
        <f t="shared" si="34"/>
        <v>97069</v>
      </c>
      <c r="B2187">
        <v>97</v>
      </c>
      <c r="C2187">
        <v>69</v>
      </c>
      <c r="D2187">
        <v>166</v>
      </c>
      <c r="E2187" t="s">
        <v>67</v>
      </c>
      <c r="F2187">
        <v>-61888.375</v>
      </c>
      <c r="G2187">
        <v>11.606</v>
      </c>
    </row>
    <row r="2188" spans="1:7" x14ac:dyDescent="0.2">
      <c r="A2188">
        <f t="shared" si="34"/>
        <v>97070</v>
      </c>
      <c r="B2188">
        <v>97</v>
      </c>
      <c r="C2188">
        <v>70</v>
      </c>
      <c r="D2188">
        <v>167</v>
      </c>
      <c r="E2188" t="s">
        <v>68</v>
      </c>
      <c r="F2188">
        <v>-60590.576000000001</v>
      </c>
      <c r="G2188">
        <v>3.9809999999999999</v>
      </c>
    </row>
    <row r="2189" spans="1:7" x14ac:dyDescent="0.2">
      <c r="A2189">
        <f t="shared" si="34"/>
        <v>97071</v>
      </c>
      <c r="B2189">
        <v>97</v>
      </c>
      <c r="C2189">
        <v>71</v>
      </c>
      <c r="D2189">
        <v>168</v>
      </c>
      <c r="E2189" t="s">
        <v>69</v>
      </c>
      <c r="F2189">
        <v>-57067.85</v>
      </c>
      <c r="G2189">
        <v>39.265999999999998</v>
      </c>
    </row>
    <row r="2190" spans="1:7" x14ac:dyDescent="0.2">
      <c r="A2190">
        <f t="shared" si="34"/>
        <v>97072</v>
      </c>
      <c r="B2190">
        <v>97</v>
      </c>
      <c r="C2190">
        <v>72</v>
      </c>
      <c r="D2190">
        <v>169</v>
      </c>
      <c r="E2190" t="s">
        <v>70</v>
      </c>
      <c r="F2190">
        <v>-54716.889000000003</v>
      </c>
      <c r="G2190">
        <v>27.945</v>
      </c>
    </row>
    <row r="2191" spans="1:7" x14ac:dyDescent="0.2">
      <c r="A2191">
        <f t="shared" si="34"/>
        <v>97073</v>
      </c>
      <c r="B2191">
        <v>97</v>
      </c>
      <c r="C2191">
        <v>73</v>
      </c>
      <c r="D2191">
        <v>170</v>
      </c>
      <c r="E2191" t="s">
        <v>71</v>
      </c>
      <c r="F2191">
        <v>-50137.665000000001</v>
      </c>
      <c r="G2191">
        <v>27.945</v>
      </c>
    </row>
    <row r="2192" spans="1:7" x14ac:dyDescent="0.2">
      <c r="A2192">
        <f t="shared" si="34"/>
        <v>97074</v>
      </c>
      <c r="B2192">
        <v>97</v>
      </c>
      <c r="C2192">
        <v>74</v>
      </c>
      <c r="D2192">
        <v>171</v>
      </c>
      <c r="E2192" t="s">
        <v>72</v>
      </c>
      <c r="F2192">
        <v>-47086.09</v>
      </c>
      <c r="G2192">
        <v>27.945</v>
      </c>
    </row>
    <row r="2193" spans="1:7" x14ac:dyDescent="0.2">
      <c r="A2193">
        <f t="shared" si="34"/>
        <v>97075</v>
      </c>
      <c r="B2193">
        <v>97</v>
      </c>
      <c r="C2193">
        <v>75</v>
      </c>
      <c r="D2193">
        <v>172</v>
      </c>
      <c r="E2193" t="s">
        <v>73</v>
      </c>
      <c r="F2193">
        <v>-41537.106</v>
      </c>
      <c r="G2193">
        <v>38.994999999999997</v>
      </c>
    </row>
    <row r="2194" spans="1:7" x14ac:dyDescent="0.2">
      <c r="A2194">
        <f t="shared" si="34"/>
        <v>97076</v>
      </c>
      <c r="B2194">
        <v>97</v>
      </c>
      <c r="C2194">
        <v>76</v>
      </c>
      <c r="D2194">
        <v>173</v>
      </c>
      <c r="E2194" t="s">
        <v>74</v>
      </c>
      <c r="F2194">
        <v>-37438.256999999998</v>
      </c>
      <c r="G2194">
        <v>14.959</v>
      </c>
    </row>
    <row r="2195" spans="1:7" x14ac:dyDescent="0.2">
      <c r="A2195">
        <f t="shared" si="34"/>
        <v>97077</v>
      </c>
      <c r="B2195">
        <v>97</v>
      </c>
      <c r="C2195">
        <v>77</v>
      </c>
      <c r="D2195">
        <v>174</v>
      </c>
      <c r="E2195" t="s">
        <v>75</v>
      </c>
      <c r="F2195">
        <v>-30863.491999999998</v>
      </c>
      <c r="G2195">
        <v>24.321999999999999</v>
      </c>
    </row>
    <row r="2196" spans="1:7" x14ac:dyDescent="0.2">
      <c r="A2196">
        <f t="shared" si="34"/>
        <v>97078</v>
      </c>
      <c r="B2196">
        <v>97</v>
      </c>
      <c r="C2196">
        <v>78</v>
      </c>
      <c r="D2196">
        <v>175</v>
      </c>
      <c r="E2196" t="s">
        <v>76</v>
      </c>
      <c r="F2196">
        <v>-25713.466</v>
      </c>
      <c r="G2196">
        <v>18.184999999999999</v>
      </c>
    </row>
    <row r="2197" spans="1:7" x14ac:dyDescent="0.2">
      <c r="A2197">
        <f t="shared" si="34"/>
        <v>97079</v>
      </c>
      <c r="B2197">
        <v>97</v>
      </c>
      <c r="C2197">
        <v>79</v>
      </c>
      <c r="D2197">
        <v>176</v>
      </c>
      <c r="E2197" t="s">
        <v>77</v>
      </c>
      <c r="F2197">
        <v>-18520.963</v>
      </c>
      <c r="G2197">
        <v>33.185000000000002</v>
      </c>
    </row>
    <row r="2198" spans="1:7" x14ac:dyDescent="0.2">
      <c r="A2198">
        <f t="shared" si="34"/>
        <v>97080</v>
      </c>
      <c r="B2198">
        <v>97</v>
      </c>
      <c r="C2198">
        <v>80</v>
      </c>
      <c r="D2198">
        <v>177</v>
      </c>
      <c r="E2198" t="s">
        <v>78</v>
      </c>
      <c r="F2198">
        <v>-12782.541999999999</v>
      </c>
      <c r="G2198">
        <v>75.055999999999997</v>
      </c>
    </row>
    <row r="2199" spans="1:7" x14ac:dyDescent="0.2">
      <c r="A2199">
        <f t="shared" si="34"/>
        <v>97081</v>
      </c>
      <c r="B2199">
        <v>97</v>
      </c>
      <c r="C2199">
        <v>81</v>
      </c>
      <c r="D2199">
        <v>178</v>
      </c>
      <c r="E2199" t="s">
        <v>79</v>
      </c>
      <c r="F2199" t="s">
        <v>1151</v>
      </c>
      <c r="G2199" t="s">
        <v>1129</v>
      </c>
    </row>
    <row r="2200" spans="1:7" x14ac:dyDescent="0.2">
      <c r="A2200">
        <f t="shared" si="34"/>
        <v>97082</v>
      </c>
      <c r="B2200">
        <v>97</v>
      </c>
      <c r="C2200">
        <v>82</v>
      </c>
      <c r="D2200">
        <v>179</v>
      </c>
      <c r="E2200" t="s">
        <v>80</v>
      </c>
      <c r="F2200">
        <v>2050.6390000000001</v>
      </c>
      <c r="G2200">
        <v>75.59</v>
      </c>
    </row>
    <row r="2201" spans="1:7" x14ac:dyDescent="0.2">
      <c r="A2201">
        <f t="shared" si="34"/>
        <v>98056</v>
      </c>
      <c r="B2201">
        <v>98</v>
      </c>
      <c r="C2201">
        <v>56</v>
      </c>
      <c r="D2201">
        <v>154</v>
      </c>
      <c r="E2201" t="s">
        <v>54</v>
      </c>
      <c r="F2201" t="s">
        <v>792</v>
      </c>
      <c r="G2201" t="s">
        <v>245</v>
      </c>
    </row>
    <row r="2202" spans="1:7" x14ac:dyDescent="0.2">
      <c r="A2202">
        <f t="shared" si="34"/>
        <v>98057</v>
      </c>
      <c r="B2202">
        <v>98</v>
      </c>
      <c r="C2202">
        <v>57</v>
      </c>
      <c r="D2202">
        <v>155</v>
      </c>
      <c r="E2202" t="s">
        <v>55</v>
      </c>
      <c r="F2202" t="s">
        <v>1066</v>
      </c>
      <c r="G2202" t="s">
        <v>197</v>
      </c>
    </row>
    <row r="2203" spans="1:7" x14ac:dyDescent="0.2">
      <c r="A2203">
        <f t="shared" si="34"/>
        <v>98058</v>
      </c>
      <c r="B2203">
        <v>98</v>
      </c>
      <c r="C2203">
        <v>58</v>
      </c>
      <c r="D2203">
        <v>156</v>
      </c>
      <c r="E2203" t="s">
        <v>56</v>
      </c>
      <c r="F2203" t="s">
        <v>1071</v>
      </c>
      <c r="G2203" t="s">
        <v>235</v>
      </c>
    </row>
    <row r="2204" spans="1:7" x14ac:dyDescent="0.2">
      <c r="A2204">
        <f t="shared" si="34"/>
        <v>98059</v>
      </c>
      <c r="B2204">
        <v>98</v>
      </c>
      <c r="C2204">
        <v>59</v>
      </c>
      <c r="D2204">
        <v>157</v>
      </c>
      <c r="E2204" t="s">
        <v>57</v>
      </c>
      <c r="F2204" t="s">
        <v>1075</v>
      </c>
      <c r="G2204" t="s">
        <v>235</v>
      </c>
    </row>
    <row r="2205" spans="1:7" x14ac:dyDescent="0.2">
      <c r="A2205">
        <f t="shared" si="34"/>
        <v>98060</v>
      </c>
      <c r="B2205">
        <v>98</v>
      </c>
      <c r="C2205">
        <v>60</v>
      </c>
      <c r="D2205">
        <v>158</v>
      </c>
      <c r="E2205" t="s">
        <v>58</v>
      </c>
      <c r="F2205" t="s">
        <v>1080</v>
      </c>
      <c r="G2205" t="s">
        <v>204</v>
      </c>
    </row>
    <row r="2206" spans="1:7" x14ac:dyDescent="0.2">
      <c r="A2206">
        <f t="shared" si="34"/>
        <v>98061</v>
      </c>
      <c r="B2206">
        <v>98</v>
      </c>
      <c r="C2206">
        <v>61</v>
      </c>
      <c r="D2206">
        <v>159</v>
      </c>
      <c r="E2206" t="s">
        <v>59</v>
      </c>
      <c r="F2206">
        <v>-56554.28</v>
      </c>
      <c r="G2206">
        <v>10.039</v>
      </c>
    </row>
    <row r="2207" spans="1:7" x14ac:dyDescent="0.2">
      <c r="A2207">
        <f t="shared" si="34"/>
        <v>98062</v>
      </c>
      <c r="B2207">
        <v>98</v>
      </c>
      <c r="C2207">
        <v>62</v>
      </c>
      <c r="D2207">
        <v>160</v>
      </c>
      <c r="E2207" t="s">
        <v>60</v>
      </c>
      <c r="F2207">
        <v>-60234.792999999998</v>
      </c>
      <c r="G2207">
        <v>5.9340000000000002</v>
      </c>
    </row>
    <row r="2208" spans="1:7" x14ac:dyDescent="0.2">
      <c r="A2208">
        <f t="shared" si="34"/>
        <v>98063</v>
      </c>
      <c r="B2208">
        <v>98</v>
      </c>
      <c r="C2208">
        <v>63</v>
      </c>
      <c r="D2208">
        <v>161</v>
      </c>
      <c r="E2208" t="s">
        <v>61</v>
      </c>
      <c r="F2208">
        <v>-61791.523999999998</v>
      </c>
      <c r="G2208">
        <v>10.398999999999999</v>
      </c>
    </row>
    <row r="2209" spans="1:7" x14ac:dyDescent="0.2">
      <c r="A2209">
        <f t="shared" si="34"/>
        <v>98064</v>
      </c>
      <c r="B2209">
        <v>98</v>
      </c>
      <c r="C2209">
        <v>64</v>
      </c>
      <c r="D2209">
        <v>162</v>
      </c>
      <c r="E2209" t="s">
        <v>62</v>
      </c>
      <c r="F2209">
        <v>-64280.400999999998</v>
      </c>
      <c r="G2209">
        <v>4.0090000000000003</v>
      </c>
    </row>
    <row r="2210" spans="1:7" x14ac:dyDescent="0.2">
      <c r="A2210">
        <f t="shared" si="34"/>
        <v>98065</v>
      </c>
      <c r="B2210">
        <v>98</v>
      </c>
      <c r="C2210">
        <v>65</v>
      </c>
      <c r="D2210">
        <v>163</v>
      </c>
      <c r="E2210" t="s">
        <v>63</v>
      </c>
      <c r="F2210">
        <v>-64596.071000000004</v>
      </c>
      <c r="G2210">
        <v>4.0730000000000004</v>
      </c>
    </row>
    <row r="2211" spans="1:7" x14ac:dyDescent="0.2">
      <c r="A2211">
        <f t="shared" si="34"/>
        <v>98066</v>
      </c>
      <c r="B2211">
        <v>98</v>
      </c>
      <c r="C2211">
        <v>66</v>
      </c>
      <c r="D2211">
        <v>164</v>
      </c>
      <c r="E2211" t="s">
        <v>64</v>
      </c>
      <c r="F2211">
        <v>-65967.964999999997</v>
      </c>
      <c r="G2211">
        <v>0.76700000000000002</v>
      </c>
    </row>
    <row r="2212" spans="1:7" x14ac:dyDescent="0.2">
      <c r="A2212">
        <f t="shared" si="34"/>
        <v>98067</v>
      </c>
      <c r="B2212">
        <v>98</v>
      </c>
      <c r="C2212">
        <v>67</v>
      </c>
      <c r="D2212">
        <v>165</v>
      </c>
      <c r="E2212" t="s">
        <v>65</v>
      </c>
      <c r="F2212">
        <v>-64899.006000000001</v>
      </c>
      <c r="G2212">
        <v>1.01</v>
      </c>
    </row>
    <row r="2213" spans="1:7" x14ac:dyDescent="0.2">
      <c r="A2213">
        <f t="shared" si="34"/>
        <v>98068</v>
      </c>
      <c r="B2213">
        <v>98</v>
      </c>
      <c r="C2213">
        <v>68</v>
      </c>
      <c r="D2213">
        <v>166</v>
      </c>
      <c r="E2213" t="s">
        <v>66</v>
      </c>
      <c r="F2213">
        <v>-64926.042000000001</v>
      </c>
      <c r="G2213">
        <v>1.165</v>
      </c>
    </row>
    <row r="2214" spans="1:7" x14ac:dyDescent="0.2">
      <c r="A2214">
        <f t="shared" si="34"/>
        <v>98069</v>
      </c>
      <c r="B2214">
        <v>98</v>
      </c>
      <c r="C2214">
        <v>69</v>
      </c>
      <c r="D2214">
        <v>167</v>
      </c>
      <c r="E2214" t="s">
        <v>67</v>
      </c>
      <c r="F2214">
        <v>-62543.641000000003</v>
      </c>
      <c r="G2214">
        <v>1.298</v>
      </c>
    </row>
    <row r="2215" spans="1:7" x14ac:dyDescent="0.2">
      <c r="A2215">
        <f t="shared" si="34"/>
        <v>98070</v>
      </c>
      <c r="B2215">
        <v>98</v>
      </c>
      <c r="C2215">
        <v>70</v>
      </c>
      <c r="D2215">
        <v>168</v>
      </c>
      <c r="E2215" t="s">
        <v>68</v>
      </c>
      <c r="F2215">
        <v>-61581.900999999998</v>
      </c>
      <c r="G2215">
        <v>1.1950000000000001</v>
      </c>
    </row>
    <row r="2216" spans="1:7" x14ac:dyDescent="0.2">
      <c r="A2216">
        <f t="shared" si="34"/>
        <v>98071</v>
      </c>
      <c r="B2216">
        <v>98</v>
      </c>
      <c r="C2216">
        <v>71</v>
      </c>
      <c r="D2216">
        <v>169</v>
      </c>
      <c r="E2216" t="s">
        <v>69</v>
      </c>
      <c r="F2216">
        <v>-58084.563000000002</v>
      </c>
      <c r="G2216">
        <v>3.2330000000000001</v>
      </c>
    </row>
    <row r="2217" spans="1:7" x14ac:dyDescent="0.2">
      <c r="A2217">
        <f t="shared" si="34"/>
        <v>98072</v>
      </c>
      <c r="B2217">
        <v>98</v>
      </c>
      <c r="C2217">
        <v>72</v>
      </c>
      <c r="D2217">
        <v>170</v>
      </c>
      <c r="E2217" t="s">
        <v>70</v>
      </c>
      <c r="F2217">
        <v>-56253.853999999999</v>
      </c>
      <c r="G2217">
        <v>27.945</v>
      </c>
    </row>
    <row r="2218" spans="1:7" x14ac:dyDescent="0.2">
      <c r="A2218">
        <f t="shared" si="34"/>
        <v>98073</v>
      </c>
      <c r="B2218">
        <v>98</v>
      </c>
      <c r="C2218">
        <v>73</v>
      </c>
      <c r="D2218">
        <v>171</v>
      </c>
      <c r="E2218" t="s">
        <v>71</v>
      </c>
      <c r="F2218">
        <v>-51720.273000000001</v>
      </c>
      <c r="G2218">
        <v>27.945</v>
      </c>
    </row>
    <row r="2219" spans="1:7" x14ac:dyDescent="0.2">
      <c r="A2219">
        <f t="shared" si="34"/>
        <v>98074</v>
      </c>
      <c r="B2219">
        <v>98</v>
      </c>
      <c r="C2219">
        <v>74</v>
      </c>
      <c r="D2219">
        <v>172</v>
      </c>
      <c r="E2219" t="s">
        <v>72</v>
      </c>
      <c r="F2219">
        <v>-49097.186000000002</v>
      </c>
      <c r="G2219">
        <v>27.945</v>
      </c>
    </row>
    <row r="2220" spans="1:7" x14ac:dyDescent="0.2">
      <c r="A2220">
        <f t="shared" si="34"/>
        <v>98075</v>
      </c>
      <c r="B2220">
        <v>98</v>
      </c>
      <c r="C2220">
        <v>75</v>
      </c>
      <c r="D2220">
        <v>173</v>
      </c>
      <c r="E2220" t="s">
        <v>73</v>
      </c>
      <c r="F2220">
        <v>-43553.864999999998</v>
      </c>
      <c r="G2220">
        <v>27.945</v>
      </c>
    </row>
    <row r="2221" spans="1:7" x14ac:dyDescent="0.2">
      <c r="A2221">
        <f t="shared" si="34"/>
        <v>98076</v>
      </c>
      <c r="B2221">
        <v>98</v>
      </c>
      <c r="C2221">
        <v>76</v>
      </c>
      <c r="D2221">
        <v>174</v>
      </c>
      <c r="E2221" t="s">
        <v>74</v>
      </c>
      <c r="F2221">
        <v>-39995.415999999997</v>
      </c>
      <c r="G2221">
        <v>10.254</v>
      </c>
    </row>
    <row r="2222" spans="1:7" x14ac:dyDescent="0.2">
      <c r="A2222">
        <f t="shared" si="34"/>
        <v>98077</v>
      </c>
      <c r="B2222">
        <v>98</v>
      </c>
      <c r="C2222">
        <v>77</v>
      </c>
      <c r="D2222">
        <v>175</v>
      </c>
      <c r="E2222" t="s">
        <v>75</v>
      </c>
      <c r="F2222">
        <v>-33394.506000000001</v>
      </c>
      <c r="G2222">
        <v>12.384</v>
      </c>
    </row>
    <row r="2223" spans="1:7" x14ac:dyDescent="0.2">
      <c r="A2223">
        <f t="shared" si="34"/>
        <v>98078</v>
      </c>
      <c r="B2223">
        <v>98</v>
      </c>
      <c r="C2223">
        <v>78</v>
      </c>
      <c r="D2223">
        <v>176</v>
      </c>
      <c r="E2223" t="s">
        <v>76</v>
      </c>
      <c r="F2223">
        <v>-28933.866999999998</v>
      </c>
      <c r="G2223">
        <v>12.724</v>
      </c>
    </row>
    <row r="2224" spans="1:7" x14ac:dyDescent="0.2">
      <c r="A2224">
        <f t="shared" si="34"/>
        <v>98079</v>
      </c>
      <c r="B2224">
        <v>98</v>
      </c>
      <c r="C2224">
        <v>79</v>
      </c>
      <c r="D2224">
        <v>177</v>
      </c>
      <c r="E2224" t="s">
        <v>77</v>
      </c>
      <c r="F2224">
        <v>-21545.102999999999</v>
      </c>
      <c r="G2224">
        <v>10.496</v>
      </c>
    </row>
    <row r="2225" spans="1:7" x14ac:dyDescent="0.2">
      <c r="A2225">
        <f t="shared" si="34"/>
        <v>98080</v>
      </c>
      <c r="B2225">
        <v>98</v>
      </c>
      <c r="C2225">
        <v>80</v>
      </c>
      <c r="D2225">
        <v>178</v>
      </c>
      <c r="E2225" t="s">
        <v>78</v>
      </c>
      <c r="F2225">
        <v>-16315.901</v>
      </c>
      <c r="G2225">
        <v>10.77</v>
      </c>
    </row>
    <row r="2226" spans="1:7" x14ac:dyDescent="0.2">
      <c r="A2226">
        <f t="shared" si="34"/>
        <v>98081</v>
      </c>
      <c r="B2226">
        <v>98</v>
      </c>
      <c r="C2226">
        <v>81</v>
      </c>
      <c r="D2226">
        <v>179</v>
      </c>
      <c r="E2226" t="s">
        <v>79</v>
      </c>
      <c r="F2226">
        <v>-8268.4950000000008</v>
      </c>
      <c r="G2226">
        <v>38.792999999999999</v>
      </c>
    </row>
    <row r="2227" spans="1:7" x14ac:dyDescent="0.2">
      <c r="A2227">
        <f t="shared" si="34"/>
        <v>98082</v>
      </c>
      <c r="B2227">
        <v>98</v>
      </c>
      <c r="C2227">
        <v>82</v>
      </c>
      <c r="D2227">
        <v>180</v>
      </c>
      <c r="E2227" t="s">
        <v>80</v>
      </c>
      <c r="F2227">
        <v>-1941.38</v>
      </c>
      <c r="G2227">
        <v>12.396000000000001</v>
      </c>
    </row>
    <row r="2228" spans="1:7" x14ac:dyDescent="0.2">
      <c r="A2228">
        <f t="shared" si="34"/>
        <v>99057</v>
      </c>
      <c r="B2228">
        <v>99</v>
      </c>
      <c r="C2228">
        <v>57</v>
      </c>
      <c r="D2228">
        <v>156</v>
      </c>
      <c r="E2228" t="s">
        <v>55</v>
      </c>
      <c r="F2228" t="s">
        <v>1070</v>
      </c>
      <c r="G2228" t="s">
        <v>197</v>
      </c>
    </row>
    <row r="2229" spans="1:7" x14ac:dyDescent="0.2">
      <c r="A2229">
        <f t="shared" si="34"/>
        <v>99058</v>
      </c>
      <c r="B2229">
        <v>99</v>
      </c>
      <c r="C2229">
        <v>58</v>
      </c>
      <c r="D2229">
        <v>157</v>
      </c>
      <c r="E2229" t="s">
        <v>56</v>
      </c>
      <c r="F2229" t="s">
        <v>1074</v>
      </c>
      <c r="G2229" t="s">
        <v>197</v>
      </c>
    </row>
    <row r="2230" spans="1:7" x14ac:dyDescent="0.2">
      <c r="A2230">
        <f t="shared" si="34"/>
        <v>99059</v>
      </c>
      <c r="B2230">
        <v>99</v>
      </c>
      <c r="C2230">
        <v>59</v>
      </c>
      <c r="D2230">
        <v>158</v>
      </c>
      <c r="E2230" t="s">
        <v>57</v>
      </c>
      <c r="F2230" t="s">
        <v>1079</v>
      </c>
      <c r="G2230" t="s">
        <v>235</v>
      </c>
    </row>
    <row r="2231" spans="1:7" x14ac:dyDescent="0.2">
      <c r="A2231">
        <f t="shared" si="34"/>
        <v>99060</v>
      </c>
      <c r="B2231">
        <v>99</v>
      </c>
      <c r="C2231">
        <v>60</v>
      </c>
      <c r="D2231">
        <v>159</v>
      </c>
      <c r="E2231" t="s">
        <v>58</v>
      </c>
      <c r="F2231" t="s">
        <v>912</v>
      </c>
      <c r="G2231" t="s">
        <v>235</v>
      </c>
    </row>
    <row r="2232" spans="1:7" x14ac:dyDescent="0.2">
      <c r="A2232">
        <f t="shared" si="34"/>
        <v>99061</v>
      </c>
      <c r="B2232">
        <v>99</v>
      </c>
      <c r="C2232">
        <v>61</v>
      </c>
      <c r="D2232">
        <v>160</v>
      </c>
      <c r="E2232" t="s">
        <v>59</v>
      </c>
      <c r="F2232" t="s">
        <v>238</v>
      </c>
      <c r="G2232" t="s">
        <v>204</v>
      </c>
    </row>
    <row r="2233" spans="1:7" x14ac:dyDescent="0.2">
      <c r="A2233">
        <f t="shared" si="34"/>
        <v>99062</v>
      </c>
      <c r="B2233">
        <v>99</v>
      </c>
      <c r="C2233">
        <v>62</v>
      </c>
      <c r="D2233">
        <v>161</v>
      </c>
      <c r="E2233" t="s">
        <v>60</v>
      </c>
      <c r="F2233">
        <v>-56671.962</v>
      </c>
      <c r="G2233">
        <v>6.8170000000000002</v>
      </c>
    </row>
    <row r="2234" spans="1:7" x14ac:dyDescent="0.2">
      <c r="A2234">
        <f t="shared" si="34"/>
        <v>99063</v>
      </c>
      <c r="B2234">
        <v>99</v>
      </c>
      <c r="C2234">
        <v>63</v>
      </c>
      <c r="D2234">
        <v>162</v>
      </c>
      <c r="E2234" t="s">
        <v>61</v>
      </c>
      <c r="F2234">
        <v>-58703.400999999998</v>
      </c>
      <c r="G2234">
        <v>35.228999999999999</v>
      </c>
    </row>
    <row r="2235" spans="1:7" x14ac:dyDescent="0.2">
      <c r="A2235">
        <f t="shared" si="34"/>
        <v>99064</v>
      </c>
      <c r="B2235">
        <v>99</v>
      </c>
      <c r="C2235">
        <v>64</v>
      </c>
      <c r="D2235">
        <v>163</v>
      </c>
      <c r="E2235" t="s">
        <v>62</v>
      </c>
      <c r="F2235">
        <v>-61313.885999999999</v>
      </c>
      <c r="G2235">
        <v>8.4260000000000002</v>
      </c>
    </row>
    <row r="2236" spans="1:7" x14ac:dyDescent="0.2">
      <c r="A2236">
        <f t="shared" si="34"/>
        <v>99065</v>
      </c>
      <c r="B2236">
        <v>99</v>
      </c>
      <c r="C2236">
        <v>65</v>
      </c>
      <c r="D2236">
        <v>164</v>
      </c>
      <c r="E2236" t="s">
        <v>63</v>
      </c>
      <c r="F2236">
        <v>-62077.964999999997</v>
      </c>
      <c r="G2236">
        <v>100.003</v>
      </c>
    </row>
    <row r="2237" spans="1:7" x14ac:dyDescent="0.2">
      <c r="A2237">
        <f t="shared" si="34"/>
        <v>99066</v>
      </c>
      <c r="B2237">
        <v>99</v>
      </c>
      <c r="C2237">
        <v>66</v>
      </c>
      <c r="D2237">
        <v>165</v>
      </c>
      <c r="E2237" t="s">
        <v>64</v>
      </c>
      <c r="F2237">
        <v>-63612.606</v>
      </c>
      <c r="G2237">
        <v>0.76900000000000002</v>
      </c>
    </row>
    <row r="2238" spans="1:7" x14ac:dyDescent="0.2">
      <c r="A2238">
        <f t="shared" si="34"/>
        <v>99067</v>
      </c>
      <c r="B2238">
        <v>99</v>
      </c>
      <c r="C2238">
        <v>67</v>
      </c>
      <c r="D2238">
        <v>166</v>
      </c>
      <c r="E2238" t="s">
        <v>65</v>
      </c>
      <c r="F2238">
        <v>-63071.328999999998</v>
      </c>
      <c r="G2238">
        <v>1.01</v>
      </c>
    </row>
    <row r="2239" spans="1:7" x14ac:dyDescent="0.2">
      <c r="A2239">
        <f t="shared" si="34"/>
        <v>99068</v>
      </c>
      <c r="B2239">
        <v>99</v>
      </c>
      <c r="C2239">
        <v>68</v>
      </c>
      <c r="D2239">
        <v>167</v>
      </c>
      <c r="E2239" t="s">
        <v>66</v>
      </c>
      <c r="F2239">
        <v>-63291.18</v>
      </c>
      <c r="G2239">
        <v>1.1659999999999999</v>
      </c>
    </row>
    <row r="2240" spans="1:7" x14ac:dyDescent="0.2">
      <c r="A2240">
        <f t="shared" si="34"/>
        <v>99069</v>
      </c>
      <c r="B2240">
        <v>99</v>
      </c>
      <c r="C2240">
        <v>69</v>
      </c>
      <c r="D2240">
        <v>168</v>
      </c>
      <c r="E2240" t="s">
        <v>67</v>
      </c>
      <c r="F2240">
        <v>-61312.921000000002</v>
      </c>
      <c r="G2240">
        <v>1.7090000000000001</v>
      </c>
    </row>
    <row r="2241" spans="1:7" x14ac:dyDescent="0.2">
      <c r="A2241">
        <f t="shared" ref="A2241:A2304" si="35">1000*B2241+C2241</f>
        <v>99070</v>
      </c>
      <c r="B2241">
        <v>99</v>
      </c>
      <c r="C2241">
        <v>70</v>
      </c>
      <c r="D2241">
        <v>169</v>
      </c>
      <c r="E2241" t="s">
        <v>68</v>
      </c>
      <c r="F2241">
        <v>-60377.563000000002</v>
      </c>
      <c r="G2241">
        <v>1.2050000000000001</v>
      </c>
    </row>
    <row r="2242" spans="1:7" x14ac:dyDescent="0.2">
      <c r="A2242">
        <f t="shared" si="35"/>
        <v>99071</v>
      </c>
      <c r="B2242">
        <v>99</v>
      </c>
      <c r="C2242">
        <v>71</v>
      </c>
      <c r="D2242">
        <v>170</v>
      </c>
      <c r="E2242" t="s">
        <v>69</v>
      </c>
      <c r="F2242">
        <v>-57306.224000000002</v>
      </c>
      <c r="G2242">
        <v>16.843</v>
      </c>
    </row>
    <row r="2243" spans="1:7" x14ac:dyDescent="0.2">
      <c r="A2243">
        <f t="shared" si="35"/>
        <v>99072</v>
      </c>
      <c r="B2243">
        <v>99</v>
      </c>
      <c r="C2243">
        <v>72</v>
      </c>
      <c r="D2243">
        <v>171</v>
      </c>
      <c r="E2243" t="s">
        <v>70</v>
      </c>
      <c r="F2243">
        <v>-55431.345000000001</v>
      </c>
      <c r="G2243">
        <v>28.876000000000001</v>
      </c>
    </row>
    <row r="2244" spans="1:7" x14ac:dyDescent="0.2">
      <c r="A2244">
        <f t="shared" si="35"/>
        <v>99073</v>
      </c>
      <c r="B2244">
        <v>99</v>
      </c>
      <c r="C2244">
        <v>73</v>
      </c>
      <c r="D2244">
        <v>172</v>
      </c>
      <c r="E2244" t="s">
        <v>71</v>
      </c>
      <c r="F2244">
        <v>-51329.976999999999</v>
      </c>
      <c r="G2244">
        <v>27.945</v>
      </c>
    </row>
    <row r="2245" spans="1:7" x14ac:dyDescent="0.2">
      <c r="A2245">
        <f t="shared" si="35"/>
        <v>99074</v>
      </c>
      <c r="B2245">
        <v>99</v>
      </c>
      <c r="C2245">
        <v>74</v>
      </c>
      <c r="D2245">
        <v>173</v>
      </c>
      <c r="E2245" t="s">
        <v>72</v>
      </c>
      <c r="F2245">
        <v>-48727.383000000002</v>
      </c>
      <c r="G2245">
        <v>27.945</v>
      </c>
    </row>
    <row r="2246" spans="1:7" x14ac:dyDescent="0.2">
      <c r="A2246">
        <f t="shared" si="35"/>
        <v>99075</v>
      </c>
      <c r="B2246">
        <v>99</v>
      </c>
      <c r="C2246">
        <v>75</v>
      </c>
      <c r="D2246">
        <v>174</v>
      </c>
      <c r="E2246" t="s">
        <v>73</v>
      </c>
      <c r="F2246">
        <v>-43673.095999999998</v>
      </c>
      <c r="G2246">
        <v>27.945</v>
      </c>
    </row>
    <row r="2247" spans="1:7" x14ac:dyDescent="0.2">
      <c r="A2247">
        <f t="shared" si="35"/>
        <v>99076</v>
      </c>
      <c r="B2247">
        <v>99</v>
      </c>
      <c r="C2247">
        <v>76</v>
      </c>
      <c r="D2247">
        <v>175</v>
      </c>
      <c r="E2247" t="s">
        <v>74</v>
      </c>
      <c r="F2247">
        <v>-40105.375999999997</v>
      </c>
      <c r="G2247">
        <v>11.775</v>
      </c>
    </row>
    <row r="2248" spans="1:7" x14ac:dyDescent="0.2">
      <c r="A2248">
        <f t="shared" si="35"/>
        <v>99077</v>
      </c>
      <c r="B2248">
        <v>99</v>
      </c>
      <c r="C2248">
        <v>77</v>
      </c>
      <c r="D2248">
        <v>176</v>
      </c>
      <c r="E2248" t="s">
        <v>75</v>
      </c>
      <c r="F2248">
        <v>-33878.326000000001</v>
      </c>
      <c r="G2248">
        <v>16.75</v>
      </c>
    </row>
    <row r="2249" spans="1:7" x14ac:dyDescent="0.2">
      <c r="A2249">
        <f t="shared" si="35"/>
        <v>99078</v>
      </c>
      <c r="B2249">
        <v>99</v>
      </c>
      <c r="C2249">
        <v>78</v>
      </c>
      <c r="D2249">
        <v>177</v>
      </c>
      <c r="E2249" t="s">
        <v>76</v>
      </c>
      <c r="F2249">
        <v>-29370.444</v>
      </c>
      <c r="G2249">
        <v>14.988</v>
      </c>
    </row>
    <row r="2250" spans="1:7" x14ac:dyDescent="0.2">
      <c r="A2250">
        <f t="shared" si="35"/>
        <v>99079</v>
      </c>
      <c r="B2250">
        <v>99</v>
      </c>
      <c r="C2250">
        <v>79</v>
      </c>
      <c r="D2250">
        <v>178</v>
      </c>
      <c r="E2250" t="s">
        <v>77</v>
      </c>
      <c r="F2250">
        <v>-22303.742999999999</v>
      </c>
      <c r="G2250">
        <v>10.086</v>
      </c>
    </row>
    <row r="2251" spans="1:7" x14ac:dyDescent="0.2">
      <c r="A2251">
        <f t="shared" si="35"/>
        <v>99080</v>
      </c>
      <c r="B2251">
        <v>99</v>
      </c>
      <c r="C2251">
        <v>80</v>
      </c>
      <c r="D2251">
        <v>179</v>
      </c>
      <c r="E2251" t="s">
        <v>78</v>
      </c>
      <c r="F2251">
        <v>-16928.133999999998</v>
      </c>
      <c r="G2251">
        <v>27.266999999999999</v>
      </c>
    </row>
    <row r="2252" spans="1:7" x14ac:dyDescent="0.2">
      <c r="A2252">
        <f t="shared" si="35"/>
        <v>99081</v>
      </c>
      <c r="B2252">
        <v>99</v>
      </c>
      <c r="C2252">
        <v>81</v>
      </c>
      <c r="D2252">
        <v>180</v>
      </c>
      <c r="E2252" t="s">
        <v>79</v>
      </c>
      <c r="F2252">
        <v>-9386.6470000000008</v>
      </c>
      <c r="G2252">
        <v>60.01</v>
      </c>
    </row>
    <row r="2253" spans="1:7" x14ac:dyDescent="0.2">
      <c r="A2253">
        <f t="shared" si="35"/>
        <v>99082</v>
      </c>
      <c r="B2253">
        <v>99</v>
      </c>
      <c r="C2253">
        <v>82</v>
      </c>
      <c r="D2253">
        <v>181</v>
      </c>
      <c r="E2253" t="s">
        <v>80</v>
      </c>
      <c r="F2253">
        <v>-3117.35</v>
      </c>
      <c r="G2253">
        <v>75.411000000000001</v>
      </c>
    </row>
    <row r="2254" spans="1:7" x14ac:dyDescent="0.2">
      <c r="A2254">
        <f t="shared" si="35"/>
        <v>100058</v>
      </c>
      <c r="B2254">
        <v>100</v>
      </c>
      <c r="C2254">
        <v>58</v>
      </c>
      <c r="D2254">
        <v>158</v>
      </c>
      <c r="E2254" t="s">
        <v>56</v>
      </c>
      <c r="F2254" t="s">
        <v>1078</v>
      </c>
      <c r="G2254" t="s">
        <v>197</v>
      </c>
    </row>
    <row r="2255" spans="1:7" x14ac:dyDescent="0.2">
      <c r="A2255">
        <f t="shared" si="35"/>
        <v>100059</v>
      </c>
      <c r="B2255">
        <v>100</v>
      </c>
      <c r="C2255">
        <v>59</v>
      </c>
      <c r="D2255">
        <v>159</v>
      </c>
      <c r="E2255" t="s">
        <v>57</v>
      </c>
      <c r="F2255" t="s">
        <v>1083</v>
      </c>
      <c r="G2255" t="s">
        <v>197</v>
      </c>
    </row>
    <row r="2256" spans="1:7" x14ac:dyDescent="0.2">
      <c r="A2256">
        <f t="shared" si="35"/>
        <v>100060</v>
      </c>
      <c r="B2256">
        <v>100</v>
      </c>
      <c r="C2256">
        <v>60</v>
      </c>
      <c r="D2256">
        <v>160</v>
      </c>
      <c r="E2256" t="s">
        <v>58</v>
      </c>
      <c r="F2256" t="s">
        <v>1087</v>
      </c>
      <c r="G2256" t="s">
        <v>235</v>
      </c>
    </row>
    <row r="2257" spans="1:7" x14ac:dyDescent="0.2">
      <c r="A2257">
        <f t="shared" si="35"/>
        <v>100061</v>
      </c>
      <c r="B2257">
        <v>100</v>
      </c>
      <c r="C2257">
        <v>61</v>
      </c>
      <c r="D2257">
        <v>161</v>
      </c>
      <c r="E2257" t="s">
        <v>59</v>
      </c>
      <c r="F2257" t="s">
        <v>1090</v>
      </c>
      <c r="G2257" t="s">
        <v>202</v>
      </c>
    </row>
    <row r="2258" spans="1:7" x14ac:dyDescent="0.2">
      <c r="A2258">
        <f t="shared" si="35"/>
        <v>100062</v>
      </c>
      <c r="B2258">
        <v>100</v>
      </c>
      <c r="C2258">
        <v>62</v>
      </c>
      <c r="D2258">
        <v>162</v>
      </c>
      <c r="E2258" t="s">
        <v>60</v>
      </c>
      <c r="F2258" t="s">
        <v>1094</v>
      </c>
      <c r="G2258" t="s">
        <v>206</v>
      </c>
    </row>
    <row r="2259" spans="1:7" x14ac:dyDescent="0.2">
      <c r="A2259">
        <f t="shared" si="35"/>
        <v>100063</v>
      </c>
      <c r="B2259">
        <v>100</v>
      </c>
      <c r="C2259">
        <v>63</v>
      </c>
      <c r="D2259">
        <v>163</v>
      </c>
      <c r="E2259" t="s">
        <v>61</v>
      </c>
      <c r="F2259">
        <v>-56484.885999999999</v>
      </c>
      <c r="G2259">
        <v>65.543999999999997</v>
      </c>
    </row>
    <row r="2260" spans="1:7" x14ac:dyDescent="0.2">
      <c r="A2260">
        <f t="shared" si="35"/>
        <v>100064</v>
      </c>
      <c r="B2260">
        <v>100</v>
      </c>
      <c r="C2260">
        <v>64</v>
      </c>
      <c r="D2260">
        <v>164</v>
      </c>
      <c r="E2260" t="s">
        <v>62</v>
      </c>
      <c r="F2260" t="s">
        <v>1101</v>
      </c>
      <c r="G2260" t="s">
        <v>215</v>
      </c>
    </row>
    <row r="2261" spans="1:7" x14ac:dyDescent="0.2">
      <c r="A2261">
        <f t="shared" si="35"/>
        <v>100065</v>
      </c>
      <c r="B2261">
        <v>100</v>
      </c>
      <c r="C2261">
        <v>65</v>
      </c>
      <c r="D2261">
        <v>165</v>
      </c>
      <c r="E2261" t="s">
        <v>63</v>
      </c>
      <c r="F2261" t="s">
        <v>1107</v>
      </c>
      <c r="G2261" t="s">
        <v>215</v>
      </c>
    </row>
    <row r="2262" spans="1:7" x14ac:dyDescent="0.2">
      <c r="A2262">
        <f t="shared" si="35"/>
        <v>100066</v>
      </c>
      <c r="B2262">
        <v>100</v>
      </c>
      <c r="C2262">
        <v>66</v>
      </c>
      <c r="D2262">
        <v>166</v>
      </c>
      <c r="E2262" t="s">
        <v>64</v>
      </c>
      <c r="F2262">
        <v>-62584.788999999997</v>
      </c>
      <c r="G2262">
        <v>0.86699999999999999</v>
      </c>
    </row>
    <row r="2263" spans="1:7" x14ac:dyDescent="0.2">
      <c r="A2263">
        <f t="shared" si="35"/>
        <v>100067</v>
      </c>
      <c r="B2263">
        <v>100</v>
      </c>
      <c r="C2263">
        <v>67</v>
      </c>
      <c r="D2263">
        <v>167</v>
      </c>
      <c r="E2263" t="s">
        <v>65</v>
      </c>
      <c r="F2263">
        <v>-62280.625999999997</v>
      </c>
      <c r="G2263">
        <v>5.234</v>
      </c>
    </row>
    <row r="2264" spans="1:7" x14ac:dyDescent="0.2">
      <c r="A2264">
        <f t="shared" si="35"/>
        <v>100068</v>
      </c>
      <c r="B2264">
        <v>100</v>
      </c>
      <c r="C2264">
        <v>68</v>
      </c>
      <c r="D2264">
        <v>168</v>
      </c>
      <c r="E2264" t="s">
        <v>66</v>
      </c>
      <c r="F2264">
        <v>-62991.171000000002</v>
      </c>
      <c r="G2264">
        <v>1.1679999999999999</v>
      </c>
    </row>
    <row r="2265" spans="1:7" x14ac:dyDescent="0.2">
      <c r="A2265">
        <f t="shared" si="35"/>
        <v>100069</v>
      </c>
      <c r="B2265">
        <v>100</v>
      </c>
      <c r="C2265">
        <v>69</v>
      </c>
      <c r="D2265">
        <v>169</v>
      </c>
      <c r="E2265" t="s">
        <v>67</v>
      </c>
      <c r="F2265">
        <v>-61275.212</v>
      </c>
      <c r="G2265">
        <v>0.81200000000000006</v>
      </c>
    </row>
    <row r="2266" spans="1:7" x14ac:dyDescent="0.2">
      <c r="A2266">
        <f t="shared" si="35"/>
        <v>100070</v>
      </c>
      <c r="B2266">
        <v>100</v>
      </c>
      <c r="C2266">
        <v>70</v>
      </c>
      <c r="D2266">
        <v>170</v>
      </c>
      <c r="E2266" t="s">
        <v>68</v>
      </c>
      <c r="F2266">
        <v>-60763.919000000002</v>
      </c>
      <c r="G2266">
        <v>0.01</v>
      </c>
    </row>
    <row r="2267" spans="1:7" x14ac:dyDescent="0.2">
      <c r="A2267">
        <f t="shared" si="35"/>
        <v>100071</v>
      </c>
      <c r="B2267">
        <v>100</v>
      </c>
      <c r="C2267">
        <v>71</v>
      </c>
      <c r="D2267">
        <v>171</v>
      </c>
      <c r="E2267" t="s">
        <v>69</v>
      </c>
      <c r="F2267">
        <v>-57828.394999999997</v>
      </c>
      <c r="G2267">
        <v>1.8620000000000001</v>
      </c>
    </row>
    <row r="2268" spans="1:7" x14ac:dyDescent="0.2">
      <c r="A2268">
        <f t="shared" si="35"/>
        <v>100072</v>
      </c>
      <c r="B2268">
        <v>100</v>
      </c>
      <c r="C2268">
        <v>72</v>
      </c>
      <c r="D2268">
        <v>172</v>
      </c>
      <c r="E2268" t="s">
        <v>70</v>
      </c>
      <c r="F2268">
        <v>-56402.226000000002</v>
      </c>
      <c r="G2268">
        <v>24.428000000000001</v>
      </c>
    </row>
    <row r="2269" spans="1:7" x14ac:dyDescent="0.2">
      <c r="A2269">
        <f t="shared" si="35"/>
        <v>100073</v>
      </c>
      <c r="B2269">
        <v>100</v>
      </c>
      <c r="C2269">
        <v>73</v>
      </c>
      <c r="D2269">
        <v>173</v>
      </c>
      <c r="E2269" t="s">
        <v>71</v>
      </c>
      <c r="F2269">
        <v>-52396.538</v>
      </c>
      <c r="G2269">
        <v>27.945</v>
      </c>
    </row>
    <row r="2270" spans="1:7" x14ac:dyDescent="0.2">
      <c r="A2270">
        <f t="shared" si="35"/>
        <v>100074</v>
      </c>
      <c r="B2270">
        <v>100</v>
      </c>
      <c r="C2270">
        <v>74</v>
      </c>
      <c r="D2270">
        <v>174</v>
      </c>
      <c r="E2270" t="s">
        <v>72</v>
      </c>
      <c r="F2270">
        <v>-50227.088000000003</v>
      </c>
      <c r="G2270">
        <v>27.945</v>
      </c>
    </row>
    <row r="2271" spans="1:7" x14ac:dyDescent="0.2">
      <c r="A2271">
        <f t="shared" si="35"/>
        <v>100075</v>
      </c>
      <c r="B2271">
        <v>100</v>
      </c>
      <c r="C2271">
        <v>75</v>
      </c>
      <c r="D2271">
        <v>175</v>
      </c>
      <c r="E2271" t="s">
        <v>73</v>
      </c>
      <c r="F2271">
        <v>-45288.307000000001</v>
      </c>
      <c r="G2271">
        <v>27.945</v>
      </c>
    </row>
    <row r="2272" spans="1:7" x14ac:dyDescent="0.2">
      <c r="A2272">
        <f t="shared" si="35"/>
        <v>100076</v>
      </c>
      <c r="B2272">
        <v>100</v>
      </c>
      <c r="C2272">
        <v>76</v>
      </c>
      <c r="D2272">
        <v>176</v>
      </c>
      <c r="E2272" t="s">
        <v>74</v>
      </c>
      <c r="F2272">
        <v>-42097.94</v>
      </c>
      <c r="G2272">
        <v>27.945</v>
      </c>
    </row>
    <row r="2273" spans="1:7" x14ac:dyDescent="0.2">
      <c r="A2273">
        <f t="shared" si="35"/>
        <v>100077</v>
      </c>
      <c r="B2273">
        <v>100</v>
      </c>
      <c r="C2273">
        <v>77</v>
      </c>
      <c r="D2273">
        <v>177</v>
      </c>
      <c r="E2273" t="s">
        <v>75</v>
      </c>
      <c r="F2273">
        <v>-36047.421000000002</v>
      </c>
      <c r="G2273">
        <v>19.760000000000002</v>
      </c>
    </row>
    <row r="2274" spans="1:7" x14ac:dyDescent="0.2">
      <c r="A2274">
        <f t="shared" si="35"/>
        <v>100078</v>
      </c>
      <c r="B2274">
        <v>100</v>
      </c>
      <c r="C2274">
        <v>78</v>
      </c>
      <c r="D2274">
        <v>178</v>
      </c>
      <c r="E2274" t="s">
        <v>76</v>
      </c>
      <c r="F2274">
        <v>-31997.519</v>
      </c>
      <c r="G2274">
        <v>10.132999999999999</v>
      </c>
    </row>
    <row r="2275" spans="1:7" x14ac:dyDescent="0.2">
      <c r="A2275">
        <f t="shared" si="35"/>
        <v>100079</v>
      </c>
      <c r="B2275">
        <v>100</v>
      </c>
      <c r="C2275">
        <v>79</v>
      </c>
      <c r="D2275">
        <v>179</v>
      </c>
      <c r="E2275" t="s">
        <v>77</v>
      </c>
      <c r="F2275">
        <v>-24988.566999999999</v>
      </c>
      <c r="G2275">
        <v>11.696</v>
      </c>
    </row>
    <row r="2276" spans="1:7" x14ac:dyDescent="0.2">
      <c r="A2276">
        <f t="shared" si="35"/>
        <v>100080</v>
      </c>
      <c r="B2276">
        <v>100</v>
      </c>
      <c r="C2276">
        <v>80</v>
      </c>
      <c r="D2276">
        <v>180</v>
      </c>
      <c r="E2276" t="s">
        <v>78</v>
      </c>
      <c r="F2276">
        <v>-20250.447</v>
      </c>
      <c r="G2276">
        <v>12.648999999999999</v>
      </c>
    </row>
    <row r="2277" spans="1:7" x14ac:dyDescent="0.2">
      <c r="A2277">
        <f t="shared" si="35"/>
        <v>100081</v>
      </c>
      <c r="B2277">
        <v>100</v>
      </c>
      <c r="C2277">
        <v>81</v>
      </c>
      <c r="D2277">
        <v>181</v>
      </c>
      <c r="E2277" t="s">
        <v>79</v>
      </c>
      <c r="F2277">
        <v>-12798.735000000001</v>
      </c>
      <c r="G2277">
        <v>9.1080000000000005</v>
      </c>
    </row>
    <row r="2278" spans="1:7" x14ac:dyDescent="0.2">
      <c r="A2278">
        <f t="shared" si="35"/>
        <v>100082</v>
      </c>
      <c r="B2278">
        <v>100</v>
      </c>
      <c r="C2278">
        <v>82</v>
      </c>
      <c r="D2278">
        <v>182</v>
      </c>
      <c r="E2278" t="s">
        <v>80</v>
      </c>
      <c r="F2278">
        <v>-6825.1120000000001</v>
      </c>
      <c r="G2278">
        <v>12.098000000000001</v>
      </c>
    </row>
    <row r="2279" spans="1:7" x14ac:dyDescent="0.2">
      <c r="A2279">
        <f t="shared" si="35"/>
        <v>101059</v>
      </c>
      <c r="B2279">
        <v>101</v>
      </c>
      <c r="C2279">
        <v>59</v>
      </c>
      <c r="D2279">
        <v>160</v>
      </c>
      <c r="E2279" t="s">
        <v>57</v>
      </c>
      <c r="F2279" t="s">
        <v>1086</v>
      </c>
      <c r="G2279" t="s">
        <v>197</v>
      </c>
    </row>
    <row r="2280" spans="1:7" x14ac:dyDescent="0.2">
      <c r="A2280">
        <f t="shared" si="35"/>
        <v>101060</v>
      </c>
      <c r="B2280">
        <v>101</v>
      </c>
      <c r="C2280">
        <v>60</v>
      </c>
      <c r="D2280">
        <v>161</v>
      </c>
      <c r="E2280" t="s">
        <v>58</v>
      </c>
      <c r="F2280" t="s">
        <v>1089</v>
      </c>
      <c r="G2280" t="s">
        <v>197</v>
      </c>
    </row>
    <row r="2281" spans="1:7" x14ac:dyDescent="0.2">
      <c r="A2281">
        <f t="shared" si="35"/>
        <v>101061</v>
      </c>
      <c r="B2281">
        <v>101</v>
      </c>
      <c r="C2281">
        <v>61</v>
      </c>
      <c r="D2281">
        <v>162</v>
      </c>
      <c r="E2281" t="s">
        <v>59</v>
      </c>
      <c r="F2281" t="s">
        <v>240</v>
      </c>
      <c r="G2281" t="s">
        <v>235</v>
      </c>
    </row>
    <row r="2282" spans="1:7" x14ac:dyDescent="0.2">
      <c r="A2282">
        <f t="shared" si="35"/>
        <v>101062</v>
      </c>
      <c r="B2282">
        <v>101</v>
      </c>
      <c r="C2282">
        <v>62</v>
      </c>
      <c r="D2282">
        <v>163</v>
      </c>
      <c r="E2282" t="s">
        <v>60</v>
      </c>
      <c r="F2282" t="s">
        <v>843</v>
      </c>
      <c r="G2282" t="s">
        <v>202</v>
      </c>
    </row>
    <row r="2283" spans="1:7" x14ac:dyDescent="0.2">
      <c r="A2283">
        <f t="shared" si="35"/>
        <v>101063</v>
      </c>
      <c r="B2283">
        <v>101</v>
      </c>
      <c r="C2283">
        <v>63</v>
      </c>
      <c r="D2283">
        <v>164</v>
      </c>
      <c r="E2283" t="s">
        <v>61</v>
      </c>
      <c r="F2283" t="s">
        <v>1099</v>
      </c>
      <c r="G2283" t="s">
        <v>1100</v>
      </c>
    </row>
    <row r="2284" spans="1:7" x14ac:dyDescent="0.2">
      <c r="A2284">
        <f t="shared" si="35"/>
        <v>101064</v>
      </c>
      <c r="B2284">
        <v>101</v>
      </c>
      <c r="C2284">
        <v>64</v>
      </c>
      <c r="D2284">
        <v>165</v>
      </c>
      <c r="E2284" t="s">
        <v>62</v>
      </c>
      <c r="F2284" t="s">
        <v>1105</v>
      </c>
      <c r="G2284" t="s">
        <v>1106</v>
      </c>
    </row>
    <row r="2285" spans="1:7" x14ac:dyDescent="0.2">
      <c r="A2285">
        <f t="shared" si="35"/>
        <v>101065</v>
      </c>
      <c r="B2285">
        <v>101</v>
      </c>
      <c r="C2285">
        <v>65</v>
      </c>
      <c r="D2285">
        <v>166</v>
      </c>
      <c r="E2285" t="s">
        <v>63</v>
      </c>
      <c r="F2285">
        <v>-57884.788999999997</v>
      </c>
      <c r="G2285">
        <v>70.004999999999995</v>
      </c>
    </row>
    <row r="2286" spans="1:7" x14ac:dyDescent="0.2">
      <c r="A2286">
        <f t="shared" si="35"/>
        <v>101066</v>
      </c>
      <c r="B2286">
        <v>101</v>
      </c>
      <c r="C2286">
        <v>66</v>
      </c>
      <c r="D2286">
        <v>167</v>
      </c>
      <c r="E2286" t="s">
        <v>64</v>
      </c>
      <c r="F2286">
        <v>-59930.625999999997</v>
      </c>
      <c r="G2286">
        <v>60.228000000000002</v>
      </c>
    </row>
    <row r="2287" spans="1:7" x14ac:dyDescent="0.2">
      <c r="A2287">
        <f t="shared" si="35"/>
        <v>101067</v>
      </c>
      <c r="B2287">
        <v>101</v>
      </c>
      <c r="C2287">
        <v>67</v>
      </c>
      <c r="D2287">
        <v>168</v>
      </c>
      <c r="E2287" t="s">
        <v>65</v>
      </c>
      <c r="F2287">
        <v>-60061.171000000002</v>
      </c>
      <c r="G2287">
        <v>30.023</v>
      </c>
    </row>
    <row r="2288" spans="1:7" x14ac:dyDescent="0.2">
      <c r="A2288">
        <f t="shared" si="35"/>
        <v>101068</v>
      </c>
      <c r="B2288">
        <v>101</v>
      </c>
      <c r="C2288">
        <v>68</v>
      </c>
      <c r="D2288">
        <v>169</v>
      </c>
      <c r="E2288" t="s">
        <v>66</v>
      </c>
      <c r="F2288">
        <v>-60923.103999999999</v>
      </c>
      <c r="G2288">
        <v>1.179</v>
      </c>
    </row>
    <row r="2289" spans="1:7" x14ac:dyDescent="0.2">
      <c r="A2289">
        <f t="shared" si="35"/>
        <v>101069</v>
      </c>
      <c r="B2289">
        <v>101</v>
      </c>
      <c r="C2289">
        <v>69</v>
      </c>
      <c r="D2289">
        <v>170</v>
      </c>
      <c r="E2289" t="s">
        <v>67</v>
      </c>
      <c r="F2289">
        <v>-59795.853000000003</v>
      </c>
      <c r="G2289">
        <v>0.80100000000000005</v>
      </c>
    </row>
    <row r="2290" spans="1:7" x14ac:dyDescent="0.2">
      <c r="A2290">
        <f t="shared" si="35"/>
        <v>101070</v>
      </c>
      <c r="B2290">
        <v>101</v>
      </c>
      <c r="C2290">
        <v>70</v>
      </c>
      <c r="D2290">
        <v>171</v>
      </c>
      <c r="E2290" t="s">
        <v>68</v>
      </c>
      <c r="F2290">
        <v>-59306.81</v>
      </c>
      <c r="G2290">
        <v>1.2999999999999999E-2</v>
      </c>
    </row>
    <row r="2291" spans="1:7" x14ac:dyDescent="0.2">
      <c r="A2291">
        <f t="shared" si="35"/>
        <v>101071</v>
      </c>
      <c r="B2291">
        <v>101</v>
      </c>
      <c r="C2291">
        <v>71</v>
      </c>
      <c r="D2291">
        <v>172</v>
      </c>
      <c r="E2291" t="s">
        <v>69</v>
      </c>
      <c r="F2291">
        <v>-56735.98</v>
      </c>
      <c r="G2291">
        <v>2.3359999999999999</v>
      </c>
    </row>
    <row r="2292" spans="1:7" x14ac:dyDescent="0.2">
      <c r="A2292">
        <f t="shared" si="35"/>
        <v>101072</v>
      </c>
      <c r="B2292">
        <v>101</v>
      </c>
      <c r="C2292">
        <v>72</v>
      </c>
      <c r="D2292">
        <v>173</v>
      </c>
      <c r="E2292" t="s">
        <v>70</v>
      </c>
      <c r="F2292">
        <v>-55411.784</v>
      </c>
      <c r="G2292">
        <v>27.945</v>
      </c>
    </row>
    <row r="2293" spans="1:7" x14ac:dyDescent="0.2">
      <c r="A2293">
        <f t="shared" si="35"/>
        <v>101073</v>
      </c>
      <c r="B2293">
        <v>101</v>
      </c>
      <c r="C2293">
        <v>73</v>
      </c>
      <c r="D2293">
        <v>174</v>
      </c>
      <c r="E2293" t="s">
        <v>71</v>
      </c>
      <c r="F2293">
        <v>-51740.766000000003</v>
      </c>
      <c r="G2293">
        <v>27.945</v>
      </c>
    </row>
    <row r="2294" spans="1:7" x14ac:dyDescent="0.2">
      <c r="A2294">
        <f t="shared" si="35"/>
        <v>101074</v>
      </c>
      <c r="B2294">
        <v>101</v>
      </c>
      <c r="C2294">
        <v>74</v>
      </c>
      <c r="D2294">
        <v>175</v>
      </c>
      <c r="E2294" t="s">
        <v>72</v>
      </c>
      <c r="F2294">
        <v>-49632.794999999998</v>
      </c>
      <c r="G2294">
        <v>27.945</v>
      </c>
    </row>
    <row r="2295" spans="1:7" x14ac:dyDescent="0.2">
      <c r="A2295">
        <f t="shared" si="35"/>
        <v>101075</v>
      </c>
      <c r="B2295">
        <v>101</v>
      </c>
      <c r="C2295">
        <v>75</v>
      </c>
      <c r="D2295">
        <v>176</v>
      </c>
      <c r="E2295" t="s">
        <v>73</v>
      </c>
      <c r="F2295">
        <v>-45062.885000000002</v>
      </c>
      <c r="G2295">
        <v>27.945</v>
      </c>
    </row>
    <row r="2296" spans="1:7" x14ac:dyDescent="0.2">
      <c r="A2296">
        <f t="shared" si="35"/>
        <v>101076</v>
      </c>
      <c r="B2296">
        <v>101</v>
      </c>
      <c r="C2296">
        <v>76</v>
      </c>
      <c r="D2296">
        <v>177</v>
      </c>
      <c r="E2296" t="s">
        <v>74</v>
      </c>
      <c r="F2296">
        <v>-41956.462</v>
      </c>
      <c r="G2296">
        <v>14.613</v>
      </c>
    </row>
    <row r="2297" spans="1:7" x14ac:dyDescent="0.2">
      <c r="A2297">
        <f t="shared" si="35"/>
        <v>101077</v>
      </c>
      <c r="B2297">
        <v>101</v>
      </c>
      <c r="C2297">
        <v>77</v>
      </c>
      <c r="D2297">
        <v>178</v>
      </c>
      <c r="E2297" t="s">
        <v>75</v>
      </c>
      <c r="F2297">
        <v>-36251.883999999998</v>
      </c>
      <c r="G2297">
        <v>19.760000000000002</v>
      </c>
    </row>
    <row r="2298" spans="1:7" x14ac:dyDescent="0.2">
      <c r="A2298">
        <f t="shared" si="35"/>
        <v>101078</v>
      </c>
      <c r="B2298">
        <v>101</v>
      </c>
      <c r="C2298">
        <v>78</v>
      </c>
      <c r="D2298">
        <v>179</v>
      </c>
      <c r="E2298" t="s">
        <v>76</v>
      </c>
      <c r="F2298">
        <v>-32268.145</v>
      </c>
      <c r="G2298">
        <v>7.9770000000000003</v>
      </c>
    </row>
    <row r="2299" spans="1:7" x14ac:dyDescent="0.2">
      <c r="A2299">
        <f t="shared" si="35"/>
        <v>101079</v>
      </c>
      <c r="B2299">
        <v>101</v>
      </c>
      <c r="C2299">
        <v>79</v>
      </c>
      <c r="D2299">
        <v>180</v>
      </c>
      <c r="E2299" t="s">
        <v>77</v>
      </c>
      <c r="F2299">
        <v>-25625.508999999998</v>
      </c>
      <c r="G2299">
        <v>4.7859999999999996</v>
      </c>
    </row>
    <row r="2300" spans="1:7" x14ac:dyDescent="0.2">
      <c r="A2300">
        <f t="shared" si="35"/>
        <v>101080</v>
      </c>
      <c r="B2300">
        <v>101</v>
      </c>
      <c r="C2300">
        <v>80</v>
      </c>
      <c r="D2300">
        <v>181</v>
      </c>
      <c r="E2300" t="s">
        <v>78</v>
      </c>
      <c r="F2300">
        <v>-20661.135999999999</v>
      </c>
      <c r="G2300">
        <v>15.382</v>
      </c>
    </row>
    <row r="2301" spans="1:7" x14ac:dyDescent="0.2">
      <c r="A2301">
        <f t="shared" si="35"/>
        <v>101081</v>
      </c>
      <c r="B2301">
        <v>101</v>
      </c>
      <c r="C2301">
        <v>81</v>
      </c>
      <c r="D2301">
        <v>182</v>
      </c>
      <c r="E2301" t="s">
        <v>79</v>
      </c>
      <c r="F2301">
        <v>-13327.927</v>
      </c>
      <c r="G2301">
        <v>11.839</v>
      </c>
    </row>
    <row r="2302" spans="1:7" x14ac:dyDescent="0.2">
      <c r="A2302">
        <f t="shared" si="35"/>
        <v>101082</v>
      </c>
      <c r="B2302">
        <v>101</v>
      </c>
      <c r="C2302">
        <v>82</v>
      </c>
      <c r="D2302">
        <v>183</v>
      </c>
      <c r="E2302" t="s">
        <v>80</v>
      </c>
      <c r="F2302">
        <v>-7575.2179999999998</v>
      </c>
      <c r="G2302">
        <v>28.151</v>
      </c>
    </row>
    <row r="2303" spans="1:7" x14ac:dyDescent="0.2">
      <c r="A2303">
        <f t="shared" si="35"/>
        <v>101083</v>
      </c>
      <c r="B2303">
        <v>101</v>
      </c>
      <c r="C2303">
        <v>83</v>
      </c>
      <c r="D2303">
        <v>184</v>
      </c>
      <c r="E2303" t="s">
        <v>81</v>
      </c>
      <c r="F2303">
        <v>1063.068</v>
      </c>
      <c r="G2303">
        <v>78.11</v>
      </c>
    </row>
    <row r="2304" spans="1:7" x14ac:dyDescent="0.2">
      <c r="A2304">
        <f t="shared" si="35"/>
        <v>102060</v>
      </c>
      <c r="B2304">
        <v>102</v>
      </c>
      <c r="C2304">
        <v>60</v>
      </c>
      <c r="D2304">
        <v>162</v>
      </c>
      <c r="E2304" t="s">
        <v>58</v>
      </c>
      <c r="F2304" t="s">
        <v>1093</v>
      </c>
      <c r="G2304" t="s">
        <v>197</v>
      </c>
    </row>
    <row r="2305" spans="1:7" x14ac:dyDescent="0.2">
      <c r="A2305">
        <f t="shared" ref="A2305:A2368" si="36">1000*B2305+C2305</f>
        <v>102061</v>
      </c>
      <c r="B2305">
        <v>102</v>
      </c>
      <c r="C2305">
        <v>61</v>
      </c>
      <c r="D2305">
        <v>163</v>
      </c>
      <c r="E2305" t="s">
        <v>59</v>
      </c>
      <c r="F2305" t="s">
        <v>261</v>
      </c>
      <c r="G2305" t="s">
        <v>197</v>
      </c>
    </row>
    <row r="2306" spans="1:7" x14ac:dyDescent="0.2">
      <c r="A2306">
        <f t="shared" si="36"/>
        <v>102062</v>
      </c>
      <c r="B2306">
        <v>102</v>
      </c>
      <c r="C2306">
        <v>62</v>
      </c>
      <c r="D2306">
        <v>164</v>
      </c>
      <c r="E2306" t="s">
        <v>60</v>
      </c>
      <c r="F2306" t="s">
        <v>263</v>
      </c>
      <c r="G2306" t="s">
        <v>202</v>
      </c>
    </row>
    <row r="2307" spans="1:7" x14ac:dyDescent="0.2">
      <c r="A2307">
        <f t="shared" si="36"/>
        <v>102063</v>
      </c>
      <c r="B2307">
        <v>102</v>
      </c>
      <c r="C2307">
        <v>63</v>
      </c>
      <c r="D2307">
        <v>165</v>
      </c>
      <c r="E2307" t="s">
        <v>61</v>
      </c>
      <c r="F2307" t="s">
        <v>1103</v>
      </c>
      <c r="G2307" t="s">
        <v>1104</v>
      </c>
    </row>
    <row r="2308" spans="1:7" x14ac:dyDescent="0.2">
      <c r="A2308">
        <f t="shared" si="36"/>
        <v>102064</v>
      </c>
      <c r="B2308">
        <v>102</v>
      </c>
      <c r="C2308">
        <v>64</v>
      </c>
      <c r="D2308">
        <v>166</v>
      </c>
      <c r="E2308" t="s">
        <v>62</v>
      </c>
      <c r="F2308" t="s">
        <v>1094</v>
      </c>
      <c r="G2308" t="s">
        <v>206</v>
      </c>
    </row>
    <row r="2309" spans="1:7" x14ac:dyDescent="0.2">
      <c r="A2309">
        <f t="shared" si="36"/>
        <v>102065</v>
      </c>
      <c r="B2309">
        <v>102</v>
      </c>
      <c r="C2309">
        <v>65</v>
      </c>
      <c r="D2309">
        <v>167</v>
      </c>
      <c r="E2309" t="s">
        <v>63</v>
      </c>
      <c r="F2309" t="s">
        <v>1115</v>
      </c>
      <c r="G2309" t="s">
        <v>206</v>
      </c>
    </row>
    <row r="2310" spans="1:7" x14ac:dyDescent="0.2">
      <c r="A2310">
        <f t="shared" si="36"/>
        <v>102066</v>
      </c>
      <c r="B2310">
        <v>102</v>
      </c>
      <c r="C2310">
        <v>66</v>
      </c>
      <c r="D2310">
        <v>168</v>
      </c>
      <c r="E2310" t="s">
        <v>64</v>
      </c>
      <c r="F2310">
        <v>-58559.565999999999</v>
      </c>
      <c r="G2310">
        <v>140.00899999999999</v>
      </c>
    </row>
    <row r="2311" spans="1:7" x14ac:dyDescent="0.2">
      <c r="A2311">
        <f t="shared" si="36"/>
        <v>102067</v>
      </c>
      <c r="B2311">
        <v>102</v>
      </c>
      <c r="C2311">
        <v>67</v>
      </c>
      <c r="D2311">
        <v>169</v>
      </c>
      <c r="E2311" t="s">
        <v>65</v>
      </c>
      <c r="F2311">
        <v>-58797.177000000003</v>
      </c>
      <c r="G2311">
        <v>20.059999999999999</v>
      </c>
    </row>
    <row r="2312" spans="1:7" x14ac:dyDescent="0.2">
      <c r="A2312">
        <f t="shared" si="36"/>
        <v>102068</v>
      </c>
      <c r="B2312">
        <v>102</v>
      </c>
      <c r="C2312">
        <v>68</v>
      </c>
      <c r="D2312">
        <v>170</v>
      </c>
      <c r="E2312" t="s">
        <v>66</v>
      </c>
      <c r="F2312">
        <v>-60108.680999999997</v>
      </c>
      <c r="G2312">
        <v>1.546</v>
      </c>
    </row>
    <row r="2313" spans="1:7" x14ac:dyDescent="0.2">
      <c r="A2313">
        <f t="shared" si="36"/>
        <v>102069</v>
      </c>
      <c r="B2313">
        <v>102</v>
      </c>
      <c r="C2313">
        <v>69</v>
      </c>
      <c r="D2313">
        <v>171</v>
      </c>
      <c r="E2313" t="s">
        <v>67</v>
      </c>
      <c r="F2313">
        <v>-59210.298000000003</v>
      </c>
      <c r="G2313">
        <v>0.97199999999999998</v>
      </c>
    </row>
    <row r="2314" spans="1:7" x14ac:dyDescent="0.2">
      <c r="A2314">
        <f t="shared" si="36"/>
        <v>102070</v>
      </c>
      <c r="B2314">
        <v>102</v>
      </c>
      <c r="C2314">
        <v>70</v>
      </c>
      <c r="D2314">
        <v>172</v>
      </c>
      <c r="E2314" t="s">
        <v>68</v>
      </c>
      <c r="F2314">
        <v>-59255.446000000004</v>
      </c>
      <c r="G2314">
        <v>1.4E-2</v>
      </c>
    </row>
    <row r="2315" spans="1:7" x14ac:dyDescent="0.2">
      <c r="A2315">
        <f t="shared" si="36"/>
        <v>102071</v>
      </c>
      <c r="B2315">
        <v>102</v>
      </c>
      <c r="C2315">
        <v>71</v>
      </c>
      <c r="D2315">
        <v>173</v>
      </c>
      <c r="E2315" t="s">
        <v>69</v>
      </c>
      <c r="F2315">
        <v>-56880.915999999997</v>
      </c>
      <c r="G2315">
        <v>1.5669999999999999</v>
      </c>
    </row>
    <row r="2316" spans="1:7" x14ac:dyDescent="0.2">
      <c r="A2316">
        <f t="shared" si="36"/>
        <v>102072</v>
      </c>
      <c r="B2316">
        <v>102</v>
      </c>
      <c r="C2316">
        <v>72</v>
      </c>
      <c r="D2316">
        <v>174</v>
      </c>
      <c r="E2316" t="s">
        <v>70</v>
      </c>
      <c r="F2316">
        <v>-55844.481</v>
      </c>
      <c r="G2316">
        <v>2.2589999999999999</v>
      </c>
    </row>
    <row r="2317" spans="1:7" x14ac:dyDescent="0.2">
      <c r="A2317">
        <f t="shared" si="36"/>
        <v>102073</v>
      </c>
      <c r="B2317">
        <v>102</v>
      </c>
      <c r="C2317">
        <v>73</v>
      </c>
      <c r="D2317">
        <v>175</v>
      </c>
      <c r="E2317" t="s">
        <v>71</v>
      </c>
      <c r="F2317">
        <v>-52408.646999999997</v>
      </c>
      <c r="G2317">
        <v>27.945</v>
      </c>
    </row>
    <row r="2318" spans="1:7" x14ac:dyDescent="0.2">
      <c r="A2318">
        <f t="shared" si="36"/>
        <v>102074</v>
      </c>
      <c r="B2318">
        <v>102</v>
      </c>
      <c r="C2318">
        <v>74</v>
      </c>
      <c r="D2318">
        <v>176</v>
      </c>
      <c r="E2318" t="s">
        <v>72</v>
      </c>
      <c r="F2318">
        <v>-50641.603000000003</v>
      </c>
      <c r="G2318">
        <v>27.945</v>
      </c>
    </row>
    <row r="2319" spans="1:7" x14ac:dyDescent="0.2">
      <c r="A2319">
        <f t="shared" si="36"/>
        <v>102075</v>
      </c>
      <c r="B2319">
        <v>102</v>
      </c>
      <c r="C2319">
        <v>75</v>
      </c>
      <c r="D2319">
        <v>177</v>
      </c>
      <c r="E2319" t="s">
        <v>73</v>
      </c>
      <c r="F2319">
        <v>-46269.17</v>
      </c>
      <c r="G2319">
        <v>27.945</v>
      </c>
    </row>
    <row r="2320" spans="1:7" x14ac:dyDescent="0.2">
      <c r="A2320">
        <f t="shared" si="36"/>
        <v>102076</v>
      </c>
      <c r="B2320">
        <v>102</v>
      </c>
      <c r="C2320">
        <v>76</v>
      </c>
      <c r="D2320">
        <v>178</v>
      </c>
      <c r="E2320" t="s">
        <v>74</v>
      </c>
      <c r="F2320">
        <v>-43544.27</v>
      </c>
      <c r="G2320">
        <v>13.632</v>
      </c>
    </row>
    <row r="2321" spans="1:7" x14ac:dyDescent="0.2">
      <c r="A2321">
        <f t="shared" si="36"/>
        <v>102077</v>
      </c>
      <c r="B2321">
        <v>102</v>
      </c>
      <c r="C2321">
        <v>77</v>
      </c>
      <c r="D2321">
        <v>179</v>
      </c>
      <c r="E2321" t="s">
        <v>75</v>
      </c>
      <c r="F2321">
        <v>-38081.714</v>
      </c>
      <c r="G2321">
        <v>9.7710000000000008</v>
      </c>
    </row>
    <row r="2322" spans="1:7" x14ac:dyDescent="0.2">
      <c r="A2322">
        <f t="shared" si="36"/>
        <v>102078</v>
      </c>
      <c r="B2322">
        <v>102</v>
      </c>
      <c r="C2322">
        <v>78</v>
      </c>
      <c r="D2322">
        <v>180</v>
      </c>
      <c r="E2322" t="s">
        <v>76</v>
      </c>
      <c r="F2322">
        <v>-34435.877</v>
      </c>
      <c r="G2322">
        <v>10.974</v>
      </c>
    </row>
    <row r="2323" spans="1:7" x14ac:dyDescent="0.2">
      <c r="A2323">
        <f t="shared" si="36"/>
        <v>102079</v>
      </c>
      <c r="B2323">
        <v>102</v>
      </c>
      <c r="C2323">
        <v>79</v>
      </c>
      <c r="D2323">
        <v>181</v>
      </c>
      <c r="E2323" t="s">
        <v>77</v>
      </c>
      <c r="F2323">
        <v>-27871.135999999999</v>
      </c>
      <c r="G2323">
        <v>19.975999999999999</v>
      </c>
    </row>
    <row r="2324" spans="1:7" x14ac:dyDescent="0.2">
      <c r="A2324">
        <f t="shared" si="36"/>
        <v>102080</v>
      </c>
      <c r="B2324">
        <v>102</v>
      </c>
      <c r="C2324">
        <v>80</v>
      </c>
      <c r="D2324">
        <v>182</v>
      </c>
      <c r="E2324" t="s">
        <v>78</v>
      </c>
      <c r="F2324">
        <v>-23576.921999999999</v>
      </c>
      <c r="G2324">
        <v>9.7899999999999991</v>
      </c>
    </row>
    <row r="2325" spans="1:7" x14ac:dyDescent="0.2">
      <c r="A2325">
        <f t="shared" si="36"/>
        <v>102081</v>
      </c>
      <c r="B2325">
        <v>102</v>
      </c>
      <c r="C2325">
        <v>81</v>
      </c>
      <c r="D2325">
        <v>183</v>
      </c>
      <c r="E2325" t="s">
        <v>79</v>
      </c>
      <c r="F2325">
        <v>-16587.257000000001</v>
      </c>
      <c r="G2325">
        <v>9.3309999999999995</v>
      </c>
    </row>
    <row r="2326" spans="1:7" x14ac:dyDescent="0.2">
      <c r="A2326">
        <f t="shared" si="36"/>
        <v>102082</v>
      </c>
      <c r="B2326">
        <v>102</v>
      </c>
      <c r="C2326">
        <v>82</v>
      </c>
      <c r="D2326">
        <v>184</v>
      </c>
      <c r="E2326" t="s">
        <v>80</v>
      </c>
      <c r="F2326">
        <v>-11051.522000000001</v>
      </c>
      <c r="G2326">
        <v>12.805999999999999</v>
      </c>
    </row>
    <row r="2327" spans="1:7" x14ac:dyDescent="0.2">
      <c r="A2327">
        <f t="shared" si="36"/>
        <v>102083</v>
      </c>
      <c r="B2327">
        <v>102</v>
      </c>
      <c r="C2327">
        <v>83</v>
      </c>
      <c r="D2327">
        <v>185</v>
      </c>
      <c r="E2327" t="s">
        <v>81</v>
      </c>
      <c r="F2327" t="s">
        <v>1162</v>
      </c>
      <c r="G2327" t="s">
        <v>1163</v>
      </c>
    </row>
    <row r="2328" spans="1:7" x14ac:dyDescent="0.2">
      <c r="A2328">
        <f t="shared" si="36"/>
        <v>102084</v>
      </c>
      <c r="B2328">
        <v>102</v>
      </c>
      <c r="C2328">
        <v>84</v>
      </c>
      <c r="D2328">
        <v>186</v>
      </c>
      <c r="E2328" t="s">
        <v>82</v>
      </c>
      <c r="F2328">
        <v>4100.9740000000002</v>
      </c>
      <c r="G2328">
        <v>18.286000000000001</v>
      </c>
    </row>
    <row r="2329" spans="1:7" x14ac:dyDescent="0.2">
      <c r="A2329">
        <f t="shared" si="36"/>
        <v>103061</v>
      </c>
      <c r="B2329">
        <v>103</v>
      </c>
      <c r="C2329">
        <v>61</v>
      </c>
      <c r="D2329">
        <v>164</v>
      </c>
      <c r="E2329" t="s">
        <v>59</v>
      </c>
      <c r="F2329" t="s">
        <v>1098</v>
      </c>
      <c r="G2329" t="s">
        <v>197</v>
      </c>
    </row>
    <row r="2330" spans="1:7" x14ac:dyDescent="0.2">
      <c r="A2330">
        <f t="shared" si="36"/>
        <v>103062</v>
      </c>
      <c r="B2330">
        <v>103</v>
      </c>
      <c r="C2330">
        <v>62</v>
      </c>
      <c r="D2330">
        <v>165</v>
      </c>
      <c r="E2330" t="s">
        <v>60</v>
      </c>
      <c r="F2330" t="s">
        <v>236</v>
      </c>
      <c r="G2330" t="s">
        <v>199</v>
      </c>
    </row>
    <row r="2331" spans="1:7" x14ac:dyDescent="0.2">
      <c r="A2331">
        <f t="shared" si="36"/>
        <v>103063</v>
      </c>
      <c r="B2331">
        <v>103</v>
      </c>
      <c r="C2331">
        <v>63</v>
      </c>
      <c r="D2331">
        <v>166</v>
      </c>
      <c r="E2331" t="s">
        <v>61</v>
      </c>
      <c r="F2331" t="s">
        <v>1060</v>
      </c>
      <c r="G2331" t="s">
        <v>228</v>
      </c>
    </row>
    <row r="2332" spans="1:7" x14ac:dyDescent="0.2">
      <c r="A2332">
        <f t="shared" si="36"/>
        <v>103064</v>
      </c>
      <c r="B2332">
        <v>103</v>
      </c>
      <c r="C2332">
        <v>64</v>
      </c>
      <c r="D2332">
        <v>167</v>
      </c>
      <c r="E2332" t="s">
        <v>62</v>
      </c>
      <c r="F2332" t="s">
        <v>1114</v>
      </c>
      <c r="G2332" t="s">
        <v>202</v>
      </c>
    </row>
    <row r="2333" spans="1:7" x14ac:dyDescent="0.2">
      <c r="A2333">
        <f t="shared" si="36"/>
        <v>103065</v>
      </c>
      <c r="B2333">
        <v>103</v>
      </c>
      <c r="C2333">
        <v>65</v>
      </c>
      <c r="D2333">
        <v>168</v>
      </c>
      <c r="E2333" t="s">
        <v>63</v>
      </c>
      <c r="F2333" t="s">
        <v>1121</v>
      </c>
      <c r="G2333" t="s">
        <v>202</v>
      </c>
    </row>
    <row r="2334" spans="1:7" x14ac:dyDescent="0.2">
      <c r="A2334">
        <f t="shared" si="36"/>
        <v>103066</v>
      </c>
      <c r="B2334">
        <v>103</v>
      </c>
      <c r="C2334">
        <v>66</v>
      </c>
      <c r="D2334">
        <v>169</v>
      </c>
      <c r="E2334" t="s">
        <v>64</v>
      </c>
      <c r="F2334">
        <v>-55597.177000000003</v>
      </c>
      <c r="G2334">
        <v>300.67</v>
      </c>
    </row>
    <row r="2335" spans="1:7" x14ac:dyDescent="0.2">
      <c r="A2335">
        <f t="shared" si="36"/>
        <v>103067</v>
      </c>
      <c r="B2335">
        <v>103</v>
      </c>
      <c r="C2335">
        <v>67</v>
      </c>
      <c r="D2335">
        <v>170</v>
      </c>
      <c r="E2335" t="s">
        <v>65</v>
      </c>
      <c r="F2335">
        <v>-56238.680999999997</v>
      </c>
      <c r="G2335">
        <v>50.024000000000001</v>
      </c>
    </row>
    <row r="2336" spans="1:7" x14ac:dyDescent="0.2">
      <c r="A2336">
        <f t="shared" si="36"/>
        <v>103068</v>
      </c>
      <c r="B2336">
        <v>103</v>
      </c>
      <c r="C2336">
        <v>68</v>
      </c>
      <c r="D2336">
        <v>171</v>
      </c>
      <c r="E2336" t="s">
        <v>66</v>
      </c>
      <c r="F2336">
        <v>-57718.955999999998</v>
      </c>
      <c r="G2336">
        <v>1.5569999999999999</v>
      </c>
    </row>
    <row r="2337" spans="1:7" x14ac:dyDescent="0.2">
      <c r="A2337">
        <f t="shared" si="36"/>
        <v>103069</v>
      </c>
      <c r="B2337">
        <v>103</v>
      </c>
      <c r="C2337">
        <v>69</v>
      </c>
      <c r="D2337">
        <v>172</v>
      </c>
      <c r="E2337" t="s">
        <v>67</v>
      </c>
      <c r="F2337">
        <v>-57374.379000000001</v>
      </c>
      <c r="G2337">
        <v>5.5030000000000001</v>
      </c>
    </row>
    <row r="2338" spans="1:7" x14ac:dyDescent="0.2">
      <c r="A2338">
        <f t="shared" si="36"/>
        <v>103070</v>
      </c>
      <c r="B2338">
        <v>103</v>
      </c>
      <c r="C2338">
        <v>70</v>
      </c>
      <c r="D2338">
        <v>173</v>
      </c>
      <c r="E2338" t="s">
        <v>68</v>
      </c>
      <c r="F2338">
        <v>-57551.224999999999</v>
      </c>
      <c r="G2338">
        <v>1.0999999999999999E-2</v>
      </c>
    </row>
    <row r="2339" spans="1:7" x14ac:dyDescent="0.2">
      <c r="A2339">
        <f t="shared" si="36"/>
        <v>103071</v>
      </c>
      <c r="B2339">
        <v>103</v>
      </c>
      <c r="C2339">
        <v>71</v>
      </c>
      <c r="D2339">
        <v>174</v>
      </c>
      <c r="E2339" t="s">
        <v>69</v>
      </c>
      <c r="F2339">
        <v>-55570.195</v>
      </c>
      <c r="G2339">
        <v>1.5669999999999999</v>
      </c>
    </row>
    <row r="2340" spans="1:7" x14ac:dyDescent="0.2">
      <c r="A2340">
        <f t="shared" si="36"/>
        <v>103072</v>
      </c>
      <c r="B2340">
        <v>103</v>
      </c>
      <c r="C2340">
        <v>72</v>
      </c>
      <c r="D2340">
        <v>175</v>
      </c>
      <c r="E2340" t="s">
        <v>70</v>
      </c>
      <c r="F2340">
        <v>-54481.661999999997</v>
      </c>
      <c r="G2340">
        <v>2.282</v>
      </c>
    </row>
    <row r="2341" spans="1:7" x14ac:dyDescent="0.2">
      <c r="A2341">
        <f t="shared" si="36"/>
        <v>103073</v>
      </c>
      <c r="B2341">
        <v>103</v>
      </c>
      <c r="C2341">
        <v>73</v>
      </c>
      <c r="D2341">
        <v>176</v>
      </c>
      <c r="E2341" t="s">
        <v>71</v>
      </c>
      <c r="F2341">
        <v>-51365.374000000003</v>
      </c>
      <c r="G2341">
        <v>30.739000000000001</v>
      </c>
    </row>
    <row r="2342" spans="1:7" x14ac:dyDescent="0.2">
      <c r="A2342">
        <f t="shared" si="36"/>
        <v>103074</v>
      </c>
      <c r="B2342">
        <v>103</v>
      </c>
      <c r="C2342">
        <v>74</v>
      </c>
      <c r="D2342">
        <v>177</v>
      </c>
      <c r="E2342" t="s">
        <v>72</v>
      </c>
      <c r="F2342">
        <v>-49701.726000000002</v>
      </c>
      <c r="G2342">
        <v>27.945</v>
      </c>
    </row>
    <row r="2343" spans="1:7" x14ac:dyDescent="0.2">
      <c r="A2343">
        <f t="shared" si="36"/>
        <v>103075</v>
      </c>
      <c r="B2343">
        <v>103</v>
      </c>
      <c r="C2343">
        <v>75</v>
      </c>
      <c r="D2343">
        <v>178</v>
      </c>
      <c r="E2343" t="s">
        <v>73</v>
      </c>
      <c r="F2343">
        <v>-45653.453000000001</v>
      </c>
      <c r="G2343">
        <v>27.945</v>
      </c>
    </row>
    <row r="2344" spans="1:7" x14ac:dyDescent="0.2">
      <c r="A2344">
        <f t="shared" si="36"/>
        <v>103076</v>
      </c>
      <c r="B2344">
        <v>103</v>
      </c>
      <c r="C2344">
        <v>76</v>
      </c>
      <c r="D2344">
        <v>179</v>
      </c>
      <c r="E2344" t="s">
        <v>74</v>
      </c>
      <c r="F2344">
        <v>-43019.495000000003</v>
      </c>
      <c r="G2344">
        <v>16.504000000000001</v>
      </c>
    </row>
    <row r="2345" spans="1:7" x14ac:dyDescent="0.2">
      <c r="A2345">
        <f t="shared" si="36"/>
        <v>103077</v>
      </c>
      <c r="B2345">
        <v>103</v>
      </c>
      <c r="C2345">
        <v>77</v>
      </c>
      <c r="D2345">
        <v>180</v>
      </c>
      <c r="E2345" t="s">
        <v>75</v>
      </c>
      <c r="F2345">
        <v>-37977.525999999998</v>
      </c>
      <c r="G2345">
        <v>21.706</v>
      </c>
    </row>
    <row r="2346" spans="1:7" x14ac:dyDescent="0.2">
      <c r="A2346">
        <f t="shared" si="36"/>
        <v>103078</v>
      </c>
      <c r="B2346">
        <v>103</v>
      </c>
      <c r="C2346">
        <v>78</v>
      </c>
      <c r="D2346">
        <v>181</v>
      </c>
      <c r="E2346" t="s">
        <v>76</v>
      </c>
      <c r="F2346">
        <v>-34381.510999999999</v>
      </c>
      <c r="G2346">
        <v>13.689</v>
      </c>
    </row>
    <row r="2347" spans="1:7" x14ac:dyDescent="0.2">
      <c r="A2347">
        <f t="shared" si="36"/>
        <v>103079</v>
      </c>
      <c r="B2347">
        <v>103</v>
      </c>
      <c r="C2347">
        <v>79</v>
      </c>
      <c r="D2347">
        <v>182</v>
      </c>
      <c r="E2347" t="s">
        <v>77</v>
      </c>
      <c r="F2347">
        <v>-28300.768</v>
      </c>
      <c r="G2347">
        <v>20.260000000000002</v>
      </c>
    </row>
    <row r="2348" spans="1:7" x14ac:dyDescent="0.2">
      <c r="A2348">
        <f t="shared" si="36"/>
        <v>103080</v>
      </c>
      <c r="B2348">
        <v>103</v>
      </c>
      <c r="C2348">
        <v>80</v>
      </c>
      <c r="D2348">
        <v>183</v>
      </c>
      <c r="E2348" t="s">
        <v>78</v>
      </c>
      <c r="F2348">
        <v>-23804.673999999999</v>
      </c>
      <c r="G2348">
        <v>7.0839999999999996</v>
      </c>
    </row>
    <row r="2349" spans="1:7" x14ac:dyDescent="0.2">
      <c r="A2349">
        <f t="shared" si="36"/>
        <v>103081</v>
      </c>
      <c r="B2349">
        <v>103</v>
      </c>
      <c r="C2349">
        <v>81</v>
      </c>
      <c r="D2349">
        <v>184</v>
      </c>
      <c r="E2349" t="s">
        <v>79</v>
      </c>
      <c r="F2349">
        <v>-16883.241999999998</v>
      </c>
      <c r="G2349">
        <v>10.02</v>
      </c>
    </row>
    <row r="2350" spans="1:7" x14ac:dyDescent="0.2">
      <c r="A2350">
        <f t="shared" si="36"/>
        <v>103082</v>
      </c>
      <c r="B2350">
        <v>103</v>
      </c>
      <c r="C2350">
        <v>82</v>
      </c>
      <c r="D2350">
        <v>185</v>
      </c>
      <c r="E2350" t="s">
        <v>80</v>
      </c>
      <c r="F2350">
        <v>-11541.22</v>
      </c>
      <c r="G2350">
        <v>16.175000000000001</v>
      </c>
    </row>
    <row r="2351" spans="1:7" x14ac:dyDescent="0.2">
      <c r="A2351">
        <f t="shared" si="36"/>
        <v>103083</v>
      </c>
      <c r="B2351">
        <v>103</v>
      </c>
      <c r="C2351">
        <v>83</v>
      </c>
      <c r="D2351">
        <v>186</v>
      </c>
      <c r="E2351" t="s">
        <v>81</v>
      </c>
      <c r="F2351">
        <v>-3146.212</v>
      </c>
      <c r="G2351">
        <v>16.856999999999999</v>
      </c>
    </row>
    <row r="2352" spans="1:7" x14ac:dyDescent="0.2">
      <c r="A2352">
        <f t="shared" si="36"/>
        <v>103084</v>
      </c>
      <c r="B2352">
        <v>103</v>
      </c>
      <c r="C2352">
        <v>84</v>
      </c>
      <c r="D2352">
        <v>187</v>
      </c>
      <c r="E2352" t="s">
        <v>82</v>
      </c>
      <c r="F2352">
        <v>2828.5970000000002</v>
      </c>
      <c r="G2352">
        <v>31.898</v>
      </c>
    </row>
    <row r="2353" spans="1:7" x14ac:dyDescent="0.2">
      <c r="A2353">
        <f t="shared" si="36"/>
        <v>104062</v>
      </c>
      <c r="B2353">
        <v>104</v>
      </c>
      <c r="C2353">
        <v>62</v>
      </c>
      <c r="D2353">
        <v>166</v>
      </c>
      <c r="E2353" t="s">
        <v>60</v>
      </c>
      <c r="F2353" t="s">
        <v>1110</v>
      </c>
      <c r="G2353" t="s">
        <v>197</v>
      </c>
    </row>
    <row r="2354" spans="1:7" x14ac:dyDescent="0.2">
      <c r="A2354">
        <f t="shared" si="36"/>
        <v>104063</v>
      </c>
      <c r="B2354">
        <v>104</v>
      </c>
      <c r="C2354">
        <v>63</v>
      </c>
      <c r="D2354">
        <v>167</v>
      </c>
      <c r="E2354" t="s">
        <v>61</v>
      </c>
      <c r="F2354" t="s">
        <v>1113</v>
      </c>
      <c r="G2354" t="s">
        <v>197</v>
      </c>
    </row>
    <row r="2355" spans="1:7" x14ac:dyDescent="0.2">
      <c r="A2355">
        <f t="shared" si="36"/>
        <v>104064</v>
      </c>
      <c r="B2355">
        <v>104</v>
      </c>
      <c r="C2355">
        <v>64</v>
      </c>
      <c r="D2355">
        <v>168</v>
      </c>
      <c r="E2355" t="s">
        <v>62</v>
      </c>
      <c r="F2355" t="s">
        <v>1120</v>
      </c>
      <c r="G2355" t="s">
        <v>199</v>
      </c>
    </row>
    <row r="2356" spans="1:7" x14ac:dyDescent="0.2">
      <c r="A2356">
        <f t="shared" si="36"/>
        <v>104065</v>
      </c>
      <c r="B2356">
        <v>104</v>
      </c>
      <c r="C2356">
        <v>65</v>
      </c>
      <c r="D2356">
        <v>169</v>
      </c>
      <c r="E2356" t="s">
        <v>63</v>
      </c>
      <c r="F2356" t="s">
        <v>1123</v>
      </c>
      <c r="G2356" t="s">
        <v>202</v>
      </c>
    </row>
    <row r="2357" spans="1:7" x14ac:dyDescent="0.2">
      <c r="A2357">
        <f t="shared" si="36"/>
        <v>104066</v>
      </c>
      <c r="B2357">
        <v>104</v>
      </c>
      <c r="C2357">
        <v>66</v>
      </c>
      <c r="D2357">
        <v>170</v>
      </c>
      <c r="E2357" t="s">
        <v>64</v>
      </c>
      <c r="F2357" t="s">
        <v>1127</v>
      </c>
      <c r="G2357" t="s">
        <v>206</v>
      </c>
    </row>
    <row r="2358" spans="1:7" x14ac:dyDescent="0.2">
      <c r="A2358">
        <f t="shared" si="36"/>
        <v>104067</v>
      </c>
      <c r="B2358">
        <v>104</v>
      </c>
      <c r="C2358">
        <v>67</v>
      </c>
      <c r="D2358">
        <v>171</v>
      </c>
      <c r="E2358" t="s">
        <v>65</v>
      </c>
      <c r="F2358">
        <v>-54518.955999999998</v>
      </c>
      <c r="G2358">
        <v>600.00199999999995</v>
      </c>
    </row>
    <row r="2359" spans="1:7" x14ac:dyDescent="0.2">
      <c r="A2359">
        <f t="shared" si="36"/>
        <v>104068</v>
      </c>
      <c r="B2359">
        <v>104</v>
      </c>
      <c r="C2359">
        <v>68</v>
      </c>
      <c r="D2359">
        <v>172</v>
      </c>
      <c r="E2359" t="s">
        <v>66</v>
      </c>
      <c r="F2359">
        <v>-56483.612000000001</v>
      </c>
      <c r="G2359">
        <v>4.008</v>
      </c>
    </row>
    <row r="2360" spans="1:7" x14ac:dyDescent="0.2">
      <c r="A2360">
        <f t="shared" si="36"/>
        <v>104069</v>
      </c>
      <c r="B2360">
        <v>104</v>
      </c>
      <c r="C2360">
        <v>69</v>
      </c>
      <c r="D2360">
        <v>173</v>
      </c>
      <c r="E2360" t="s">
        <v>67</v>
      </c>
      <c r="F2360">
        <v>-56256.059000000001</v>
      </c>
      <c r="G2360">
        <v>4.4000000000000004</v>
      </c>
    </row>
    <row r="2361" spans="1:7" x14ac:dyDescent="0.2">
      <c r="A2361">
        <f t="shared" si="36"/>
        <v>104070</v>
      </c>
      <c r="B2361">
        <v>104</v>
      </c>
      <c r="C2361">
        <v>70</v>
      </c>
      <c r="D2361">
        <v>174</v>
      </c>
      <c r="E2361" t="s">
        <v>68</v>
      </c>
      <c r="F2361">
        <v>-56944.512000000002</v>
      </c>
      <c r="G2361">
        <v>1.0999999999999999E-2</v>
      </c>
    </row>
    <row r="2362" spans="1:7" x14ac:dyDescent="0.2">
      <c r="A2362">
        <f t="shared" si="36"/>
        <v>104071</v>
      </c>
      <c r="B2362">
        <v>104</v>
      </c>
      <c r="C2362">
        <v>71</v>
      </c>
      <c r="D2362">
        <v>175</v>
      </c>
      <c r="E2362" t="s">
        <v>69</v>
      </c>
      <c r="F2362">
        <v>-55165.582000000002</v>
      </c>
      <c r="G2362">
        <v>1.2070000000000001</v>
      </c>
    </row>
    <row r="2363" spans="1:7" x14ac:dyDescent="0.2">
      <c r="A2363">
        <f t="shared" si="36"/>
        <v>104072</v>
      </c>
      <c r="B2363">
        <v>104</v>
      </c>
      <c r="C2363">
        <v>72</v>
      </c>
      <c r="D2363">
        <v>176</v>
      </c>
      <c r="E2363" t="s">
        <v>70</v>
      </c>
      <c r="F2363">
        <v>-54576.321000000004</v>
      </c>
      <c r="G2363">
        <v>1.4810000000000001</v>
      </c>
    </row>
    <row r="2364" spans="1:7" x14ac:dyDescent="0.2">
      <c r="A2364">
        <f t="shared" si="36"/>
        <v>104073</v>
      </c>
      <c r="B2364">
        <v>104</v>
      </c>
      <c r="C2364">
        <v>73</v>
      </c>
      <c r="D2364">
        <v>177</v>
      </c>
      <c r="E2364" t="s">
        <v>71</v>
      </c>
      <c r="F2364">
        <v>-51714.616000000002</v>
      </c>
      <c r="G2364">
        <v>3.3140000000000001</v>
      </c>
    </row>
    <row r="2365" spans="1:7" x14ac:dyDescent="0.2">
      <c r="A2365">
        <f t="shared" si="36"/>
        <v>104074</v>
      </c>
      <c r="B2365">
        <v>104</v>
      </c>
      <c r="C2365">
        <v>74</v>
      </c>
      <c r="D2365">
        <v>178</v>
      </c>
      <c r="E2365" t="s">
        <v>72</v>
      </c>
      <c r="F2365">
        <v>-50406.936000000002</v>
      </c>
      <c r="G2365">
        <v>15.199</v>
      </c>
    </row>
    <row r="2366" spans="1:7" x14ac:dyDescent="0.2">
      <c r="A2366">
        <f t="shared" si="36"/>
        <v>104075</v>
      </c>
      <c r="B2366">
        <v>104</v>
      </c>
      <c r="C2366">
        <v>75</v>
      </c>
      <c r="D2366">
        <v>179</v>
      </c>
      <c r="E2366" t="s">
        <v>73</v>
      </c>
      <c r="F2366">
        <v>-46584.28</v>
      </c>
      <c r="G2366">
        <v>24.638999999999999</v>
      </c>
    </row>
    <row r="2367" spans="1:7" x14ac:dyDescent="0.2">
      <c r="A2367">
        <f t="shared" si="36"/>
        <v>104076</v>
      </c>
      <c r="B2367">
        <v>104</v>
      </c>
      <c r="C2367">
        <v>76</v>
      </c>
      <c r="D2367">
        <v>180</v>
      </c>
      <c r="E2367" t="s">
        <v>74</v>
      </c>
      <c r="F2367">
        <v>-44357.81</v>
      </c>
      <c r="G2367">
        <v>16.390999999999998</v>
      </c>
    </row>
    <row r="2368" spans="1:7" x14ac:dyDescent="0.2">
      <c r="A2368">
        <f t="shared" si="36"/>
        <v>104077</v>
      </c>
      <c r="B2368">
        <v>104</v>
      </c>
      <c r="C2368">
        <v>77</v>
      </c>
      <c r="D2368">
        <v>181</v>
      </c>
      <c r="E2368" t="s">
        <v>75</v>
      </c>
      <c r="F2368">
        <v>-39463.027999999998</v>
      </c>
      <c r="G2368">
        <v>5.2450000000000001</v>
      </c>
    </row>
    <row r="2369" spans="1:7" x14ac:dyDescent="0.2">
      <c r="A2369">
        <f t="shared" ref="A2369:A2432" si="37">1000*B2369+C2369</f>
        <v>104078</v>
      </c>
      <c r="B2369">
        <v>104</v>
      </c>
      <c r="C2369">
        <v>78</v>
      </c>
      <c r="D2369">
        <v>182</v>
      </c>
      <c r="E2369" t="s">
        <v>76</v>
      </c>
      <c r="F2369">
        <v>-36168.449000000001</v>
      </c>
      <c r="G2369">
        <v>13.095000000000001</v>
      </c>
    </row>
    <row r="2370" spans="1:7" x14ac:dyDescent="0.2">
      <c r="A2370">
        <f t="shared" si="37"/>
        <v>104079</v>
      </c>
      <c r="B2370">
        <v>104</v>
      </c>
      <c r="C2370">
        <v>79</v>
      </c>
      <c r="D2370">
        <v>183</v>
      </c>
      <c r="E2370" t="s">
        <v>77</v>
      </c>
      <c r="F2370">
        <v>-30191.483</v>
      </c>
      <c r="G2370">
        <v>9.423</v>
      </c>
    </row>
    <row r="2371" spans="1:7" x14ac:dyDescent="0.2">
      <c r="A2371">
        <f t="shared" si="37"/>
        <v>104080</v>
      </c>
      <c r="B2371">
        <v>104</v>
      </c>
      <c r="C2371">
        <v>80</v>
      </c>
      <c r="D2371">
        <v>184</v>
      </c>
      <c r="E2371" t="s">
        <v>78</v>
      </c>
      <c r="F2371">
        <v>-26348.965</v>
      </c>
      <c r="G2371">
        <v>10.061999999999999</v>
      </c>
    </row>
    <row r="2372" spans="1:7" x14ac:dyDescent="0.2">
      <c r="A2372">
        <f t="shared" si="37"/>
        <v>104081</v>
      </c>
      <c r="B2372">
        <v>104</v>
      </c>
      <c r="C2372">
        <v>81</v>
      </c>
      <c r="D2372">
        <v>185</v>
      </c>
      <c r="E2372" t="s">
        <v>79</v>
      </c>
      <c r="F2372">
        <v>-19757.741000000002</v>
      </c>
      <c r="G2372">
        <v>20.673999999999999</v>
      </c>
    </row>
    <row r="2373" spans="1:7" x14ac:dyDescent="0.2">
      <c r="A2373">
        <f t="shared" si="37"/>
        <v>104082</v>
      </c>
      <c r="B2373">
        <v>104</v>
      </c>
      <c r="C2373">
        <v>82</v>
      </c>
      <c r="D2373">
        <v>186</v>
      </c>
      <c r="E2373" t="s">
        <v>80</v>
      </c>
      <c r="F2373">
        <v>-14682.026</v>
      </c>
      <c r="G2373">
        <v>11.363</v>
      </c>
    </row>
    <row r="2374" spans="1:7" x14ac:dyDescent="0.2">
      <c r="A2374">
        <f t="shared" si="37"/>
        <v>104083</v>
      </c>
      <c r="B2374">
        <v>104</v>
      </c>
      <c r="C2374">
        <v>83</v>
      </c>
      <c r="D2374">
        <v>187</v>
      </c>
      <c r="E2374" t="s">
        <v>81</v>
      </c>
      <c r="F2374">
        <v>-6383.2709999999997</v>
      </c>
      <c r="G2374">
        <v>10.005000000000001</v>
      </c>
    </row>
    <row r="2375" spans="1:7" x14ac:dyDescent="0.2">
      <c r="A2375">
        <f t="shared" si="37"/>
        <v>104084</v>
      </c>
      <c r="B2375">
        <v>104</v>
      </c>
      <c r="C2375">
        <v>84</v>
      </c>
      <c r="D2375">
        <v>188</v>
      </c>
      <c r="E2375" t="s">
        <v>82</v>
      </c>
      <c r="F2375">
        <v>-544.31299999999999</v>
      </c>
      <c r="G2375">
        <v>19.972999999999999</v>
      </c>
    </row>
    <row r="2376" spans="1:7" x14ac:dyDescent="0.2">
      <c r="A2376">
        <f t="shared" si="37"/>
        <v>105063</v>
      </c>
      <c r="B2376">
        <v>105</v>
      </c>
      <c r="C2376">
        <v>63</v>
      </c>
      <c r="D2376">
        <v>168</v>
      </c>
      <c r="E2376" t="s">
        <v>61</v>
      </c>
      <c r="F2376" t="s">
        <v>1119</v>
      </c>
      <c r="G2376" t="s">
        <v>245</v>
      </c>
    </row>
    <row r="2377" spans="1:7" x14ac:dyDescent="0.2">
      <c r="A2377">
        <f t="shared" si="37"/>
        <v>105064</v>
      </c>
      <c r="B2377">
        <v>105</v>
      </c>
      <c r="C2377">
        <v>64</v>
      </c>
      <c r="D2377">
        <v>169</v>
      </c>
      <c r="E2377" t="s">
        <v>62</v>
      </c>
      <c r="F2377" t="s">
        <v>1122</v>
      </c>
      <c r="G2377" t="s">
        <v>201</v>
      </c>
    </row>
    <row r="2378" spans="1:7" x14ac:dyDescent="0.2">
      <c r="A2378">
        <f t="shared" si="37"/>
        <v>105065</v>
      </c>
      <c r="B2378">
        <v>105</v>
      </c>
      <c r="C2378">
        <v>65</v>
      </c>
      <c r="D2378">
        <v>170</v>
      </c>
      <c r="E2378" t="s">
        <v>63</v>
      </c>
      <c r="F2378" t="s">
        <v>858</v>
      </c>
      <c r="G2378" t="s">
        <v>199</v>
      </c>
    </row>
    <row r="2379" spans="1:7" x14ac:dyDescent="0.2">
      <c r="A2379">
        <f t="shared" si="37"/>
        <v>105066</v>
      </c>
      <c r="B2379">
        <v>105</v>
      </c>
      <c r="C2379">
        <v>66</v>
      </c>
      <c r="D2379">
        <v>171</v>
      </c>
      <c r="E2379" t="s">
        <v>64</v>
      </c>
      <c r="F2379" t="s">
        <v>1132</v>
      </c>
      <c r="G2379" t="s">
        <v>202</v>
      </c>
    </row>
    <row r="2380" spans="1:7" x14ac:dyDescent="0.2">
      <c r="A2380">
        <f t="shared" si="37"/>
        <v>105067</v>
      </c>
      <c r="B2380">
        <v>105</v>
      </c>
      <c r="C2380">
        <v>67</v>
      </c>
      <c r="D2380">
        <v>172</v>
      </c>
      <c r="E2380" t="s">
        <v>65</v>
      </c>
      <c r="F2380" t="s">
        <v>1137</v>
      </c>
      <c r="G2380" t="s">
        <v>206</v>
      </c>
    </row>
    <row r="2381" spans="1:7" x14ac:dyDescent="0.2">
      <c r="A2381">
        <f t="shared" si="37"/>
        <v>105068</v>
      </c>
      <c r="B2381">
        <v>105</v>
      </c>
      <c r="C2381">
        <v>68</v>
      </c>
      <c r="D2381">
        <v>173</v>
      </c>
      <c r="E2381" t="s">
        <v>66</v>
      </c>
      <c r="F2381" t="s">
        <v>265</v>
      </c>
      <c r="G2381" t="s">
        <v>206</v>
      </c>
    </row>
    <row r="2382" spans="1:7" x14ac:dyDescent="0.2">
      <c r="A2382">
        <f t="shared" si="37"/>
        <v>105069</v>
      </c>
      <c r="B2382">
        <v>105</v>
      </c>
      <c r="C2382">
        <v>69</v>
      </c>
      <c r="D2382">
        <v>174</v>
      </c>
      <c r="E2382" t="s">
        <v>67</v>
      </c>
      <c r="F2382">
        <v>-53864.512000000002</v>
      </c>
      <c r="G2382">
        <v>44.720999999999997</v>
      </c>
    </row>
    <row r="2383" spans="1:7" x14ac:dyDescent="0.2">
      <c r="A2383">
        <f t="shared" si="37"/>
        <v>105070</v>
      </c>
      <c r="B2383">
        <v>105</v>
      </c>
      <c r="C2383">
        <v>70</v>
      </c>
      <c r="D2383">
        <v>175</v>
      </c>
      <c r="E2383" t="s">
        <v>68</v>
      </c>
      <c r="F2383">
        <v>-54695.548999999999</v>
      </c>
      <c r="G2383">
        <v>7.0999999999999994E-2</v>
      </c>
    </row>
    <row r="2384" spans="1:7" x14ac:dyDescent="0.2">
      <c r="A2384">
        <f t="shared" si="37"/>
        <v>105071</v>
      </c>
      <c r="B2384">
        <v>105</v>
      </c>
      <c r="C2384">
        <v>71</v>
      </c>
      <c r="D2384">
        <v>176</v>
      </c>
      <c r="E2384" t="s">
        <v>69</v>
      </c>
      <c r="F2384">
        <v>-53382.235999999997</v>
      </c>
      <c r="G2384">
        <v>1.212</v>
      </c>
    </row>
    <row r="2385" spans="1:7" x14ac:dyDescent="0.2">
      <c r="A2385">
        <f t="shared" si="37"/>
        <v>105072</v>
      </c>
      <c r="B2385">
        <v>105</v>
      </c>
      <c r="C2385">
        <v>72</v>
      </c>
      <c r="D2385">
        <v>177</v>
      </c>
      <c r="E2385" t="s">
        <v>70</v>
      </c>
      <c r="F2385">
        <v>-52880.616000000002</v>
      </c>
      <c r="G2385">
        <v>1.4079999999999999</v>
      </c>
    </row>
    <row r="2386" spans="1:7" x14ac:dyDescent="0.2">
      <c r="A2386">
        <f t="shared" si="37"/>
        <v>105073</v>
      </c>
      <c r="B2386">
        <v>105</v>
      </c>
      <c r="C2386">
        <v>73</v>
      </c>
      <c r="D2386">
        <v>178</v>
      </c>
      <c r="E2386" t="s">
        <v>71</v>
      </c>
      <c r="F2386" t="s">
        <v>1149</v>
      </c>
      <c r="G2386" t="s">
        <v>1150</v>
      </c>
    </row>
    <row r="2387" spans="1:7" x14ac:dyDescent="0.2">
      <c r="A2387">
        <f t="shared" si="37"/>
        <v>105074</v>
      </c>
      <c r="B2387">
        <v>105</v>
      </c>
      <c r="C2387">
        <v>74</v>
      </c>
      <c r="D2387">
        <v>179</v>
      </c>
      <c r="E2387" t="s">
        <v>72</v>
      </c>
      <c r="F2387">
        <v>-49295.127</v>
      </c>
      <c r="G2387">
        <v>14.573</v>
      </c>
    </row>
    <row r="2388" spans="1:7" x14ac:dyDescent="0.2">
      <c r="A2388">
        <f t="shared" si="37"/>
        <v>105075</v>
      </c>
      <c r="B2388">
        <v>105</v>
      </c>
      <c r="C2388">
        <v>75</v>
      </c>
      <c r="D2388">
        <v>180</v>
      </c>
      <c r="E2388" t="s">
        <v>73</v>
      </c>
      <c r="F2388">
        <v>-45837.358999999997</v>
      </c>
      <c r="G2388">
        <v>21.391999999999999</v>
      </c>
    </row>
    <row r="2389" spans="1:7" x14ac:dyDescent="0.2">
      <c r="A2389">
        <f t="shared" si="37"/>
        <v>105076</v>
      </c>
      <c r="B2389">
        <v>105</v>
      </c>
      <c r="C2389">
        <v>76</v>
      </c>
      <c r="D2389">
        <v>181</v>
      </c>
      <c r="E2389" t="s">
        <v>74</v>
      </c>
      <c r="F2389">
        <v>-43549.963000000003</v>
      </c>
      <c r="G2389">
        <v>25.338000000000001</v>
      </c>
    </row>
    <row r="2390" spans="1:7" x14ac:dyDescent="0.2">
      <c r="A2390">
        <f t="shared" si="37"/>
        <v>105077</v>
      </c>
      <c r="B2390">
        <v>105</v>
      </c>
      <c r="C2390">
        <v>77</v>
      </c>
      <c r="D2390">
        <v>182</v>
      </c>
      <c r="E2390" t="s">
        <v>75</v>
      </c>
      <c r="F2390">
        <v>-39051.678999999996</v>
      </c>
      <c r="G2390">
        <v>20.966999999999999</v>
      </c>
    </row>
    <row r="2391" spans="1:7" x14ac:dyDescent="0.2">
      <c r="A2391">
        <f t="shared" si="37"/>
        <v>105078</v>
      </c>
      <c r="B2391">
        <v>105</v>
      </c>
      <c r="C2391">
        <v>78</v>
      </c>
      <c r="D2391">
        <v>183</v>
      </c>
      <c r="E2391" t="s">
        <v>76</v>
      </c>
      <c r="F2391">
        <v>-35772.487000000001</v>
      </c>
      <c r="G2391">
        <v>15.532999999999999</v>
      </c>
    </row>
    <row r="2392" spans="1:7" x14ac:dyDescent="0.2">
      <c r="A2392">
        <f t="shared" si="37"/>
        <v>105079</v>
      </c>
      <c r="B2392">
        <v>105</v>
      </c>
      <c r="C2392">
        <v>79</v>
      </c>
      <c r="D2392">
        <v>184</v>
      </c>
      <c r="E2392" t="s">
        <v>77</v>
      </c>
      <c r="F2392">
        <v>-30318.71</v>
      </c>
      <c r="G2392">
        <v>22.274999999999999</v>
      </c>
    </row>
    <row r="2393" spans="1:7" x14ac:dyDescent="0.2">
      <c r="A2393">
        <f t="shared" si="37"/>
        <v>105080</v>
      </c>
      <c r="B2393">
        <v>105</v>
      </c>
      <c r="C2393">
        <v>80</v>
      </c>
      <c r="D2393">
        <v>185</v>
      </c>
      <c r="E2393" t="s">
        <v>78</v>
      </c>
      <c r="F2393">
        <v>-26183.666000000001</v>
      </c>
      <c r="G2393">
        <v>13.638999999999999</v>
      </c>
    </row>
    <row r="2394" spans="1:7" x14ac:dyDescent="0.2">
      <c r="A2394">
        <f t="shared" si="37"/>
        <v>105081</v>
      </c>
      <c r="B2394">
        <v>105</v>
      </c>
      <c r="C2394">
        <v>81</v>
      </c>
      <c r="D2394">
        <v>186</v>
      </c>
      <c r="E2394" t="s">
        <v>79</v>
      </c>
      <c r="F2394">
        <v>-19886.613000000001</v>
      </c>
      <c r="G2394">
        <v>22.356000000000002</v>
      </c>
    </row>
    <row r="2395" spans="1:7" x14ac:dyDescent="0.2">
      <c r="A2395">
        <f t="shared" si="37"/>
        <v>105082</v>
      </c>
      <c r="B2395">
        <v>105</v>
      </c>
      <c r="C2395">
        <v>82</v>
      </c>
      <c r="D2395">
        <v>187</v>
      </c>
      <c r="E2395" t="s">
        <v>80</v>
      </c>
      <c r="F2395">
        <v>-14986.959000000001</v>
      </c>
      <c r="G2395">
        <v>5.0940000000000003</v>
      </c>
    </row>
    <row r="2396" spans="1:7" x14ac:dyDescent="0.2">
      <c r="A2396">
        <f t="shared" si="37"/>
        <v>105083</v>
      </c>
      <c r="B2396">
        <v>105</v>
      </c>
      <c r="C2396">
        <v>83</v>
      </c>
      <c r="D2396">
        <v>188</v>
      </c>
      <c r="E2396" t="s">
        <v>81</v>
      </c>
      <c r="F2396">
        <v>-7194.6869999999999</v>
      </c>
      <c r="G2396">
        <v>11.186999999999999</v>
      </c>
    </row>
    <row r="2397" spans="1:7" x14ac:dyDescent="0.2">
      <c r="A2397">
        <f t="shared" si="37"/>
        <v>105084</v>
      </c>
      <c r="B2397">
        <v>105</v>
      </c>
      <c r="C2397">
        <v>84</v>
      </c>
      <c r="D2397">
        <v>189</v>
      </c>
      <c r="E2397" t="s">
        <v>82</v>
      </c>
      <c r="F2397">
        <v>-1422.0050000000001</v>
      </c>
      <c r="G2397">
        <v>22.059000000000001</v>
      </c>
    </row>
    <row r="2398" spans="1:7" x14ac:dyDescent="0.2">
      <c r="A2398">
        <f t="shared" si="37"/>
        <v>106064</v>
      </c>
      <c r="B2398">
        <v>106</v>
      </c>
      <c r="C2398">
        <v>64</v>
      </c>
      <c r="D2398">
        <v>170</v>
      </c>
      <c r="E2398" t="s">
        <v>62</v>
      </c>
      <c r="F2398" t="s">
        <v>1126</v>
      </c>
      <c r="G2398" t="s">
        <v>211</v>
      </c>
    </row>
    <row r="2399" spans="1:7" x14ac:dyDescent="0.2">
      <c r="A2399">
        <f t="shared" si="37"/>
        <v>106065</v>
      </c>
      <c r="B2399">
        <v>106</v>
      </c>
      <c r="C2399">
        <v>65</v>
      </c>
      <c r="D2399">
        <v>171</v>
      </c>
      <c r="E2399" t="s">
        <v>63</v>
      </c>
      <c r="F2399" t="s">
        <v>1131</v>
      </c>
      <c r="G2399" t="s">
        <v>201</v>
      </c>
    </row>
    <row r="2400" spans="1:7" x14ac:dyDescent="0.2">
      <c r="A2400">
        <f t="shared" si="37"/>
        <v>106066</v>
      </c>
      <c r="B2400">
        <v>106</v>
      </c>
      <c r="C2400">
        <v>66</v>
      </c>
      <c r="D2400">
        <v>172</v>
      </c>
      <c r="E2400" t="s">
        <v>64</v>
      </c>
      <c r="F2400" t="s">
        <v>1136</v>
      </c>
      <c r="G2400" t="s">
        <v>202</v>
      </c>
    </row>
    <row r="2401" spans="1:7" x14ac:dyDescent="0.2">
      <c r="A2401">
        <f t="shared" si="37"/>
        <v>106067</v>
      </c>
      <c r="B2401">
        <v>106</v>
      </c>
      <c r="C2401">
        <v>67</v>
      </c>
      <c r="D2401">
        <v>173</v>
      </c>
      <c r="E2401" t="s">
        <v>65</v>
      </c>
      <c r="F2401" t="s">
        <v>1138</v>
      </c>
      <c r="G2401" t="s">
        <v>202</v>
      </c>
    </row>
    <row r="2402" spans="1:7" x14ac:dyDescent="0.2">
      <c r="A2402">
        <f t="shared" si="37"/>
        <v>106068</v>
      </c>
      <c r="B2402">
        <v>106</v>
      </c>
      <c r="C2402">
        <v>68</v>
      </c>
      <c r="D2402">
        <v>174</v>
      </c>
      <c r="E2402" t="s">
        <v>66</v>
      </c>
      <c r="F2402" t="s">
        <v>1142</v>
      </c>
      <c r="G2402" t="s">
        <v>202</v>
      </c>
    </row>
    <row r="2403" spans="1:7" x14ac:dyDescent="0.2">
      <c r="A2403">
        <f t="shared" si="37"/>
        <v>106069</v>
      </c>
      <c r="B2403">
        <v>106</v>
      </c>
      <c r="C2403">
        <v>69</v>
      </c>
      <c r="D2403">
        <v>175</v>
      </c>
      <c r="E2403" t="s">
        <v>67</v>
      </c>
      <c r="F2403">
        <v>-52310.548999999999</v>
      </c>
      <c r="G2403">
        <v>50</v>
      </c>
    </row>
    <row r="2404" spans="1:7" x14ac:dyDescent="0.2">
      <c r="A2404">
        <f t="shared" si="37"/>
        <v>106070</v>
      </c>
      <c r="B2404">
        <v>106</v>
      </c>
      <c r="C2404">
        <v>70</v>
      </c>
      <c r="D2404">
        <v>176</v>
      </c>
      <c r="E2404" t="s">
        <v>68</v>
      </c>
      <c r="F2404">
        <v>-53491.313999999998</v>
      </c>
      <c r="G2404">
        <v>1.4999999999999999E-2</v>
      </c>
    </row>
    <row r="2405" spans="1:7" x14ac:dyDescent="0.2">
      <c r="A2405">
        <f t="shared" si="37"/>
        <v>106071</v>
      </c>
      <c r="B2405">
        <v>106</v>
      </c>
      <c r="C2405">
        <v>71</v>
      </c>
      <c r="D2405">
        <v>177</v>
      </c>
      <c r="E2405" t="s">
        <v>69</v>
      </c>
      <c r="F2405">
        <v>-52383.805999999997</v>
      </c>
      <c r="G2405">
        <v>1.22</v>
      </c>
    </row>
    <row r="2406" spans="1:7" x14ac:dyDescent="0.2">
      <c r="A2406">
        <f t="shared" si="37"/>
        <v>106072</v>
      </c>
      <c r="B2406">
        <v>106</v>
      </c>
      <c r="C2406">
        <v>72</v>
      </c>
      <c r="D2406">
        <v>178</v>
      </c>
      <c r="E2406" t="s">
        <v>70</v>
      </c>
      <c r="F2406">
        <v>-52435.235999999997</v>
      </c>
      <c r="G2406">
        <v>1.4119999999999999</v>
      </c>
    </row>
    <row r="2407" spans="1:7" x14ac:dyDescent="0.2">
      <c r="A2407">
        <f t="shared" si="37"/>
        <v>106073</v>
      </c>
      <c r="B2407">
        <v>106</v>
      </c>
      <c r="C2407">
        <v>73</v>
      </c>
      <c r="D2407">
        <v>179</v>
      </c>
      <c r="E2407" t="s">
        <v>71</v>
      </c>
      <c r="F2407">
        <v>-50357.322999999997</v>
      </c>
      <c r="G2407">
        <v>1.4630000000000001</v>
      </c>
    </row>
    <row r="2408" spans="1:7" x14ac:dyDescent="0.2">
      <c r="A2408">
        <f t="shared" si="37"/>
        <v>106074</v>
      </c>
      <c r="B2408">
        <v>106</v>
      </c>
      <c r="C2408">
        <v>74</v>
      </c>
      <c r="D2408">
        <v>180</v>
      </c>
      <c r="E2408" t="s">
        <v>72</v>
      </c>
      <c r="F2408">
        <v>-49636.114999999998</v>
      </c>
      <c r="G2408">
        <v>1.4359999999999999</v>
      </c>
    </row>
    <row r="2409" spans="1:7" x14ac:dyDescent="0.2">
      <c r="A2409">
        <f t="shared" si="37"/>
        <v>106075</v>
      </c>
      <c r="B2409">
        <v>106</v>
      </c>
      <c r="C2409">
        <v>75</v>
      </c>
      <c r="D2409">
        <v>181</v>
      </c>
      <c r="E2409" t="s">
        <v>73</v>
      </c>
      <c r="F2409">
        <v>-46517.391000000003</v>
      </c>
      <c r="G2409">
        <v>12.548999999999999</v>
      </c>
    </row>
    <row r="2410" spans="1:7" x14ac:dyDescent="0.2">
      <c r="A2410">
        <f t="shared" si="37"/>
        <v>106076</v>
      </c>
      <c r="B2410">
        <v>106</v>
      </c>
      <c r="C2410">
        <v>76</v>
      </c>
      <c r="D2410">
        <v>182</v>
      </c>
      <c r="E2410" t="s">
        <v>74</v>
      </c>
      <c r="F2410">
        <v>-44609.103999999999</v>
      </c>
      <c r="G2410">
        <v>21.745000000000001</v>
      </c>
    </row>
    <row r="2411" spans="1:7" x14ac:dyDescent="0.2">
      <c r="A2411">
        <f t="shared" si="37"/>
        <v>106077</v>
      </c>
      <c r="B2411">
        <v>106</v>
      </c>
      <c r="C2411">
        <v>77</v>
      </c>
      <c r="D2411">
        <v>183</v>
      </c>
      <c r="E2411" t="s">
        <v>75</v>
      </c>
      <c r="F2411">
        <v>-40203.311000000002</v>
      </c>
      <c r="G2411">
        <v>24.398</v>
      </c>
    </row>
    <row r="2412" spans="1:7" x14ac:dyDescent="0.2">
      <c r="A2412">
        <f t="shared" si="37"/>
        <v>106078</v>
      </c>
      <c r="B2412">
        <v>106</v>
      </c>
      <c r="C2412">
        <v>78</v>
      </c>
      <c r="D2412">
        <v>184</v>
      </c>
      <c r="E2412" t="s">
        <v>76</v>
      </c>
      <c r="F2412">
        <v>-37334.243000000002</v>
      </c>
      <c r="G2412">
        <v>15.584</v>
      </c>
    </row>
    <row r="2413" spans="1:7" x14ac:dyDescent="0.2">
      <c r="A2413">
        <f t="shared" si="37"/>
        <v>106079</v>
      </c>
      <c r="B2413">
        <v>106</v>
      </c>
      <c r="C2413">
        <v>79</v>
      </c>
      <c r="D2413">
        <v>185</v>
      </c>
      <c r="E2413" t="s">
        <v>77</v>
      </c>
      <c r="F2413">
        <v>-31858.143</v>
      </c>
      <c r="G2413">
        <v>2.6080000000000001</v>
      </c>
    </row>
    <row r="2414" spans="1:7" x14ac:dyDescent="0.2">
      <c r="A2414">
        <f t="shared" si="37"/>
        <v>106080</v>
      </c>
      <c r="B2414">
        <v>106</v>
      </c>
      <c r="C2414">
        <v>80</v>
      </c>
      <c r="D2414">
        <v>186</v>
      </c>
      <c r="E2414" t="s">
        <v>78</v>
      </c>
      <c r="F2414">
        <v>-28539.097000000002</v>
      </c>
      <c r="G2414">
        <v>11.65</v>
      </c>
    </row>
    <row r="2415" spans="1:7" x14ac:dyDescent="0.2">
      <c r="A2415">
        <f t="shared" si="37"/>
        <v>106081</v>
      </c>
      <c r="B2415">
        <v>106</v>
      </c>
      <c r="C2415">
        <v>81</v>
      </c>
      <c r="D2415">
        <v>187</v>
      </c>
      <c r="E2415" t="s">
        <v>79</v>
      </c>
      <c r="F2415">
        <v>-22444.587</v>
      </c>
      <c r="G2415">
        <v>8.048</v>
      </c>
    </row>
    <row r="2416" spans="1:7" x14ac:dyDescent="0.2">
      <c r="A2416">
        <f t="shared" si="37"/>
        <v>106082</v>
      </c>
      <c r="B2416">
        <v>106</v>
      </c>
      <c r="C2416">
        <v>82</v>
      </c>
      <c r="D2416">
        <v>188</v>
      </c>
      <c r="E2416" t="s">
        <v>80</v>
      </c>
      <c r="F2416">
        <v>-17815.202000000001</v>
      </c>
      <c r="G2416">
        <v>10.622</v>
      </c>
    </row>
    <row r="2417" spans="1:7" x14ac:dyDescent="0.2">
      <c r="A2417">
        <f t="shared" si="37"/>
        <v>106083</v>
      </c>
      <c r="B2417">
        <v>106</v>
      </c>
      <c r="C2417">
        <v>83</v>
      </c>
      <c r="D2417">
        <v>189</v>
      </c>
      <c r="E2417" t="s">
        <v>81</v>
      </c>
      <c r="F2417">
        <v>-10064.66</v>
      </c>
      <c r="G2417">
        <v>20.850999999999999</v>
      </c>
    </row>
    <row r="2418" spans="1:7" x14ac:dyDescent="0.2">
      <c r="A2418">
        <f t="shared" si="37"/>
        <v>106084</v>
      </c>
      <c r="B2418">
        <v>106</v>
      </c>
      <c r="C2418">
        <v>84</v>
      </c>
      <c r="D2418">
        <v>190</v>
      </c>
      <c r="E2418" t="s">
        <v>82</v>
      </c>
      <c r="F2418">
        <v>-4563.8370000000004</v>
      </c>
      <c r="G2418">
        <v>13.465</v>
      </c>
    </row>
    <row r="2419" spans="1:7" x14ac:dyDescent="0.2">
      <c r="A2419">
        <f t="shared" si="37"/>
        <v>106085</v>
      </c>
      <c r="B2419">
        <v>106</v>
      </c>
      <c r="C2419">
        <v>85</v>
      </c>
      <c r="D2419">
        <v>191</v>
      </c>
      <c r="E2419" t="s">
        <v>83</v>
      </c>
      <c r="F2419">
        <v>3863.9169999999999</v>
      </c>
      <c r="G2419">
        <v>16.103000000000002</v>
      </c>
    </row>
    <row r="2420" spans="1:7" x14ac:dyDescent="0.2">
      <c r="A2420">
        <f t="shared" si="37"/>
        <v>107065</v>
      </c>
      <c r="B2420">
        <v>107</v>
      </c>
      <c r="C2420">
        <v>65</v>
      </c>
      <c r="D2420">
        <v>172</v>
      </c>
      <c r="E2420" t="s">
        <v>63</v>
      </c>
      <c r="F2420" t="s">
        <v>1135</v>
      </c>
      <c r="G2420" t="s">
        <v>201</v>
      </c>
    </row>
    <row r="2421" spans="1:7" x14ac:dyDescent="0.2">
      <c r="A2421">
        <f t="shared" si="37"/>
        <v>107066</v>
      </c>
      <c r="B2421">
        <v>107</v>
      </c>
      <c r="C2421">
        <v>66</v>
      </c>
      <c r="D2421">
        <v>173</v>
      </c>
      <c r="E2421" t="s">
        <v>64</v>
      </c>
      <c r="F2421" t="s">
        <v>1017</v>
      </c>
      <c r="G2421" t="s">
        <v>199</v>
      </c>
    </row>
    <row r="2422" spans="1:7" x14ac:dyDescent="0.2">
      <c r="A2422">
        <f t="shared" si="37"/>
        <v>107067</v>
      </c>
      <c r="B2422">
        <v>107</v>
      </c>
      <c r="C2422">
        <v>67</v>
      </c>
      <c r="D2422">
        <v>174</v>
      </c>
      <c r="E2422" t="s">
        <v>65</v>
      </c>
      <c r="F2422" t="s">
        <v>1141</v>
      </c>
      <c r="G2422" t="s">
        <v>202</v>
      </c>
    </row>
    <row r="2423" spans="1:7" x14ac:dyDescent="0.2">
      <c r="A2423">
        <f t="shared" si="37"/>
        <v>107068</v>
      </c>
      <c r="B2423">
        <v>107</v>
      </c>
      <c r="C2423">
        <v>68</v>
      </c>
      <c r="D2423">
        <v>175</v>
      </c>
      <c r="E2423" t="s">
        <v>66</v>
      </c>
      <c r="F2423" t="s">
        <v>1145</v>
      </c>
      <c r="G2423" t="s">
        <v>199</v>
      </c>
    </row>
    <row r="2424" spans="1:7" x14ac:dyDescent="0.2">
      <c r="A2424">
        <f t="shared" si="37"/>
        <v>107069</v>
      </c>
      <c r="B2424">
        <v>107</v>
      </c>
      <c r="C2424">
        <v>69</v>
      </c>
      <c r="D2424">
        <v>176</v>
      </c>
      <c r="E2424" t="s">
        <v>67</v>
      </c>
      <c r="F2424">
        <v>-49371.313999999998</v>
      </c>
      <c r="G2424">
        <v>100</v>
      </c>
    </row>
    <row r="2425" spans="1:7" x14ac:dyDescent="0.2">
      <c r="A2425">
        <f t="shared" si="37"/>
        <v>107070</v>
      </c>
      <c r="B2425">
        <v>107</v>
      </c>
      <c r="C2425">
        <v>70</v>
      </c>
      <c r="D2425">
        <v>177</v>
      </c>
      <c r="E2425" t="s">
        <v>68</v>
      </c>
      <c r="F2425">
        <v>-50986.396999999997</v>
      </c>
      <c r="G2425">
        <v>0.22</v>
      </c>
    </row>
    <row r="2426" spans="1:7" x14ac:dyDescent="0.2">
      <c r="A2426">
        <f t="shared" si="37"/>
        <v>107071</v>
      </c>
      <c r="B2426">
        <v>107</v>
      </c>
      <c r="C2426">
        <v>71</v>
      </c>
      <c r="D2426">
        <v>178</v>
      </c>
      <c r="E2426" t="s">
        <v>69</v>
      </c>
      <c r="F2426">
        <v>-50337.784</v>
      </c>
      <c r="G2426">
        <v>2.2509999999999999</v>
      </c>
    </row>
    <row r="2427" spans="1:7" x14ac:dyDescent="0.2">
      <c r="A2427">
        <f t="shared" si="37"/>
        <v>107072</v>
      </c>
      <c r="B2427">
        <v>107</v>
      </c>
      <c r="C2427">
        <v>72</v>
      </c>
      <c r="D2427">
        <v>179</v>
      </c>
      <c r="E2427" t="s">
        <v>70</v>
      </c>
      <c r="F2427">
        <v>-50462.906999999999</v>
      </c>
      <c r="G2427">
        <v>1.413</v>
      </c>
    </row>
    <row r="2428" spans="1:7" x14ac:dyDescent="0.2">
      <c r="A2428">
        <f t="shared" si="37"/>
        <v>107073</v>
      </c>
      <c r="B2428">
        <v>107</v>
      </c>
      <c r="C2428">
        <v>73</v>
      </c>
      <c r="D2428">
        <v>180</v>
      </c>
      <c r="E2428" t="s">
        <v>71</v>
      </c>
      <c r="F2428">
        <v>-48932.877</v>
      </c>
      <c r="G2428">
        <v>1.9390000000000001</v>
      </c>
    </row>
    <row r="2429" spans="1:7" x14ac:dyDescent="0.2">
      <c r="A2429">
        <f t="shared" si="37"/>
        <v>107074</v>
      </c>
      <c r="B2429">
        <v>107</v>
      </c>
      <c r="C2429">
        <v>74</v>
      </c>
      <c r="D2429">
        <v>181</v>
      </c>
      <c r="E2429" t="s">
        <v>72</v>
      </c>
      <c r="F2429">
        <v>-48233.817999999999</v>
      </c>
      <c r="G2429">
        <v>1.4450000000000001</v>
      </c>
    </row>
    <row r="2430" spans="1:7" x14ac:dyDescent="0.2">
      <c r="A2430">
        <f t="shared" si="37"/>
        <v>107075</v>
      </c>
      <c r="B2430">
        <v>107</v>
      </c>
      <c r="C2430">
        <v>75</v>
      </c>
      <c r="D2430">
        <v>182</v>
      </c>
      <c r="E2430" t="s">
        <v>73</v>
      </c>
      <c r="F2430">
        <v>-45446.06</v>
      </c>
      <c r="G2430">
        <v>101.983</v>
      </c>
    </row>
    <row r="2431" spans="1:7" x14ac:dyDescent="0.2">
      <c r="A2431">
        <f t="shared" si="37"/>
        <v>107076</v>
      </c>
      <c r="B2431">
        <v>107</v>
      </c>
      <c r="C2431">
        <v>76</v>
      </c>
      <c r="D2431">
        <v>183</v>
      </c>
      <c r="E2431" t="s">
        <v>74</v>
      </c>
      <c r="F2431">
        <v>-43664.042999999998</v>
      </c>
      <c r="G2431">
        <v>49.76</v>
      </c>
    </row>
    <row r="2432" spans="1:7" x14ac:dyDescent="0.2">
      <c r="A2432">
        <f t="shared" si="37"/>
        <v>107077</v>
      </c>
      <c r="B2432">
        <v>107</v>
      </c>
      <c r="C2432">
        <v>77</v>
      </c>
      <c r="D2432">
        <v>184</v>
      </c>
      <c r="E2432" t="s">
        <v>75</v>
      </c>
      <c r="F2432">
        <v>-39610.851000000002</v>
      </c>
      <c r="G2432">
        <v>27.945</v>
      </c>
    </row>
    <row r="2433" spans="1:7" x14ac:dyDescent="0.2">
      <c r="A2433">
        <f t="shared" ref="A2433:A2496" si="38">1000*B2433+C2433</f>
        <v>107078</v>
      </c>
      <c r="B2433">
        <v>107</v>
      </c>
      <c r="C2433">
        <v>78</v>
      </c>
      <c r="D2433">
        <v>185</v>
      </c>
      <c r="E2433" t="s">
        <v>76</v>
      </c>
      <c r="F2433">
        <v>-36688.14</v>
      </c>
      <c r="G2433">
        <v>25.832000000000001</v>
      </c>
    </row>
    <row r="2434" spans="1:7" x14ac:dyDescent="0.2">
      <c r="A2434">
        <f t="shared" si="38"/>
        <v>107079</v>
      </c>
      <c r="B2434">
        <v>107</v>
      </c>
      <c r="C2434">
        <v>79</v>
      </c>
      <c r="D2434">
        <v>186</v>
      </c>
      <c r="E2434" t="s">
        <v>77</v>
      </c>
      <c r="F2434">
        <v>-31714.851999999999</v>
      </c>
      <c r="G2434">
        <v>20.966999999999999</v>
      </c>
    </row>
    <row r="2435" spans="1:7" x14ac:dyDescent="0.2">
      <c r="A2435">
        <f t="shared" si="38"/>
        <v>107080</v>
      </c>
      <c r="B2435">
        <v>107</v>
      </c>
      <c r="C2435">
        <v>80</v>
      </c>
      <c r="D2435">
        <v>187</v>
      </c>
      <c r="E2435" t="s">
        <v>78</v>
      </c>
      <c r="F2435">
        <v>-28117.93</v>
      </c>
      <c r="G2435">
        <v>13.904999999999999</v>
      </c>
    </row>
    <row r="2436" spans="1:7" x14ac:dyDescent="0.2">
      <c r="A2436">
        <f t="shared" si="38"/>
        <v>107081</v>
      </c>
      <c r="B2436">
        <v>107</v>
      </c>
      <c r="C2436">
        <v>81</v>
      </c>
      <c r="D2436">
        <v>188</v>
      </c>
      <c r="E2436" t="s">
        <v>79</v>
      </c>
      <c r="F2436">
        <v>-22336.400000000001</v>
      </c>
      <c r="G2436">
        <v>29.904</v>
      </c>
    </row>
    <row r="2437" spans="1:7" x14ac:dyDescent="0.2">
      <c r="A2437">
        <f t="shared" si="38"/>
        <v>107082</v>
      </c>
      <c r="B2437">
        <v>107</v>
      </c>
      <c r="C2437">
        <v>82</v>
      </c>
      <c r="D2437">
        <v>189</v>
      </c>
      <c r="E2437" t="s">
        <v>80</v>
      </c>
      <c r="F2437">
        <v>-17844.035</v>
      </c>
      <c r="G2437">
        <v>14.061999999999999</v>
      </c>
    </row>
    <row r="2438" spans="1:7" x14ac:dyDescent="0.2">
      <c r="A2438">
        <f t="shared" si="38"/>
        <v>107083</v>
      </c>
      <c r="B2438">
        <v>107</v>
      </c>
      <c r="C2438">
        <v>83</v>
      </c>
      <c r="D2438">
        <v>190</v>
      </c>
      <c r="E2438" t="s">
        <v>81</v>
      </c>
      <c r="F2438">
        <v>-10599.579</v>
      </c>
      <c r="G2438">
        <v>22.562000000000001</v>
      </c>
    </row>
    <row r="2439" spans="1:7" x14ac:dyDescent="0.2">
      <c r="A2439">
        <f t="shared" si="38"/>
        <v>107084</v>
      </c>
      <c r="B2439">
        <v>107</v>
      </c>
      <c r="C2439">
        <v>84</v>
      </c>
      <c r="D2439">
        <v>191</v>
      </c>
      <c r="E2439" t="s">
        <v>82</v>
      </c>
      <c r="F2439">
        <v>-5068.7349999999997</v>
      </c>
      <c r="G2439">
        <v>7.1029999999999998</v>
      </c>
    </row>
    <row r="2440" spans="1:7" x14ac:dyDescent="0.2">
      <c r="A2440">
        <f t="shared" si="38"/>
        <v>107085</v>
      </c>
      <c r="B2440">
        <v>107</v>
      </c>
      <c r="C2440">
        <v>85</v>
      </c>
      <c r="D2440">
        <v>192</v>
      </c>
      <c r="E2440" t="s">
        <v>83</v>
      </c>
      <c r="F2440">
        <v>2925.8539999999998</v>
      </c>
      <c r="G2440">
        <v>27.876000000000001</v>
      </c>
    </row>
    <row r="2441" spans="1:7" x14ac:dyDescent="0.2">
      <c r="A2441">
        <f t="shared" si="38"/>
        <v>107086</v>
      </c>
      <c r="B2441">
        <v>107</v>
      </c>
      <c r="C2441">
        <v>86</v>
      </c>
      <c r="D2441">
        <v>193</v>
      </c>
      <c r="E2441" t="s">
        <v>84</v>
      </c>
      <c r="F2441">
        <v>9042.9110000000001</v>
      </c>
      <c r="G2441">
        <v>25.111999999999998</v>
      </c>
    </row>
    <row r="2442" spans="1:7" x14ac:dyDescent="0.2">
      <c r="A2442">
        <f t="shared" si="38"/>
        <v>108066</v>
      </c>
      <c r="B2442">
        <v>108</v>
      </c>
      <c r="C2442">
        <v>66</v>
      </c>
      <c r="D2442">
        <v>174</v>
      </c>
      <c r="E2442" t="s">
        <v>64</v>
      </c>
      <c r="F2442" t="s">
        <v>1140</v>
      </c>
      <c r="G2442" t="s">
        <v>201</v>
      </c>
    </row>
    <row r="2443" spans="1:7" x14ac:dyDescent="0.2">
      <c r="A2443">
        <f t="shared" si="38"/>
        <v>108067</v>
      </c>
      <c r="B2443">
        <v>108</v>
      </c>
      <c r="C2443">
        <v>67</v>
      </c>
      <c r="D2443">
        <v>175</v>
      </c>
      <c r="E2443" t="s">
        <v>65</v>
      </c>
      <c r="F2443" t="s">
        <v>1144</v>
      </c>
      <c r="G2443" t="s">
        <v>199</v>
      </c>
    </row>
    <row r="2444" spans="1:7" x14ac:dyDescent="0.2">
      <c r="A2444">
        <f t="shared" si="38"/>
        <v>108068</v>
      </c>
      <c r="B2444">
        <v>108</v>
      </c>
      <c r="C2444">
        <v>68</v>
      </c>
      <c r="D2444">
        <v>176</v>
      </c>
      <c r="E2444" t="s">
        <v>66</v>
      </c>
      <c r="F2444" t="s">
        <v>869</v>
      </c>
      <c r="G2444" t="s">
        <v>199</v>
      </c>
    </row>
    <row r="2445" spans="1:7" x14ac:dyDescent="0.2">
      <c r="A2445">
        <f t="shared" si="38"/>
        <v>108069</v>
      </c>
      <c r="B2445">
        <v>108</v>
      </c>
      <c r="C2445">
        <v>69</v>
      </c>
      <c r="D2445">
        <v>177</v>
      </c>
      <c r="E2445" t="s">
        <v>67</v>
      </c>
      <c r="F2445" t="s">
        <v>267</v>
      </c>
      <c r="G2445" t="s">
        <v>202</v>
      </c>
    </row>
    <row r="2446" spans="1:7" x14ac:dyDescent="0.2">
      <c r="A2446">
        <f t="shared" si="38"/>
        <v>108070</v>
      </c>
      <c r="B2446">
        <v>108</v>
      </c>
      <c r="C2446">
        <v>70</v>
      </c>
      <c r="D2446">
        <v>178</v>
      </c>
      <c r="E2446" t="s">
        <v>68</v>
      </c>
      <c r="F2446">
        <v>-49695.474999999999</v>
      </c>
      <c r="G2446">
        <v>10</v>
      </c>
    </row>
    <row r="2447" spans="1:7" x14ac:dyDescent="0.2">
      <c r="A2447">
        <f t="shared" si="38"/>
        <v>108071</v>
      </c>
      <c r="B2447">
        <v>108</v>
      </c>
      <c r="C2447">
        <v>71</v>
      </c>
      <c r="D2447">
        <v>179</v>
      </c>
      <c r="E2447" t="s">
        <v>69</v>
      </c>
      <c r="F2447">
        <v>-49058.917999999998</v>
      </c>
      <c r="G2447">
        <v>5.15</v>
      </c>
    </row>
    <row r="2448" spans="1:7" x14ac:dyDescent="0.2">
      <c r="A2448">
        <f t="shared" si="38"/>
        <v>108072</v>
      </c>
      <c r="B2448">
        <v>108</v>
      </c>
      <c r="C2448">
        <v>72</v>
      </c>
      <c r="D2448">
        <v>180</v>
      </c>
      <c r="E2448" t="s">
        <v>70</v>
      </c>
      <c r="F2448">
        <v>-49779.347999999998</v>
      </c>
      <c r="G2448">
        <v>1.419</v>
      </c>
    </row>
    <row r="2449" spans="1:7" x14ac:dyDescent="0.2">
      <c r="A2449">
        <f t="shared" si="38"/>
        <v>108073</v>
      </c>
      <c r="B2449">
        <v>108</v>
      </c>
      <c r="C2449">
        <v>73</v>
      </c>
      <c r="D2449">
        <v>181</v>
      </c>
      <c r="E2449" t="s">
        <v>71</v>
      </c>
      <c r="F2449">
        <v>-48438.311000000002</v>
      </c>
      <c r="G2449">
        <v>1.403</v>
      </c>
    </row>
    <row r="2450" spans="1:7" x14ac:dyDescent="0.2">
      <c r="A2450">
        <f t="shared" si="38"/>
        <v>108074</v>
      </c>
      <c r="B2450">
        <v>108</v>
      </c>
      <c r="C2450">
        <v>74</v>
      </c>
      <c r="D2450">
        <v>182</v>
      </c>
      <c r="E2450" t="s">
        <v>72</v>
      </c>
      <c r="F2450">
        <v>-48246.06</v>
      </c>
      <c r="G2450">
        <v>0.73799999999999999</v>
      </c>
    </row>
    <row r="2451" spans="1:7" x14ac:dyDescent="0.2">
      <c r="A2451">
        <f t="shared" si="38"/>
        <v>108075</v>
      </c>
      <c r="B2451">
        <v>108</v>
      </c>
      <c r="C2451">
        <v>75</v>
      </c>
      <c r="D2451">
        <v>183</v>
      </c>
      <c r="E2451" t="s">
        <v>73</v>
      </c>
      <c r="F2451">
        <v>-45809.58</v>
      </c>
      <c r="G2451">
        <v>8.0340000000000007</v>
      </c>
    </row>
    <row r="2452" spans="1:7" x14ac:dyDescent="0.2">
      <c r="A2452">
        <f t="shared" si="38"/>
        <v>108076</v>
      </c>
      <c r="B2452">
        <v>108</v>
      </c>
      <c r="C2452">
        <v>76</v>
      </c>
      <c r="D2452">
        <v>184</v>
      </c>
      <c r="E2452" t="s">
        <v>74</v>
      </c>
      <c r="F2452">
        <v>-44252.533000000003</v>
      </c>
      <c r="G2452">
        <v>0.82699999999999996</v>
      </c>
    </row>
    <row r="2453" spans="1:7" x14ac:dyDescent="0.2">
      <c r="A2453">
        <f t="shared" si="38"/>
        <v>108077</v>
      </c>
      <c r="B2453">
        <v>108</v>
      </c>
      <c r="C2453">
        <v>77</v>
      </c>
      <c r="D2453">
        <v>185</v>
      </c>
      <c r="E2453" t="s">
        <v>75</v>
      </c>
      <c r="F2453">
        <v>-40335.553</v>
      </c>
      <c r="G2453">
        <v>27.945</v>
      </c>
    </row>
    <row r="2454" spans="1:7" x14ac:dyDescent="0.2">
      <c r="A2454">
        <f t="shared" si="38"/>
        <v>108078</v>
      </c>
      <c r="B2454">
        <v>108</v>
      </c>
      <c r="C2454">
        <v>78</v>
      </c>
      <c r="D2454">
        <v>186</v>
      </c>
      <c r="E2454" t="s">
        <v>76</v>
      </c>
      <c r="F2454">
        <v>-37864.442999999999</v>
      </c>
      <c r="G2454">
        <v>21.745000000000001</v>
      </c>
    </row>
    <row r="2455" spans="1:7" x14ac:dyDescent="0.2">
      <c r="A2455">
        <f t="shared" si="38"/>
        <v>108079</v>
      </c>
      <c r="B2455">
        <v>108</v>
      </c>
      <c r="C2455">
        <v>79</v>
      </c>
      <c r="D2455">
        <v>187</v>
      </c>
      <c r="E2455" t="s">
        <v>77</v>
      </c>
      <c r="F2455">
        <v>-33027.838000000003</v>
      </c>
      <c r="G2455">
        <v>22.308</v>
      </c>
    </row>
    <row r="2456" spans="1:7" x14ac:dyDescent="0.2">
      <c r="A2456">
        <f t="shared" si="38"/>
        <v>108080</v>
      </c>
      <c r="B2456">
        <v>108</v>
      </c>
      <c r="C2456">
        <v>80</v>
      </c>
      <c r="D2456">
        <v>188</v>
      </c>
      <c r="E2456" t="s">
        <v>78</v>
      </c>
      <c r="F2456">
        <v>-30201.914000000001</v>
      </c>
      <c r="G2456">
        <v>12.275</v>
      </c>
    </row>
    <row r="2457" spans="1:7" x14ac:dyDescent="0.2">
      <c r="A2457">
        <f t="shared" si="38"/>
        <v>108081</v>
      </c>
      <c r="B2457">
        <v>108</v>
      </c>
      <c r="C2457">
        <v>81</v>
      </c>
      <c r="D2457">
        <v>189</v>
      </c>
      <c r="E2457" t="s">
        <v>79</v>
      </c>
      <c r="F2457">
        <v>-24616.1</v>
      </c>
      <c r="G2457">
        <v>8.3680000000000003</v>
      </c>
    </row>
    <row r="2458" spans="1:7" x14ac:dyDescent="0.2">
      <c r="A2458">
        <f t="shared" si="38"/>
        <v>108082</v>
      </c>
      <c r="B2458">
        <v>108</v>
      </c>
      <c r="C2458">
        <v>82</v>
      </c>
      <c r="D2458">
        <v>190</v>
      </c>
      <c r="E2458" t="s">
        <v>80</v>
      </c>
      <c r="F2458">
        <v>-20416.645</v>
      </c>
      <c r="G2458">
        <v>12.513999999999999</v>
      </c>
    </row>
    <row r="2459" spans="1:7" x14ac:dyDescent="0.2">
      <c r="A2459">
        <f t="shared" si="38"/>
        <v>108083</v>
      </c>
      <c r="B2459">
        <v>108</v>
      </c>
      <c r="C2459">
        <v>83</v>
      </c>
      <c r="D2459">
        <v>191</v>
      </c>
      <c r="E2459" t="s">
        <v>81</v>
      </c>
      <c r="F2459">
        <v>-13239.347</v>
      </c>
      <c r="G2459">
        <v>7.4870000000000001</v>
      </c>
    </row>
    <row r="2460" spans="1:7" x14ac:dyDescent="0.2">
      <c r="A2460">
        <f t="shared" si="38"/>
        <v>108084</v>
      </c>
      <c r="B2460">
        <v>108</v>
      </c>
      <c r="C2460">
        <v>84</v>
      </c>
      <c r="D2460">
        <v>192</v>
      </c>
      <c r="E2460" t="s">
        <v>82</v>
      </c>
      <c r="F2460">
        <v>-8070.6610000000001</v>
      </c>
      <c r="G2460">
        <v>11.11</v>
      </c>
    </row>
    <row r="2461" spans="1:7" x14ac:dyDescent="0.2">
      <c r="A2461">
        <f t="shared" si="38"/>
        <v>108085</v>
      </c>
      <c r="B2461">
        <v>108</v>
      </c>
      <c r="C2461">
        <v>85</v>
      </c>
      <c r="D2461">
        <v>193</v>
      </c>
      <c r="E2461" t="s">
        <v>83</v>
      </c>
      <c r="F2461">
        <v>-67.319999999999993</v>
      </c>
      <c r="G2461">
        <v>21.632000000000001</v>
      </c>
    </row>
    <row r="2462" spans="1:7" x14ac:dyDescent="0.2">
      <c r="A2462">
        <f t="shared" si="38"/>
        <v>108086</v>
      </c>
      <c r="B2462">
        <v>108</v>
      </c>
      <c r="C2462">
        <v>86</v>
      </c>
      <c r="D2462">
        <v>194</v>
      </c>
      <c r="E2462" t="s">
        <v>84</v>
      </c>
      <c r="F2462">
        <v>5723.4949999999999</v>
      </c>
      <c r="G2462">
        <v>16.899000000000001</v>
      </c>
    </row>
    <row r="2463" spans="1:7" x14ac:dyDescent="0.2">
      <c r="A2463">
        <f t="shared" si="38"/>
        <v>109067</v>
      </c>
      <c r="B2463">
        <v>109</v>
      </c>
      <c r="C2463">
        <v>67</v>
      </c>
      <c r="D2463">
        <v>176</v>
      </c>
      <c r="E2463" t="s">
        <v>65</v>
      </c>
      <c r="F2463" t="s">
        <v>1146</v>
      </c>
      <c r="G2463" t="s">
        <v>201</v>
      </c>
    </row>
    <row r="2464" spans="1:7" x14ac:dyDescent="0.2">
      <c r="A2464">
        <f t="shared" si="38"/>
        <v>109068</v>
      </c>
      <c r="B2464">
        <v>109</v>
      </c>
      <c r="C2464">
        <v>68</v>
      </c>
      <c r="D2464">
        <v>177</v>
      </c>
      <c r="E2464" t="s">
        <v>66</v>
      </c>
      <c r="F2464" t="s">
        <v>1147</v>
      </c>
      <c r="G2464" t="s">
        <v>201</v>
      </c>
    </row>
    <row r="2465" spans="1:7" x14ac:dyDescent="0.2">
      <c r="A2465">
        <f t="shared" si="38"/>
        <v>109069</v>
      </c>
      <c r="B2465">
        <v>109</v>
      </c>
      <c r="C2465">
        <v>69</v>
      </c>
      <c r="D2465">
        <v>178</v>
      </c>
      <c r="E2465" t="s">
        <v>67</v>
      </c>
      <c r="F2465" t="s">
        <v>269</v>
      </c>
      <c r="G2465" t="s">
        <v>199</v>
      </c>
    </row>
    <row r="2466" spans="1:7" x14ac:dyDescent="0.2">
      <c r="A2466">
        <f t="shared" si="38"/>
        <v>109070</v>
      </c>
      <c r="B2466">
        <v>109</v>
      </c>
      <c r="C2466">
        <v>70</v>
      </c>
      <c r="D2466">
        <v>179</v>
      </c>
      <c r="E2466" t="s">
        <v>68</v>
      </c>
      <c r="F2466" t="s">
        <v>1152</v>
      </c>
      <c r="G2466" t="s">
        <v>206</v>
      </c>
    </row>
    <row r="2467" spans="1:7" x14ac:dyDescent="0.2">
      <c r="A2467">
        <f t="shared" si="38"/>
        <v>109071</v>
      </c>
      <c r="B2467">
        <v>109</v>
      </c>
      <c r="C2467">
        <v>71</v>
      </c>
      <c r="D2467">
        <v>180</v>
      </c>
      <c r="E2467" t="s">
        <v>69</v>
      </c>
      <c r="F2467">
        <v>-46676.347999999998</v>
      </c>
      <c r="G2467">
        <v>70.724999999999994</v>
      </c>
    </row>
    <row r="2468" spans="1:7" x14ac:dyDescent="0.2">
      <c r="A2468">
        <f t="shared" si="38"/>
        <v>109072</v>
      </c>
      <c r="B2468">
        <v>109</v>
      </c>
      <c r="C2468">
        <v>72</v>
      </c>
      <c r="D2468">
        <v>181</v>
      </c>
      <c r="E2468" t="s">
        <v>70</v>
      </c>
      <c r="F2468">
        <v>-47402.830999999998</v>
      </c>
      <c r="G2468">
        <v>1.42</v>
      </c>
    </row>
    <row r="2469" spans="1:7" x14ac:dyDescent="0.2">
      <c r="A2469">
        <f t="shared" si="38"/>
        <v>109073</v>
      </c>
      <c r="B2469">
        <v>109</v>
      </c>
      <c r="C2469">
        <v>73</v>
      </c>
      <c r="D2469">
        <v>182</v>
      </c>
      <c r="E2469" t="s">
        <v>71</v>
      </c>
      <c r="F2469">
        <v>-46429.934000000001</v>
      </c>
      <c r="G2469">
        <v>1.405</v>
      </c>
    </row>
    <row r="2470" spans="1:7" x14ac:dyDescent="0.2">
      <c r="A2470">
        <f t="shared" si="38"/>
        <v>109074</v>
      </c>
      <c r="B2470">
        <v>109</v>
      </c>
      <c r="C2470">
        <v>74</v>
      </c>
      <c r="D2470">
        <v>183</v>
      </c>
      <c r="E2470" t="s">
        <v>72</v>
      </c>
      <c r="F2470">
        <v>-46365.58</v>
      </c>
      <c r="G2470">
        <v>0.73699999999999999</v>
      </c>
    </row>
    <row r="2471" spans="1:7" x14ac:dyDescent="0.2">
      <c r="A2471">
        <f t="shared" si="38"/>
        <v>109075</v>
      </c>
      <c r="B2471">
        <v>109</v>
      </c>
      <c r="C2471">
        <v>75</v>
      </c>
      <c r="D2471">
        <v>184</v>
      </c>
      <c r="E2471" t="s">
        <v>73</v>
      </c>
      <c r="F2471">
        <v>-44219.633999999998</v>
      </c>
      <c r="G2471">
        <v>4.2750000000000004</v>
      </c>
    </row>
    <row r="2472" spans="1:7" x14ac:dyDescent="0.2">
      <c r="A2472">
        <f t="shared" si="38"/>
        <v>109076</v>
      </c>
      <c r="B2472">
        <v>109</v>
      </c>
      <c r="C2472">
        <v>76</v>
      </c>
      <c r="D2472">
        <v>185</v>
      </c>
      <c r="E2472" t="s">
        <v>74</v>
      </c>
      <c r="F2472">
        <v>-42805.88</v>
      </c>
      <c r="G2472">
        <v>0.83</v>
      </c>
    </row>
    <row r="2473" spans="1:7" x14ac:dyDescent="0.2">
      <c r="A2473">
        <f t="shared" si="38"/>
        <v>109077</v>
      </c>
      <c r="B2473">
        <v>109</v>
      </c>
      <c r="C2473">
        <v>77</v>
      </c>
      <c r="D2473">
        <v>186</v>
      </c>
      <c r="E2473" t="s">
        <v>75</v>
      </c>
      <c r="F2473">
        <v>-39172.345999999998</v>
      </c>
      <c r="G2473">
        <v>16.526</v>
      </c>
    </row>
    <row r="2474" spans="1:7" x14ac:dyDescent="0.2">
      <c r="A2474">
        <f t="shared" si="38"/>
        <v>109078</v>
      </c>
      <c r="B2474">
        <v>109</v>
      </c>
      <c r="C2474">
        <v>78</v>
      </c>
      <c r="D2474">
        <v>187</v>
      </c>
      <c r="E2474" t="s">
        <v>76</v>
      </c>
      <c r="F2474">
        <v>-36685.050000000003</v>
      </c>
      <c r="G2474">
        <v>24.047999999999998</v>
      </c>
    </row>
    <row r="2475" spans="1:7" x14ac:dyDescent="0.2">
      <c r="A2475">
        <f t="shared" si="38"/>
        <v>109079</v>
      </c>
      <c r="B2475">
        <v>109</v>
      </c>
      <c r="C2475">
        <v>79</v>
      </c>
      <c r="D2475">
        <v>188</v>
      </c>
      <c r="E2475" t="s">
        <v>77</v>
      </c>
      <c r="F2475">
        <v>-32371.308000000001</v>
      </c>
      <c r="G2475">
        <v>2.7010000000000001</v>
      </c>
    </row>
    <row r="2476" spans="1:7" x14ac:dyDescent="0.2">
      <c r="A2476">
        <f t="shared" si="38"/>
        <v>109080</v>
      </c>
      <c r="B2476">
        <v>109</v>
      </c>
      <c r="C2476">
        <v>80</v>
      </c>
      <c r="D2476">
        <v>189</v>
      </c>
      <c r="E2476" t="s">
        <v>78</v>
      </c>
      <c r="F2476">
        <v>-29626.401000000002</v>
      </c>
      <c r="G2476">
        <v>31.553000000000001</v>
      </c>
    </row>
    <row r="2477" spans="1:7" x14ac:dyDescent="0.2">
      <c r="A2477">
        <f t="shared" si="38"/>
        <v>109081</v>
      </c>
      <c r="B2477">
        <v>109</v>
      </c>
      <c r="C2477">
        <v>81</v>
      </c>
      <c r="D2477">
        <v>190</v>
      </c>
      <c r="E2477" t="s">
        <v>79</v>
      </c>
      <c r="F2477">
        <v>-24372.026999999998</v>
      </c>
      <c r="G2477">
        <v>7.9480000000000004</v>
      </c>
    </row>
    <row r="2478" spans="1:7" x14ac:dyDescent="0.2">
      <c r="A2478">
        <f t="shared" si="38"/>
        <v>109082</v>
      </c>
      <c r="B2478">
        <v>109</v>
      </c>
      <c r="C2478">
        <v>82</v>
      </c>
      <c r="D2478">
        <v>191</v>
      </c>
      <c r="E2478" t="s">
        <v>80</v>
      </c>
      <c r="F2478">
        <v>-20231.117999999999</v>
      </c>
      <c r="G2478">
        <v>37.26</v>
      </c>
    </row>
    <row r="2479" spans="1:7" x14ac:dyDescent="0.2">
      <c r="A2479">
        <f t="shared" si="38"/>
        <v>109083</v>
      </c>
      <c r="B2479">
        <v>109</v>
      </c>
      <c r="C2479">
        <v>83</v>
      </c>
      <c r="D2479">
        <v>192</v>
      </c>
      <c r="E2479" t="s">
        <v>81</v>
      </c>
      <c r="F2479">
        <v>-13534.535</v>
      </c>
      <c r="G2479">
        <v>30.111999999999998</v>
      </c>
    </row>
    <row r="2480" spans="1:7" x14ac:dyDescent="0.2">
      <c r="A2480">
        <f t="shared" si="38"/>
        <v>109084</v>
      </c>
      <c r="B2480">
        <v>109</v>
      </c>
      <c r="C2480">
        <v>84</v>
      </c>
      <c r="D2480">
        <v>193</v>
      </c>
      <c r="E2480" t="s">
        <v>82</v>
      </c>
      <c r="F2480">
        <v>-8325.3179999999993</v>
      </c>
      <c r="G2480">
        <v>14.531000000000001</v>
      </c>
    </row>
    <row r="2481" spans="1:7" x14ac:dyDescent="0.2">
      <c r="A2481">
        <f t="shared" si="38"/>
        <v>109085</v>
      </c>
      <c r="B2481">
        <v>109</v>
      </c>
      <c r="C2481">
        <v>85</v>
      </c>
      <c r="D2481">
        <v>194</v>
      </c>
      <c r="E2481" t="s">
        <v>83</v>
      </c>
      <c r="F2481">
        <v>-720.16300000000001</v>
      </c>
      <c r="G2481">
        <v>24.931000000000001</v>
      </c>
    </row>
    <row r="2482" spans="1:7" x14ac:dyDescent="0.2">
      <c r="A2482">
        <f t="shared" si="38"/>
        <v>109086</v>
      </c>
      <c r="B2482">
        <v>109</v>
      </c>
      <c r="C2482">
        <v>86</v>
      </c>
      <c r="D2482">
        <v>195</v>
      </c>
      <c r="E2482" t="s">
        <v>84</v>
      </c>
      <c r="F2482">
        <v>5050.2809999999999</v>
      </c>
      <c r="G2482">
        <v>50.502000000000002</v>
      </c>
    </row>
    <row r="2483" spans="1:7" x14ac:dyDescent="0.2">
      <c r="A2483">
        <f t="shared" si="38"/>
        <v>110068</v>
      </c>
      <c r="B2483">
        <v>110</v>
      </c>
      <c r="C2483">
        <v>68</v>
      </c>
      <c r="D2483">
        <v>178</v>
      </c>
      <c r="E2483" t="s">
        <v>66</v>
      </c>
      <c r="F2483" t="s">
        <v>1148</v>
      </c>
      <c r="G2483" t="s">
        <v>211</v>
      </c>
    </row>
    <row r="2484" spans="1:7" x14ac:dyDescent="0.2">
      <c r="A2484">
        <f t="shared" si="38"/>
        <v>110069</v>
      </c>
      <c r="B2484">
        <v>110</v>
      </c>
      <c r="C2484">
        <v>69</v>
      </c>
      <c r="D2484">
        <v>179</v>
      </c>
      <c r="E2484" t="s">
        <v>67</v>
      </c>
      <c r="F2484" t="s">
        <v>270</v>
      </c>
      <c r="G2484" t="s">
        <v>201</v>
      </c>
    </row>
    <row r="2485" spans="1:7" x14ac:dyDescent="0.2">
      <c r="A2485">
        <f t="shared" si="38"/>
        <v>110070</v>
      </c>
      <c r="B2485">
        <v>110</v>
      </c>
      <c r="C2485">
        <v>70</v>
      </c>
      <c r="D2485">
        <v>180</v>
      </c>
      <c r="E2485" t="s">
        <v>68</v>
      </c>
      <c r="F2485" t="s">
        <v>255</v>
      </c>
      <c r="G2485" t="s">
        <v>202</v>
      </c>
    </row>
    <row r="2486" spans="1:7" x14ac:dyDescent="0.2">
      <c r="A2486">
        <f t="shared" si="38"/>
        <v>110071</v>
      </c>
      <c r="B2486">
        <v>110</v>
      </c>
      <c r="C2486">
        <v>71</v>
      </c>
      <c r="D2486">
        <v>181</v>
      </c>
      <c r="E2486" t="s">
        <v>69</v>
      </c>
      <c r="F2486">
        <v>-44797.41</v>
      </c>
      <c r="G2486">
        <v>125.752</v>
      </c>
    </row>
    <row r="2487" spans="1:7" x14ac:dyDescent="0.2">
      <c r="A2487">
        <f t="shared" si="38"/>
        <v>110072</v>
      </c>
      <c r="B2487">
        <v>110</v>
      </c>
      <c r="C2487">
        <v>72</v>
      </c>
      <c r="D2487">
        <v>182</v>
      </c>
      <c r="E2487" t="s">
        <v>70</v>
      </c>
      <c r="F2487">
        <v>-46049.508000000002</v>
      </c>
      <c r="G2487">
        <v>6.165</v>
      </c>
    </row>
    <row r="2488" spans="1:7" x14ac:dyDescent="0.2">
      <c r="A2488">
        <f t="shared" si="38"/>
        <v>110073</v>
      </c>
      <c r="B2488">
        <v>110</v>
      </c>
      <c r="C2488">
        <v>73</v>
      </c>
      <c r="D2488">
        <v>183</v>
      </c>
      <c r="E2488" t="s">
        <v>71</v>
      </c>
      <c r="F2488">
        <v>-45292.796000000002</v>
      </c>
      <c r="G2488">
        <v>1.419</v>
      </c>
    </row>
    <row r="2489" spans="1:7" x14ac:dyDescent="0.2">
      <c r="A2489">
        <f t="shared" si="38"/>
        <v>110074</v>
      </c>
      <c r="B2489">
        <v>110</v>
      </c>
      <c r="C2489">
        <v>74</v>
      </c>
      <c r="D2489">
        <v>184</v>
      </c>
      <c r="E2489" t="s">
        <v>72</v>
      </c>
      <c r="F2489">
        <v>-45705.373</v>
      </c>
      <c r="G2489">
        <v>0.73099999999999998</v>
      </c>
    </row>
    <row r="2490" spans="1:7" x14ac:dyDescent="0.2">
      <c r="A2490">
        <f t="shared" si="38"/>
        <v>110075</v>
      </c>
      <c r="B2490">
        <v>110</v>
      </c>
      <c r="C2490">
        <v>75</v>
      </c>
      <c r="D2490">
        <v>185</v>
      </c>
      <c r="E2490" t="s">
        <v>73</v>
      </c>
      <c r="F2490">
        <v>-43819.027000000002</v>
      </c>
      <c r="G2490">
        <v>0.81799999999999995</v>
      </c>
    </row>
    <row r="2491" spans="1:7" x14ac:dyDescent="0.2">
      <c r="A2491">
        <f t="shared" si="38"/>
        <v>110076</v>
      </c>
      <c r="B2491">
        <v>110</v>
      </c>
      <c r="C2491">
        <v>76</v>
      </c>
      <c r="D2491">
        <v>186</v>
      </c>
      <c r="E2491" t="s">
        <v>74</v>
      </c>
      <c r="F2491">
        <v>-42999.942999999999</v>
      </c>
      <c r="G2491">
        <v>0.76100000000000001</v>
      </c>
    </row>
    <row r="2492" spans="1:7" x14ac:dyDescent="0.2">
      <c r="A2492">
        <f t="shared" si="38"/>
        <v>110077</v>
      </c>
      <c r="B2492">
        <v>110</v>
      </c>
      <c r="C2492">
        <v>77</v>
      </c>
      <c r="D2492">
        <v>187</v>
      </c>
      <c r="E2492" t="s">
        <v>75</v>
      </c>
      <c r="F2492">
        <v>-39549.372000000003</v>
      </c>
      <c r="G2492">
        <v>27.945</v>
      </c>
    </row>
    <row r="2493" spans="1:7" x14ac:dyDescent="0.2">
      <c r="A2493">
        <f t="shared" si="38"/>
        <v>110078</v>
      </c>
      <c r="B2493">
        <v>110</v>
      </c>
      <c r="C2493">
        <v>78</v>
      </c>
      <c r="D2493">
        <v>188</v>
      </c>
      <c r="E2493" t="s">
        <v>76</v>
      </c>
      <c r="F2493">
        <v>-37820.928999999996</v>
      </c>
      <c r="G2493">
        <v>5.3040000000000003</v>
      </c>
    </row>
    <row r="2494" spans="1:7" x14ac:dyDescent="0.2">
      <c r="A2494">
        <f t="shared" si="38"/>
        <v>110079</v>
      </c>
      <c r="B2494">
        <v>110</v>
      </c>
      <c r="C2494">
        <v>79</v>
      </c>
      <c r="D2494">
        <v>189</v>
      </c>
      <c r="E2494" t="s">
        <v>77</v>
      </c>
      <c r="F2494">
        <v>-33581.955000000002</v>
      </c>
      <c r="G2494">
        <v>20.081</v>
      </c>
    </row>
    <row r="2495" spans="1:7" x14ac:dyDescent="0.2">
      <c r="A2495">
        <f t="shared" si="38"/>
        <v>110080</v>
      </c>
      <c r="B2495">
        <v>110</v>
      </c>
      <c r="C2495">
        <v>80</v>
      </c>
      <c r="D2495">
        <v>190</v>
      </c>
      <c r="E2495" t="s">
        <v>78</v>
      </c>
      <c r="F2495">
        <v>-31370.697</v>
      </c>
      <c r="G2495">
        <v>15.907</v>
      </c>
    </row>
    <row r="2496" spans="1:7" x14ac:dyDescent="0.2">
      <c r="A2496">
        <f t="shared" si="38"/>
        <v>110081</v>
      </c>
      <c r="B2496">
        <v>110</v>
      </c>
      <c r="C2496">
        <v>81</v>
      </c>
      <c r="D2496">
        <v>191</v>
      </c>
      <c r="E2496" t="s">
        <v>79</v>
      </c>
      <c r="F2496">
        <v>-26282.945</v>
      </c>
      <c r="G2496">
        <v>7.3490000000000002</v>
      </c>
    </row>
    <row r="2497" spans="1:7" x14ac:dyDescent="0.2">
      <c r="A2497">
        <f t="shared" ref="A2497:A2560" si="39">1000*B2497+C2497</f>
        <v>110082</v>
      </c>
      <c r="B2497">
        <v>110</v>
      </c>
      <c r="C2497">
        <v>82</v>
      </c>
      <c r="D2497">
        <v>192</v>
      </c>
      <c r="E2497" t="s">
        <v>80</v>
      </c>
      <c r="F2497">
        <v>-22556.02</v>
      </c>
      <c r="G2497">
        <v>13.295</v>
      </c>
    </row>
    <row r="2498" spans="1:7" x14ac:dyDescent="0.2">
      <c r="A2498">
        <f t="shared" si="39"/>
        <v>110083</v>
      </c>
      <c r="B2498">
        <v>110</v>
      </c>
      <c r="C2498">
        <v>83</v>
      </c>
      <c r="D2498">
        <v>193</v>
      </c>
      <c r="E2498" t="s">
        <v>81</v>
      </c>
      <c r="F2498">
        <v>-15884.558999999999</v>
      </c>
      <c r="G2498">
        <v>7.5759999999999996</v>
      </c>
    </row>
    <row r="2499" spans="1:7" x14ac:dyDescent="0.2">
      <c r="A2499">
        <f t="shared" si="39"/>
        <v>110084</v>
      </c>
      <c r="B2499">
        <v>110</v>
      </c>
      <c r="C2499">
        <v>84</v>
      </c>
      <c r="D2499">
        <v>194</v>
      </c>
      <c r="E2499" t="s">
        <v>82</v>
      </c>
      <c r="F2499">
        <v>-11004.655000000001</v>
      </c>
      <c r="G2499">
        <v>12.911</v>
      </c>
    </row>
    <row r="2500" spans="1:7" x14ac:dyDescent="0.2">
      <c r="A2500">
        <f t="shared" si="39"/>
        <v>110085</v>
      </c>
      <c r="B2500">
        <v>110</v>
      </c>
      <c r="C2500">
        <v>85</v>
      </c>
      <c r="D2500">
        <v>195</v>
      </c>
      <c r="E2500" t="s">
        <v>83</v>
      </c>
      <c r="F2500">
        <v>-3470.2950000000001</v>
      </c>
      <c r="G2500">
        <v>9.5730000000000004</v>
      </c>
    </row>
    <row r="2501" spans="1:7" x14ac:dyDescent="0.2">
      <c r="A2501">
        <f t="shared" si="39"/>
        <v>110086</v>
      </c>
      <c r="B2501">
        <v>110</v>
      </c>
      <c r="C2501">
        <v>86</v>
      </c>
      <c r="D2501">
        <v>196</v>
      </c>
      <c r="E2501" t="s">
        <v>84</v>
      </c>
      <c r="F2501">
        <v>1970.991</v>
      </c>
      <c r="G2501">
        <v>14.417</v>
      </c>
    </row>
    <row r="2502" spans="1:7" x14ac:dyDescent="0.2">
      <c r="A2502">
        <f t="shared" si="39"/>
        <v>110087</v>
      </c>
      <c r="B2502">
        <v>110</v>
      </c>
      <c r="C2502">
        <v>87</v>
      </c>
      <c r="D2502">
        <v>197</v>
      </c>
      <c r="E2502" t="s">
        <v>85</v>
      </c>
      <c r="F2502">
        <v>10253.971</v>
      </c>
      <c r="G2502">
        <v>54.404000000000003</v>
      </c>
    </row>
    <row r="2503" spans="1:7" x14ac:dyDescent="0.2">
      <c r="A2503">
        <f t="shared" si="39"/>
        <v>111069</v>
      </c>
      <c r="B2503">
        <v>111</v>
      </c>
      <c r="C2503">
        <v>69</v>
      </c>
      <c r="D2503">
        <v>180</v>
      </c>
      <c r="E2503" t="s">
        <v>67</v>
      </c>
      <c r="F2503" t="s">
        <v>1153</v>
      </c>
      <c r="G2503" t="s">
        <v>201</v>
      </c>
    </row>
    <row r="2504" spans="1:7" x14ac:dyDescent="0.2">
      <c r="A2504">
        <f t="shared" si="39"/>
        <v>111070</v>
      </c>
      <c r="B2504">
        <v>111</v>
      </c>
      <c r="C2504">
        <v>70</v>
      </c>
      <c r="D2504">
        <v>181</v>
      </c>
      <c r="E2504" t="s">
        <v>68</v>
      </c>
      <c r="F2504" t="s">
        <v>1083</v>
      </c>
      <c r="G2504" t="s">
        <v>202</v>
      </c>
    </row>
    <row r="2505" spans="1:7" x14ac:dyDescent="0.2">
      <c r="A2505">
        <f t="shared" si="39"/>
        <v>111071</v>
      </c>
      <c r="B2505">
        <v>111</v>
      </c>
      <c r="C2505">
        <v>71</v>
      </c>
      <c r="D2505">
        <v>182</v>
      </c>
      <c r="E2505" t="s">
        <v>69</v>
      </c>
      <c r="F2505" t="s">
        <v>1156</v>
      </c>
      <c r="G2505" t="s">
        <v>206</v>
      </c>
    </row>
    <row r="2506" spans="1:7" x14ac:dyDescent="0.2">
      <c r="A2506">
        <f t="shared" si="39"/>
        <v>111072</v>
      </c>
      <c r="B2506">
        <v>111</v>
      </c>
      <c r="C2506">
        <v>72</v>
      </c>
      <c r="D2506">
        <v>183</v>
      </c>
      <c r="E2506" t="s">
        <v>70</v>
      </c>
      <c r="F2506">
        <v>-43282.796000000002</v>
      </c>
      <c r="G2506">
        <v>30.033999999999999</v>
      </c>
    </row>
    <row r="2507" spans="1:7" x14ac:dyDescent="0.2">
      <c r="A2507">
        <f t="shared" si="39"/>
        <v>111073</v>
      </c>
      <c r="B2507">
        <v>111</v>
      </c>
      <c r="C2507">
        <v>73</v>
      </c>
      <c r="D2507">
        <v>184</v>
      </c>
      <c r="E2507" t="s">
        <v>71</v>
      </c>
      <c r="F2507">
        <v>-42839.373</v>
      </c>
      <c r="G2507">
        <v>26.01</v>
      </c>
    </row>
    <row r="2508" spans="1:7" x14ac:dyDescent="0.2">
      <c r="A2508">
        <f t="shared" si="39"/>
        <v>111074</v>
      </c>
      <c r="B2508">
        <v>111</v>
      </c>
      <c r="C2508">
        <v>74</v>
      </c>
      <c r="D2508">
        <v>185</v>
      </c>
      <c r="E2508" t="s">
        <v>72</v>
      </c>
      <c r="F2508">
        <v>-43387.792999999998</v>
      </c>
      <c r="G2508">
        <v>0.73299999999999998</v>
      </c>
    </row>
    <row r="2509" spans="1:7" x14ac:dyDescent="0.2">
      <c r="A2509">
        <f t="shared" si="39"/>
        <v>111075</v>
      </c>
      <c r="B2509">
        <v>111</v>
      </c>
      <c r="C2509">
        <v>75</v>
      </c>
      <c r="D2509">
        <v>186</v>
      </c>
      <c r="E2509" t="s">
        <v>73</v>
      </c>
      <c r="F2509">
        <v>-41927.086000000003</v>
      </c>
      <c r="G2509">
        <v>0.82599999999999996</v>
      </c>
    </row>
    <row r="2510" spans="1:7" x14ac:dyDescent="0.2">
      <c r="A2510">
        <f t="shared" si="39"/>
        <v>111076</v>
      </c>
      <c r="B2510">
        <v>111</v>
      </c>
      <c r="C2510">
        <v>76</v>
      </c>
      <c r="D2510">
        <v>187</v>
      </c>
      <c r="E2510" t="s">
        <v>74</v>
      </c>
      <c r="F2510">
        <v>-41218.945</v>
      </c>
      <c r="G2510">
        <v>0.73599999999999999</v>
      </c>
    </row>
    <row r="2511" spans="1:7" x14ac:dyDescent="0.2">
      <c r="A2511">
        <f t="shared" si="39"/>
        <v>111077</v>
      </c>
      <c r="B2511">
        <v>111</v>
      </c>
      <c r="C2511">
        <v>77</v>
      </c>
      <c r="D2511">
        <v>188</v>
      </c>
      <c r="E2511" t="s">
        <v>75</v>
      </c>
      <c r="F2511">
        <v>-38344.906999999999</v>
      </c>
      <c r="G2511">
        <v>9.423</v>
      </c>
    </row>
    <row r="2512" spans="1:7" x14ac:dyDescent="0.2">
      <c r="A2512">
        <f t="shared" si="39"/>
        <v>111078</v>
      </c>
      <c r="B2512">
        <v>111</v>
      </c>
      <c r="C2512">
        <v>78</v>
      </c>
      <c r="D2512">
        <v>189</v>
      </c>
      <c r="E2512" t="s">
        <v>76</v>
      </c>
      <c r="F2512">
        <v>-36469.347999999998</v>
      </c>
      <c r="G2512">
        <v>10.09</v>
      </c>
    </row>
    <row r="2513" spans="1:7" x14ac:dyDescent="0.2">
      <c r="A2513">
        <f t="shared" si="39"/>
        <v>111079</v>
      </c>
      <c r="B2513">
        <v>111</v>
      </c>
      <c r="C2513">
        <v>79</v>
      </c>
      <c r="D2513">
        <v>190</v>
      </c>
      <c r="E2513" t="s">
        <v>77</v>
      </c>
      <c r="F2513">
        <v>-32833.533000000003</v>
      </c>
      <c r="G2513">
        <v>3.4470000000000001</v>
      </c>
    </row>
    <row r="2514" spans="1:7" x14ac:dyDescent="0.2">
      <c r="A2514">
        <f t="shared" si="39"/>
        <v>111080</v>
      </c>
      <c r="B2514">
        <v>111</v>
      </c>
      <c r="C2514">
        <v>80</v>
      </c>
      <c r="D2514">
        <v>191</v>
      </c>
      <c r="E2514" t="s">
        <v>78</v>
      </c>
      <c r="F2514">
        <v>-30591.896000000001</v>
      </c>
      <c r="G2514">
        <v>22.28</v>
      </c>
    </row>
    <row r="2515" spans="1:7" x14ac:dyDescent="0.2">
      <c r="A2515">
        <f t="shared" si="39"/>
        <v>111081</v>
      </c>
      <c r="B2515">
        <v>111</v>
      </c>
      <c r="C2515">
        <v>81</v>
      </c>
      <c r="D2515">
        <v>192</v>
      </c>
      <c r="E2515" t="s">
        <v>79</v>
      </c>
      <c r="F2515">
        <v>-25872.245999999999</v>
      </c>
      <c r="G2515">
        <v>31.670999999999999</v>
      </c>
    </row>
    <row r="2516" spans="1:7" x14ac:dyDescent="0.2">
      <c r="A2516">
        <f t="shared" si="39"/>
        <v>111082</v>
      </c>
      <c r="B2516">
        <v>111</v>
      </c>
      <c r="C2516">
        <v>82</v>
      </c>
      <c r="D2516">
        <v>193</v>
      </c>
      <c r="E2516" t="s">
        <v>80</v>
      </c>
      <c r="F2516">
        <v>-22194.49</v>
      </c>
      <c r="G2516">
        <v>49.576999999999998</v>
      </c>
    </row>
    <row r="2517" spans="1:7" x14ac:dyDescent="0.2">
      <c r="A2517">
        <f t="shared" si="39"/>
        <v>111083</v>
      </c>
      <c r="B2517">
        <v>111</v>
      </c>
      <c r="C2517">
        <v>83</v>
      </c>
      <c r="D2517">
        <v>194</v>
      </c>
      <c r="E2517" t="s">
        <v>81</v>
      </c>
      <c r="F2517">
        <v>-16028.811</v>
      </c>
      <c r="G2517">
        <v>6.1779999999999999</v>
      </c>
    </row>
    <row r="2518" spans="1:7" x14ac:dyDescent="0.2">
      <c r="A2518">
        <f t="shared" si="39"/>
        <v>111084</v>
      </c>
      <c r="B2518">
        <v>111</v>
      </c>
      <c r="C2518">
        <v>84</v>
      </c>
      <c r="D2518">
        <v>195</v>
      </c>
      <c r="E2518" t="s">
        <v>82</v>
      </c>
      <c r="F2518">
        <v>-11056.259</v>
      </c>
      <c r="G2518">
        <v>37.363999999999997</v>
      </c>
    </row>
    <row r="2519" spans="1:7" x14ac:dyDescent="0.2">
      <c r="A2519">
        <f t="shared" si="39"/>
        <v>111085</v>
      </c>
      <c r="B2519">
        <v>111</v>
      </c>
      <c r="C2519">
        <v>85</v>
      </c>
      <c r="D2519">
        <v>196</v>
      </c>
      <c r="E2519" t="s">
        <v>83</v>
      </c>
      <c r="F2519">
        <v>-3914.6770000000001</v>
      </c>
      <c r="G2519">
        <v>30.283999999999999</v>
      </c>
    </row>
    <row r="2520" spans="1:7" x14ac:dyDescent="0.2">
      <c r="A2520">
        <f t="shared" si="39"/>
        <v>111086</v>
      </c>
      <c r="B2520">
        <v>111</v>
      </c>
      <c r="C2520">
        <v>86</v>
      </c>
      <c r="D2520">
        <v>197</v>
      </c>
      <c r="E2520" t="s">
        <v>84</v>
      </c>
      <c r="F2520">
        <v>1510.3530000000001</v>
      </c>
      <c r="G2520">
        <v>16.193000000000001</v>
      </c>
    </row>
    <row r="2521" spans="1:7" x14ac:dyDescent="0.2">
      <c r="A2521">
        <f t="shared" si="39"/>
        <v>111087</v>
      </c>
      <c r="B2521">
        <v>111</v>
      </c>
      <c r="C2521">
        <v>87</v>
      </c>
      <c r="D2521">
        <v>198</v>
      </c>
      <c r="E2521" t="s">
        <v>85</v>
      </c>
      <c r="F2521">
        <v>9574.0239999999994</v>
      </c>
      <c r="G2521">
        <v>32.222000000000001</v>
      </c>
    </row>
    <row r="2522" spans="1:7" x14ac:dyDescent="0.2">
      <c r="A2522">
        <f t="shared" si="39"/>
        <v>112069</v>
      </c>
      <c r="B2522">
        <v>112</v>
      </c>
      <c r="C2522">
        <v>69</v>
      </c>
      <c r="D2522">
        <v>181</v>
      </c>
      <c r="E2522" t="s">
        <v>67</v>
      </c>
      <c r="F2522" t="s">
        <v>1154</v>
      </c>
      <c r="G2522" t="s">
        <v>211</v>
      </c>
    </row>
    <row r="2523" spans="1:7" x14ac:dyDescent="0.2">
      <c r="A2523">
        <f t="shared" si="39"/>
        <v>112070</v>
      </c>
      <c r="B2523">
        <v>112</v>
      </c>
      <c r="C2523">
        <v>70</v>
      </c>
      <c r="D2523">
        <v>182</v>
      </c>
      <c r="E2523" t="s">
        <v>68</v>
      </c>
      <c r="F2523" t="s">
        <v>1155</v>
      </c>
      <c r="G2523" t="s">
        <v>199</v>
      </c>
    </row>
    <row r="2524" spans="1:7" x14ac:dyDescent="0.2">
      <c r="A2524">
        <f t="shared" si="39"/>
        <v>112071</v>
      </c>
      <c r="B2524">
        <v>112</v>
      </c>
      <c r="C2524">
        <v>71</v>
      </c>
      <c r="D2524">
        <v>183</v>
      </c>
      <c r="E2524" t="s">
        <v>69</v>
      </c>
      <c r="F2524">
        <v>-39716.11</v>
      </c>
      <c r="G2524">
        <v>80.108000000000004</v>
      </c>
    </row>
    <row r="2525" spans="1:7" x14ac:dyDescent="0.2">
      <c r="A2525">
        <f t="shared" si="39"/>
        <v>112072</v>
      </c>
      <c r="B2525">
        <v>112</v>
      </c>
      <c r="C2525">
        <v>72</v>
      </c>
      <c r="D2525">
        <v>184</v>
      </c>
      <c r="E2525" t="s">
        <v>70</v>
      </c>
      <c r="F2525">
        <v>-41499.373</v>
      </c>
      <c r="G2525">
        <v>39.706000000000003</v>
      </c>
    </row>
    <row r="2526" spans="1:7" x14ac:dyDescent="0.2">
      <c r="A2526">
        <f t="shared" si="39"/>
        <v>112073</v>
      </c>
      <c r="B2526">
        <v>112</v>
      </c>
      <c r="C2526">
        <v>73</v>
      </c>
      <c r="D2526">
        <v>185</v>
      </c>
      <c r="E2526" t="s">
        <v>71</v>
      </c>
      <c r="F2526">
        <v>-41394.292999999998</v>
      </c>
      <c r="G2526">
        <v>14.161</v>
      </c>
    </row>
    <row r="2527" spans="1:7" x14ac:dyDescent="0.2">
      <c r="A2527">
        <f t="shared" si="39"/>
        <v>112074</v>
      </c>
      <c r="B2527">
        <v>112</v>
      </c>
      <c r="C2527">
        <v>74</v>
      </c>
      <c r="D2527">
        <v>186</v>
      </c>
      <c r="E2527" t="s">
        <v>72</v>
      </c>
      <c r="F2527">
        <v>-42508.527999999998</v>
      </c>
      <c r="G2527">
        <v>1.212</v>
      </c>
    </row>
    <row r="2528" spans="1:7" x14ac:dyDescent="0.2">
      <c r="A2528">
        <f t="shared" si="39"/>
        <v>112075</v>
      </c>
      <c r="B2528">
        <v>112</v>
      </c>
      <c r="C2528">
        <v>75</v>
      </c>
      <c r="D2528">
        <v>187</v>
      </c>
      <c r="E2528" t="s">
        <v>73</v>
      </c>
      <c r="F2528">
        <v>-41216.478000000003</v>
      </c>
      <c r="G2528">
        <v>0.73599999999999999</v>
      </c>
    </row>
    <row r="2529" spans="1:7" x14ac:dyDescent="0.2">
      <c r="A2529">
        <f t="shared" si="39"/>
        <v>112076</v>
      </c>
      <c r="B2529">
        <v>112</v>
      </c>
      <c r="C2529">
        <v>76</v>
      </c>
      <c r="D2529">
        <v>188</v>
      </c>
      <c r="E2529" t="s">
        <v>74</v>
      </c>
      <c r="F2529">
        <v>-41137.233</v>
      </c>
      <c r="G2529">
        <v>0.73399999999999999</v>
      </c>
    </row>
    <row r="2530" spans="1:7" x14ac:dyDescent="0.2">
      <c r="A2530">
        <f t="shared" si="39"/>
        <v>112077</v>
      </c>
      <c r="B2530">
        <v>112</v>
      </c>
      <c r="C2530">
        <v>77</v>
      </c>
      <c r="D2530">
        <v>189</v>
      </c>
      <c r="E2530" t="s">
        <v>75</v>
      </c>
      <c r="F2530">
        <v>-38449.586000000003</v>
      </c>
      <c r="G2530">
        <v>12.576000000000001</v>
      </c>
    </row>
    <row r="2531" spans="1:7" x14ac:dyDescent="0.2">
      <c r="A2531">
        <f t="shared" si="39"/>
        <v>112078</v>
      </c>
      <c r="B2531">
        <v>112</v>
      </c>
      <c r="C2531">
        <v>78</v>
      </c>
      <c r="D2531">
        <v>190</v>
      </c>
      <c r="E2531" t="s">
        <v>76</v>
      </c>
      <c r="F2531">
        <v>-37306.449999999997</v>
      </c>
      <c r="G2531">
        <v>0.65700000000000003</v>
      </c>
    </row>
    <row r="2532" spans="1:7" x14ac:dyDescent="0.2">
      <c r="A2532">
        <f t="shared" si="39"/>
        <v>112079</v>
      </c>
      <c r="B2532">
        <v>112</v>
      </c>
      <c r="C2532">
        <v>79</v>
      </c>
      <c r="D2532">
        <v>191</v>
      </c>
      <c r="E2532" t="s">
        <v>77</v>
      </c>
      <c r="F2532">
        <v>-33797.904000000002</v>
      </c>
      <c r="G2532">
        <v>4.9260000000000002</v>
      </c>
    </row>
    <row r="2533" spans="1:7" x14ac:dyDescent="0.2">
      <c r="A2533">
        <f t="shared" si="39"/>
        <v>112080</v>
      </c>
      <c r="B2533">
        <v>112</v>
      </c>
      <c r="C2533">
        <v>80</v>
      </c>
      <c r="D2533">
        <v>192</v>
      </c>
      <c r="E2533" t="s">
        <v>78</v>
      </c>
      <c r="F2533">
        <v>-32011.553</v>
      </c>
      <c r="G2533">
        <v>15.537000000000001</v>
      </c>
    </row>
    <row r="2534" spans="1:7" x14ac:dyDescent="0.2">
      <c r="A2534">
        <f t="shared" si="39"/>
        <v>112081</v>
      </c>
      <c r="B2534">
        <v>112</v>
      </c>
      <c r="C2534">
        <v>81</v>
      </c>
      <c r="D2534">
        <v>193</v>
      </c>
      <c r="E2534" t="s">
        <v>79</v>
      </c>
      <c r="F2534">
        <v>-27477.212</v>
      </c>
      <c r="G2534">
        <v>6.7069999999999999</v>
      </c>
    </row>
    <row r="2535" spans="1:7" x14ac:dyDescent="0.2">
      <c r="A2535">
        <f t="shared" si="39"/>
        <v>112082</v>
      </c>
      <c r="B2535">
        <v>112</v>
      </c>
      <c r="C2535">
        <v>82</v>
      </c>
      <c r="D2535">
        <v>194</v>
      </c>
      <c r="E2535" t="s">
        <v>80</v>
      </c>
      <c r="F2535">
        <v>-24207.94</v>
      </c>
      <c r="G2535">
        <v>17.434999999999999</v>
      </c>
    </row>
    <row r="2536" spans="1:7" x14ac:dyDescent="0.2">
      <c r="A2536">
        <f t="shared" si="39"/>
        <v>112083</v>
      </c>
      <c r="B2536">
        <v>112</v>
      </c>
      <c r="C2536">
        <v>83</v>
      </c>
      <c r="D2536">
        <v>195</v>
      </c>
      <c r="E2536" t="s">
        <v>81</v>
      </c>
      <c r="F2536">
        <v>-18025.561000000002</v>
      </c>
      <c r="G2536">
        <v>5.2869999999999999</v>
      </c>
    </row>
    <row r="2537" spans="1:7" x14ac:dyDescent="0.2">
      <c r="A2537">
        <f t="shared" si="39"/>
        <v>112084</v>
      </c>
      <c r="B2537">
        <v>112</v>
      </c>
      <c r="C2537">
        <v>84</v>
      </c>
      <c r="D2537">
        <v>196</v>
      </c>
      <c r="E2537" t="s">
        <v>82</v>
      </c>
      <c r="F2537">
        <v>-13473.041999999999</v>
      </c>
      <c r="G2537">
        <v>13.512</v>
      </c>
    </row>
    <row r="2538" spans="1:7" x14ac:dyDescent="0.2">
      <c r="A2538">
        <f t="shared" si="39"/>
        <v>112085</v>
      </c>
      <c r="B2538">
        <v>112</v>
      </c>
      <c r="C2538">
        <v>85</v>
      </c>
      <c r="D2538">
        <v>197</v>
      </c>
      <c r="E2538" t="s">
        <v>83</v>
      </c>
      <c r="F2538">
        <v>-6355.25</v>
      </c>
      <c r="G2538">
        <v>7.9829999999999997</v>
      </c>
    </row>
    <row r="2539" spans="1:7" x14ac:dyDescent="0.2">
      <c r="A2539">
        <f t="shared" si="39"/>
        <v>112086</v>
      </c>
      <c r="B2539">
        <v>112</v>
      </c>
      <c r="C2539">
        <v>86</v>
      </c>
      <c r="D2539">
        <v>198</v>
      </c>
      <c r="E2539" t="s">
        <v>84</v>
      </c>
      <c r="F2539">
        <v>-1230.3579999999999</v>
      </c>
      <c r="G2539">
        <v>13.42</v>
      </c>
    </row>
    <row r="2540" spans="1:7" x14ac:dyDescent="0.2">
      <c r="A2540">
        <f t="shared" si="39"/>
        <v>112087</v>
      </c>
      <c r="B2540">
        <v>112</v>
      </c>
      <c r="C2540">
        <v>87</v>
      </c>
      <c r="D2540">
        <v>199</v>
      </c>
      <c r="E2540" t="s">
        <v>85</v>
      </c>
      <c r="F2540">
        <v>6771.393</v>
      </c>
      <c r="G2540">
        <v>13.726000000000001</v>
      </c>
    </row>
    <row r="2541" spans="1:7" x14ac:dyDescent="0.2">
      <c r="A2541">
        <f t="shared" si="39"/>
        <v>113070</v>
      </c>
      <c r="B2541">
        <v>113</v>
      </c>
      <c r="C2541">
        <v>70</v>
      </c>
      <c r="D2541">
        <v>183</v>
      </c>
      <c r="E2541" t="s">
        <v>68</v>
      </c>
      <c r="F2541" t="s">
        <v>1157</v>
      </c>
      <c r="G2541" t="s">
        <v>199</v>
      </c>
    </row>
    <row r="2542" spans="1:7" x14ac:dyDescent="0.2">
      <c r="A2542">
        <f t="shared" si="39"/>
        <v>113071</v>
      </c>
      <c r="B2542">
        <v>113</v>
      </c>
      <c r="C2542">
        <v>71</v>
      </c>
      <c r="D2542">
        <v>184</v>
      </c>
      <c r="E2542" t="s">
        <v>69</v>
      </c>
      <c r="F2542" t="s">
        <v>1159</v>
      </c>
      <c r="G2542" t="s">
        <v>202</v>
      </c>
    </row>
    <row r="2543" spans="1:7" x14ac:dyDescent="0.2">
      <c r="A2543">
        <f t="shared" si="39"/>
        <v>113072</v>
      </c>
      <c r="B2543">
        <v>113</v>
      </c>
      <c r="C2543">
        <v>72</v>
      </c>
      <c r="D2543">
        <v>185</v>
      </c>
      <c r="E2543" t="s">
        <v>70</v>
      </c>
      <c r="F2543">
        <v>-38319.800000000003</v>
      </c>
      <c r="G2543">
        <v>64.272999999999996</v>
      </c>
    </row>
    <row r="2544" spans="1:7" x14ac:dyDescent="0.2">
      <c r="A2544">
        <f t="shared" si="39"/>
        <v>113073</v>
      </c>
      <c r="B2544">
        <v>113</v>
      </c>
      <c r="C2544">
        <v>73</v>
      </c>
      <c r="D2544">
        <v>186</v>
      </c>
      <c r="E2544" t="s">
        <v>71</v>
      </c>
      <c r="F2544">
        <v>-38607.527999999998</v>
      </c>
      <c r="G2544">
        <v>60.012</v>
      </c>
    </row>
    <row r="2545" spans="1:7" x14ac:dyDescent="0.2">
      <c r="A2545">
        <f t="shared" si="39"/>
        <v>113074</v>
      </c>
      <c r="B2545">
        <v>113</v>
      </c>
      <c r="C2545">
        <v>74</v>
      </c>
      <c r="D2545">
        <v>187</v>
      </c>
      <c r="E2545" t="s">
        <v>72</v>
      </c>
      <c r="F2545">
        <v>-39903.97</v>
      </c>
      <c r="G2545">
        <v>1.212</v>
      </c>
    </row>
    <row r="2546" spans="1:7" x14ac:dyDescent="0.2">
      <c r="A2546">
        <f t="shared" si="39"/>
        <v>113075</v>
      </c>
      <c r="B2546">
        <v>113</v>
      </c>
      <c r="C2546">
        <v>75</v>
      </c>
      <c r="D2546">
        <v>188</v>
      </c>
      <c r="E2546" t="s">
        <v>73</v>
      </c>
      <c r="F2546">
        <v>-39016.811000000002</v>
      </c>
      <c r="G2546">
        <v>0.73799999999999999</v>
      </c>
    </row>
    <row r="2547" spans="1:7" x14ac:dyDescent="0.2">
      <c r="A2547">
        <f t="shared" si="39"/>
        <v>113076</v>
      </c>
      <c r="B2547">
        <v>113</v>
      </c>
      <c r="C2547">
        <v>76</v>
      </c>
      <c r="D2547">
        <v>189</v>
      </c>
      <c r="E2547" t="s">
        <v>74</v>
      </c>
      <c r="F2547">
        <v>-38986.745000000003</v>
      </c>
      <c r="G2547">
        <v>0.66600000000000004</v>
      </c>
    </row>
    <row r="2548" spans="1:7" x14ac:dyDescent="0.2">
      <c r="A2548">
        <f t="shared" si="39"/>
        <v>113077</v>
      </c>
      <c r="B2548">
        <v>113</v>
      </c>
      <c r="C2548">
        <v>77</v>
      </c>
      <c r="D2548">
        <v>190</v>
      </c>
      <c r="E2548" t="s">
        <v>75</v>
      </c>
      <c r="F2548">
        <v>-36753.544000000002</v>
      </c>
      <c r="G2548">
        <v>1.37</v>
      </c>
    </row>
    <row r="2549" spans="1:7" x14ac:dyDescent="0.2">
      <c r="A2549">
        <f t="shared" si="39"/>
        <v>113078</v>
      </c>
      <c r="B2549">
        <v>113</v>
      </c>
      <c r="C2549">
        <v>78</v>
      </c>
      <c r="D2549">
        <v>191</v>
      </c>
      <c r="E2549" t="s">
        <v>76</v>
      </c>
      <c r="F2549">
        <v>-35698.237000000001</v>
      </c>
      <c r="G2549">
        <v>4.1269999999999998</v>
      </c>
    </row>
    <row r="2550" spans="1:7" x14ac:dyDescent="0.2">
      <c r="A2550">
        <f t="shared" si="39"/>
        <v>113079</v>
      </c>
      <c r="B2550">
        <v>113</v>
      </c>
      <c r="C2550">
        <v>79</v>
      </c>
      <c r="D2550">
        <v>192</v>
      </c>
      <c r="E2550" t="s">
        <v>77</v>
      </c>
      <c r="F2550">
        <v>-32772.116000000002</v>
      </c>
      <c r="G2550">
        <v>15.827</v>
      </c>
    </row>
    <row r="2551" spans="1:7" x14ac:dyDescent="0.2">
      <c r="A2551">
        <f t="shared" si="39"/>
        <v>113080</v>
      </c>
      <c r="B2551">
        <v>113</v>
      </c>
      <c r="C2551">
        <v>80</v>
      </c>
      <c r="D2551">
        <v>193</v>
      </c>
      <c r="E2551" t="s">
        <v>78</v>
      </c>
      <c r="F2551">
        <v>-31062.179</v>
      </c>
      <c r="G2551">
        <v>15.505000000000001</v>
      </c>
    </row>
    <row r="2552" spans="1:7" x14ac:dyDescent="0.2">
      <c r="A2552">
        <f t="shared" si="39"/>
        <v>113081</v>
      </c>
      <c r="B2552">
        <v>113</v>
      </c>
      <c r="C2552">
        <v>81</v>
      </c>
      <c r="D2552">
        <v>194</v>
      </c>
      <c r="E2552" t="s">
        <v>79</v>
      </c>
      <c r="F2552">
        <v>-26937.491000000002</v>
      </c>
      <c r="G2552">
        <v>13.972</v>
      </c>
    </row>
    <row r="2553" spans="1:7" x14ac:dyDescent="0.2">
      <c r="A2553">
        <f t="shared" si="39"/>
        <v>113082</v>
      </c>
      <c r="B2553">
        <v>113</v>
      </c>
      <c r="C2553">
        <v>82</v>
      </c>
      <c r="D2553">
        <v>195</v>
      </c>
      <c r="E2553" t="s">
        <v>80</v>
      </c>
      <c r="F2553">
        <v>-23707.692999999999</v>
      </c>
      <c r="G2553">
        <v>17.96</v>
      </c>
    </row>
    <row r="2554" spans="1:7" x14ac:dyDescent="0.2">
      <c r="A2554">
        <f t="shared" si="39"/>
        <v>113083</v>
      </c>
      <c r="B2554">
        <v>113</v>
      </c>
      <c r="C2554">
        <v>83</v>
      </c>
      <c r="D2554">
        <v>196</v>
      </c>
      <c r="E2554" t="s">
        <v>81</v>
      </c>
      <c r="F2554">
        <v>-18009.030999999999</v>
      </c>
      <c r="G2554">
        <v>24.428000000000001</v>
      </c>
    </row>
    <row r="2555" spans="1:7" x14ac:dyDescent="0.2">
      <c r="A2555">
        <f t="shared" si="39"/>
        <v>113084</v>
      </c>
      <c r="B2555">
        <v>113</v>
      </c>
      <c r="C2555">
        <v>84</v>
      </c>
      <c r="D2555">
        <v>197</v>
      </c>
      <c r="E2555" t="s">
        <v>82</v>
      </c>
      <c r="F2555">
        <v>-13357.99</v>
      </c>
      <c r="G2555">
        <v>49.679000000000002</v>
      </c>
    </row>
    <row r="2556" spans="1:7" x14ac:dyDescent="0.2">
      <c r="A2556">
        <f t="shared" si="39"/>
        <v>113085</v>
      </c>
      <c r="B2556">
        <v>113</v>
      </c>
      <c r="C2556">
        <v>85</v>
      </c>
      <c r="D2556">
        <v>198</v>
      </c>
      <c r="E2556" t="s">
        <v>83</v>
      </c>
      <c r="F2556">
        <v>-6714.5129999999999</v>
      </c>
      <c r="G2556">
        <v>5.8680000000000003</v>
      </c>
    </row>
    <row r="2557" spans="1:7" x14ac:dyDescent="0.2">
      <c r="A2557">
        <f t="shared" si="39"/>
        <v>113086</v>
      </c>
      <c r="B2557">
        <v>113</v>
      </c>
      <c r="C2557">
        <v>86</v>
      </c>
      <c r="D2557">
        <v>199</v>
      </c>
      <c r="E2557" t="s">
        <v>84</v>
      </c>
      <c r="F2557">
        <v>-1499.451</v>
      </c>
      <c r="G2557">
        <v>37.588000000000001</v>
      </c>
    </row>
    <row r="2558" spans="1:7" x14ac:dyDescent="0.2">
      <c r="A2558">
        <f t="shared" si="39"/>
        <v>113087</v>
      </c>
      <c r="B2558">
        <v>113</v>
      </c>
      <c r="C2558">
        <v>87</v>
      </c>
      <c r="D2558">
        <v>200</v>
      </c>
      <c r="E2558" t="s">
        <v>85</v>
      </c>
      <c r="F2558">
        <v>6132.4979999999996</v>
      </c>
      <c r="G2558">
        <v>30.611000000000001</v>
      </c>
    </row>
    <row r="2559" spans="1:7" x14ac:dyDescent="0.2">
      <c r="A2559">
        <f t="shared" si="39"/>
        <v>113088</v>
      </c>
      <c r="B2559">
        <v>113</v>
      </c>
      <c r="C2559">
        <v>88</v>
      </c>
      <c r="D2559">
        <v>201</v>
      </c>
      <c r="E2559" t="s">
        <v>86</v>
      </c>
      <c r="F2559">
        <v>11936.800999999999</v>
      </c>
      <c r="G2559">
        <v>20.300999999999998</v>
      </c>
    </row>
    <row r="2560" spans="1:7" x14ac:dyDescent="0.2">
      <c r="A2560">
        <f t="shared" si="39"/>
        <v>114070</v>
      </c>
      <c r="B2560">
        <v>114</v>
      </c>
      <c r="C2560">
        <v>70</v>
      </c>
      <c r="D2560">
        <v>184</v>
      </c>
      <c r="E2560" t="s">
        <v>68</v>
      </c>
      <c r="F2560" t="s">
        <v>1158</v>
      </c>
      <c r="G2560" t="s">
        <v>201</v>
      </c>
    </row>
    <row r="2561" spans="1:7" x14ac:dyDescent="0.2">
      <c r="A2561">
        <f t="shared" ref="A2561:A2624" si="40">1000*B2561+C2561</f>
        <v>114071</v>
      </c>
      <c r="B2561">
        <v>114</v>
      </c>
      <c r="C2561">
        <v>71</v>
      </c>
      <c r="D2561">
        <v>185</v>
      </c>
      <c r="E2561" t="s">
        <v>69</v>
      </c>
      <c r="F2561" t="s">
        <v>1161</v>
      </c>
      <c r="G2561" t="s">
        <v>202</v>
      </c>
    </row>
    <row r="2562" spans="1:7" x14ac:dyDescent="0.2">
      <c r="A2562">
        <f t="shared" si="40"/>
        <v>114072</v>
      </c>
      <c r="B2562">
        <v>114</v>
      </c>
      <c r="C2562">
        <v>72</v>
      </c>
      <c r="D2562">
        <v>186</v>
      </c>
      <c r="E2562" t="s">
        <v>70</v>
      </c>
      <c r="F2562">
        <v>-36424.21</v>
      </c>
      <c r="G2562">
        <v>51.231999999999999</v>
      </c>
    </row>
    <row r="2563" spans="1:7" x14ac:dyDescent="0.2">
      <c r="A2563">
        <f t="shared" si="40"/>
        <v>114073</v>
      </c>
      <c r="B2563">
        <v>114</v>
      </c>
      <c r="C2563">
        <v>73</v>
      </c>
      <c r="D2563">
        <v>187</v>
      </c>
      <c r="E2563" t="s">
        <v>71</v>
      </c>
      <c r="F2563">
        <v>-36895.546000000002</v>
      </c>
      <c r="G2563">
        <v>55.89</v>
      </c>
    </row>
    <row r="2564" spans="1:7" x14ac:dyDescent="0.2">
      <c r="A2564">
        <f t="shared" si="40"/>
        <v>114074</v>
      </c>
      <c r="B2564">
        <v>114</v>
      </c>
      <c r="C2564">
        <v>74</v>
      </c>
      <c r="D2564">
        <v>188</v>
      </c>
      <c r="E2564" t="s">
        <v>72</v>
      </c>
      <c r="F2564">
        <v>-38667.811000000002</v>
      </c>
      <c r="G2564">
        <v>3.089</v>
      </c>
    </row>
    <row r="2565" spans="1:7" x14ac:dyDescent="0.2">
      <c r="A2565">
        <f t="shared" si="40"/>
        <v>114075</v>
      </c>
      <c r="B2565">
        <v>114</v>
      </c>
      <c r="C2565">
        <v>75</v>
      </c>
      <c r="D2565">
        <v>189</v>
      </c>
      <c r="E2565" t="s">
        <v>73</v>
      </c>
      <c r="F2565">
        <v>-37979.042999999998</v>
      </c>
      <c r="G2565">
        <v>8.1910000000000007</v>
      </c>
    </row>
    <row r="2566" spans="1:7" x14ac:dyDescent="0.2">
      <c r="A2566">
        <f t="shared" si="40"/>
        <v>114076</v>
      </c>
      <c r="B2566">
        <v>114</v>
      </c>
      <c r="C2566">
        <v>76</v>
      </c>
      <c r="D2566">
        <v>190</v>
      </c>
      <c r="E2566" t="s">
        <v>74</v>
      </c>
      <c r="F2566">
        <v>-38707.771000000001</v>
      </c>
      <c r="G2566">
        <v>0.65</v>
      </c>
    </row>
    <row r="2567" spans="1:7" x14ac:dyDescent="0.2">
      <c r="A2567">
        <f t="shared" si="40"/>
        <v>114077</v>
      </c>
      <c r="B2567">
        <v>114</v>
      </c>
      <c r="C2567">
        <v>77</v>
      </c>
      <c r="D2567">
        <v>191</v>
      </c>
      <c r="E2567" t="s">
        <v>75</v>
      </c>
      <c r="F2567">
        <v>-36708.756000000001</v>
      </c>
      <c r="G2567">
        <v>1.3109999999999999</v>
      </c>
    </row>
    <row r="2568" spans="1:7" x14ac:dyDescent="0.2">
      <c r="A2568">
        <f t="shared" si="40"/>
        <v>114078</v>
      </c>
      <c r="B2568">
        <v>114</v>
      </c>
      <c r="C2568">
        <v>78</v>
      </c>
      <c r="D2568">
        <v>192</v>
      </c>
      <c r="E2568" t="s">
        <v>76</v>
      </c>
      <c r="F2568">
        <v>-36288.457000000002</v>
      </c>
      <c r="G2568">
        <v>2.57</v>
      </c>
    </row>
    <row r="2569" spans="1:7" x14ac:dyDescent="0.2">
      <c r="A2569">
        <f t="shared" si="40"/>
        <v>114079</v>
      </c>
      <c r="B2569">
        <v>114</v>
      </c>
      <c r="C2569">
        <v>79</v>
      </c>
      <c r="D2569">
        <v>193</v>
      </c>
      <c r="E2569" t="s">
        <v>77</v>
      </c>
      <c r="F2569">
        <v>-33404.821000000004</v>
      </c>
      <c r="G2569">
        <v>8.6739999999999995</v>
      </c>
    </row>
    <row r="2570" spans="1:7" x14ac:dyDescent="0.2">
      <c r="A2570">
        <f t="shared" si="40"/>
        <v>114080</v>
      </c>
      <c r="B2570">
        <v>114</v>
      </c>
      <c r="C2570">
        <v>80</v>
      </c>
      <c r="D2570">
        <v>194</v>
      </c>
      <c r="E2570" t="s">
        <v>78</v>
      </c>
      <c r="F2570">
        <v>-32183.945</v>
      </c>
      <c r="G2570">
        <v>2.8879999999999999</v>
      </c>
    </row>
    <row r="2571" spans="1:7" x14ac:dyDescent="0.2">
      <c r="A2571">
        <f t="shared" si="40"/>
        <v>114081</v>
      </c>
      <c r="B2571">
        <v>114</v>
      </c>
      <c r="C2571">
        <v>81</v>
      </c>
      <c r="D2571">
        <v>195</v>
      </c>
      <c r="E2571" t="s">
        <v>79</v>
      </c>
      <c r="F2571">
        <v>-28155.248</v>
      </c>
      <c r="G2571">
        <v>11.093</v>
      </c>
    </row>
    <row r="2572" spans="1:7" x14ac:dyDescent="0.2">
      <c r="A2572">
        <f t="shared" si="40"/>
        <v>114082</v>
      </c>
      <c r="B2572">
        <v>114</v>
      </c>
      <c r="C2572">
        <v>82</v>
      </c>
      <c r="D2572">
        <v>196</v>
      </c>
      <c r="E2572" t="s">
        <v>80</v>
      </c>
      <c r="F2572">
        <v>-25348.312000000002</v>
      </c>
      <c r="G2572">
        <v>7.71</v>
      </c>
    </row>
    <row r="2573" spans="1:7" x14ac:dyDescent="0.2">
      <c r="A2573">
        <f t="shared" si="40"/>
        <v>114083</v>
      </c>
      <c r="B2573">
        <v>114</v>
      </c>
      <c r="C2573">
        <v>83</v>
      </c>
      <c r="D2573">
        <v>197</v>
      </c>
      <c r="E2573" t="s">
        <v>81</v>
      </c>
      <c r="F2573">
        <v>-19687.190999999999</v>
      </c>
      <c r="G2573">
        <v>8.3330000000000002</v>
      </c>
    </row>
    <row r="2574" spans="1:7" x14ac:dyDescent="0.2">
      <c r="A2574">
        <f t="shared" si="40"/>
        <v>114084</v>
      </c>
      <c r="B2574">
        <v>114</v>
      </c>
      <c r="C2574">
        <v>84</v>
      </c>
      <c r="D2574">
        <v>198</v>
      </c>
      <c r="E2574" t="s">
        <v>82</v>
      </c>
      <c r="F2574">
        <v>-15473.352000000001</v>
      </c>
      <c r="G2574">
        <v>17.423999999999999</v>
      </c>
    </row>
    <row r="2575" spans="1:7" x14ac:dyDescent="0.2">
      <c r="A2575">
        <f t="shared" si="40"/>
        <v>114085</v>
      </c>
      <c r="B2575">
        <v>114</v>
      </c>
      <c r="C2575">
        <v>85</v>
      </c>
      <c r="D2575">
        <v>199</v>
      </c>
      <c r="E2575" t="s">
        <v>83</v>
      </c>
      <c r="F2575">
        <v>-8823.3719999999994</v>
      </c>
      <c r="G2575">
        <v>5.3840000000000003</v>
      </c>
    </row>
    <row r="2576" spans="1:7" x14ac:dyDescent="0.2">
      <c r="A2576">
        <f t="shared" si="40"/>
        <v>114086</v>
      </c>
      <c r="B2576">
        <v>114</v>
      </c>
      <c r="C2576">
        <v>86</v>
      </c>
      <c r="D2576">
        <v>200</v>
      </c>
      <c r="E2576" t="s">
        <v>84</v>
      </c>
      <c r="F2576">
        <v>-4004.7649999999999</v>
      </c>
      <c r="G2576">
        <v>13.680999999999999</v>
      </c>
    </row>
    <row r="2577" spans="1:7" x14ac:dyDescent="0.2">
      <c r="A2577">
        <f t="shared" si="40"/>
        <v>114087</v>
      </c>
      <c r="B2577">
        <v>114</v>
      </c>
      <c r="C2577">
        <v>87</v>
      </c>
      <c r="D2577">
        <v>201</v>
      </c>
      <c r="E2577" t="s">
        <v>85</v>
      </c>
      <c r="F2577">
        <v>3588.5770000000002</v>
      </c>
      <c r="G2577">
        <v>9.08</v>
      </c>
    </row>
    <row r="2578" spans="1:7" x14ac:dyDescent="0.2">
      <c r="A2578">
        <f t="shared" si="40"/>
        <v>114088</v>
      </c>
      <c r="B2578">
        <v>114</v>
      </c>
      <c r="C2578">
        <v>88</v>
      </c>
      <c r="D2578">
        <v>202</v>
      </c>
      <c r="E2578" t="s">
        <v>86</v>
      </c>
      <c r="F2578">
        <v>9074.8610000000008</v>
      </c>
      <c r="G2578">
        <v>15.018000000000001</v>
      </c>
    </row>
    <row r="2579" spans="1:7" x14ac:dyDescent="0.2">
      <c r="A2579">
        <f t="shared" si="40"/>
        <v>115070</v>
      </c>
      <c r="B2579">
        <v>115</v>
      </c>
      <c r="C2579">
        <v>70</v>
      </c>
      <c r="D2579">
        <v>185</v>
      </c>
      <c r="E2579" t="s">
        <v>68</v>
      </c>
      <c r="F2579" t="s">
        <v>1160</v>
      </c>
      <c r="G2579" t="s">
        <v>201</v>
      </c>
    </row>
    <row r="2580" spans="1:7" x14ac:dyDescent="0.2">
      <c r="A2580">
        <f t="shared" si="40"/>
        <v>115071</v>
      </c>
      <c r="B2580">
        <v>115</v>
      </c>
      <c r="C2580">
        <v>71</v>
      </c>
      <c r="D2580">
        <v>186</v>
      </c>
      <c r="E2580" t="s">
        <v>69</v>
      </c>
      <c r="F2580" t="s">
        <v>1164</v>
      </c>
      <c r="G2580" t="s">
        <v>199</v>
      </c>
    </row>
    <row r="2581" spans="1:7" x14ac:dyDescent="0.2">
      <c r="A2581">
        <f t="shared" si="40"/>
        <v>115072</v>
      </c>
      <c r="B2581">
        <v>115</v>
      </c>
      <c r="C2581">
        <v>72</v>
      </c>
      <c r="D2581">
        <v>187</v>
      </c>
      <c r="E2581" t="s">
        <v>70</v>
      </c>
      <c r="F2581" t="s">
        <v>1166</v>
      </c>
      <c r="G2581" t="s">
        <v>202</v>
      </c>
    </row>
    <row r="2582" spans="1:7" x14ac:dyDescent="0.2">
      <c r="A2582">
        <f t="shared" si="40"/>
        <v>115073</v>
      </c>
      <c r="B2582">
        <v>115</v>
      </c>
      <c r="C2582">
        <v>73</v>
      </c>
      <c r="D2582">
        <v>188</v>
      </c>
      <c r="E2582" t="s">
        <v>71</v>
      </c>
      <c r="F2582">
        <v>-33612.03</v>
      </c>
      <c r="G2582">
        <v>54.957999999999998</v>
      </c>
    </row>
    <row r="2583" spans="1:7" x14ac:dyDescent="0.2">
      <c r="A2583">
        <f t="shared" si="40"/>
        <v>115074</v>
      </c>
      <c r="B2583">
        <v>115</v>
      </c>
      <c r="C2583">
        <v>74</v>
      </c>
      <c r="D2583">
        <v>189</v>
      </c>
      <c r="E2583" t="s">
        <v>72</v>
      </c>
      <c r="F2583">
        <v>-35617.536</v>
      </c>
      <c r="G2583">
        <v>40.054000000000002</v>
      </c>
    </row>
    <row r="2584" spans="1:7" x14ac:dyDescent="0.2">
      <c r="A2584">
        <f t="shared" si="40"/>
        <v>115075</v>
      </c>
      <c r="B2584">
        <v>115</v>
      </c>
      <c r="C2584">
        <v>75</v>
      </c>
      <c r="D2584">
        <v>190</v>
      </c>
      <c r="E2584" t="s">
        <v>73</v>
      </c>
      <c r="F2584">
        <v>-35635.83</v>
      </c>
      <c r="G2584">
        <v>70.852000000000004</v>
      </c>
    </row>
    <row r="2585" spans="1:7" x14ac:dyDescent="0.2">
      <c r="A2585">
        <f t="shared" si="40"/>
        <v>115076</v>
      </c>
      <c r="B2585">
        <v>115</v>
      </c>
      <c r="C2585">
        <v>76</v>
      </c>
      <c r="D2585">
        <v>191</v>
      </c>
      <c r="E2585" t="s">
        <v>74</v>
      </c>
      <c r="F2585">
        <v>-36395.184999999998</v>
      </c>
      <c r="G2585">
        <v>0.65900000000000003</v>
      </c>
    </row>
    <row r="2586" spans="1:7" x14ac:dyDescent="0.2">
      <c r="A2586">
        <f t="shared" si="40"/>
        <v>115077</v>
      </c>
      <c r="B2586">
        <v>115</v>
      </c>
      <c r="C2586">
        <v>77</v>
      </c>
      <c r="D2586">
        <v>192</v>
      </c>
      <c r="E2586" t="s">
        <v>75</v>
      </c>
      <c r="F2586">
        <v>-34835.561000000002</v>
      </c>
      <c r="G2586">
        <v>1.3140000000000001</v>
      </c>
    </row>
    <row r="2587" spans="1:7" x14ac:dyDescent="0.2">
      <c r="A2587">
        <f t="shared" si="40"/>
        <v>115078</v>
      </c>
      <c r="B2587">
        <v>115</v>
      </c>
      <c r="C2587">
        <v>78</v>
      </c>
      <c r="D2587">
        <v>193</v>
      </c>
      <c r="E2587" t="s">
        <v>76</v>
      </c>
      <c r="F2587">
        <v>-34479.608</v>
      </c>
      <c r="G2587">
        <v>1.359</v>
      </c>
    </row>
    <row r="2588" spans="1:7" x14ac:dyDescent="0.2">
      <c r="A2588">
        <f t="shared" si="40"/>
        <v>115079</v>
      </c>
      <c r="B2588">
        <v>115</v>
      </c>
      <c r="C2588">
        <v>79</v>
      </c>
      <c r="D2588">
        <v>194</v>
      </c>
      <c r="E2588" t="s">
        <v>77</v>
      </c>
      <c r="F2588">
        <v>-32211.936000000002</v>
      </c>
      <c r="G2588">
        <v>2.1179999999999999</v>
      </c>
    </row>
    <row r="2589" spans="1:7" x14ac:dyDescent="0.2">
      <c r="A2589">
        <f t="shared" si="40"/>
        <v>115080</v>
      </c>
      <c r="B2589">
        <v>115</v>
      </c>
      <c r="C2589">
        <v>80</v>
      </c>
      <c r="D2589">
        <v>195</v>
      </c>
      <c r="E2589" t="s">
        <v>78</v>
      </c>
      <c r="F2589">
        <v>-31013.393</v>
      </c>
      <c r="G2589">
        <v>23.141999999999999</v>
      </c>
    </row>
    <row r="2590" spans="1:7" x14ac:dyDescent="0.2">
      <c r="A2590">
        <f t="shared" si="40"/>
        <v>115081</v>
      </c>
      <c r="B2590">
        <v>115</v>
      </c>
      <c r="C2590">
        <v>81</v>
      </c>
      <c r="D2590">
        <v>196</v>
      </c>
      <c r="E2590" t="s">
        <v>79</v>
      </c>
      <c r="F2590">
        <v>-27496.592000000001</v>
      </c>
      <c r="G2590">
        <v>12.109</v>
      </c>
    </row>
    <row r="2591" spans="1:7" x14ac:dyDescent="0.2">
      <c r="A2591">
        <f t="shared" si="40"/>
        <v>115082</v>
      </c>
      <c r="B2591">
        <v>115</v>
      </c>
      <c r="C2591">
        <v>82</v>
      </c>
      <c r="D2591">
        <v>197</v>
      </c>
      <c r="E2591" t="s">
        <v>80</v>
      </c>
      <c r="F2591">
        <v>-24745.401000000002</v>
      </c>
      <c r="G2591">
        <v>4.8040000000000003</v>
      </c>
    </row>
    <row r="2592" spans="1:7" x14ac:dyDescent="0.2">
      <c r="A2592">
        <f t="shared" si="40"/>
        <v>115083</v>
      </c>
      <c r="B2592">
        <v>115</v>
      </c>
      <c r="C2592">
        <v>83</v>
      </c>
      <c r="D2592">
        <v>198</v>
      </c>
      <c r="E2592" t="s">
        <v>81</v>
      </c>
      <c r="F2592">
        <v>-19369.486000000001</v>
      </c>
      <c r="G2592">
        <v>27.945</v>
      </c>
    </row>
    <row r="2593" spans="1:7" x14ac:dyDescent="0.2">
      <c r="A2593">
        <f t="shared" si="40"/>
        <v>115084</v>
      </c>
      <c r="B2593">
        <v>115</v>
      </c>
      <c r="C2593">
        <v>84</v>
      </c>
      <c r="D2593">
        <v>199</v>
      </c>
      <c r="E2593" t="s">
        <v>82</v>
      </c>
      <c r="F2593">
        <v>-15208.483</v>
      </c>
      <c r="G2593">
        <v>18.059999999999999</v>
      </c>
    </row>
    <row r="2594" spans="1:7" x14ac:dyDescent="0.2">
      <c r="A2594">
        <f t="shared" si="40"/>
        <v>115085</v>
      </c>
      <c r="B2594">
        <v>115</v>
      </c>
      <c r="C2594">
        <v>85</v>
      </c>
      <c r="D2594">
        <v>200</v>
      </c>
      <c r="E2594" t="s">
        <v>83</v>
      </c>
      <c r="F2594">
        <v>-8987.8919999999998</v>
      </c>
      <c r="G2594">
        <v>24.465</v>
      </c>
    </row>
    <row r="2595" spans="1:7" x14ac:dyDescent="0.2">
      <c r="A2595">
        <f t="shared" si="40"/>
        <v>115086</v>
      </c>
      <c r="B2595">
        <v>115</v>
      </c>
      <c r="C2595">
        <v>86</v>
      </c>
      <c r="D2595">
        <v>201</v>
      </c>
      <c r="E2595" t="s">
        <v>84</v>
      </c>
      <c r="F2595">
        <v>-4072.3240000000001</v>
      </c>
      <c r="G2595">
        <v>49.731999999999999</v>
      </c>
    </row>
    <row r="2596" spans="1:7" x14ac:dyDescent="0.2">
      <c r="A2596">
        <f t="shared" si="40"/>
        <v>115087</v>
      </c>
      <c r="B2596">
        <v>115</v>
      </c>
      <c r="C2596">
        <v>87</v>
      </c>
      <c r="D2596">
        <v>202</v>
      </c>
      <c r="E2596" t="s">
        <v>85</v>
      </c>
      <c r="F2596">
        <v>3096.2370000000001</v>
      </c>
      <c r="G2596">
        <v>7.04</v>
      </c>
    </row>
    <row r="2597" spans="1:7" x14ac:dyDescent="0.2">
      <c r="A2597">
        <f t="shared" si="40"/>
        <v>115088</v>
      </c>
      <c r="B2597">
        <v>115</v>
      </c>
      <c r="C2597">
        <v>88</v>
      </c>
      <c r="D2597">
        <v>203</v>
      </c>
      <c r="E2597" t="s">
        <v>86</v>
      </c>
      <c r="F2597">
        <v>8661.7260000000006</v>
      </c>
      <c r="G2597">
        <v>38.124000000000002</v>
      </c>
    </row>
    <row r="2598" spans="1:7" x14ac:dyDescent="0.2">
      <c r="A2598">
        <f t="shared" si="40"/>
        <v>116071</v>
      </c>
      <c r="B2598">
        <v>116</v>
      </c>
      <c r="C2598">
        <v>71</v>
      </c>
      <c r="D2598">
        <v>187</v>
      </c>
      <c r="E2598" t="s">
        <v>69</v>
      </c>
      <c r="F2598" t="s">
        <v>1165</v>
      </c>
      <c r="G2598" t="s">
        <v>199</v>
      </c>
    </row>
    <row r="2599" spans="1:7" x14ac:dyDescent="0.2">
      <c r="A2599">
        <f t="shared" si="40"/>
        <v>116072</v>
      </c>
      <c r="B2599">
        <v>116</v>
      </c>
      <c r="C2599">
        <v>72</v>
      </c>
      <c r="D2599">
        <v>188</v>
      </c>
      <c r="E2599" t="s">
        <v>70</v>
      </c>
      <c r="F2599" t="s">
        <v>1168</v>
      </c>
      <c r="G2599" t="s">
        <v>202</v>
      </c>
    </row>
    <row r="2600" spans="1:7" x14ac:dyDescent="0.2">
      <c r="A2600">
        <f t="shared" si="40"/>
        <v>116073</v>
      </c>
      <c r="B2600">
        <v>116</v>
      </c>
      <c r="C2600">
        <v>73</v>
      </c>
      <c r="D2600">
        <v>189</v>
      </c>
      <c r="E2600" t="s">
        <v>71</v>
      </c>
      <c r="F2600" t="s">
        <v>1170</v>
      </c>
      <c r="G2600" t="s">
        <v>206</v>
      </c>
    </row>
    <row r="2601" spans="1:7" x14ac:dyDescent="0.2">
      <c r="A2601">
        <f t="shared" si="40"/>
        <v>116074</v>
      </c>
      <c r="B2601">
        <v>116</v>
      </c>
      <c r="C2601">
        <v>74</v>
      </c>
      <c r="D2601">
        <v>190</v>
      </c>
      <c r="E2601" t="s">
        <v>72</v>
      </c>
      <c r="F2601">
        <v>-34382.313000000002</v>
      </c>
      <c r="G2601">
        <v>39.725999999999999</v>
      </c>
    </row>
    <row r="2602" spans="1:7" x14ac:dyDescent="0.2">
      <c r="A2602">
        <f t="shared" si="40"/>
        <v>116075</v>
      </c>
      <c r="B2602">
        <v>116</v>
      </c>
      <c r="C2602">
        <v>75</v>
      </c>
      <c r="D2602">
        <v>191</v>
      </c>
      <c r="E2602" t="s">
        <v>73</v>
      </c>
      <c r="F2602">
        <v>-34350.296000000002</v>
      </c>
      <c r="G2602">
        <v>10.265000000000001</v>
      </c>
    </row>
    <row r="2603" spans="1:7" x14ac:dyDescent="0.2">
      <c r="A2603">
        <f t="shared" si="40"/>
        <v>116076</v>
      </c>
      <c r="B2603">
        <v>116</v>
      </c>
      <c r="C2603">
        <v>76</v>
      </c>
      <c r="D2603">
        <v>192</v>
      </c>
      <c r="E2603" t="s">
        <v>74</v>
      </c>
      <c r="F2603">
        <v>-35882.190999999999</v>
      </c>
      <c r="G2603">
        <v>2.3149999999999999</v>
      </c>
    </row>
    <row r="2604" spans="1:7" x14ac:dyDescent="0.2">
      <c r="A2604">
        <f t="shared" si="40"/>
        <v>116077</v>
      </c>
      <c r="B2604">
        <v>116</v>
      </c>
      <c r="C2604">
        <v>77</v>
      </c>
      <c r="D2604">
        <v>193</v>
      </c>
      <c r="E2604" t="s">
        <v>75</v>
      </c>
      <c r="F2604">
        <v>-34536.235000000001</v>
      </c>
      <c r="G2604">
        <v>1.3280000000000001</v>
      </c>
    </row>
    <row r="2605" spans="1:7" x14ac:dyDescent="0.2">
      <c r="A2605">
        <f t="shared" si="40"/>
        <v>116078</v>
      </c>
      <c r="B2605">
        <v>116</v>
      </c>
      <c r="C2605">
        <v>78</v>
      </c>
      <c r="D2605">
        <v>194</v>
      </c>
      <c r="E2605" t="s">
        <v>76</v>
      </c>
      <c r="F2605">
        <v>-34760.07</v>
      </c>
      <c r="G2605">
        <v>0.496</v>
      </c>
    </row>
    <row r="2606" spans="1:7" x14ac:dyDescent="0.2">
      <c r="A2606">
        <f t="shared" si="40"/>
        <v>116079</v>
      </c>
      <c r="B2606">
        <v>116</v>
      </c>
      <c r="C2606">
        <v>79</v>
      </c>
      <c r="D2606">
        <v>195</v>
      </c>
      <c r="E2606" t="s">
        <v>77</v>
      </c>
      <c r="F2606">
        <v>-32567.030999999999</v>
      </c>
      <c r="G2606">
        <v>1.119</v>
      </c>
    </row>
    <row r="2607" spans="1:7" x14ac:dyDescent="0.2">
      <c r="A2607">
        <f t="shared" si="40"/>
        <v>116080</v>
      </c>
      <c r="B2607">
        <v>116</v>
      </c>
      <c r="C2607">
        <v>80</v>
      </c>
      <c r="D2607">
        <v>196</v>
      </c>
      <c r="E2607" t="s">
        <v>78</v>
      </c>
      <c r="F2607">
        <v>-31825.940999999999</v>
      </c>
      <c r="G2607">
        <v>2.9460000000000002</v>
      </c>
    </row>
    <row r="2608" spans="1:7" x14ac:dyDescent="0.2">
      <c r="A2608">
        <f t="shared" si="40"/>
        <v>116081</v>
      </c>
      <c r="B2608">
        <v>116</v>
      </c>
      <c r="C2608">
        <v>81</v>
      </c>
      <c r="D2608">
        <v>197</v>
      </c>
      <c r="E2608" t="s">
        <v>79</v>
      </c>
      <c r="F2608">
        <v>-28341.649000000001</v>
      </c>
      <c r="G2608">
        <v>16.324999999999999</v>
      </c>
    </row>
    <row r="2609" spans="1:7" x14ac:dyDescent="0.2">
      <c r="A2609">
        <f t="shared" si="40"/>
        <v>116082</v>
      </c>
      <c r="B2609">
        <v>116</v>
      </c>
      <c r="C2609">
        <v>82</v>
      </c>
      <c r="D2609">
        <v>198</v>
      </c>
      <c r="E2609" t="s">
        <v>80</v>
      </c>
      <c r="F2609">
        <v>-26067.489000000001</v>
      </c>
      <c r="G2609">
        <v>8.75</v>
      </c>
    </row>
    <row r="2610" spans="1:7" x14ac:dyDescent="0.2">
      <c r="A2610">
        <f t="shared" si="40"/>
        <v>116083</v>
      </c>
      <c r="B2610">
        <v>116</v>
      </c>
      <c r="C2610">
        <v>83</v>
      </c>
      <c r="D2610">
        <v>199</v>
      </c>
      <c r="E2610" t="s">
        <v>81</v>
      </c>
      <c r="F2610">
        <v>-20797.565999999999</v>
      </c>
      <c r="G2610">
        <v>10.568</v>
      </c>
    </row>
    <row r="2611" spans="1:7" x14ac:dyDescent="0.2">
      <c r="A2611">
        <f t="shared" si="40"/>
        <v>116084</v>
      </c>
      <c r="B2611">
        <v>116</v>
      </c>
      <c r="C2611">
        <v>84</v>
      </c>
      <c r="D2611">
        <v>200</v>
      </c>
      <c r="E2611" t="s">
        <v>82</v>
      </c>
      <c r="F2611">
        <v>-16941.760999999999</v>
      </c>
      <c r="G2611">
        <v>7.5789999999999997</v>
      </c>
    </row>
    <row r="2612" spans="1:7" x14ac:dyDescent="0.2">
      <c r="A2612">
        <f t="shared" si="40"/>
        <v>116085</v>
      </c>
      <c r="B2612">
        <v>116</v>
      </c>
      <c r="C2612">
        <v>85</v>
      </c>
      <c r="D2612">
        <v>201</v>
      </c>
      <c r="E2612" t="s">
        <v>83</v>
      </c>
      <c r="F2612">
        <v>-10789.438</v>
      </c>
      <c r="G2612">
        <v>8.1839999999999993</v>
      </c>
    </row>
    <row r="2613" spans="1:7" x14ac:dyDescent="0.2">
      <c r="A2613">
        <f t="shared" si="40"/>
        <v>116086</v>
      </c>
      <c r="B2613">
        <v>116</v>
      </c>
      <c r="C2613">
        <v>86</v>
      </c>
      <c r="D2613">
        <v>202</v>
      </c>
      <c r="E2613" t="s">
        <v>84</v>
      </c>
      <c r="F2613">
        <v>-6274.6350000000002</v>
      </c>
      <c r="G2613">
        <v>17.52</v>
      </c>
    </row>
    <row r="2614" spans="1:7" x14ac:dyDescent="0.2">
      <c r="A2614">
        <f t="shared" si="40"/>
        <v>116087</v>
      </c>
      <c r="B2614">
        <v>116</v>
      </c>
      <c r="C2614">
        <v>87</v>
      </c>
      <c r="D2614">
        <v>203</v>
      </c>
      <c r="E2614" t="s">
        <v>85</v>
      </c>
      <c r="F2614">
        <v>876.41700000000003</v>
      </c>
      <c r="G2614">
        <v>6.2320000000000002</v>
      </c>
    </row>
    <row r="2615" spans="1:7" x14ac:dyDescent="0.2">
      <c r="A2615">
        <f t="shared" si="40"/>
        <v>116088</v>
      </c>
      <c r="B2615">
        <v>116</v>
      </c>
      <c r="C2615">
        <v>88</v>
      </c>
      <c r="D2615">
        <v>204</v>
      </c>
      <c r="E2615" t="s">
        <v>86</v>
      </c>
      <c r="F2615">
        <v>6056.7870000000003</v>
      </c>
      <c r="G2615">
        <v>15.273</v>
      </c>
    </row>
    <row r="2616" spans="1:7" x14ac:dyDescent="0.2">
      <c r="A2616">
        <f t="shared" si="40"/>
        <v>116089</v>
      </c>
      <c r="B2616">
        <v>116</v>
      </c>
      <c r="C2616">
        <v>89</v>
      </c>
      <c r="D2616">
        <v>205</v>
      </c>
      <c r="E2616" t="s">
        <v>87</v>
      </c>
      <c r="F2616">
        <v>14106.692999999999</v>
      </c>
      <c r="G2616">
        <v>50.817999999999998</v>
      </c>
    </row>
    <row r="2617" spans="1:7" x14ac:dyDescent="0.2">
      <c r="A2617">
        <f t="shared" si="40"/>
        <v>117071</v>
      </c>
      <c r="B2617">
        <v>117</v>
      </c>
      <c r="C2617">
        <v>71</v>
      </c>
      <c r="D2617">
        <v>188</v>
      </c>
      <c r="E2617" t="s">
        <v>69</v>
      </c>
      <c r="F2617" t="s">
        <v>1167</v>
      </c>
      <c r="G2617" t="s">
        <v>201</v>
      </c>
    </row>
    <row r="2618" spans="1:7" x14ac:dyDescent="0.2">
      <c r="A2618">
        <f t="shared" si="40"/>
        <v>117072</v>
      </c>
      <c r="B2618">
        <v>117</v>
      </c>
      <c r="C2618">
        <v>72</v>
      </c>
      <c r="D2618">
        <v>189</v>
      </c>
      <c r="E2618" t="s">
        <v>70</v>
      </c>
      <c r="F2618" t="s">
        <v>1169</v>
      </c>
      <c r="G2618" t="s">
        <v>202</v>
      </c>
    </row>
    <row r="2619" spans="1:7" x14ac:dyDescent="0.2">
      <c r="A2619">
        <f t="shared" si="40"/>
        <v>117073</v>
      </c>
      <c r="B2619">
        <v>117</v>
      </c>
      <c r="C2619">
        <v>73</v>
      </c>
      <c r="D2619">
        <v>190</v>
      </c>
      <c r="E2619" t="s">
        <v>71</v>
      </c>
      <c r="F2619" t="s">
        <v>1172</v>
      </c>
      <c r="G2619" t="s">
        <v>206</v>
      </c>
    </row>
    <row r="2620" spans="1:7" x14ac:dyDescent="0.2">
      <c r="A2620">
        <f t="shared" si="40"/>
        <v>117074</v>
      </c>
      <c r="B2620">
        <v>117</v>
      </c>
      <c r="C2620">
        <v>74</v>
      </c>
      <c r="D2620">
        <v>191</v>
      </c>
      <c r="E2620" t="s">
        <v>72</v>
      </c>
      <c r="F2620">
        <v>-31176.172999999999</v>
      </c>
      <c r="G2620">
        <v>41.917000000000002</v>
      </c>
    </row>
    <row r="2621" spans="1:7" x14ac:dyDescent="0.2">
      <c r="A2621">
        <f t="shared" si="40"/>
        <v>117075</v>
      </c>
      <c r="B2621">
        <v>117</v>
      </c>
      <c r="C2621">
        <v>75</v>
      </c>
      <c r="D2621">
        <v>192</v>
      </c>
      <c r="E2621" t="s">
        <v>73</v>
      </c>
      <c r="F2621">
        <v>-31588.825000000001</v>
      </c>
      <c r="G2621">
        <v>70.793999999999997</v>
      </c>
    </row>
    <row r="2622" spans="1:7" x14ac:dyDescent="0.2">
      <c r="A2622">
        <f t="shared" si="40"/>
        <v>117076</v>
      </c>
      <c r="B2622">
        <v>117</v>
      </c>
      <c r="C2622">
        <v>76</v>
      </c>
      <c r="D2622">
        <v>193</v>
      </c>
      <c r="E2622" t="s">
        <v>74</v>
      </c>
      <c r="F2622">
        <v>-33394.288999999997</v>
      </c>
      <c r="G2622">
        <v>2.3210000000000002</v>
      </c>
    </row>
    <row r="2623" spans="1:7" x14ac:dyDescent="0.2">
      <c r="A2623">
        <f t="shared" si="40"/>
        <v>117077</v>
      </c>
      <c r="B2623">
        <v>117</v>
      </c>
      <c r="C2623">
        <v>77</v>
      </c>
      <c r="D2623">
        <v>194</v>
      </c>
      <c r="E2623" t="s">
        <v>75</v>
      </c>
      <c r="F2623">
        <v>-32531.707999999999</v>
      </c>
      <c r="G2623">
        <v>1.3320000000000001</v>
      </c>
    </row>
    <row r="2624" spans="1:7" x14ac:dyDescent="0.2">
      <c r="A2624">
        <f t="shared" si="40"/>
        <v>117078</v>
      </c>
      <c r="B2624">
        <v>117</v>
      </c>
      <c r="C2624">
        <v>78</v>
      </c>
      <c r="D2624">
        <v>195</v>
      </c>
      <c r="E2624" t="s">
        <v>76</v>
      </c>
      <c r="F2624">
        <v>-32793.849000000002</v>
      </c>
      <c r="G2624">
        <v>0.503</v>
      </c>
    </row>
    <row r="2625" spans="1:7" x14ac:dyDescent="0.2">
      <c r="A2625">
        <f t="shared" ref="A2625:A2688" si="41">1000*B2625+C2625</f>
        <v>117079</v>
      </c>
      <c r="B2625">
        <v>117</v>
      </c>
      <c r="C2625">
        <v>79</v>
      </c>
      <c r="D2625">
        <v>196</v>
      </c>
      <c r="E2625" t="s">
        <v>77</v>
      </c>
      <c r="F2625">
        <v>-31138.705999999998</v>
      </c>
      <c r="G2625">
        <v>2.9620000000000002</v>
      </c>
    </row>
    <row r="2626" spans="1:7" x14ac:dyDescent="0.2">
      <c r="A2626">
        <f t="shared" si="41"/>
        <v>117080</v>
      </c>
      <c r="B2626">
        <v>117</v>
      </c>
      <c r="C2626">
        <v>80</v>
      </c>
      <c r="D2626">
        <v>197</v>
      </c>
      <c r="E2626" t="s">
        <v>78</v>
      </c>
      <c r="F2626">
        <v>-30540.228999999999</v>
      </c>
      <c r="G2626">
        <v>3.2069999999999999</v>
      </c>
    </row>
    <row r="2627" spans="1:7" x14ac:dyDescent="0.2">
      <c r="A2627">
        <f t="shared" si="41"/>
        <v>117081</v>
      </c>
      <c r="B2627">
        <v>117</v>
      </c>
      <c r="C2627">
        <v>81</v>
      </c>
      <c r="D2627">
        <v>198</v>
      </c>
      <c r="E2627" t="s">
        <v>79</v>
      </c>
      <c r="F2627">
        <v>-27528.745999999999</v>
      </c>
      <c r="G2627">
        <v>7.5449999999999999</v>
      </c>
    </row>
    <row r="2628" spans="1:7" x14ac:dyDescent="0.2">
      <c r="A2628">
        <f t="shared" si="41"/>
        <v>117082</v>
      </c>
      <c r="B2628">
        <v>117</v>
      </c>
      <c r="C2628">
        <v>82</v>
      </c>
      <c r="D2628">
        <v>199</v>
      </c>
      <c r="E2628" t="s">
        <v>80</v>
      </c>
      <c r="F2628">
        <v>-25231.804</v>
      </c>
      <c r="G2628">
        <v>9.9960000000000004</v>
      </c>
    </row>
    <row r="2629" spans="1:7" x14ac:dyDescent="0.2">
      <c r="A2629">
        <f t="shared" si="41"/>
        <v>117083</v>
      </c>
      <c r="B2629">
        <v>117</v>
      </c>
      <c r="C2629">
        <v>83</v>
      </c>
      <c r="D2629">
        <v>200</v>
      </c>
      <c r="E2629" t="s">
        <v>81</v>
      </c>
      <c r="F2629">
        <v>-20370.755000000001</v>
      </c>
      <c r="G2629">
        <v>22.321000000000002</v>
      </c>
    </row>
    <row r="2630" spans="1:7" x14ac:dyDescent="0.2">
      <c r="A2630">
        <f t="shared" si="41"/>
        <v>117084</v>
      </c>
      <c r="B2630">
        <v>117</v>
      </c>
      <c r="C2630">
        <v>84</v>
      </c>
      <c r="D2630">
        <v>201</v>
      </c>
      <c r="E2630" t="s">
        <v>82</v>
      </c>
      <c r="F2630">
        <v>-16521.185000000001</v>
      </c>
      <c r="G2630">
        <v>4.9420000000000002</v>
      </c>
    </row>
    <row r="2631" spans="1:7" x14ac:dyDescent="0.2">
      <c r="A2631">
        <f t="shared" si="41"/>
        <v>117085</v>
      </c>
      <c r="B2631">
        <v>117</v>
      </c>
      <c r="C2631">
        <v>85</v>
      </c>
      <c r="D2631">
        <v>202</v>
      </c>
      <c r="E2631" t="s">
        <v>83</v>
      </c>
      <c r="F2631">
        <v>-10590.732</v>
      </c>
      <c r="G2631">
        <v>27.977</v>
      </c>
    </row>
    <row r="2632" spans="1:7" x14ac:dyDescent="0.2">
      <c r="A2632">
        <f t="shared" si="41"/>
        <v>117086</v>
      </c>
      <c r="B2632">
        <v>117</v>
      </c>
      <c r="C2632">
        <v>86</v>
      </c>
      <c r="D2632">
        <v>203</v>
      </c>
      <c r="E2632" t="s">
        <v>84</v>
      </c>
      <c r="F2632">
        <v>-6153.6989999999996</v>
      </c>
      <c r="G2632">
        <v>18.178999999999998</v>
      </c>
    </row>
    <row r="2633" spans="1:7" x14ac:dyDescent="0.2">
      <c r="A2633">
        <f t="shared" si="41"/>
        <v>117087</v>
      </c>
      <c r="B2633">
        <v>117</v>
      </c>
      <c r="C2633">
        <v>87</v>
      </c>
      <c r="D2633">
        <v>204</v>
      </c>
      <c r="E2633" t="s">
        <v>85</v>
      </c>
      <c r="F2633">
        <v>607.30999999999995</v>
      </c>
      <c r="G2633">
        <v>24.581</v>
      </c>
    </row>
    <row r="2634" spans="1:7" x14ac:dyDescent="0.2">
      <c r="A2634">
        <f t="shared" si="41"/>
        <v>117088</v>
      </c>
      <c r="B2634">
        <v>117</v>
      </c>
      <c r="C2634">
        <v>88</v>
      </c>
      <c r="D2634">
        <v>205</v>
      </c>
      <c r="E2634" t="s">
        <v>86</v>
      </c>
      <c r="F2634">
        <v>5838.991</v>
      </c>
      <c r="G2634">
        <v>70.521000000000001</v>
      </c>
    </row>
    <row r="2635" spans="1:7" x14ac:dyDescent="0.2">
      <c r="A2635">
        <f t="shared" si="41"/>
        <v>117089</v>
      </c>
      <c r="B2635">
        <v>117</v>
      </c>
      <c r="C2635">
        <v>89</v>
      </c>
      <c r="D2635">
        <v>206</v>
      </c>
      <c r="E2635" t="s">
        <v>87</v>
      </c>
      <c r="F2635">
        <v>13479.451999999999</v>
      </c>
      <c r="G2635">
        <v>50.493000000000002</v>
      </c>
    </row>
    <row r="2636" spans="1:7" x14ac:dyDescent="0.2">
      <c r="A2636">
        <f t="shared" si="41"/>
        <v>118072</v>
      </c>
      <c r="B2636">
        <v>118</v>
      </c>
      <c r="C2636">
        <v>72</v>
      </c>
      <c r="D2636">
        <v>190</v>
      </c>
      <c r="E2636" t="s">
        <v>70</v>
      </c>
      <c r="F2636" t="s">
        <v>1171</v>
      </c>
      <c r="G2636" t="s">
        <v>199</v>
      </c>
    </row>
    <row r="2637" spans="1:7" x14ac:dyDescent="0.2">
      <c r="A2637">
        <f t="shared" si="41"/>
        <v>118073</v>
      </c>
      <c r="B2637">
        <v>118</v>
      </c>
      <c r="C2637">
        <v>73</v>
      </c>
      <c r="D2637">
        <v>191</v>
      </c>
      <c r="E2637" t="s">
        <v>71</v>
      </c>
      <c r="F2637" t="s">
        <v>1173</v>
      </c>
      <c r="G2637" t="s">
        <v>202</v>
      </c>
    </row>
    <row r="2638" spans="1:7" x14ac:dyDescent="0.2">
      <c r="A2638">
        <f t="shared" si="41"/>
        <v>118074</v>
      </c>
      <c r="B2638">
        <v>118</v>
      </c>
      <c r="C2638">
        <v>74</v>
      </c>
      <c r="D2638">
        <v>192</v>
      </c>
      <c r="E2638" t="s">
        <v>72</v>
      </c>
      <c r="F2638" t="s">
        <v>797</v>
      </c>
      <c r="G2638" t="s">
        <v>206</v>
      </c>
    </row>
    <row r="2639" spans="1:7" x14ac:dyDescent="0.2">
      <c r="A2639">
        <f t="shared" si="41"/>
        <v>118075</v>
      </c>
      <c r="B2639">
        <v>118</v>
      </c>
      <c r="C2639">
        <v>75</v>
      </c>
      <c r="D2639">
        <v>193</v>
      </c>
      <c r="E2639" t="s">
        <v>73</v>
      </c>
      <c r="F2639">
        <v>-30231.637999999999</v>
      </c>
      <c r="G2639">
        <v>39.122999999999998</v>
      </c>
    </row>
    <row r="2640" spans="1:7" x14ac:dyDescent="0.2">
      <c r="A2640">
        <f t="shared" si="41"/>
        <v>118076</v>
      </c>
      <c r="B2640">
        <v>118</v>
      </c>
      <c r="C2640">
        <v>76</v>
      </c>
      <c r="D2640">
        <v>194</v>
      </c>
      <c r="E2640" t="s">
        <v>74</v>
      </c>
      <c r="F2640">
        <v>-32435.108</v>
      </c>
      <c r="G2640">
        <v>2.403</v>
      </c>
    </row>
    <row r="2641" spans="1:7" x14ac:dyDescent="0.2">
      <c r="A2641">
        <f t="shared" si="41"/>
        <v>118077</v>
      </c>
      <c r="B2641">
        <v>118</v>
      </c>
      <c r="C2641">
        <v>77</v>
      </c>
      <c r="D2641">
        <v>195</v>
      </c>
      <c r="E2641" t="s">
        <v>75</v>
      </c>
      <c r="F2641">
        <v>-31692.251</v>
      </c>
      <c r="G2641">
        <v>1.333</v>
      </c>
    </row>
    <row r="2642" spans="1:7" x14ac:dyDescent="0.2">
      <c r="A2642">
        <f t="shared" si="41"/>
        <v>118078</v>
      </c>
      <c r="B2642">
        <v>118</v>
      </c>
      <c r="C2642">
        <v>78</v>
      </c>
      <c r="D2642">
        <v>196</v>
      </c>
      <c r="E2642" t="s">
        <v>76</v>
      </c>
      <c r="F2642">
        <v>-32644.51</v>
      </c>
      <c r="G2642">
        <v>0.51</v>
      </c>
    </row>
    <row r="2643" spans="1:7" x14ac:dyDescent="0.2">
      <c r="A2643">
        <f t="shared" si="41"/>
        <v>118079</v>
      </c>
      <c r="B2643">
        <v>118</v>
      </c>
      <c r="C2643">
        <v>79</v>
      </c>
      <c r="D2643">
        <v>197</v>
      </c>
      <c r="E2643" t="s">
        <v>77</v>
      </c>
      <c r="F2643">
        <v>-31139.738000000001</v>
      </c>
      <c r="G2643">
        <v>0.54200000000000004</v>
      </c>
    </row>
    <row r="2644" spans="1:7" x14ac:dyDescent="0.2">
      <c r="A2644">
        <f t="shared" si="41"/>
        <v>118080</v>
      </c>
      <c r="B2644">
        <v>118</v>
      </c>
      <c r="C2644">
        <v>80</v>
      </c>
      <c r="D2644">
        <v>198</v>
      </c>
      <c r="E2644" t="s">
        <v>78</v>
      </c>
      <c r="F2644">
        <v>-30954.31</v>
      </c>
      <c r="G2644">
        <v>0.45800000000000002</v>
      </c>
    </row>
    <row r="2645" spans="1:7" x14ac:dyDescent="0.2">
      <c r="A2645">
        <f t="shared" si="41"/>
        <v>118081</v>
      </c>
      <c r="B2645">
        <v>118</v>
      </c>
      <c r="C2645">
        <v>81</v>
      </c>
      <c r="D2645">
        <v>199</v>
      </c>
      <c r="E2645" t="s">
        <v>79</v>
      </c>
      <c r="F2645">
        <v>-28059.394</v>
      </c>
      <c r="G2645">
        <v>27.945</v>
      </c>
    </row>
    <row r="2646" spans="1:7" x14ac:dyDescent="0.2">
      <c r="A2646">
        <f t="shared" si="41"/>
        <v>118082</v>
      </c>
      <c r="B2646">
        <v>118</v>
      </c>
      <c r="C2646">
        <v>82</v>
      </c>
      <c r="D2646">
        <v>200</v>
      </c>
      <c r="E2646" t="s">
        <v>80</v>
      </c>
      <c r="F2646">
        <v>-26251.054</v>
      </c>
      <c r="G2646">
        <v>10.927</v>
      </c>
    </row>
    <row r="2647" spans="1:7" x14ac:dyDescent="0.2">
      <c r="A2647">
        <f t="shared" si="41"/>
        <v>118083</v>
      </c>
      <c r="B2647">
        <v>118</v>
      </c>
      <c r="C2647">
        <v>83</v>
      </c>
      <c r="D2647">
        <v>201</v>
      </c>
      <c r="E2647" t="s">
        <v>81</v>
      </c>
      <c r="F2647">
        <v>-21416.433000000001</v>
      </c>
      <c r="G2647">
        <v>15.183</v>
      </c>
    </row>
    <row r="2648" spans="1:7" x14ac:dyDescent="0.2">
      <c r="A2648">
        <f t="shared" si="41"/>
        <v>118084</v>
      </c>
      <c r="B2648">
        <v>118</v>
      </c>
      <c r="C2648">
        <v>84</v>
      </c>
      <c r="D2648">
        <v>202</v>
      </c>
      <c r="E2648" t="s">
        <v>82</v>
      </c>
      <c r="F2648">
        <v>-17941.616000000002</v>
      </c>
      <c r="G2648">
        <v>8.67</v>
      </c>
    </row>
    <row r="2649" spans="1:7" x14ac:dyDescent="0.2">
      <c r="A2649">
        <f t="shared" si="41"/>
        <v>118085</v>
      </c>
      <c r="B2649">
        <v>118</v>
      </c>
      <c r="C2649">
        <v>85</v>
      </c>
      <c r="D2649">
        <v>203</v>
      </c>
      <c r="E2649" t="s">
        <v>83</v>
      </c>
      <c r="F2649">
        <v>-12162.557000000001</v>
      </c>
      <c r="G2649">
        <v>10.576000000000001</v>
      </c>
    </row>
    <row r="2650" spans="1:7" x14ac:dyDescent="0.2">
      <c r="A2650">
        <f t="shared" si="41"/>
        <v>118086</v>
      </c>
      <c r="B2650">
        <v>118</v>
      </c>
      <c r="C2650">
        <v>86</v>
      </c>
      <c r="D2650">
        <v>204</v>
      </c>
      <c r="E2650" t="s">
        <v>84</v>
      </c>
      <c r="F2650">
        <v>-7970.1930000000002</v>
      </c>
      <c r="G2650">
        <v>7.444</v>
      </c>
    </row>
    <row r="2651" spans="1:7" x14ac:dyDescent="0.2">
      <c r="A2651">
        <f t="shared" si="41"/>
        <v>118087</v>
      </c>
      <c r="B2651">
        <v>118</v>
      </c>
      <c r="C2651">
        <v>87</v>
      </c>
      <c r="D2651">
        <v>205</v>
      </c>
      <c r="E2651" t="s">
        <v>85</v>
      </c>
      <c r="F2651">
        <v>-1309.8130000000001</v>
      </c>
      <c r="G2651">
        <v>7.8239999999999998</v>
      </c>
    </row>
    <row r="2652" spans="1:7" x14ac:dyDescent="0.2">
      <c r="A2652">
        <f t="shared" si="41"/>
        <v>118088</v>
      </c>
      <c r="B2652">
        <v>118</v>
      </c>
      <c r="C2652">
        <v>88</v>
      </c>
      <c r="D2652">
        <v>206</v>
      </c>
      <c r="E2652" t="s">
        <v>86</v>
      </c>
      <c r="F2652">
        <v>3565.5390000000002</v>
      </c>
      <c r="G2652">
        <v>18.007999999999999</v>
      </c>
    </row>
    <row r="2653" spans="1:7" x14ac:dyDescent="0.2">
      <c r="A2653">
        <f t="shared" si="41"/>
        <v>118089</v>
      </c>
      <c r="B2653">
        <v>118</v>
      </c>
      <c r="C2653">
        <v>89</v>
      </c>
      <c r="D2653">
        <v>207</v>
      </c>
      <c r="E2653" t="s">
        <v>87</v>
      </c>
      <c r="F2653">
        <v>11146.233</v>
      </c>
      <c r="G2653">
        <v>50.387</v>
      </c>
    </row>
    <row r="2654" spans="1:7" x14ac:dyDescent="0.2">
      <c r="A2654">
        <f t="shared" si="41"/>
        <v>118090</v>
      </c>
      <c r="B2654">
        <v>118</v>
      </c>
      <c r="C2654">
        <v>90</v>
      </c>
      <c r="D2654">
        <v>208</v>
      </c>
      <c r="E2654" t="s">
        <v>88</v>
      </c>
      <c r="F2654">
        <v>16683.73</v>
      </c>
      <c r="G2654">
        <v>34.19</v>
      </c>
    </row>
    <row r="2655" spans="1:7" x14ac:dyDescent="0.2">
      <c r="A2655">
        <f t="shared" si="41"/>
        <v>119073</v>
      </c>
      <c r="B2655">
        <v>119</v>
      </c>
      <c r="C2655">
        <v>73</v>
      </c>
      <c r="D2655">
        <v>192</v>
      </c>
      <c r="E2655" t="s">
        <v>71</v>
      </c>
      <c r="F2655" t="s">
        <v>1174</v>
      </c>
      <c r="G2655" t="s">
        <v>199</v>
      </c>
    </row>
    <row r="2656" spans="1:7" x14ac:dyDescent="0.2">
      <c r="A2656">
        <f t="shared" si="41"/>
        <v>119074</v>
      </c>
      <c r="B2656">
        <v>119</v>
      </c>
      <c r="C2656">
        <v>74</v>
      </c>
      <c r="D2656">
        <v>193</v>
      </c>
      <c r="E2656" t="s">
        <v>72</v>
      </c>
      <c r="F2656" t="s">
        <v>1176</v>
      </c>
      <c r="G2656" t="s">
        <v>206</v>
      </c>
    </row>
    <row r="2657" spans="1:7" x14ac:dyDescent="0.2">
      <c r="A2657">
        <f t="shared" si="41"/>
        <v>119075</v>
      </c>
      <c r="B2657">
        <v>119</v>
      </c>
      <c r="C2657">
        <v>75</v>
      </c>
      <c r="D2657">
        <v>194</v>
      </c>
      <c r="E2657" t="s">
        <v>73</v>
      </c>
      <c r="F2657" t="s">
        <v>1179</v>
      </c>
      <c r="G2657" t="s">
        <v>206</v>
      </c>
    </row>
    <row r="2658" spans="1:7" x14ac:dyDescent="0.2">
      <c r="A2658">
        <f t="shared" si="41"/>
        <v>119076</v>
      </c>
      <c r="B2658">
        <v>119</v>
      </c>
      <c r="C2658">
        <v>76</v>
      </c>
      <c r="D2658">
        <v>195</v>
      </c>
      <c r="E2658" t="s">
        <v>74</v>
      </c>
      <c r="F2658">
        <v>-29511.593000000001</v>
      </c>
      <c r="G2658">
        <v>55.89</v>
      </c>
    </row>
    <row r="2659" spans="1:7" x14ac:dyDescent="0.2">
      <c r="A2659">
        <f t="shared" si="41"/>
        <v>119077</v>
      </c>
      <c r="B2659">
        <v>119</v>
      </c>
      <c r="C2659">
        <v>77</v>
      </c>
      <c r="D2659">
        <v>196</v>
      </c>
      <c r="E2659" t="s">
        <v>75</v>
      </c>
      <c r="F2659">
        <v>-29435.492999999999</v>
      </c>
      <c r="G2659">
        <v>38.414000000000001</v>
      </c>
    </row>
    <row r="2660" spans="1:7" x14ac:dyDescent="0.2">
      <c r="A2660">
        <f t="shared" si="41"/>
        <v>119078</v>
      </c>
      <c r="B2660">
        <v>119</v>
      </c>
      <c r="C2660">
        <v>78</v>
      </c>
      <c r="D2660">
        <v>197</v>
      </c>
      <c r="E2660" t="s">
        <v>76</v>
      </c>
      <c r="F2660">
        <v>-30419.75</v>
      </c>
      <c r="G2660">
        <v>0.53600000000000003</v>
      </c>
    </row>
    <row r="2661" spans="1:7" x14ac:dyDescent="0.2">
      <c r="A2661">
        <f t="shared" si="41"/>
        <v>119079</v>
      </c>
      <c r="B2661">
        <v>119</v>
      </c>
      <c r="C2661">
        <v>79</v>
      </c>
      <c r="D2661">
        <v>198</v>
      </c>
      <c r="E2661" t="s">
        <v>77</v>
      </c>
      <c r="F2661">
        <v>-29580.780999999999</v>
      </c>
      <c r="G2661">
        <v>0.54</v>
      </c>
    </row>
    <row r="2662" spans="1:7" x14ac:dyDescent="0.2">
      <c r="A2662">
        <f t="shared" si="41"/>
        <v>119080</v>
      </c>
      <c r="B2662">
        <v>119</v>
      </c>
      <c r="C2662">
        <v>80</v>
      </c>
      <c r="D2662">
        <v>199</v>
      </c>
      <c r="E2662" t="s">
        <v>78</v>
      </c>
      <c r="F2662">
        <v>-29546.067999999999</v>
      </c>
      <c r="G2662">
        <v>0.52600000000000002</v>
      </c>
    </row>
    <row r="2663" spans="1:7" x14ac:dyDescent="0.2">
      <c r="A2663">
        <f t="shared" si="41"/>
        <v>119081</v>
      </c>
      <c r="B2663">
        <v>119</v>
      </c>
      <c r="C2663">
        <v>81</v>
      </c>
      <c r="D2663">
        <v>200</v>
      </c>
      <c r="E2663" t="s">
        <v>79</v>
      </c>
      <c r="F2663">
        <v>-27047.23</v>
      </c>
      <c r="G2663">
        <v>5.7590000000000003</v>
      </c>
    </row>
    <row r="2664" spans="1:7" x14ac:dyDescent="0.2">
      <c r="A2664">
        <f t="shared" si="41"/>
        <v>119082</v>
      </c>
      <c r="B2664">
        <v>119</v>
      </c>
      <c r="C2664">
        <v>82</v>
      </c>
      <c r="D2664">
        <v>201</v>
      </c>
      <c r="E2664" t="s">
        <v>80</v>
      </c>
      <c r="F2664">
        <v>-25271.036</v>
      </c>
      <c r="G2664">
        <v>13.747</v>
      </c>
    </row>
    <row r="2665" spans="1:7" x14ac:dyDescent="0.2">
      <c r="A2665">
        <f t="shared" si="41"/>
        <v>119083</v>
      </c>
      <c r="B2665">
        <v>119</v>
      </c>
      <c r="C2665">
        <v>83</v>
      </c>
      <c r="D2665">
        <v>202</v>
      </c>
      <c r="E2665" t="s">
        <v>81</v>
      </c>
      <c r="F2665">
        <v>-20741.484</v>
      </c>
      <c r="G2665">
        <v>15.396000000000001</v>
      </c>
    </row>
    <row r="2666" spans="1:7" x14ac:dyDescent="0.2">
      <c r="A2666">
        <f t="shared" si="41"/>
        <v>119084</v>
      </c>
      <c r="B2666">
        <v>119</v>
      </c>
      <c r="C2666">
        <v>84</v>
      </c>
      <c r="D2666">
        <v>203</v>
      </c>
      <c r="E2666" t="s">
        <v>82</v>
      </c>
      <c r="F2666">
        <v>-17310.888999999999</v>
      </c>
      <c r="G2666">
        <v>8.6549999999999994</v>
      </c>
    </row>
    <row r="2667" spans="1:7" x14ac:dyDescent="0.2">
      <c r="A2667">
        <f t="shared" si="41"/>
        <v>119085</v>
      </c>
      <c r="B2667">
        <v>119</v>
      </c>
      <c r="C2667">
        <v>85</v>
      </c>
      <c r="D2667">
        <v>204</v>
      </c>
      <c r="E2667" t="s">
        <v>83</v>
      </c>
      <c r="F2667">
        <v>-11875.433000000001</v>
      </c>
      <c r="G2667">
        <v>22.288</v>
      </c>
    </row>
    <row r="2668" spans="1:7" x14ac:dyDescent="0.2">
      <c r="A2668">
        <f t="shared" si="41"/>
        <v>119086</v>
      </c>
      <c r="B2668">
        <v>119</v>
      </c>
      <c r="C2668">
        <v>86</v>
      </c>
      <c r="D2668">
        <v>205</v>
      </c>
      <c r="E2668" t="s">
        <v>84</v>
      </c>
      <c r="F2668">
        <v>-7709.7860000000001</v>
      </c>
      <c r="G2668">
        <v>5.08</v>
      </c>
    </row>
    <row r="2669" spans="1:7" x14ac:dyDescent="0.2">
      <c r="A2669">
        <f t="shared" si="41"/>
        <v>119087</v>
      </c>
      <c r="B2669">
        <v>119</v>
      </c>
      <c r="C2669">
        <v>87</v>
      </c>
      <c r="D2669">
        <v>206</v>
      </c>
      <c r="E2669" t="s">
        <v>85</v>
      </c>
      <c r="F2669">
        <v>-1242.4159999999999</v>
      </c>
      <c r="G2669">
        <v>28.195</v>
      </c>
    </row>
    <row r="2670" spans="1:7" x14ac:dyDescent="0.2">
      <c r="A2670">
        <f t="shared" si="41"/>
        <v>119088</v>
      </c>
      <c r="B2670">
        <v>119</v>
      </c>
      <c r="C2670">
        <v>88</v>
      </c>
      <c r="D2670">
        <v>207</v>
      </c>
      <c r="E2670" t="s">
        <v>86</v>
      </c>
      <c r="F2670">
        <v>3544.4850000000001</v>
      </c>
      <c r="G2670">
        <v>53.201999999999998</v>
      </c>
    </row>
    <row r="2671" spans="1:7" x14ac:dyDescent="0.2">
      <c r="A2671">
        <f t="shared" si="41"/>
        <v>119089</v>
      </c>
      <c r="B2671">
        <v>119</v>
      </c>
      <c r="C2671">
        <v>89</v>
      </c>
      <c r="D2671">
        <v>208</v>
      </c>
      <c r="E2671" t="s">
        <v>87</v>
      </c>
      <c r="F2671">
        <v>10753.235000000001</v>
      </c>
      <c r="G2671">
        <v>55.716000000000001</v>
      </c>
    </row>
    <row r="2672" spans="1:7" x14ac:dyDescent="0.2">
      <c r="A2672">
        <f t="shared" si="41"/>
        <v>119090</v>
      </c>
      <c r="B2672">
        <v>119</v>
      </c>
      <c r="C2672">
        <v>90</v>
      </c>
      <c r="D2672">
        <v>209</v>
      </c>
      <c r="E2672" t="s">
        <v>88</v>
      </c>
      <c r="F2672" t="s">
        <v>1215</v>
      </c>
      <c r="G2672" t="s">
        <v>222</v>
      </c>
    </row>
    <row r="2673" spans="1:7" x14ac:dyDescent="0.2">
      <c r="A2673">
        <f t="shared" si="41"/>
        <v>120073</v>
      </c>
      <c r="B2673">
        <v>120</v>
      </c>
      <c r="C2673">
        <v>73</v>
      </c>
      <c r="D2673">
        <v>193</v>
      </c>
      <c r="E2673" t="s">
        <v>71</v>
      </c>
      <c r="F2673" t="s">
        <v>1175</v>
      </c>
      <c r="G2673" t="s">
        <v>199</v>
      </c>
    </row>
    <row r="2674" spans="1:7" x14ac:dyDescent="0.2">
      <c r="A2674">
        <f t="shared" si="41"/>
        <v>120074</v>
      </c>
      <c r="B2674">
        <v>120</v>
      </c>
      <c r="C2674">
        <v>74</v>
      </c>
      <c r="D2674">
        <v>194</v>
      </c>
      <c r="E2674" t="s">
        <v>72</v>
      </c>
      <c r="F2674" t="s">
        <v>1178</v>
      </c>
      <c r="G2674" t="s">
        <v>202</v>
      </c>
    </row>
    <row r="2675" spans="1:7" x14ac:dyDescent="0.2">
      <c r="A2675">
        <f t="shared" si="41"/>
        <v>120075</v>
      </c>
      <c r="B2675">
        <v>120</v>
      </c>
      <c r="C2675">
        <v>75</v>
      </c>
      <c r="D2675">
        <v>195</v>
      </c>
      <c r="E2675" t="s">
        <v>73</v>
      </c>
      <c r="F2675" t="s">
        <v>1181</v>
      </c>
      <c r="G2675" t="s">
        <v>202</v>
      </c>
    </row>
    <row r="2676" spans="1:7" x14ac:dyDescent="0.2">
      <c r="A2676">
        <f t="shared" si="41"/>
        <v>120076</v>
      </c>
      <c r="B2676">
        <v>120</v>
      </c>
      <c r="C2676">
        <v>76</v>
      </c>
      <c r="D2676">
        <v>196</v>
      </c>
      <c r="E2676" t="s">
        <v>74</v>
      </c>
      <c r="F2676">
        <v>-28277.105</v>
      </c>
      <c r="G2676">
        <v>40.055</v>
      </c>
    </row>
    <row r="2677" spans="1:7" x14ac:dyDescent="0.2">
      <c r="A2677">
        <f t="shared" si="41"/>
        <v>120077</v>
      </c>
      <c r="B2677">
        <v>120</v>
      </c>
      <c r="C2677">
        <v>77</v>
      </c>
      <c r="D2677">
        <v>197</v>
      </c>
      <c r="E2677" t="s">
        <v>75</v>
      </c>
      <c r="F2677">
        <v>-28264.105</v>
      </c>
      <c r="G2677">
        <v>20.11</v>
      </c>
    </row>
    <row r="2678" spans="1:7" x14ac:dyDescent="0.2">
      <c r="A2678">
        <f t="shared" si="41"/>
        <v>120078</v>
      </c>
      <c r="B2678">
        <v>120</v>
      </c>
      <c r="C2678">
        <v>78</v>
      </c>
      <c r="D2678">
        <v>198</v>
      </c>
      <c r="E2678" t="s">
        <v>76</v>
      </c>
      <c r="F2678">
        <v>-29903.999</v>
      </c>
      <c r="G2678">
        <v>2.1</v>
      </c>
    </row>
    <row r="2679" spans="1:7" x14ac:dyDescent="0.2">
      <c r="A2679">
        <f t="shared" si="41"/>
        <v>120079</v>
      </c>
      <c r="B2679">
        <v>120</v>
      </c>
      <c r="C2679">
        <v>79</v>
      </c>
      <c r="D2679">
        <v>199</v>
      </c>
      <c r="E2679" t="s">
        <v>77</v>
      </c>
      <c r="F2679">
        <v>-29093.741000000002</v>
      </c>
      <c r="G2679">
        <v>0.54200000000000004</v>
      </c>
    </row>
    <row r="2680" spans="1:7" x14ac:dyDescent="0.2">
      <c r="A2680">
        <f t="shared" si="41"/>
        <v>120080</v>
      </c>
      <c r="B2680">
        <v>120</v>
      </c>
      <c r="C2680">
        <v>80</v>
      </c>
      <c r="D2680">
        <v>200</v>
      </c>
      <c r="E2680" t="s">
        <v>78</v>
      </c>
      <c r="F2680">
        <v>-29503.27</v>
      </c>
      <c r="G2680">
        <v>0.52900000000000003</v>
      </c>
    </row>
    <row r="2681" spans="1:7" x14ac:dyDescent="0.2">
      <c r="A2681">
        <f t="shared" si="41"/>
        <v>120081</v>
      </c>
      <c r="B2681">
        <v>120</v>
      </c>
      <c r="C2681">
        <v>81</v>
      </c>
      <c r="D2681">
        <v>201</v>
      </c>
      <c r="E2681" t="s">
        <v>79</v>
      </c>
      <c r="F2681">
        <v>-27180.838</v>
      </c>
      <c r="G2681">
        <v>14.185</v>
      </c>
    </row>
    <row r="2682" spans="1:7" x14ac:dyDescent="0.2">
      <c r="A2682">
        <f t="shared" si="41"/>
        <v>120082</v>
      </c>
      <c r="B2682">
        <v>120</v>
      </c>
      <c r="C2682">
        <v>82</v>
      </c>
      <c r="D2682">
        <v>202</v>
      </c>
      <c r="E2682" t="s">
        <v>80</v>
      </c>
      <c r="F2682">
        <v>-25940.614000000001</v>
      </c>
      <c r="G2682">
        <v>3.7959999999999998</v>
      </c>
    </row>
    <row r="2683" spans="1:7" x14ac:dyDescent="0.2">
      <c r="A2683">
        <f t="shared" si="41"/>
        <v>120083</v>
      </c>
      <c r="B2683">
        <v>120</v>
      </c>
      <c r="C2683">
        <v>83</v>
      </c>
      <c r="D2683">
        <v>203</v>
      </c>
      <c r="E2683" t="s">
        <v>81</v>
      </c>
      <c r="F2683">
        <v>-21524.827000000001</v>
      </c>
      <c r="G2683">
        <v>12.778</v>
      </c>
    </row>
    <row r="2684" spans="1:7" x14ac:dyDescent="0.2">
      <c r="A2684">
        <f t="shared" si="41"/>
        <v>120084</v>
      </c>
      <c r="B2684">
        <v>120</v>
      </c>
      <c r="C2684">
        <v>84</v>
      </c>
      <c r="D2684">
        <v>204</v>
      </c>
      <c r="E2684" t="s">
        <v>82</v>
      </c>
      <c r="F2684">
        <v>-18341.243999999999</v>
      </c>
      <c r="G2684">
        <v>11.013</v>
      </c>
    </row>
    <row r="2685" spans="1:7" x14ac:dyDescent="0.2">
      <c r="A2685">
        <f t="shared" si="41"/>
        <v>120085</v>
      </c>
      <c r="B2685">
        <v>120</v>
      </c>
      <c r="C2685">
        <v>85</v>
      </c>
      <c r="D2685">
        <v>205</v>
      </c>
      <c r="E2685" t="s">
        <v>83</v>
      </c>
      <c r="F2685">
        <v>-12971.946</v>
      </c>
      <c r="G2685">
        <v>15.085000000000001</v>
      </c>
    </row>
    <row r="2686" spans="1:7" x14ac:dyDescent="0.2">
      <c r="A2686">
        <f t="shared" si="41"/>
        <v>120086</v>
      </c>
      <c r="B2686">
        <v>120</v>
      </c>
      <c r="C2686">
        <v>86</v>
      </c>
      <c r="D2686">
        <v>206</v>
      </c>
      <c r="E2686" t="s">
        <v>84</v>
      </c>
      <c r="F2686">
        <v>-9132.9650000000001</v>
      </c>
      <c r="G2686">
        <v>8.5909999999999993</v>
      </c>
    </row>
    <row r="2687" spans="1:7" x14ac:dyDescent="0.2">
      <c r="A2687">
        <f t="shared" si="41"/>
        <v>120087</v>
      </c>
      <c r="B2687">
        <v>120</v>
      </c>
      <c r="C2687">
        <v>87</v>
      </c>
      <c r="D2687">
        <v>207</v>
      </c>
      <c r="E2687" t="s">
        <v>85</v>
      </c>
      <c r="F2687">
        <v>-2844.3409999999999</v>
      </c>
      <c r="G2687">
        <v>17.504999999999999</v>
      </c>
    </row>
    <row r="2688" spans="1:7" x14ac:dyDescent="0.2">
      <c r="A2688">
        <f t="shared" si="41"/>
        <v>120088</v>
      </c>
      <c r="B2688">
        <v>120</v>
      </c>
      <c r="C2688">
        <v>88</v>
      </c>
      <c r="D2688">
        <v>208</v>
      </c>
      <c r="E2688" t="s">
        <v>86</v>
      </c>
      <c r="F2688">
        <v>1727.856</v>
      </c>
      <c r="G2688">
        <v>9.0229999999999997</v>
      </c>
    </row>
    <row r="2689" spans="1:7" x14ac:dyDescent="0.2">
      <c r="A2689">
        <f t="shared" ref="A2689:A2752" si="42">1000*B2689+C2689</f>
        <v>120089</v>
      </c>
      <c r="B2689">
        <v>120</v>
      </c>
      <c r="C2689">
        <v>89</v>
      </c>
      <c r="D2689">
        <v>209</v>
      </c>
      <c r="E2689" t="s">
        <v>87</v>
      </c>
      <c r="F2689">
        <v>8843.8089999999993</v>
      </c>
      <c r="G2689">
        <v>50.607999999999997</v>
      </c>
    </row>
    <row r="2690" spans="1:7" x14ac:dyDescent="0.2">
      <c r="A2690">
        <f t="shared" si="42"/>
        <v>120090</v>
      </c>
      <c r="B2690">
        <v>120</v>
      </c>
      <c r="C2690">
        <v>90</v>
      </c>
      <c r="D2690">
        <v>210</v>
      </c>
      <c r="E2690" t="s">
        <v>88</v>
      </c>
      <c r="F2690">
        <v>14059.446</v>
      </c>
      <c r="G2690">
        <v>18.908999999999999</v>
      </c>
    </row>
    <row r="2691" spans="1:7" x14ac:dyDescent="0.2">
      <c r="A2691">
        <f t="shared" si="42"/>
        <v>120091</v>
      </c>
      <c r="B2691">
        <v>120</v>
      </c>
      <c r="C2691">
        <v>91</v>
      </c>
      <c r="D2691">
        <v>211</v>
      </c>
      <c r="E2691" t="s">
        <v>89</v>
      </c>
      <c r="F2691" t="s">
        <v>1219</v>
      </c>
      <c r="G2691" t="s">
        <v>215</v>
      </c>
    </row>
    <row r="2692" spans="1:7" x14ac:dyDescent="0.2">
      <c r="A2692">
        <f t="shared" si="42"/>
        <v>121073</v>
      </c>
      <c r="B2692">
        <v>121</v>
      </c>
      <c r="C2692">
        <v>73</v>
      </c>
      <c r="D2692">
        <v>194</v>
      </c>
      <c r="E2692" t="s">
        <v>71</v>
      </c>
      <c r="F2692" t="s">
        <v>1177</v>
      </c>
      <c r="G2692" t="s">
        <v>201</v>
      </c>
    </row>
    <row r="2693" spans="1:7" x14ac:dyDescent="0.2">
      <c r="A2693">
        <f t="shared" si="42"/>
        <v>121074</v>
      </c>
      <c r="B2693">
        <v>121</v>
      </c>
      <c r="C2693">
        <v>74</v>
      </c>
      <c r="D2693">
        <v>195</v>
      </c>
      <c r="E2693" t="s">
        <v>72</v>
      </c>
      <c r="F2693" t="s">
        <v>1180</v>
      </c>
      <c r="G2693" t="s">
        <v>202</v>
      </c>
    </row>
    <row r="2694" spans="1:7" x14ac:dyDescent="0.2">
      <c r="A2694">
        <f t="shared" si="42"/>
        <v>121075</v>
      </c>
      <c r="B2694">
        <v>121</v>
      </c>
      <c r="C2694">
        <v>75</v>
      </c>
      <c r="D2694">
        <v>196</v>
      </c>
      <c r="E2694" t="s">
        <v>73</v>
      </c>
      <c r="F2694" t="s">
        <v>1183</v>
      </c>
      <c r="G2694" t="s">
        <v>202</v>
      </c>
    </row>
    <row r="2695" spans="1:7" x14ac:dyDescent="0.2">
      <c r="A2695">
        <f t="shared" si="42"/>
        <v>121076</v>
      </c>
      <c r="B2695">
        <v>121</v>
      </c>
      <c r="C2695">
        <v>76</v>
      </c>
      <c r="D2695">
        <v>197</v>
      </c>
      <c r="E2695" t="s">
        <v>74</v>
      </c>
      <c r="F2695" t="s">
        <v>1186</v>
      </c>
      <c r="G2695" t="s">
        <v>206</v>
      </c>
    </row>
    <row r="2696" spans="1:7" x14ac:dyDescent="0.2">
      <c r="A2696">
        <f t="shared" si="42"/>
        <v>121077</v>
      </c>
      <c r="B2696">
        <v>121</v>
      </c>
      <c r="C2696">
        <v>77</v>
      </c>
      <c r="D2696">
        <v>198</v>
      </c>
      <c r="E2696" t="s">
        <v>75</v>
      </c>
      <c r="F2696" t="s">
        <v>260</v>
      </c>
      <c r="G2696" t="s">
        <v>206</v>
      </c>
    </row>
    <row r="2697" spans="1:7" x14ac:dyDescent="0.2">
      <c r="A2697">
        <f t="shared" si="42"/>
        <v>121078</v>
      </c>
      <c r="B2697">
        <v>121</v>
      </c>
      <c r="C2697">
        <v>78</v>
      </c>
      <c r="D2697">
        <v>199</v>
      </c>
      <c r="E2697" t="s">
        <v>76</v>
      </c>
      <c r="F2697">
        <v>-27388.682000000001</v>
      </c>
      <c r="G2697">
        <v>2.1589999999999998</v>
      </c>
    </row>
    <row r="2698" spans="1:7" x14ac:dyDescent="0.2">
      <c r="A2698">
        <f t="shared" si="42"/>
        <v>121079</v>
      </c>
      <c r="B2698">
        <v>121</v>
      </c>
      <c r="C2698">
        <v>79</v>
      </c>
      <c r="D2698">
        <v>200</v>
      </c>
      <c r="E2698" t="s">
        <v>77</v>
      </c>
      <c r="F2698">
        <v>-27240.092000000001</v>
      </c>
      <c r="G2698">
        <v>26.716999999999999</v>
      </c>
    </row>
    <row r="2699" spans="1:7" x14ac:dyDescent="0.2">
      <c r="A2699">
        <f t="shared" si="42"/>
        <v>121080</v>
      </c>
      <c r="B2699">
        <v>121</v>
      </c>
      <c r="C2699">
        <v>80</v>
      </c>
      <c r="D2699">
        <v>201</v>
      </c>
      <c r="E2699" t="s">
        <v>78</v>
      </c>
      <c r="F2699">
        <v>-27662.542000000001</v>
      </c>
      <c r="G2699">
        <v>0.71099999999999997</v>
      </c>
    </row>
    <row r="2700" spans="1:7" x14ac:dyDescent="0.2">
      <c r="A2700">
        <f t="shared" si="42"/>
        <v>121081</v>
      </c>
      <c r="B2700">
        <v>121</v>
      </c>
      <c r="C2700">
        <v>81</v>
      </c>
      <c r="D2700">
        <v>202</v>
      </c>
      <c r="E2700" t="s">
        <v>79</v>
      </c>
      <c r="F2700">
        <v>-25980.216</v>
      </c>
      <c r="G2700">
        <v>1.6060000000000001</v>
      </c>
    </row>
    <row r="2701" spans="1:7" x14ac:dyDescent="0.2">
      <c r="A2701">
        <f t="shared" si="42"/>
        <v>121082</v>
      </c>
      <c r="B2701">
        <v>121</v>
      </c>
      <c r="C2701">
        <v>82</v>
      </c>
      <c r="D2701">
        <v>203</v>
      </c>
      <c r="E2701" t="s">
        <v>80</v>
      </c>
      <c r="F2701">
        <v>-24786.557000000001</v>
      </c>
      <c r="G2701">
        <v>6.5540000000000003</v>
      </c>
    </row>
    <row r="2702" spans="1:7" x14ac:dyDescent="0.2">
      <c r="A2702">
        <f t="shared" si="42"/>
        <v>121083</v>
      </c>
      <c r="B2702">
        <v>121</v>
      </c>
      <c r="C2702">
        <v>83</v>
      </c>
      <c r="D2702">
        <v>204</v>
      </c>
      <c r="E2702" t="s">
        <v>81</v>
      </c>
      <c r="F2702">
        <v>-20645.896000000001</v>
      </c>
      <c r="G2702">
        <v>9.18</v>
      </c>
    </row>
    <row r="2703" spans="1:7" x14ac:dyDescent="0.2">
      <c r="A2703">
        <f t="shared" si="42"/>
        <v>121084</v>
      </c>
      <c r="B2703">
        <v>121</v>
      </c>
      <c r="C2703">
        <v>84</v>
      </c>
      <c r="D2703">
        <v>205</v>
      </c>
      <c r="E2703" t="s">
        <v>82</v>
      </c>
      <c r="F2703">
        <v>-17521.398000000001</v>
      </c>
      <c r="G2703">
        <v>10.058999999999999</v>
      </c>
    </row>
    <row r="2704" spans="1:7" x14ac:dyDescent="0.2">
      <c r="A2704">
        <f t="shared" si="42"/>
        <v>121085</v>
      </c>
      <c r="B2704">
        <v>121</v>
      </c>
      <c r="C2704">
        <v>85</v>
      </c>
      <c r="D2704">
        <v>206</v>
      </c>
      <c r="E2704" t="s">
        <v>83</v>
      </c>
      <c r="F2704">
        <v>-12429.718000000001</v>
      </c>
      <c r="G2704">
        <v>15.055999999999999</v>
      </c>
    </row>
    <row r="2705" spans="1:7" x14ac:dyDescent="0.2">
      <c r="A2705">
        <f t="shared" si="42"/>
        <v>121086</v>
      </c>
      <c r="B2705">
        <v>121</v>
      </c>
      <c r="C2705">
        <v>86</v>
      </c>
      <c r="D2705">
        <v>207</v>
      </c>
      <c r="E2705" t="s">
        <v>84</v>
      </c>
      <c r="F2705">
        <v>-8634.7620000000006</v>
      </c>
      <c r="G2705">
        <v>8.4969999999999999</v>
      </c>
    </row>
    <row r="2706" spans="1:7" x14ac:dyDescent="0.2">
      <c r="A2706">
        <f t="shared" si="42"/>
        <v>121087</v>
      </c>
      <c r="B2706">
        <v>121</v>
      </c>
      <c r="C2706">
        <v>87</v>
      </c>
      <c r="D2706">
        <v>208</v>
      </c>
      <c r="E2706" t="s">
        <v>85</v>
      </c>
      <c r="F2706">
        <v>-2665.9189999999999</v>
      </c>
      <c r="G2706">
        <v>11.834</v>
      </c>
    </row>
    <row r="2707" spans="1:7" x14ac:dyDescent="0.2">
      <c r="A2707">
        <f t="shared" si="42"/>
        <v>121088</v>
      </c>
      <c r="B2707">
        <v>121</v>
      </c>
      <c r="C2707">
        <v>88</v>
      </c>
      <c r="D2707">
        <v>209</v>
      </c>
      <c r="E2707" t="s">
        <v>86</v>
      </c>
      <c r="F2707">
        <v>1858.2190000000001</v>
      </c>
      <c r="G2707">
        <v>5.7469999999999999</v>
      </c>
    </row>
    <row r="2708" spans="1:7" x14ac:dyDescent="0.2">
      <c r="A2708">
        <f t="shared" si="42"/>
        <v>121089</v>
      </c>
      <c r="B2708">
        <v>121</v>
      </c>
      <c r="C2708">
        <v>89</v>
      </c>
      <c r="D2708">
        <v>210</v>
      </c>
      <c r="E2708" t="s">
        <v>87</v>
      </c>
      <c r="F2708">
        <v>8789.6990000000005</v>
      </c>
      <c r="G2708">
        <v>57.402000000000001</v>
      </c>
    </row>
    <row r="2709" spans="1:7" x14ac:dyDescent="0.2">
      <c r="A2709">
        <f t="shared" si="42"/>
        <v>121090</v>
      </c>
      <c r="B2709">
        <v>121</v>
      </c>
      <c r="C2709">
        <v>90</v>
      </c>
      <c r="D2709">
        <v>211</v>
      </c>
      <c r="E2709" t="s">
        <v>88</v>
      </c>
      <c r="F2709">
        <v>13910.171</v>
      </c>
      <c r="G2709">
        <v>73.010000000000005</v>
      </c>
    </row>
    <row r="2710" spans="1:7" x14ac:dyDescent="0.2">
      <c r="A2710">
        <f t="shared" si="42"/>
        <v>121091</v>
      </c>
      <c r="B2710">
        <v>121</v>
      </c>
      <c r="C2710">
        <v>91</v>
      </c>
      <c r="D2710">
        <v>212</v>
      </c>
      <c r="E2710" t="s">
        <v>89</v>
      </c>
      <c r="F2710">
        <v>21593.358</v>
      </c>
      <c r="G2710">
        <v>74.861999999999995</v>
      </c>
    </row>
    <row r="2711" spans="1:7" x14ac:dyDescent="0.2">
      <c r="A2711">
        <f t="shared" si="42"/>
        <v>122074</v>
      </c>
      <c r="B2711">
        <v>122</v>
      </c>
      <c r="C2711">
        <v>74</v>
      </c>
      <c r="D2711">
        <v>196</v>
      </c>
      <c r="E2711" t="s">
        <v>72</v>
      </c>
      <c r="F2711" t="s">
        <v>1182</v>
      </c>
      <c r="G2711" t="s">
        <v>199</v>
      </c>
    </row>
    <row r="2712" spans="1:7" x14ac:dyDescent="0.2">
      <c r="A2712">
        <f t="shared" si="42"/>
        <v>122075</v>
      </c>
      <c r="B2712">
        <v>122</v>
      </c>
      <c r="C2712">
        <v>75</v>
      </c>
      <c r="D2712">
        <v>197</v>
      </c>
      <c r="E2712" t="s">
        <v>73</v>
      </c>
      <c r="F2712" t="s">
        <v>1185</v>
      </c>
      <c r="G2712" t="s">
        <v>202</v>
      </c>
    </row>
    <row r="2713" spans="1:7" x14ac:dyDescent="0.2">
      <c r="A2713">
        <f t="shared" si="42"/>
        <v>122076</v>
      </c>
      <c r="B2713">
        <v>122</v>
      </c>
      <c r="C2713">
        <v>76</v>
      </c>
      <c r="D2713">
        <v>198</v>
      </c>
      <c r="E2713" t="s">
        <v>74</v>
      </c>
      <c r="F2713" t="s">
        <v>1188</v>
      </c>
      <c r="G2713" t="s">
        <v>206</v>
      </c>
    </row>
    <row r="2714" spans="1:7" x14ac:dyDescent="0.2">
      <c r="A2714">
        <f t="shared" si="42"/>
        <v>122077</v>
      </c>
      <c r="B2714">
        <v>122</v>
      </c>
      <c r="C2714">
        <v>77</v>
      </c>
      <c r="D2714">
        <v>199</v>
      </c>
      <c r="E2714" t="s">
        <v>1191</v>
      </c>
      <c r="F2714">
        <v>-24398.514999999999</v>
      </c>
      <c r="G2714">
        <v>41.054000000000002</v>
      </c>
    </row>
    <row r="2715" spans="1:7" x14ac:dyDescent="0.2">
      <c r="A2715">
        <f t="shared" si="42"/>
        <v>122078</v>
      </c>
      <c r="B2715">
        <v>122</v>
      </c>
      <c r="C2715">
        <v>78</v>
      </c>
      <c r="D2715">
        <v>200</v>
      </c>
      <c r="E2715" t="s">
        <v>76</v>
      </c>
      <c r="F2715">
        <v>-26599.16</v>
      </c>
      <c r="G2715">
        <v>20.11</v>
      </c>
    </row>
    <row r="2716" spans="1:7" x14ac:dyDescent="0.2">
      <c r="A2716">
        <f t="shared" si="42"/>
        <v>122079</v>
      </c>
      <c r="B2716">
        <v>122</v>
      </c>
      <c r="C2716">
        <v>79</v>
      </c>
      <c r="D2716">
        <v>201</v>
      </c>
      <c r="E2716" t="s">
        <v>77</v>
      </c>
      <c r="F2716">
        <v>-26400.714</v>
      </c>
      <c r="G2716">
        <v>3.218</v>
      </c>
    </row>
    <row r="2717" spans="1:7" x14ac:dyDescent="0.2">
      <c r="A2717">
        <f t="shared" si="42"/>
        <v>122080</v>
      </c>
      <c r="B2717">
        <v>122</v>
      </c>
      <c r="C2717">
        <v>80</v>
      </c>
      <c r="D2717">
        <v>202</v>
      </c>
      <c r="E2717" t="s">
        <v>78</v>
      </c>
      <c r="F2717">
        <v>-27345.324000000001</v>
      </c>
      <c r="G2717">
        <v>0.70499999999999996</v>
      </c>
    </row>
    <row r="2718" spans="1:7" x14ac:dyDescent="0.2">
      <c r="A2718">
        <f t="shared" si="42"/>
        <v>122081</v>
      </c>
      <c r="B2718">
        <v>122</v>
      </c>
      <c r="C2718">
        <v>81</v>
      </c>
      <c r="D2718">
        <v>203</v>
      </c>
      <c r="E2718" t="s">
        <v>79</v>
      </c>
      <c r="F2718">
        <v>-25761.377</v>
      </c>
      <c r="G2718">
        <v>1.1659999999999999</v>
      </c>
    </row>
    <row r="2719" spans="1:7" x14ac:dyDescent="0.2">
      <c r="A2719">
        <f t="shared" si="42"/>
        <v>122082</v>
      </c>
      <c r="B2719">
        <v>122</v>
      </c>
      <c r="C2719">
        <v>82</v>
      </c>
      <c r="D2719">
        <v>204</v>
      </c>
      <c r="E2719" t="s">
        <v>80</v>
      </c>
      <c r="F2719">
        <v>-25109.892</v>
      </c>
      <c r="G2719">
        <v>1.1459999999999999</v>
      </c>
    </row>
    <row r="2720" spans="1:7" x14ac:dyDescent="0.2">
      <c r="A2720">
        <f t="shared" si="42"/>
        <v>122083</v>
      </c>
      <c r="B2720">
        <v>122</v>
      </c>
      <c r="C2720">
        <v>83</v>
      </c>
      <c r="D2720">
        <v>205</v>
      </c>
      <c r="E2720" t="s">
        <v>81</v>
      </c>
      <c r="F2720">
        <v>-21064.504000000001</v>
      </c>
      <c r="G2720">
        <v>5.1109999999999998</v>
      </c>
    </row>
    <row r="2721" spans="1:7" x14ac:dyDescent="0.2">
      <c r="A2721">
        <f t="shared" si="42"/>
        <v>122084</v>
      </c>
      <c r="B2721">
        <v>122</v>
      </c>
      <c r="C2721">
        <v>84</v>
      </c>
      <c r="D2721">
        <v>206</v>
      </c>
      <c r="E2721" t="s">
        <v>82</v>
      </c>
      <c r="F2721">
        <v>-18188.673999999999</v>
      </c>
      <c r="G2721">
        <v>4.0119999999999996</v>
      </c>
    </row>
    <row r="2722" spans="1:7" x14ac:dyDescent="0.2">
      <c r="A2722">
        <f t="shared" si="42"/>
        <v>122085</v>
      </c>
      <c r="B2722">
        <v>122</v>
      </c>
      <c r="C2722">
        <v>85</v>
      </c>
      <c r="D2722">
        <v>207</v>
      </c>
      <c r="E2722" t="s">
        <v>83</v>
      </c>
      <c r="F2722">
        <v>-13227.415999999999</v>
      </c>
      <c r="G2722">
        <v>12.406000000000001</v>
      </c>
    </row>
    <row r="2723" spans="1:7" x14ac:dyDescent="0.2">
      <c r="A2723">
        <f t="shared" si="42"/>
        <v>122086</v>
      </c>
      <c r="B2723">
        <v>122</v>
      </c>
      <c r="C2723">
        <v>86</v>
      </c>
      <c r="D2723">
        <v>208</v>
      </c>
      <c r="E2723" t="s">
        <v>84</v>
      </c>
      <c r="F2723">
        <v>-9655.5910000000003</v>
      </c>
      <c r="G2723">
        <v>11.138</v>
      </c>
    </row>
    <row r="2724" spans="1:7" x14ac:dyDescent="0.2">
      <c r="A2724">
        <f t="shared" si="42"/>
        <v>122087</v>
      </c>
      <c r="B2724">
        <v>122</v>
      </c>
      <c r="C2724">
        <v>87</v>
      </c>
      <c r="D2724">
        <v>209</v>
      </c>
      <c r="E2724" t="s">
        <v>85</v>
      </c>
      <c r="F2724">
        <v>-3769.5720000000001</v>
      </c>
      <c r="G2724">
        <v>14.648</v>
      </c>
    </row>
    <row r="2725" spans="1:7" x14ac:dyDescent="0.2">
      <c r="A2725">
        <f t="shared" si="42"/>
        <v>122088</v>
      </c>
      <c r="B2725">
        <v>122</v>
      </c>
      <c r="C2725">
        <v>88</v>
      </c>
      <c r="D2725">
        <v>210</v>
      </c>
      <c r="E2725" t="s">
        <v>86</v>
      </c>
      <c r="F2725">
        <v>442.79199999999997</v>
      </c>
      <c r="G2725">
        <v>9.1929999999999996</v>
      </c>
    </row>
    <row r="2726" spans="1:7" x14ac:dyDescent="0.2">
      <c r="A2726">
        <f t="shared" si="42"/>
        <v>122089</v>
      </c>
      <c r="B2726">
        <v>122</v>
      </c>
      <c r="C2726">
        <v>89</v>
      </c>
      <c r="D2726">
        <v>211</v>
      </c>
      <c r="E2726" t="s">
        <v>87</v>
      </c>
      <c r="F2726">
        <v>7202.2139999999999</v>
      </c>
      <c r="G2726">
        <v>52.975999999999999</v>
      </c>
    </row>
    <row r="2727" spans="1:7" x14ac:dyDescent="0.2">
      <c r="A2727">
        <f t="shared" si="42"/>
        <v>122090</v>
      </c>
      <c r="B2727">
        <v>122</v>
      </c>
      <c r="C2727">
        <v>90</v>
      </c>
      <c r="D2727">
        <v>212</v>
      </c>
      <c r="E2727" t="s">
        <v>88</v>
      </c>
      <c r="F2727">
        <v>12110.808000000001</v>
      </c>
      <c r="G2727">
        <v>10.109</v>
      </c>
    </row>
    <row r="2728" spans="1:7" x14ac:dyDescent="0.2">
      <c r="A2728">
        <f t="shared" si="42"/>
        <v>122091</v>
      </c>
      <c r="B2728">
        <v>122</v>
      </c>
      <c r="C2728">
        <v>91</v>
      </c>
      <c r="D2728">
        <v>213</v>
      </c>
      <c r="E2728" t="s">
        <v>89</v>
      </c>
      <c r="F2728">
        <v>19662.625</v>
      </c>
      <c r="G2728">
        <v>71.141999999999996</v>
      </c>
    </row>
    <row r="2729" spans="1:7" x14ac:dyDescent="0.2">
      <c r="A2729">
        <f t="shared" si="42"/>
        <v>123074</v>
      </c>
      <c r="B2729">
        <v>123</v>
      </c>
      <c r="C2729">
        <v>74</v>
      </c>
      <c r="D2729">
        <v>197</v>
      </c>
      <c r="E2729" t="s">
        <v>72</v>
      </c>
      <c r="F2729" t="s">
        <v>1184</v>
      </c>
      <c r="G2729" t="s">
        <v>199</v>
      </c>
    </row>
    <row r="2730" spans="1:7" x14ac:dyDescent="0.2">
      <c r="A2730">
        <f t="shared" si="42"/>
        <v>123075</v>
      </c>
      <c r="B2730">
        <v>123</v>
      </c>
      <c r="C2730">
        <v>75</v>
      </c>
      <c r="D2730">
        <v>198</v>
      </c>
      <c r="E2730" t="s">
        <v>73</v>
      </c>
      <c r="F2730" t="s">
        <v>1187</v>
      </c>
      <c r="G2730" t="s">
        <v>199</v>
      </c>
    </row>
    <row r="2731" spans="1:7" x14ac:dyDescent="0.2">
      <c r="A2731">
        <f t="shared" si="42"/>
        <v>123076</v>
      </c>
      <c r="B2731">
        <v>123</v>
      </c>
      <c r="C2731">
        <v>76</v>
      </c>
      <c r="D2731">
        <v>199</v>
      </c>
      <c r="E2731" t="s">
        <v>74</v>
      </c>
      <c r="F2731" t="s">
        <v>1190</v>
      </c>
      <c r="G2731" t="s">
        <v>206</v>
      </c>
    </row>
    <row r="2732" spans="1:7" x14ac:dyDescent="0.2">
      <c r="A2732">
        <f t="shared" si="42"/>
        <v>123077</v>
      </c>
      <c r="B2732">
        <v>123</v>
      </c>
      <c r="C2732">
        <v>77</v>
      </c>
      <c r="D2732">
        <v>200</v>
      </c>
      <c r="E2732" t="s">
        <v>75</v>
      </c>
      <c r="F2732" t="s">
        <v>1193</v>
      </c>
      <c r="G2732" t="s">
        <v>206</v>
      </c>
    </row>
    <row r="2733" spans="1:7" x14ac:dyDescent="0.2">
      <c r="A2733">
        <f t="shared" si="42"/>
        <v>123078</v>
      </c>
      <c r="B2733">
        <v>123</v>
      </c>
      <c r="C2733">
        <v>78</v>
      </c>
      <c r="D2733">
        <v>201</v>
      </c>
      <c r="E2733" t="s">
        <v>76</v>
      </c>
      <c r="F2733">
        <v>-23740.714</v>
      </c>
      <c r="G2733">
        <v>50.103000000000002</v>
      </c>
    </row>
    <row r="2734" spans="1:7" x14ac:dyDescent="0.2">
      <c r="A2734">
        <f t="shared" si="42"/>
        <v>123079</v>
      </c>
      <c r="B2734">
        <v>123</v>
      </c>
      <c r="C2734">
        <v>79</v>
      </c>
      <c r="D2734">
        <v>202</v>
      </c>
      <c r="E2734" t="s">
        <v>77</v>
      </c>
      <c r="F2734">
        <v>-24352.978999999999</v>
      </c>
      <c r="G2734">
        <v>23.286999999999999</v>
      </c>
    </row>
    <row r="2735" spans="1:7" x14ac:dyDescent="0.2">
      <c r="A2735">
        <f t="shared" si="42"/>
        <v>123080</v>
      </c>
      <c r="B2735">
        <v>123</v>
      </c>
      <c r="C2735">
        <v>80</v>
      </c>
      <c r="D2735">
        <v>203</v>
      </c>
      <c r="E2735" t="s">
        <v>78</v>
      </c>
      <c r="F2735">
        <v>-25269.264999999999</v>
      </c>
      <c r="G2735">
        <v>1.627</v>
      </c>
    </row>
    <row r="2736" spans="1:7" x14ac:dyDescent="0.2">
      <c r="A2736">
        <f t="shared" si="42"/>
        <v>123081</v>
      </c>
      <c r="B2736">
        <v>123</v>
      </c>
      <c r="C2736">
        <v>81</v>
      </c>
      <c r="D2736">
        <v>204</v>
      </c>
      <c r="E2736" t="s">
        <v>79</v>
      </c>
      <c r="F2736">
        <v>-24346.145</v>
      </c>
      <c r="G2736">
        <v>1.1519999999999999</v>
      </c>
    </row>
    <row r="2737" spans="1:7" x14ac:dyDescent="0.2">
      <c r="A2737">
        <f t="shared" si="42"/>
        <v>123082</v>
      </c>
      <c r="B2737">
        <v>123</v>
      </c>
      <c r="C2737">
        <v>82</v>
      </c>
      <c r="D2737">
        <v>205</v>
      </c>
      <c r="E2737" t="s">
        <v>80</v>
      </c>
      <c r="F2737">
        <v>-23770.239000000001</v>
      </c>
      <c r="G2737">
        <v>1.1439999999999999</v>
      </c>
    </row>
    <row r="2738" spans="1:7" x14ac:dyDescent="0.2">
      <c r="A2738">
        <f t="shared" si="42"/>
        <v>123083</v>
      </c>
      <c r="B2738">
        <v>123</v>
      </c>
      <c r="C2738">
        <v>83</v>
      </c>
      <c r="D2738">
        <v>206</v>
      </c>
      <c r="E2738" t="s">
        <v>81</v>
      </c>
      <c r="F2738">
        <v>-20028.277999999998</v>
      </c>
      <c r="G2738">
        <v>7.6319999999999997</v>
      </c>
    </row>
    <row r="2739" spans="1:7" x14ac:dyDescent="0.2">
      <c r="A2739">
        <f t="shared" si="42"/>
        <v>123084</v>
      </c>
      <c r="B2739">
        <v>123</v>
      </c>
      <c r="C2739">
        <v>84</v>
      </c>
      <c r="D2739">
        <v>207</v>
      </c>
      <c r="E2739" t="s">
        <v>82</v>
      </c>
      <c r="F2739">
        <v>-17145.775000000001</v>
      </c>
      <c r="G2739">
        <v>6.6589999999999998</v>
      </c>
    </row>
    <row r="2740" spans="1:7" x14ac:dyDescent="0.2">
      <c r="A2740">
        <f t="shared" si="42"/>
        <v>123085</v>
      </c>
      <c r="B2740">
        <v>123</v>
      </c>
      <c r="C2740">
        <v>85</v>
      </c>
      <c r="D2740">
        <v>208</v>
      </c>
      <c r="E2740" t="s">
        <v>83</v>
      </c>
      <c r="F2740">
        <v>-12469.870999999999</v>
      </c>
      <c r="G2740">
        <v>8.9209999999999994</v>
      </c>
    </row>
    <row r="2741" spans="1:7" x14ac:dyDescent="0.2">
      <c r="A2741">
        <f t="shared" si="42"/>
        <v>123086</v>
      </c>
      <c r="B2741">
        <v>123</v>
      </c>
      <c r="C2741">
        <v>86</v>
      </c>
      <c r="D2741">
        <v>209</v>
      </c>
      <c r="E2741" t="s">
        <v>84</v>
      </c>
      <c r="F2741">
        <v>-8941.0490000000009</v>
      </c>
      <c r="G2741">
        <v>9.9600000000000009</v>
      </c>
    </row>
    <row r="2742" spans="1:7" x14ac:dyDescent="0.2">
      <c r="A2742">
        <f t="shared" si="42"/>
        <v>123087</v>
      </c>
      <c r="B2742">
        <v>123</v>
      </c>
      <c r="C2742">
        <v>87</v>
      </c>
      <c r="D2742">
        <v>210</v>
      </c>
      <c r="E2742" t="s">
        <v>85</v>
      </c>
      <c r="F2742">
        <v>-3333.2049999999999</v>
      </c>
      <c r="G2742">
        <v>15.154</v>
      </c>
    </row>
    <row r="2743" spans="1:7" x14ac:dyDescent="0.2">
      <c r="A2743">
        <f t="shared" si="42"/>
        <v>123088</v>
      </c>
      <c r="B2743">
        <v>123</v>
      </c>
      <c r="C2743">
        <v>88</v>
      </c>
      <c r="D2743">
        <v>211</v>
      </c>
      <c r="E2743" t="s">
        <v>86</v>
      </c>
      <c r="F2743">
        <v>832.02300000000002</v>
      </c>
      <c r="G2743">
        <v>7.9180000000000001</v>
      </c>
    </row>
    <row r="2744" spans="1:7" x14ac:dyDescent="0.2">
      <c r="A2744">
        <f t="shared" si="42"/>
        <v>123089</v>
      </c>
      <c r="B2744">
        <v>123</v>
      </c>
      <c r="C2744">
        <v>89</v>
      </c>
      <c r="D2744">
        <v>212</v>
      </c>
      <c r="E2744" t="s">
        <v>87</v>
      </c>
      <c r="F2744">
        <v>7277.2979999999998</v>
      </c>
      <c r="G2744">
        <v>51.381</v>
      </c>
    </row>
    <row r="2745" spans="1:7" x14ac:dyDescent="0.2">
      <c r="A2745">
        <f t="shared" si="42"/>
        <v>123090</v>
      </c>
      <c r="B2745">
        <v>123</v>
      </c>
      <c r="C2745">
        <v>90</v>
      </c>
      <c r="D2745">
        <v>213</v>
      </c>
      <c r="E2745" t="s">
        <v>88</v>
      </c>
      <c r="F2745">
        <v>12120.085999999999</v>
      </c>
      <c r="G2745">
        <v>9.2170000000000005</v>
      </c>
    </row>
    <row r="2746" spans="1:7" x14ac:dyDescent="0.2">
      <c r="A2746">
        <f t="shared" si="42"/>
        <v>123091</v>
      </c>
      <c r="B2746">
        <v>123</v>
      </c>
      <c r="C2746">
        <v>91</v>
      </c>
      <c r="D2746">
        <v>214</v>
      </c>
      <c r="E2746" t="s">
        <v>89</v>
      </c>
      <c r="F2746">
        <v>19485.514999999999</v>
      </c>
      <c r="G2746">
        <v>76.125</v>
      </c>
    </row>
    <row r="2747" spans="1:7" x14ac:dyDescent="0.2">
      <c r="A2747">
        <f t="shared" si="42"/>
        <v>123092</v>
      </c>
      <c r="B2747">
        <v>123</v>
      </c>
      <c r="C2747">
        <v>92</v>
      </c>
      <c r="D2747">
        <v>215</v>
      </c>
      <c r="E2747" t="s">
        <v>90</v>
      </c>
      <c r="F2747">
        <v>24923.087</v>
      </c>
      <c r="G2747">
        <v>88.49</v>
      </c>
    </row>
    <row r="2748" spans="1:7" x14ac:dyDescent="0.2">
      <c r="A2748">
        <f t="shared" si="42"/>
        <v>124075</v>
      </c>
      <c r="B2748">
        <v>124</v>
      </c>
      <c r="C2748">
        <v>75</v>
      </c>
      <c r="D2748">
        <v>199</v>
      </c>
      <c r="E2748" t="s">
        <v>73</v>
      </c>
      <c r="F2748" t="s">
        <v>1189</v>
      </c>
      <c r="G2748" t="s">
        <v>199</v>
      </c>
    </row>
    <row r="2749" spans="1:7" x14ac:dyDescent="0.2">
      <c r="A2749">
        <f t="shared" si="42"/>
        <v>124076</v>
      </c>
      <c r="B2749">
        <v>124</v>
      </c>
      <c r="C2749">
        <v>76</v>
      </c>
      <c r="D2749">
        <v>200</v>
      </c>
      <c r="E2749" t="s">
        <v>74</v>
      </c>
      <c r="F2749" t="s">
        <v>1192</v>
      </c>
      <c r="G2749" t="s">
        <v>202</v>
      </c>
    </row>
    <row r="2750" spans="1:7" x14ac:dyDescent="0.2">
      <c r="A2750">
        <f t="shared" si="42"/>
        <v>124077</v>
      </c>
      <c r="B2750">
        <v>124</v>
      </c>
      <c r="C2750">
        <v>77</v>
      </c>
      <c r="D2750">
        <v>201</v>
      </c>
      <c r="E2750" t="s">
        <v>75</v>
      </c>
      <c r="F2750" t="s">
        <v>1195</v>
      </c>
      <c r="G2750" t="s">
        <v>206</v>
      </c>
    </row>
    <row r="2751" spans="1:7" x14ac:dyDescent="0.2">
      <c r="A2751">
        <f t="shared" si="42"/>
        <v>124078</v>
      </c>
      <c r="B2751">
        <v>124</v>
      </c>
      <c r="C2751">
        <v>78</v>
      </c>
      <c r="D2751">
        <v>202</v>
      </c>
      <c r="E2751" t="s">
        <v>76</v>
      </c>
      <c r="F2751">
        <v>-22692.125</v>
      </c>
      <c r="G2751">
        <v>25.15</v>
      </c>
    </row>
    <row r="2752" spans="1:7" x14ac:dyDescent="0.2">
      <c r="A2752">
        <f t="shared" si="42"/>
        <v>124079</v>
      </c>
      <c r="B2752">
        <v>124</v>
      </c>
      <c r="C2752">
        <v>79</v>
      </c>
      <c r="D2752">
        <v>203</v>
      </c>
      <c r="E2752" t="s">
        <v>77</v>
      </c>
      <c r="F2752">
        <v>-23143.436000000002</v>
      </c>
      <c r="G2752">
        <v>3.0830000000000002</v>
      </c>
    </row>
    <row r="2753" spans="1:7" x14ac:dyDescent="0.2">
      <c r="A2753">
        <f t="shared" ref="A2753:A2816" si="43">1000*B2753+C2753</f>
        <v>124080</v>
      </c>
      <c r="B2753">
        <v>124</v>
      </c>
      <c r="C2753">
        <v>80</v>
      </c>
      <c r="D2753">
        <v>204</v>
      </c>
      <c r="E2753" t="s">
        <v>78</v>
      </c>
      <c r="F2753">
        <v>-24690.145</v>
      </c>
      <c r="G2753">
        <v>0.498</v>
      </c>
    </row>
    <row r="2754" spans="1:7" x14ac:dyDescent="0.2">
      <c r="A2754">
        <f t="shared" si="43"/>
        <v>124081</v>
      </c>
      <c r="B2754">
        <v>124</v>
      </c>
      <c r="C2754">
        <v>81</v>
      </c>
      <c r="D2754">
        <v>205</v>
      </c>
      <c r="E2754" t="s">
        <v>79</v>
      </c>
      <c r="F2754">
        <v>-23820.874</v>
      </c>
      <c r="G2754">
        <v>1.2370000000000001</v>
      </c>
    </row>
    <row r="2755" spans="1:7" x14ac:dyDescent="0.2">
      <c r="A2755">
        <f t="shared" si="43"/>
        <v>124082</v>
      </c>
      <c r="B2755">
        <v>124</v>
      </c>
      <c r="C2755">
        <v>82</v>
      </c>
      <c r="D2755">
        <v>206</v>
      </c>
      <c r="E2755" t="s">
        <v>80</v>
      </c>
      <c r="F2755">
        <v>-23785.583999999999</v>
      </c>
      <c r="G2755">
        <v>1.1439999999999999</v>
      </c>
    </row>
    <row r="2756" spans="1:7" x14ac:dyDescent="0.2">
      <c r="A2756">
        <f t="shared" si="43"/>
        <v>124083</v>
      </c>
      <c r="B2756">
        <v>124</v>
      </c>
      <c r="C2756">
        <v>83</v>
      </c>
      <c r="D2756">
        <v>207</v>
      </c>
      <c r="E2756" t="s">
        <v>81</v>
      </c>
      <c r="F2756">
        <v>-20054.627</v>
      </c>
      <c r="G2756">
        <v>2.3969999999999998</v>
      </c>
    </row>
    <row r="2757" spans="1:7" x14ac:dyDescent="0.2">
      <c r="A2757">
        <f t="shared" si="43"/>
        <v>124084</v>
      </c>
      <c r="B2757">
        <v>124</v>
      </c>
      <c r="C2757">
        <v>84</v>
      </c>
      <c r="D2757">
        <v>208</v>
      </c>
      <c r="E2757" t="s">
        <v>82</v>
      </c>
      <c r="F2757">
        <v>-17469.596000000001</v>
      </c>
      <c r="G2757">
        <v>1.7370000000000001</v>
      </c>
    </row>
    <row r="2758" spans="1:7" x14ac:dyDescent="0.2">
      <c r="A2758">
        <f t="shared" si="43"/>
        <v>124085</v>
      </c>
      <c r="B2758">
        <v>124</v>
      </c>
      <c r="C2758">
        <v>85</v>
      </c>
      <c r="D2758">
        <v>209</v>
      </c>
      <c r="E2758" t="s">
        <v>83</v>
      </c>
      <c r="F2758">
        <v>-12882.612999999999</v>
      </c>
      <c r="G2758">
        <v>5.1020000000000003</v>
      </c>
    </row>
    <row r="2759" spans="1:7" x14ac:dyDescent="0.2">
      <c r="A2759">
        <f t="shared" si="43"/>
        <v>124086</v>
      </c>
      <c r="B2759">
        <v>124</v>
      </c>
      <c r="C2759">
        <v>86</v>
      </c>
      <c r="D2759">
        <v>210</v>
      </c>
      <c r="E2759" t="s">
        <v>84</v>
      </c>
      <c r="F2759">
        <v>-9604.77</v>
      </c>
      <c r="G2759">
        <v>4.5570000000000004</v>
      </c>
    </row>
    <row r="2760" spans="1:7" x14ac:dyDescent="0.2">
      <c r="A2760">
        <f t="shared" si="43"/>
        <v>124087</v>
      </c>
      <c r="B2760">
        <v>124</v>
      </c>
      <c r="C2760">
        <v>87</v>
      </c>
      <c r="D2760">
        <v>211</v>
      </c>
      <c r="E2760" t="s">
        <v>85</v>
      </c>
      <c r="F2760">
        <v>-4140.2489999999998</v>
      </c>
      <c r="G2760">
        <v>11.991</v>
      </c>
    </row>
    <row r="2761" spans="1:7" x14ac:dyDescent="0.2">
      <c r="A2761">
        <f t="shared" si="43"/>
        <v>124088</v>
      </c>
      <c r="B2761">
        <v>124</v>
      </c>
      <c r="C2761">
        <v>88</v>
      </c>
      <c r="D2761">
        <v>212</v>
      </c>
      <c r="E2761" t="s">
        <v>86</v>
      </c>
      <c r="F2761">
        <v>-198.96799999999999</v>
      </c>
      <c r="G2761">
        <v>11.263</v>
      </c>
    </row>
    <row r="2762" spans="1:7" x14ac:dyDescent="0.2">
      <c r="A2762">
        <f t="shared" si="43"/>
        <v>124089</v>
      </c>
      <c r="B2762">
        <v>124</v>
      </c>
      <c r="C2762">
        <v>89</v>
      </c>
      <c r="D2762">
        <v>213</v>
      </c>
      <c r="E2762" t="s">
        <v>87</v>
      </c>
      <c r="F2762">
        <v>6154.692</v>
      </c>
      <c r="G2762">
        <v>15.272</v>
      </c>
    </row>
    <row r="2763" spans="1:7" x14ac:dyDescent="0.2">
      <c r="A2763">
        <f t="shared" si="43"/>
        <v>124090</v>
      </c>
      <c r="B2763">
        <v>124</v>
      </c>
      <c r="C2763">
        <v>90</v>
      </c>
      <c r="D2763">
        <v>214</v>
      </c>
      <c r="E2763" t="s">
        <v>88</v>
      </c>
      <c r="F2763">
        <v>10694.885</v>
      </c>
      <c r="G2763">
        <v>10.661</v>
      </c>
    </row>
    <row r="2764" spans="1:7" x14ac:dyDescent="0.2">
      <c r="A2764">
        <f t="shared" si="43"/>
        <v>124091</v>
      </c>
      <c r="B2764">
        <v>124</v>
      </c>
      <c r="C2764">
        <v>91</v>
      </c>
      <c r="D2764">
        <v>215</v>
      </c>
      <c r="E2764" t="s">
        <v>89</v>
      </c>
      <c r="F2764">
        <v>17863.938999999998</v>
      </c>
      <c r="G2764">
        <v>72.844999999999999</v>
      </c>
    </row>
    <row r="2765" spans="1:7" x14ac:dyDescent="0.2">
      <c r="A2765">
        <f t="shared" si="43"/>
        <v>124092</v>
      </c>
      <c r="B2765">
        <v>124</v>
      </c>
      <c r="C2765">
        <v>92</v>
      </c>
      <c r="D2765">
        <v>216</v>
      </c>
      <c r="E2765" t="s">
        <v>90</v>
      </c>
      <c r="F2765">
        <v>23066.350999999999</v>
      </c>
      <c r="G2765">
        <v>28.093</v>
      </c>
    </row>
    <row r="2766" spans="1:7" x14ac:dyDescent="0.2">
      <c r="A2766">
        <f t="shared" si="43"/>
        <v>125076</v>
      </c>
      <c r="B2766">
        <v>125</v>
      </c>
      <c r="C2766">
        <v>76</v>
      </c>
      <c r="D2766">
        <v>201</v>
      </c>
      <c r="E2766" t="s">
        <v>74</v>
      </c>
      <c r="F2766" t="s">
        <v>1194</v>
      </c>
      <c r="G2766" t="s">
        <v>202</v>
      </c>
    </row>
    <row r="2767" spans="1:7" x14ac:dyDescent="0.2">
      <c r="A2767">
        <f t="shared" si="43"/>
        <v>125077</v>
      </c>
      <c r="B2767">
        <v>125</v>
      </c>
      <c r="C2767">
        <v>77</v>
      </c>
      <c r="D2767">
        <v>202</v>
      </c>
      <c r="E2767" t="s">
        <v>75</v>
      </c>
      <c r="F2767" t="s">
        <v>1197</v>
      </c>
      <c r="G2767" t="s">
        <v>202</v>
      </c>
    </row>
    <row r="2768" spans="1:7" x14ac:dyDescent="0.2">
      <c r="A2768">
        <f t="shared" si="43"/>
        <v>125078</v>
      </c>
      <c r="B2768">
        <v>125</v>
      </c>
      <c r="C2768">
        <v>78</v>
      </c>
      <c r="D2768">
        <v>203</v>
      </c>
      <c r="E2768" t="s">
        <v>76</v>
      </c>
      <c r="F2768" t="s">
        <v>1200</v>
      </c>
      <c r="G2768" t="s">
        <v>206</v>
      </c>
    </row>
    <row r="2769" spans="1:7" x14ac:dyDescent="0.2">
      <c r="A2769">
        <f t="shared" si="43"/>
        <v>125079</v>
      </c>
      <c r="B2769">
        <v>125</v>
      </c>
      <c r="C2769">
        <v>79</v>
      </c>
      <c r="D2769">
        <v>204</v>
      </c>
      <c r="E2769" t="s">
        <v>77</v>
      </c>
      <c r="F2769" t="s">
        <v>1203</v>
      </c>
      <c r="G2769" t="s">
        <v>204</v>
      </c>
    </row>
    <row r="2770" spans="1:7" x14ac:dyDescent="0.2">
      <c r="A2770">
        <f t="shared" si="43"/>
        <v>125080</v>
      </c>
      <c r="B2770">
        <v>125</v>
      </c>
      <c r="C2770">
        <v>80</v>
      </c>
      <c r="D2770">
        <v>205</v>
      </c>
      <c r="E2770" t="s">
        <v>78</v>
      </c>
      <c r="F2770">
        <v>-22287.74</v>
      </c>
      <c r="G2770">
        <v>3.6539999999999999</v>
      </c>
    </row>
    <row r="2771" spans="1:7" x14ac:dyDescent="0.2">
      <c r="A2771">
        <f t="shared" si="43"/>
        <v>125081</v>
      </c>
      <c r="B2771">
        <v>125</v>
      </c>
      <c r="C2771">
        <v>81</v>
      </c>
      <c r="D2771">
        <v>206</v>
      </c>
      <c r="E2771" t="s">
        <v>79</v>
      </c>
      <c r="F2771">
        <v>-22253.366999999998</v>
      </c>
      <c r="G2771">
        <v>1.284</v>
      </c>
    </row>
    <row r="2772" spans="1:7" x14ac:dyDescent="0.2">
      <c r="A2772">
        <f t="shared" si="43"/>
        <v>125082</v>
      </c>
      <c r="B2772">
        <v>125</v>
      </c>
      <c r="C2772">
        <v>82</v>
      </c>
      <c r="D2772">
        <v>207</v>
      </c>
      <c r="E2772" t="s">
        <v>80</v>
      </c>
      <c r="F2772">
        <v>-22452.046999999999</v>
      </c>
      <c r="G2772">
        <v>1.147</v>
      </c>
    </row>
    <row r="2773" spans="1:7" x14ac:dyDescent="0.2">
      <c r="A2773">
        <f t="shared" si="43"/>
        <v>125083</v>
      </c>
      <c r="B2773">
        <v>125</v>
      </c>
      <c r="C2773">
        <v>83</v>
      </c>
      <c r="D2773">
        <v>208</v>
      </c>
      <c r="E2773" t="s">
        <v>81</v>
      </c>
      <c r="F2773">
        <v>-18870.223000000002</v>
      </c>
      <c r="G2773">
        <v>2.3039999999999998</v>
      </c>
    </row>
    <row r="2774" spans="1:7" x14ac:dyDescent="0.2">
      <c r="A2774">
        <f t="shared" si="43"/>
        <v>125084</v>
      </c>
      <c r="B2774">
        <v>125</v>
      </c>
      <c r="C2774">
        <v>84</v>
      </c>
      <c r="D2774">
        <v>209</v>
      </c>
      <c r="E2774" t="s">
        <v>82</v>
      </c>
      <c r="F2774">
        <v>-16366.092000000001</v>
      </c>
      <c r="G2774">
        <v>1.778</v>
      </c>
    </row>
    <row r="2775" spans="1:7" x14ac:dyDescent="0.2">
      <c r="A2775">
        <f t="shared" si="43"/>
        <v>125085</v>
      </c>
      <c r="B2775">
        <v>125</v>
      </c>
      <c r="C2775">
        <v>85</v>
      </c>
      <c r="D2775">
        <v>210</v>
      </c>
      <c r="E2775" t="s">
        <v>83</v>
      </c>
      <c r="F2775">
        <v>-11972.177</v>
      </c>
      <c r="G2775">
        <v>7.6950000000000003</v>
      </c>
    </row>
    <row r="2776" spans="1:7" x14ac:dyDescent="0.2">
      <c r="A2776">
        <f t="shared" si="43"/>
        <v>125086</v>
      </c>
      <c r="B2776">
        <v>125</v>
      </c>
      <c r="C2776">
        <v>86</v>
      </c>
      <c r="D2776">
        <v>211</v>
      </c>
      <c r="E2776" t="s">
        <v>84</v>
      </c>
      <c r="F2776">
        <v>-8755.4040000000005</v>
      </c>
      <c r="G2776">
        <v>6.8129999999999997</v>
      </c>
    </row>
    <row r="2777" spans="1:7" x14ac:dyDescent="0.2">
      <c r="A2777">
        <f t="shared" si="43"/>
        <v>125087</v>
      </c>
      <c r="B2777">
        <v>125</v>
      </c>
      <c r="C2777">
        <v>87</v>
      </c>
      <c r="D2777">
        <v>212</v>
      </c>
      <c r="E2777" t="s">
        <v>85</v>
      </c>
      <c r="F2777">
        <v>-3515.9679999999998</v>
      </c>
      <c r="G2777">
        <v>8.7750000000000004</v>
      </c>
    </row>
    <row r="2778" spans="1:7" x14ac:dyDescent="0.2">
      <c r="A2778">
        <f t="shared" si="43"/>
        <v>125088</v>
      </c>
      <c r="B2778">
        <v>125</v>
      </c>
      <c r="C2778">
        <v>88</v>
      </c>
      <c r="D2778">
        <v>213</v>
      </c>
      <c r="E2778" t="s">
        <v>86</v>
      </c>
      <c r="F2778">
        <v>345.55700000000002</v>
      </c>
      <c r="G2778">
        <v>9.8179999999999996</v>
      </c>
    </row>
    <row r="2779" spans="1:7" x14ac:dyDescent="0.2">
      <c r="A2779">
        <f t="shared" si="43"/>
        <v>125089</v>
      </c>
      <c r="B2779">
        <v>125</v>
      </c>
      <c r="C2779">
        <v>89</v>
      </c>
      <c r="D2779">
        <v>214</v>
      </c>
      <c r="E2779" t="s">
        <v>87</v>
      </c>
      <c r="F2779">
        <v>6443.8540000000003</v>
      </c>
      <c r="G2779">
        <v>15.36</v>
      </c>
    </row>
    <row r="2780" spans="1:7" x14ac:dyDescent="0.2">
      <c r="A2780">
        <f t="shared" si="43"/>
        <v>125090</v>
      </c>
      <c r="B2780">
        <v>125</v>
      </c>
      <c r="C2780">
        <v>90</v>
      </c>
      <c r="D2780">
        <v>215</v>
      </c>
      <c r="E2780" t="s">
        <v>88</v>
      </c>
      <c r="F2780">
        <v>10921.585999999999</v>
      </c>
      <c r="G2780">
        <v>8.84</v>
      </c>
    </row>
    <row r="2781" spans="1:7" x14ac:dyDescent="0.2">
      <c r="A2781">
        <f t="shared" si="43"/>
        <v>125091</v>
      </c>
      <c r="B2781">
        <v>125</v>
      </c>
      <c r="C2781">
        <v>91</v>
      </c>
      <c r="D2781">
        <v>216</v>
      </c>
      <c r="E2781" t="s">
        <v>89</v>
      </c>
      <c r="F2781">
        <v>17799.214</v>
      </c>
      <c r="G2781">
        <v>53.526000000000003</v>
      </c>
    </row>
    <row r="2782" spans="1:7" x14ac:dyDescent="0.2">
      <c r="A2782">
        <f t="shared" si="43"/>
        <v>125092</v>
      </c>
      <c r="B2782">
        <v>125</v>
      </c>
      <c r="C2782">
        <v>92</v>
      </c>
      <c r="D2782">
        <v>217</v>
      </c>
      <c r="E2782" t="s">
        <v>90</v>
      </c>
      <c r="F2782" t="s">
        <v>1232</v>
      </c>
      <c r="G2782" t="s">
        <v>219</v>
      </c>
    </row>
    <row r="2783" spans="1:7" x14ac:dyDescent="0.2">
      <c r="A2783">
        <f t="shared" si="43"/>
        <v>126076</v>
      </c>
      <c r="B2783">
        <v>126</v>
      </c>
      <c r="C2783">
        <v>76</v>
      </c>
      <c r="D2783">
        <v>202</v>
      </c>
      <c r="E2783" t="s">
        <v>74</v>
      </c>
      <c r="F2783" t="s">
        <v>1196</v>
      </c>
      <c r="G2783" t="s">
        <v>199</v>
      </c>
    </row>
    <row r="2784" spans="1:7" x14ac:dyDescent="0.2">
      <c r="A2784">
        <f t="shared" si="43"/>
        <v>126077</v>
      </c>
      <c r="B2784">
        <v>126</v>
      </c>
      <c r="C2784">
        <v>77</v>
      </c>
      <c r="D2784">
        <v>203</v>
      </c>
      <c r="E2784" t="s">
        <v>75</v>
      </c>
      <c r="F2784" t="s">
        <v>1199</v>
      </c>
      <c r="G2784" t="s">
        <v>199</v>
      </c>
    </row>
    <row r="2785" spans="1:7" x14ac:dyDescent="0.2">
      <c r="A2785">
        <f t="shared" si="43"/>
        <v>126078</v>
      </c>
      <c r="B2785">
        <v>126</v>
      </c>
      <c r="C2785">
        <v>78</v>
      </c>
      <c r="D2785">
        <v>204</v>
      </c>
      <c r="E2785" t="s">
        <v>76</v>
      </c>
      <c r="F2785" t="s">
        <v>1202</v>
      </c>
      <c r="G2785" t="s">
        <v>206</v>
      </c>
    </row>
    <row r="2786" spans="1:7" x14ac:dyDescent="0.2">
      <c r="A2786">
        <f t="shared" si="43"/>
        <v>126079</v>
      </c>
      <c r="B2786">
        <v>126</v>
      </c>
      <c r="C2786">
        <v>79</v>
      </c>
      <c r="D2786">
        <v>205</v>
      </c>
      <c r="E2786" t="s">
        <v>77</v>
      </c>
      <c r="F2786" t="s">
        <v>1206</v>
      </c>
      <c r="G2786" t="s">
        <v>206</v>
      </c>
    </row>
    <row r="2787" spans="1:7" x14ac:dyDescent="0.2">
      <c r="A2787">
        <f t="shared" si="43"/>
        <v>126080</v>
      </c>
      <c r="B2787">
        <v>126</v>
      </c>
      <c r="C2787">
        <v>80</v>
      </c>
      <c r="D2787">
        <v>206</v>
      </c>
      <c r="E2787" t="s">
        <v>78</v>
      </c>
      <c r="F2787">
        <v>-20945.800999999999</v>
      </c>
      <c r="G2787">
        <v>20.440000000000001</v>
      </c>
    </row>
    <row r="2788" spans="1:7" x14ac:dyDescent="0.2">
      <c r="A2788">
        <f t="shared" si="43"/>
        <v>126081</v>
      </c>
      <c r="B2788">
        <v>126</v>
      </c>
      <c r="C2788">
        <v>81</v>
      </c>
      <c r="D2788">
        <v>207</v>
      </c>
      <c r="E2788" t="s">
        <v>79</v>
      </c>
      <c r="F2788">
        <v>-21034.451000000001</v>
      </c>
      <c r="G2788">
        <v>5.4390000000000001</v>
      </c>
    </row>
    <row r="2789" spans="1:7" x14ac:dyDescent="0.2">
      <c r="A2789">
        <f t="shared" si="43"/>
        <v>126082</v>
      </c>
      <c r="B2789">
        <v>126</v>
      </c>
      <c r="C2789">
        <v>82</v>
      </c>
      <c r="D2789">
        <v>208</v>
      </c>
      <c r="E2789" t="s">
        <v>80</v>
      </c>
      <c r="F2789">
        <v>-21748.598000000002</v>
      </c>
      <c r="G2789">
        <v>1.1479999999999999</v>
      </c>
    </row>
    <row r="2790" spans="1:7" x14ac:dyDescent="0.2">
      <c r="A2790">
        <f t="shared" si="43"/>
        <v>126083</v>
      </c>
      <c r="B2790">
        <v>126</v>
      </c>
      <c r="C2790">
        <v>83</v>
      </c>
      <c r="D2790">
        <v>209</v>
      </c>
      <c r="E2790" t="s">
        <v>81</v>
      </c>
      <c r="F2790">
        <v>-18258.662</v>
      </c>
      <c r="G2790">
        <v>1.3640000000000001</v>
      </c>
    </row>
    <row r="2791" spans="1:7" x14ac:dyDescent="0.2">
      <c r="A2791">
        <f t="shared" si="43"/>
        <v>126084</v>
      </c>
      <c r="B2791">
        <v>126</v>
      </c>
      <c r="C2791">
        <v>84</v>
      </c>
      <c r="D2791">
        <v>210</v>
      </c>
      <c r="E2791" t="s">
        <v>82</v>
      </c>
      <c r="F2791">
        <v>-15953.137000000001</v>
      </c>
      <c r="G2791">
        <v>1.1459999999999999</v>
      </c>
    </row>
    <row r="2792" spans="1:7" x14ac:dyDescent="0.2">
      <c r="A2792">
        <f t="shared" si="43"/>
        <v>126085</v>
      </c>
      <c r="B2792">
        <v>126</v>
      </c>
      <c r="C2792">
        <v>85</v>
      </c>
      <c r="D2792">
        <v>211</v>
      </c>
      <c r="E2792" t="s">
        <v>83</v>
      </c>
      <c r="F2792">
        <v>-11647.263999999999</v>
      </c>
      <c r="G2792">
        <v>2.7290000000000001</v>
      </c>
    </row>
    <row r="2793" spans="1:7" x14ac:dyDescent="0.2">
      <c r="A2793">
        <f t="shared" si="43"/>
        <v>126086</v>
      </c>
      <c r="B2793">
        <v>126</v>
      </c>
      <c r="C2793">
        <v>86</v>
      </c>
      <c r="D2793">
        <v>212</v>
      </c>
      <c r="E2793" t="s">
        <v>84</v>
      </c>
      <c r="F2793">
        <v>-8659.6080000000002</v>
      </c>
      <c r="G2793">
        <v>3.145</v>
      </c>
    </row>
    <row r="2794" spans="1:7" x14ac:dyDescent="0.2">
      <c r="A2794">
        <f t="shared" si="43"/>
        <v>126087</v>
      </c>
      <c r="B2794">
        <v>126</v>
      </c>
      <c r="C2794">
        <v>87</v>
      </c>
      <c r="D2794">
        <v>213</v>
      </c>
      <c r="E2794" t="s">
        <v>85</v>
      </c>
      <c r="F2794">
        <v>-3552.848</v>
      </c>
      <c r="G2794">
        <v>5.0910000000000002</v>
      </c>
    </row>
    <row r="2795" spans="1:7" x14ac:dyDescent="0.2">
      <c r="A2795">
        <f t="shared" si="43"/>
        <v>126088</v>
      </c>
      <c r="B2795">
        <v>126</v>
      </c>
      <c r="C2795">
        <v>88</v>
      </c>
      <c r="D2795">
        <v>214</v>
      </c>
      <c r="E2795" t="s">
        <v>86</v>
      </c>
      <c r="F2795">
        <v>92.733999999999995</v>
      </c>
      <c r="G2795">
        <v>5.25</v>
      </c>
    </row>
    <row r="2796" spans="1:7" x14ac:dyDescent="0.2">
      <c r="A2796">
        <f t="shared" si="43"/>
        <v>126089</v>
      </c>
      <c r="B2796">
        <v>126</v>
      </c>
      <c r="C2796">
        <v>89</v>
      </c>
      <c r="D2796">
        <v>215</v>
      </c>
      <c r="E2796" t="s">
        <v>87</v>
      </c>
      <c r="F2796">
        <v>6030.6149999999998</v>
      </c>
      <c r="G2796">
        <v>12.406000000000001</v>
      </c>
    </row>
    <row r="2797" spans="1:7" x14ac:dyDescent="0.2">
      <c r="A2797">
        <f t="shared" si="43"/>
        <v>126090</v>
      </c>
      <c r="B2797">
        <v>126</v>
      </c>
      <c r="C2797">
        <v>90</v>
      </c>
      <c r="D2797">
        <v>216</v>
      </c>
      <c r="E2797" t="s">
        <v>88</v>
      </c>
      <c r="F2797">
        <v>10298.332</v>
      </c>
      <c r="G2797">
        <v>12.042</v>
      </c>
    </row>
    <row r="2798" spans="1:7" x14ac:dyDescent="0.2">
      <c r="A2798">
        <f t="shared" si="43"/>
        <v>126091</v>
      </c>
      <c r="B2798">
        <v>126</v>
      </c>
      <c r="C2798">
        <v>91</v>
      </c>
      <c r="D2798">
        <v>217</v>
      </c>
      <c r="E2798" t="s">
        <v>89</v>
      </c>
      <c r="F2798">
        <v>17068.41</v>
      </c>
      <c r="G2798">
        <v>15.917999999999999</v>
      </c>
    </row>
    <row r="2799" spans="1:7" x14ac:dyDescent="0.2">
      <c r="A2799">
        <f t="shared" si="43"/>
        <v>126092</v>
      </c>
      <c r="B2799">
        <v>126</v>
      </c>
      <c r="C2799">
        <v>92</v>
      </c>
      <c r="D2799">
        <v>218</v>
      </c>
      <c r="E2799" t="s">
        <v>90</v>
      </c>
      <c r="F2799">
        <v>21894.608</v>
      </c>
      <c r="G2799">
        <v>13.714</v>
      </c>
    </row>
    <row r="2800" spans="1:7" x14ac:dyDescent="0.2">
      <c r="A2800">
        <f t="shared" si="43"/>
        <v>126093</v>
      </c>
      <c r="B2800">
        <v>126</v>
      </c>
      <c r="C2800">
        <v>93</v>
      </c>
      <c r="D2800">
        <v>219</v>
      </c>
      <c r="E2800" t="s">
        <v>272</v>
      </c>
      <c r="F2800">
        <v>29456.654999999999</v>
      </c>
      <c r="G2800">
        <v>88.353999999999999</v>
      </c>
    </row>
    <row r="2801" spans="1:7" x14ac:dyDescent="0.2">
      <c r="A2801">
        <f t="shared" si="43"/>
        <v>127076</v>
      </c>
      <c r="B2801">
        <v>127</v>
      </c>
      <c r="C2801">
        <v>76</v>
      </c>
      <c r="D2801">
        <v>203</v>
      </c>
      <c r="E2801" t="s">
        <v>74</v>
      </c>
      <c r="F2801" t="s">
        <v>1198</v>
      </c>
      <c r="G2801" t="s">
        <v>199</v>
      </c>
    </row>
    <row r="2802" spans="1:7" x14ac:dyDescent="0.2">
      <c r="A2802">
        <f t="shared" si="43"/>
        <v>127077</v>
      </c>
      <c r="B2802">
        <v>127</v>
      </c>
      <c r="C2802">
        <v>77</v>
      </c>
      <c r="D2802">
        <v>204</v>
      </c>
      <c r="E2802" t="s">
        <v>75</v>
      </c>
      <c r="F2802" t="s">
        <v>1201</v>
      </c>
      <c r="G2802" t="s">
        <v>199</v>
      </c>
    </row>
    <row r="2803" spans="1:7" x14ac:dyDescent="0.2">
      <c r="A2803">
        <f t="shared" si="43"/>
        <v>127078</v>
      </c>
      <c r="B2803">
        <v>127</v>
      </c>
      <c r="C2803">
        <v>78</v>
      </c>
      <c r="D2803">
        <v>205</v>
      </c>
      <c r="E2803" t="s">
        <v>76</v>
      </c>
      <c r="F2803" t="s">
        <v>1205</v>
      </c>
      <c r="G2803" t="s">
        <v>202</v>
      </c>
    </row>
    <row r="2804" spans="1:7" x14ac:dyDescent="0.2">
      <c r="A2804">
        <f t="shared" si="43"/>
        <v>127079</v>
      </c>
      <c r="B2804">
        <v>127</v>
      </c>
      <c r="C2804">
        <v>79</v>
      </c>
      <c r="D2804">
        <v>206</v>
      </c>
      <c r="E2804" t="s">
        <v>77</v>
      </c>
      <c r="F2804" t="s">
        <v>1208</v>
      </c>
      <c r="G2804" t="s">
        <v>202</v>
      </c>
    </row>
    <row r="2805" spans="1:7" x14ac:dyDescent="0.2">
      <c r="A2805">
        <f t="shared" si="43"/>
        <v>127080</v>
      </c>
      <c r="B2805">
        <v>127</v>
      </c>
      <c r="C2805">
        <v>80</v>
      </c>
      <c r="D2805">
        <v>207</v>
      </c>
      <c r="E2805" t="s">
        <v>78</v>
      </c>
      <c r="F2805">
        <v>-16487.444</v>
      </c>
      <c r="G2805">
        <v>29.808</v>
      </c>
    </row>
    <row r="2806" spans="1:7" x14ac:dyDescent="0.2">
      <c r="A2806">
        <f t="shared" si="43"/>
        <v>127081</v>
      </c>
      <c r="B2806">
        <v>127</v>
      </c>
      <c r="C2806">
        <v>81</v>
      </c>
      <c r="D2806">
        <v>208</v>
      </c>
      <c r="E2806" t="s">
        <v>79</v>
      </c>
      <c r="F2806">
        <v>-16750.132000000001</v>
      </c>
      <c r="G2806">
        <v>1.8540000000000001</v>
      </c>
    </row>
    <row r="2807" spans="1:7" x14ac:dyDescent="0.2">
      <c r="A2807">
        <f t="shared" si="43"/>
        <v>127082</v>
      </c>
      <c r="B2807">
        <v>127</v>
      </c>
      <c r="C2807">
        <v>82</v>
      </c>
      <c r="D2807">
        <v>209</v>
      </c>
      <c r="E2807" t="s">
        <v>80</v>
      </c>
      <c r="F2807">
        <v>-17614.646000000001</v>
      </c>
      <c r="G2807">
        <v>1.7470000000000001</v>
      </c>
    </row>
    <row r="2808" spans="1:7" x14ac:dyDescent="0.2">
      <c r="A2808">
        <f t="shared" si="43"/>
        <v>127083</v>
      </c>
      <c r="B2808">
        <v>127</v>
      </c>
      <c r="C2808">
        <v>83</v>
      </c>
      <c r="D2808">
        <v>210</v>
      </c>
      <c r="E2808" t="s">
        <v>81</v>
      </c>
      <c r="F2808">
        <v>-14791.978999999999</v>
      </c>
      <c r="G2808">
        <v>1.363</v>
      </c>
    </row>
    <row r="2809" spans="1:7" x14ac:dyDescent="0.2">
      <c r="A2809">
        <f t="shared" si="43"/>
        <v>127084</v>
      </c>
      <c r="B2809">
        <v>127</v>
      </c>
      <c r="C2809">
        <v>84</v>
      </c>
      <c r="D2809">
        <v>211</v>
      </c>
      <c r="E2809" t="s">
        <v>82</v>
      </c>
      <c r="F2809">
        <v>-12432.571</v>
      </c>
      <c r="G2809">
        <v>1.2549999999999999</v>
      </c>
    </row>
    <row r="2810" spans="1:7" x14ac:dyDescent="0.2">
      <c r="A2810">
        <f t="shared" si="43"/>
        <v>127085</v>
      </c>
      <c r="B2810">
        <v>127</v>
      </c>
      <c r="C2810">
        <v>85</v>
      </c>
      <c r="D2810">
        <v>212</v>
      </c>
      <c r="E2810" t="s">
        <v>83</v>
      </c>
      <c r="F2810">
        <v>-8628.2209999999995</v>
      </c>
      <c r="G2810">
        <v>2.3839999999999999</v>
      </c>
    </row>
    <row r="2811" spans="1:7" x14ac:dyDescent="0.2">
      <c r="A2811">
        <f t="shared" si="43"/>
        <v>127086</v>
      </c>
      <c r="B2811">
        <v>127</v>
      </c>
      <c r="C2811">
        <v>86</v>
      </c>
      <c r="D2811">
        <v>213</v>
      </c>
      <c r="E2811" t="s">
        <v>84</v>
      </c>
      <c r="F2811">
        <v>-5696.0259999999998</v>
      </c>
      <c r="G2811">
        <v>3.37</v>
      </c>
    </row>
    <row r="2812" spans="1:7" x14ac:dyDescent="0.2">
      <c r="A2812">
        <f t="shared" si="43"/>
        <v>127087</v>
      </c>
      <c r="B2812">
        <v>127</v>
      </c>
      <c r="C2812">
        <v>87</v>
      </c>
      <c r="D2812">
        <v>214</v>
      </c>
      <c r="E2812" t="s">
        <v>85</v>
      </c>
      <c r="F2812">
        <v>-958.70699999999999</v>
      </c>
      <c r="G2812">
        <v>8.6340000000000003</v>
      </c>
    </row>
    <row r="2813" spans="1:7" x14ac:dyDescent="0.2">
      <c r="A2813">
        <f t="shared" si="43"/>
        <v>127088</v>
      </c>
      <c r="B2813">
        <v>127</v>
      </c>
      <c r="C2813">
        <v>88</v>
      </c>
      <c r="D2813">
        <v>215</v>
      </c>
      <c r="E2813" t="s">
        <v>86</v>
      </c>
      <c r="F2813">
        <v>2533.739</v>
      </c>
      <c r="G2813">
        <v>7.6130000000000004</v>
      </c>
    </row>
    <row r="2814" spans="1:7" x14ac:dyDescent="0.2">
      <c r="A2814">
        <f t="shared" si="43"/>
        <v>127089</v>
      </c>
      <c r="B2814">
        <v>127</v>
      </c>
      <c r="C2814">
        <v>89</v>
      </c>
      <c r="D2814">
        <v>216</v>
      </c>
      <c r="E2814" t="s">
        <v>87</v>
      </c>
      <c r="F2814">
        <v>8144.3950000000004</v>
      </c>
      <c r="G2814">
        <v>10.84</v>
      </c>
    </row>
    <row r="2815" spans="1:7" x14ac:dyDescent="0.2">
      <c r="A2815">
        <f t="shared" si="43"/>
        <v>127090</v>
      </c>
      <c r="B2815">
        <v>127</v>
      </c>
      <c r="C2815">
        <v>90</v>
      </c>
      <c r="D2815">
        <v>217</v>
      </c>
      <c r="E2815" t="s">
        <v>88</v>
      </c>
      <c r="F2815">
        <v>12205.78</v>
      </c>
      <c r="G2815">
        <v>10.614000000000001</v>
      </c>
    </row>
    <row r="2816" spans="1:7" x14ac:dyDescent="0.2">
      <c r="A2816">
        <f t="shared" si="43"/>
        <v>127091</v>
      </c>
      <c r="B2816">
        <v>127</v>
      </c>
      <c r="C2816">
        <v>91</v>
      </c>
      <c r="D2816">
        <v>218</v>
      </c>
      <c r="E2816" t="s">
        <v>89</v>
      </c>
      <c r="F2816">
        <v>18683.77</v>
      </c>
      <c r="G2816">
        <v>18.329000000000001</v>
      </c>
    </row>
    <row r="2817" spans="1:7" x14ac:dyDescent="0.2">
      <c r="A2817">
        <f t="shared" ref="A2817:A2880" si="44">1000*B2817+C2817</f>
        <v>127092</v>
      </c>
      <c r="B2817">
        <v>127</v>
      </c>
      <c r="C2817">
        <v>92</v>
      </c>
      <c r="D2817">
        <v>219</v>
      </c>
      <c r="E2817" t="s">
        <v>90</v>
      </c>
      <c r="F2817">
        <v>23286.569</v>
      </c>
      <c r="G2817">
        <v>50.774999999999999</v>
      </c>
    </row>
    <row r="2818" spans="1:7" x14ac:dyDescent="0.2">
      <c r="A2818">
        <f t="shared" si="44"/>
        <v>127093</v>
      </c>
      <c r="B2818">
        <v>127</v>
      </c>
      <c r="C2818">
        <v>93</v>
      </c>
      <c r="D2818">
        <v>220</v>
      </c>
      <c r="E2818" t="s">
        <v>272</v>
      </c>
      <c r="F2818" t="s">
        <v>1243</v>
      </c>
      <c r="G2818" t="s">
        <v>206</v>
      </c>
    </row>
    <row r="2819" spans="1:7" x14ac:dyDescent="0.2">
      <c r="A2819">
        <f t="shared" si="44"/>
        <v>128077</v>
      </c>
      <c r="B2819">
        <v>128</v>
      </c>
      <c r="C2819">
        <v>77</v>
      </c>
      <c r="D2819">
        <v>205</v>
      </c>
      <c r="E2819" t="s">
        <v>75</v>
      </c>
      <c r="F2819" t="s">
        <v>1204</v>
      </c>
      <c r="G2819" t="s">
        <v>201</v>
      </c>
    </row>
    <row r="2820" spans="1:7" x14ac:dyDescent="0.2">
      <c r="A2820">
        <f t="shared" si="44"/>
        <v>128078</v>
      </c>
      <c r="B2820">
        <v>128</v>
      </c>
      <c r="C2820">
        <v>78</v>
      </c>
      <c r="D2820">
        <v>206</v>
      </c>
      <c r="E2820" t="s">
        <v>76</v>
      </c>
      <c r="F2820" t="s">
        <v>1207</v>
      </c>
      <c r="G2820" t="s">
        <v>202</v>
      </c>
    </row>
    <row r="2821" spans="1:7" x14ac:dyDescent="0.2">
      <c r="A2821">
        <f t="shared" si="44"/>
        <v>128079</v>
      </c>
      <c r="B2821">
        <v>128</v>
      </c>
      <c r="C2821">
        <v>79</v>
      </c>
      <c r="D2821">
        <v>207</v>
      </c>
      <c r="E2821" t="s">
        <v>77</v>
      </c>
      <c r="F2821" t="s">
        <v>1210</v>
      </c>
      <c r="G2821" t="s">
        <v>235</v>
      </c>
    </row>
    <row r="2822" spans="1:7" x14ac:dyDescent="0.2">
      <c r="A2822">
        <f t="shared" si="44"/>
        <v>128080</v>
      </c>
      <c r="B2822">
        <v>128</v>
      </c>
      <c r="C2822">
        <v>80</v>
      </c>
      <c r="D2822">
        <v>208</v>
      </c>
      <c r="E2822" t="s">
        <v>78</v>
      </c>
      <c r="F2822">
        <v>-13265.406000000001</v>
      </c>
      <c r="G2822">
        <v>30.739000000000001</v>
      </c>
    </row>
    <row r="2823" spans="1:7" x14ac:dyDescent="0.2">
      <c r="A2823">
        <f t="shared" si="44"/>
        <v>128081</v>
      </c>
      <c r="B2823">
        <v>128</v>
      </c>
      <c r="C2823">
        <v>81</v>
      </c>
      <c r="D2823">
        <v>209</v>
      </c>
      <c r="E2823" t="s">
        <v>79</v>
      </c>
      <c r="F2823">
        <v>-13644.757</v>
      </c>
      <c r="G2823">
        <v>6.11</v>
      </c>
    </row>
    <row r="2824" spans="1:7" x14ac:dyDescent="0.2">
      <c r="A2824">
        <f t="shared" si="44"/>
        <v>128082</v>
      </c>
      <c r="B2824">
        <v>128</v>
      </c>
      <c r="C2824">
        <v>82</v>
      </c>
      <c r="D2824">
        <v>210</v>
      </c>
      <c r="E2824" t="s">
        <v>80</v>
      </c>
      <c r="F2824">
        <v>-14728.502</v>
      </c>
      <c r="G2824">
        <v>1.4470000000000001</v>
      </c>
    </row>
    <row r="2825" spans="1:7" x14ac:dyDescent="0.2">
      <c r="A2825">
        <f t="shared" si="44"/>
        <v>128083</v>
      </c>
      <c r="B2825">
        <v>128</v>
      </c>
      <c r="C2825">
        <v>83</v>
      </c>
      <c r="D2825">
        <v>211</v>
      </c>
      <c r="E2825" t="s">
        <v>81</v>
      </c>
      <c r="F2825">
        <v>-11859.130999999999</v>
      </c>
      <c r="G2825">
        <v>5.4420000000000002</v>
      </c>
    </row>
    <row r="2826" spans="1:7" x14ac:dyDescent="0.2">
      <c r="A2826">
        <f t="shared" si="44"/>
        <v>128084</v>
      </c>
      <c r="B2826">
        <v>128</v>
      </c>
      <c r="C2826">
        <v>84</v>
      </c>
      <c r="D2826">
        <v>212</v>
      </c>
      <c r="E2826" t="s">
        <v>82</v>
      </c>
      <c r="F2826">
        <v>-10369.486999999999</v>
      </c>
      <c r="G2826">
        <v>1.1519999999999999</v>
      </c>
    </row>
    <row r="2827" spans="1:7" x14ac:dyDescent="0.2">
      <c r="A2827">
        <f t="shared" si="44"/>
        <v>128085</v>
      </c>
      <c r="B2827">
        <v>128</v>
      </c>
      <c r="C2827">
        <v>85</v>
      </c>
      <c r="D2827">
        <v>213</v>
      </c>
      <c r="E2827" t="s">
        <v>83</v>
      </c>
      <c r="F2827">
        <v>-6579.5950000000003</v>
      </c>
      <c r="G2827">
        <v>4.8979999999999997</v>
      </c>
    </row>
    <row r="2828" spans="1:7" x14ac:dyDescent="0.2">
      <c r="A2828">
        <f t="shared" si="44"/>
        <v>128086</v>
      </c>
      <c r="B2828">
        <v>128</v>
      </c>
      <c r="C2828">
        <v>86</v>
      </c>
      <c r="D2828">
        <v>214</v>
      </c>
      <c r="E2828" t="s">
        <v>84</v>
      </c>
      <c r="F2828">
        <v>-4319.7420000000002</v>
      </c>
      <c r="G2828">
        <v>9.1869999999999994</v>
      </c>
    </row>
    <row r="2829" spans="1:7" x14ac:dyDescent="0.2">
      <c r="A2829">
        <f t="shared" si="44"/>
        <v>128087</v>
      </c>
      <c r="B2829">
        <v>128</v>
      </c>
      <c r="C2829">
        <v>87</v>
      </c>
      <c r="D2829">
        <v>215</v>
      </c>
      <c r="E2829" t="s">
        <v>85</v>
      </c>
      <c r="F2829">
        <v>318.065</v>
      </c>
      <c r="G2829">
        <v>7.0659999999999998</v>
      </c>
    </row>
    <row r="2830" spans="1:7" x14ac:dyDescent="0.2">
      <c r="A2830">
        <f t="shared" si="44"/>
        <v>128088</v>
      </c>
      <c r="B2830">
        <v>128</v>
      </c>
      <c r="C2830">
        <v>88</v>
      </c>
      <c r="D2830">
        <v>216</v>
      </c>
      <c r="E2830" t="s">
        <v>86</v>
      </c>
      <c r="F2830">
        <v>3291.0770000000002</v>
      </c>
      <c r="G2830">
        <v>8.7370000000000001</v>
      </c>
    </row>
    <row r="2831" spans="1:7" x14ac:dyDescent="0.2">
      <c r="A2831">
        <f t="shared" si="44"/>
        <v>128089</v>
      </c>
      <c r="B2831">
        <v>128</v>
      </c>
      <c r="C2831">
        <v>89</v>
      </c>
      <c r="D2831">
        <v>217</v>
      </c>
      <c r="E2831" t="s">
        <v>87</v>
      </c>
      <c r="F2831">
        <v>8703.6730000000007</v>
      </c>
      <c r="G2831">
        <v>11.388999999999999</v>
      </c>
    </row>
    <row r="2832" spans="1:7" x14ac:dyDescent="0.2">
      <c r="A2832">
        <f t="shared" si="44"/>
        <v>128090</v>
      </c>
      <c r="B2832">
        <v>128</v>
      </c>
      <c r="C2832">
        <v>90</v>
      </c>
      <c r="D2832">
        <v>218</v>
      </c>
      <c r="E2832" t="s">
        <v>88</v>
      </c>
      <c r="F2832">
        <v>12366.741</v>
      </c>
      <c r="G2832">
        <v>10.516</v>
      </c>
    </row>
    <row r="2833" spans="1:7" x14ac:dyDescent="0.2">
      <c r="A2833">
        <f t="shared" si="44"/>
        <v>128091</v>
      </c>
      <c r="B2833">
        <v>128</v>
      </c>
      <c r="C2833">
        <v>91</v>
      </c>
      <c r="D2833">
        <v>219</v>
      </c>
      <c r="E2833" t="s">
        <v>89</v>
      </c>
      <c r="F2833">
        <v>18540.131000000001</v>
      </c>
      <c r="G2833">
        <v>51.515999999999998</v>
      </c>
    </row>
    <row r="2834" spans="1:7" x14ac:dyDescent="0.2">
      <c r="A2834">
        <f t="shared" si="44"/>
        <v>128092</v>
      </c>
      <c r="B2834">
        <v>128</v>
      </c>
      <c r="C2834">
        <v>92</v>
      </c>
      <c r="D2834">
        <v>220</v>
      </c>
      <c r="E2834" t="s">
        <v>90</v>
      </c>
      <c r="F2834" t="s">
        <v>1241</v>
      </c>
      <c r="G2834" t="s">
        <v>1242</v>
      </c>
    </row>
    <row r="2835" spans="1:7" x14ac:dyDescent="0.2">
      <c r="A2835">
        <f t="shared" si="44"/>
        <v>128093</v>
      </c>
      <c r="B2835">
        <v>128</v>
      </c>
      <c r="C2835">
        <v>93</v>
      </c>
      <c r="D2835">
        <v>221</v>
      </c>
      <c r="E2835" t="s">
        <v>272</v>
      </c>
      <c r="F2835" t="s">
        <v>1245</v>
      </c>
      <c r="G2835" t="s">
        <v>204</v>
      </c>
    </row>
    <row r="2836" spans="1:7" x14ac:dyDescent="0.2">
      <c r="A2836">
        <f t="shared" si="44"/>
        <v>129078</v>
      </c>
      <c r="B2836">
        <v>129</v>
      </c>
      <c r="C2836">
        <v>78</v>
      </c>
      <c r="D2836">
        <v>207</v>
      </c>
      <c r="E2836" t="s">
        <v>76</v>
      </c>
      <c r="F2836" t="s">
        <v>1209</v>
      </c>
      <c r="G2836" t="s">
        <v>199</v>
      </c>
    </row>
    <row r="2837" spans="1:7" x14ac:dyDescent="0.2">
      <c r="A2837">
        <f t="shared" si="44"/>
        <v>129079</v>
      </c>
      <c r="B2837">
        <v>129</v>
      </c>
      <c r="C2837">
        <v>79</v>
      </c>
      <c r="D2837">
        <v>208</v>
      </c>
      <c r="E2837" t="s">
        <v>77</v>
      </c>
      <c r="F2837" t="s">
        <v>1212</v>
      </c>
      <c r="G2837" t="s">
        <v>202</v>
      </c>
    </row>
    <row r="2838" spans="1:7" x14ac:dyDescent="0.2">
      <c r="A2838">
        <f t="shared" si="44"/>
        <v>129080</v>
      </c>
      <c r="B2838">
        <v>129</v>
      </c>
      <c r="C2838">
        <v>80</v>
      </c>
      <c r="D2838">
        <v>209</v>
      </c>
      <c r="E2838" t="s">
        <v>78</v>
      </c>
      <c r="F2838" t="s">
        <v>1214</v>
      </c>
      <c r="G2838" t="s">
        <v>221</v>
      </c>
    </row>
    <row r="2839" spans="1:7" x14ac:dyDescent="0.2">
      <c r="A2839">
        <f t="shared" si="44"/>
        <v>129081</v>
      </c>
      <c r="B2839">
        <v>129</v>
      </c>
      <c r="C2839">
        <v>81</v>
      </c>
      <c r="D2839">
        <v>210</v>
      </c>
      <c r="E2839" t="s">
        <v>79</v>
      </c>
      <c r="F2839">
        <v>-9246.9689999999991</v>
      </c>
      <c r="G2839">
        <v>11.603999999999999</v>
      </c>
    </row>
    <row r="2840" spans="1:7" x14ac:dyDescent="0.2">
      <c r="A2840">
        <f t="shared" si="44"/>
        <v>129082</v>
      </c>
      <c r="B2840">
        <v>129</v>
      </c>
      <c r="C2840">
        <v>82</v>
      </c>
      <c r="D2840">
        <v>211</v>
      </c>
      <c r="E2840" t="s">
        <v>80</v>
      </c>
      <c r="F2840">
        <v>-10492.948</v>
      </c>
      <c r="G2840">
        <v>2.2610000000000001</v>
      </c>
    </row>
    <row r="2841" spans="1:7" x14ac:dyDescent="0.2">
      <c r="A2841">
        <f t="shared" si="44"/>
        <v>129083</v>
      </c>
      <c r="B2841">
        <v>129</v>
      </c>
      <c r="C2841">
        <v>83</v>
      </c>
      <c r="D2841">
        <v>212</v>
      </c>
      <c r="E2841" t="s">
        <v>81</v>
      </c>
      <c r="F2841">
        <v>-8117.9539999999997</v>
      </c>
      <c r="G2841">
        <v>1.8540000000000001</v>
      </c>
    </row>
    <row r="2842" spans="1:7" x14ac:dyDescent="0.2">
      <c r="A2842">
        <f t="shared" si="44"/>
        <v>129084</v>
      </c>
      <c r="B2842">
        <v>129</v>
      </c>
      <c r="C2842">
        <v>84</v>
      </c>
      <c r="D2842">
        <v>213</v>
      </c>
      <c r="E2842" t="s">
        <v>82</v>
      </c>
      <c r="F2842">
        <v>-6653.5839999999998</v>
      </c>
      <c r="G2842">
        <v>3.0529999999999999</v>
      </c>
    </row>
    <row r="2843" spans="1:7" x14ac:dyDescent="0.2">
      <c r="A2843">
        <f t="shared" si="44"/>
        <v>129085</v>
      </c>
      <c r="B2843">
        <v>129</v>
      </c>
      <c r="C2843">
        <v>85</v>
      </c>
      <c r="D2843">
        <v>214</v>
      </c>
      <c r="E2843" t="s">
        <v>83</v>
      </c>
      <c r="F2843">
        <v>-3379.8310000000001</v>
      </c>
      <c r="G2843">
        <v>4.298</v>
      </c>
    </row>
    <row r="2844" spans="1:7" x14ac:dyDescent="0.2">
      <c r="A2844">
        <f t="shared" si="44"/>
        <v>129086</v>
      </c>
      <c r="B2844">
        <v>129</v>
      </c>
      <c r="C2844">
        <v>86</v>
      </c>
      <c r="D2844">
        <v>215</v>
      </c>
      <c r="E2844" t="s">
        <v>84</v>
      </c>
      <c r="F2844">
        <v>-1168.5609999999999</v>
      </c>
      <c r="G2844">
        <v>7.6719999999999997</v>
      </c>
    </row>
    <row r="2845" spans="1:7" x14ac:dyDescent="0.2">
      <c r="A2845">
        <f t="shared" si="44"/>
        <v>129087</v>
      </c>
      <c r="B2845">
        <v>129</v>
      </c>
      <c r="C2845">
        <v>87</v>
      </c>
      <c r="D2845">
        <v>216</v>
      </c>
      <c r="E2845" t="s">
        <v>85</v>
      </c>
      <c r="F2845">
        <v>2970.95</v>
      </c>
      <c r="G2845">
        <v>4.173</v>
      </c>
    </row>
    <row r="2846" spans="1:7" x14ac:dyDescent="0.2">
      <c r="A2846">
        <f t="shared" si="44"/>
        <v>129088</v>
      </c>
      <c r="B2846">
        <v>129</v>
      </c>
      <c r="C2846">
        <v>88</v>
      </c>
      <c r="D2846">
        <v>217</v>
      </c>
      <c r="E2846" t="s">
        <v>86</v>
      </c>
      <c r="F2846">
        <v>5889.6559999999999</v>
      </c>
      <c r="G2846">
        <v>7.202</v>
      </c>
    </row>
    <row r="2847" spans="1:7" x14ac:dyDescent="0.2">
      <c r="A2847">
        <f t="shared" si="44"/>
        <v>129089</v>
      </c>
      <c r="B2847">
        <v>129</v>
      </c>
      <c r="C2847">
        <v>89</v>
      </c>
      <c r="D2847">
        <v>218</v>
      </c>
      <c r="E2847" t="s">
        <v>87</v>
      </c>
      <c r="F2847">
        <v>10843.609</v>
      </c>
      <c r="G2847">
        <v>50.74</v>
      </c>
    </row>
    <row r="2848" spans="1:7" x14ac:dyDescent="0.2">
      <c r="A2848">
        <f t="shared" si="44"/>
        <v>129090</v>
      </c>
      <c r="B2848">
        <v>129</v>
      </c>
      <c r="C2848">
        <v>90</v>
      </c>
      <c r="D2848">
        <v>219</v>
      </c>
      <c r="E2848" t="s">
        <v>88</v>
      </c>
      <c r="F2848">
        <v>14471.39</v>
      </c>
      <c r="G2848">
        <v>50.576000000000001</v>
      </c>
    </row>
    <row r="2849" spans="1:7" x14ac:dyDescent="0.2">
      <c r="A2849">
        <f t="shared" si="44"/>
        <v>129091</v>
      </c>
      <c r="B2849">
        <v>129</v>
      </c>
      <c r="C2849">
        <v>91</v>
      </c>
      <c r="D2849">
        <v>220</v>
      </c>
      <c r="E2849" t="s">
        <v>89</v>
      </c>
      <c r="F2849" t="s">
        <v>1239</v>
      </c>
      <c r="G2849" t="s">
        <v>1240</v>
      </c>
    </row>
    <row r="2850" spans="1:7" x14ac:dyDescent="0.2">
      <c r="A2850">
        <f t="shared" si="44"/>
        <v>129092</v>
      </c>
      <c r="B2850">
        <v>129</v>
      </c>
      <c r="C2850">
        <v>92</v>
      </c>
      <c r="D2850">
        <v>221</v>
      </c>
      <c r="E2850" t="s">
        <v>90</v>
      </c>
      <c r="F2850">
        <v>24519.994999999999</v>
      </c>
      <c r="G2850">
        <v>51.113999999999997</v>
      </c>
    </row>
    <row r="2851" spans="1:7" x14ac:dyDescent="0.2">
      <c r="A2851">
        <f t="shared" si="44"/>
        <v>129093</v>
      </c>
      <c r="B2851">
        <v>129</v>
      </c>
      <c r="C2851">
        <v>93</v>
      </c>
      <c r="D2851">
        <v>222</v>
      </c>
      <c r="E2851" t="s">
        <v>272</v>
      </c>
      <c r="F2851" t="s">
        <v>1249</v>
      </c>
      <c r="G2851" t="s">
        <v>206</v>
      </c>
    </row>
    <row r="2852" spans="1:7" x14ac:dyDescent="0.2">
      <c r="A2852">
        <f t="shared" si="44"/>
        <v>130078</v>
      </c>
      <c r="B2852">
        <v>130</v>
      </c>
      <c r="C2852">
        <v>78</v>
      </c>
      <c r="D2852">
        <v>208</v>
      </c>
      <c r="E2852" t="s">
        <v>76</v>
      </c>
      <c r="F2852" t="s">
        <v>1211</v>
      </c>
      <c r="G2852" t="s">
        <v>197</v>
      </c>
    </row>
    <row r="2853" spans="1:7" x14ac:dyDescent="0.2">
      <c r="A2853">
        <f t="shared" si="44"/>
        <v>130079</v>
      </c>
      <c r="B2853">
        <v>130</v>
      </c>
      <c r="C2853">
        <v>79</v>
      </c>
      <c r="D2853">
        <v>209</v>
      </c>
      <c r="E2853" t="s">
        <v>77</v>
      </c>
      <c r="F2853" t="s">
        <v>1213</v>
      </c>
      <c r="G2853" t="s">
        <v>197</v>
      </c>
    </row>
    <row r="2854" spans="1:7" x14ac:dyDescent="0.2">
      <c r="A2854">
        <f t="shared" si="44"/>
        <v>130080</v>
      </c>
      <c r="B2854">
        <v>130</v>
      </c>
      <c r="C2854">
        <v>80</v>
      </c>
      <c r="D2854">
        <v>210</v>
      </c>
      <c r="E2854" t="s">
        <v>78</v>
      </c>
      <c r="F2854" t="s">
        <v>1217</v>
      </c>
      <c r="G2854" t="s">
        <v>206</v>
      </c>
    </row>
    <row r="2855" spans="1:7" x14ac:dyDescent="0.2">
      <c r="A2855">
        <f t="shared" si="44"/>
        <v>130081</v>
      </c>
      <c r="B2855">
        <v>130</v>
      </c>
      <c r="C2855">
        <v>81</v>
      </c>
      <c r="D2855">
        <v>211</v>
      </c>
      <c r="E2855" t="s">
        <v>79</v>
      </c>
      <c r="F2855">
        <v>-6077.9979999999996</v>
      </c>
      <c r="G2855">
        <v>41.917000000000002</v>
      </c>
    </row>
    <row r="2856" spans="1:7" x14ac:dyDescent="0.2">
      <c r="A2856">
        <f t="shared" si="44"/>
        <v>130082</v>
      </c>
      <c r="B2856">
        <v>130</v>
      </c>
      <c r="C2856">
        <v>82</v>
      </c>
      <c r="D2856">
        <v>212</v>
      </c>
      <c r="E2856" t="s">
        <v>80</v>
      </c>
      <c r="F2856">
        <v>-7548.85</v>
      </c>
      <c r="G2856">
        <v>1.8420000000000001</v>
      </c>
    </row>
    <row r="2857" spans="1:7" x14ac:dyDescent="0.2">
      <c r="A2857">
        <f t="shared" si="44"/>
        <v>130083</v>
      </c>
      <c r="B2857">
        <v>130</v>
      </c>
      <c r="C2857">
        <v>83</v>
      </c>
      <c r="D2857">
        <v>213</v>
      </c>
      <c r="E2857" t="s">
        <v>81</v>
      </c>
      <c r="F2857">
        <v>-5231.6350000000002</v>
      </c>
      <c r="G2857">
        <v>5.0819999999999999</v>
      </c>
    </row>
    <row r="2858" spans="1:7" x14ac:dyDescent="0.2">
      <c r="A2858">
        <f t="shared" si="44"/>
        <v>130084</v>
      </c>
      <c r="B2858">
        <v>130</v>
      </c>
      <c r="C2858">
        <v>84</v>
      </c>
      <c r="D2858">
        <v>214</v>
      </c>
      <c r="E2858" t="s">
        <v>82</v>
      </c>
      <c r="F2858">
        <v>-4470.0460000000003</v>
      </c>
      <c r="G2858">
        <v>1.4490000000000001</v>
      </c>
    </row>
    <row r="2859" spans="1:7" x14ac:dyDescent="0.2">
      <c r="A2859">
        <f t="shared" si="44"/>
        <v>130085</v>
      </c>
      <c r="B2859">
        <v>130</v>
      </c>
      <c r="C2859">
        <v>85</v>
      </c>
      <c r="D2859">
        <v>215</v>
      </c>
      <c r="E2859" t="s">
        <v>83</v>
      </c>
      <c r="F2859">
        <v>-1255.7560000000001</v>
      </c>
      <c r="G2859">
        <v>6.7990000000000004</v>
      </c>
    </row>
    <row r="2860" spans="1:7" x14ac:dyDescent="0.2">
      <c r="A2860">
        <f t="shared" si="44"/>
        <v>130086</v>
      </c>
      <c r="B2860">
        <v>130</v>
      </c>
      <c r="C2860">
        <v>86</v>
      </c>
      <c r="D2860">
        <v>216</v>
      </c>
      <c r="E2860" t="s">
        <v>84</v>
      </c>
      <c r="F2860">
        <v>252.86799999999999</v>
      </c>
      <c r="G2860">
        <v>5.9939999999999998</v>
      </c>
    </row>
    <row r="2861" spans="1:7" x14ac:dyDescent="0.2">
      <c r="A2861">
        <f t="shared" si="44"/>
        <v>130087</v>
      </c>
      <c r="B2861">
        <v>130</v>
      </c>
      <c r="C2861">
        <v>87</v>
      </c>
      <c r="D2861">
        <v>217</v>
      </c>
      <c r="E2861" t="s">
        <v>85</v>
      </c>
      <c r="F2861">
        <v>4314.59</v>
      </c>
      <c r="G2861">
        <v>6.5309999999999997</v>
      </c>
    </row>
    <row r="2862" spans="1:7" x14ac:dyDescent="0.2">
      <c r="A2862">
        <f t="shared" si="44"/>
        <v>130088</v>
      </c>
      <c r="B2862">
        <v>130</v>
      </c>
      <c r="C2862">
        <v>88</v>
      </c>
      <c r="D2862">
        <v>218</v>
      </c>
      <c r="E2862" t="s">
        <v>86</v>
      </c>
      <c r="F2862">
        <v>6651.17</v>
      </c>
      <c r="G2862">
        <v>11.176</v>
      </c>
    </row>
    <row r="2863" spans="1:7" x14ac:dyDescent="0.2">
      <c r="A2863">
        <f t="shared" si="44"/>
        <v>130089</v>
      </c>
      <c r="B2863">
        <v>130</v>
      </c>
      <c r="C2863">
        <v>89</v>
      </c>
      <c r="D2863">
        <v>219</v>
      </c>
      <c r="E2863" t="s">
        <v>87</v>
      </c>
      <c r="F2863">
        <v>11569.48</v>
      </c>
      <c r="G2863">
        <v>50.497</v>
      </c>
    </row>
    <row r="2864" spans="1:7" x14ac:dyDescent="0.2">
      <c r="A2864">
        <f t="shared" si="44"/>
        <v>130090</v>
      </c>
      <c r="B2864">
        <v>130</v>
      </c>
      <c r="C2864">
        <v>90</v>
      </c>
      <c r="D2864">
        <v>220</v>
      </c>
      <c r="E2864" t="s">
        <v>88</v>
      </c>
      <c r="F2864">
        <v>14669.1</v>
      </c>
      <c r="G2864">
        <v>22.166</v>
      </c>
    </row>
    <row r="2865" spans="1:7" x14ac:dyDescent="0.2">
      <c r="A2865">
        <f t="shared" si="44"/>
        <v>130091</v>
      </c>
      <c r="B2865">
        <v>130</v>
      </c>
      <c r="C2865">
        <v>91</v>
      </c>
      <c r="D2865">
        <v>221</v>
      </c>
      <c r="E2865" t="s">
        <v>89</v>
      </c>
      <c r="F2865">
        <v>20376.288</v>
      </c>
      <c r="G2865">
        <v>51.280999999999999</v>
      </c>
    </row>
    <row r="2866" spans="1:7" x14ac:dyDescent="0.2">
      <c r="A2866">
        <f t="shared" si="44"/>
        <v>130092</v>
      </c>
      <c r="B2866">
        <v>130</v>
      </c>
      <c r="C2866">
        <v>92</v>
      </c>
      <c r="D2866">
        <v>222</v>
      </c>
      <c r="E2866" t="s">
        <v>90</v>
      </c>
      <c r="F2866">
        <v>24272.827000000001</v>
      </c>
      <c r="G2866">
        <v>51.994</v>
      </c>
    </row>
    <row r="2867" spans="1:7" x14ac:dyDescent="0.2">
      <c r="A2867">
        <f t="shared" si="44"/>
        <v>130093</v>
      </c>
      <c r="B2867">
        <v>130</v>
      </c>
      <c r="C2867">
        <v>93</v>
      </c>
      <c r="D2867">
        <v>223</v>
      </c>
      <c r="E2867" t="s">
        <v>272</v>
      </c>
      <c r="F2867" t="s">
        <v>1251</v>
      </c>
      <c r="G2867" t="s">
        <v>206</v>
      </c>
    </row>
    <row r="2868" spans="1:7" x14ac:dyDescent="0.2">
      <c r="A2868">
        <f t="shared" si="44"/>
        <v>131079</v>
      </c>
      <c r="B2868">
        <v>131</v>
      </c>
      <c r="C2868">
        <v>79</v>
      </c>
      <c r="D2868">
        <v>210</v>
      </c>
      <c r="E2868" t="s">
        <v>77</v>
      </c>
      <c r="F2868" t="s">
        <v>1216</v>
      </c>
      <c r="G2868" t="s">
        <v>199</v>
      </c>
    </row>
    <row r="2869" spans="1:7" x14ac:dyDescent="0.2">
      <c r="A2869">
        <f t="shared" si="44"/>
        <v>131080</v>
      </c>
      <c r="B2869">
        <v>131</v>
      </c>
      <c r="C2869">
        <v>80</v>
      </c>
      <c r="D2869">
        <v>211</v>
      </c>
      <c r="E2869" t="s">
        <v>78</v>
      </c>
      <c r="F2869" t="s">
        <v>1218</v>
      </c>
      <c r="G2869" t="s">
        <v>206</v>
      </c>
    </row>
    <row r="2870" spans="1:7" x14ac:dyDescent="0.2">
      <c r="A2870">
        <f t="shared" si="44"/>
        <v>131081</v>
      </c>
      <c r="B2870">
        <v>131</v>
      </c>
      <c r="C2870">
        <v>81</v>
      </c>
      <c r="D2870">
        <v>212</v>
      </c>
      <c r="E2870" t="s">
        <v>79</v>
      </c>
      <c r="F2870" t="s">
        <v>1221</v>
      </c>
      <c r="G2870" t="s">
        <v>204</v>
      </c>
    </row>
    <row r="2871" spans="1:7" x14ac:dyDescent="0.2">
      <c r="A2871">
        <f t="shared" si="44"/>
        <v>131082</v>
      </c>
      <c r="B2871">
        <v>131</v>
      </c>
      <c r="C2871">
        <v>82</v>
      </c>
      <c r="D2871">
        <v>213</v>
      </c>
      <c r="E2871" t="s">
        <v>80</v>
      </c>
      <c r="F2871">
        <v>-3203.5320000000002</v>
      </c>
      <c r="G2871">
        <v>6.9539999999999997</v>
      </c>
    </row>
    <row r="2872" spans="1:7" x14ac:dyDescent="0.2">
      <c r="A2872">
        <f t="shared" si="44"/>
        <v>131083</v>
      </c>
      <c r="B2872">
        <v>131</v>
      </c>
      <c r="C2872">
        <v>83</v>
      </c>
      <c r="D2872">
        <v>214</v>
      </c>
      <c r="E2872" t="s">
        <v>81</v>
      </c>
      <c r="F2872">
        <v>-1200.7529999999999</v>
      </c>
      <c r="G2872">
        <v>11.209</v>
      </c>
    </row>
    <row r="2873" spans="1:7" x14ac:dyDescent="0.2">
      <c r="A2873">
        <f t="shared" si="44"/>
        <v>131084</v>
      </c>
      <c r="B2873">
        <v>131</v>
      </c>
      <c r="C2873">
        <v>84</v>
      </c>
      <c r="D2873">
        <v>215</v>
      </c>
      <c r="E2873" t="s">
        <v>82</v>
      </c>
      <c r="F2873">
        <v>-541.70600000000002</v>
      </c>
      <c r="G2873">
        <v>2.121</v>
      </c>
    </row>
    <row r="2874" spans="1:7" x14ac:dyDescent="0.2">
      <c r="A2874">
        <f t="shared" si="44"/>
        <v>131085</v>
      </c>
      <c r="B2874">
        <v>131</v>
      </c>
      <c r="C2874">
        <v>85</v>
      </c>
      <c r="D2874">
        <v>216</v>
      </c>
      <c r="E2874" t="s">
        <v>83</v>
      </c>
      <c r="F2874">
        <v>2256.6660000000002</v>
      </c>
      <c r="G2874">
        <v>3.5750000000000002</v>
      </c>
    </row>
    <row r="2875" spans="1:7" x14ac:dyDescent="0.2">
      <c r="A2875">
        <f t="shared" si="44"/>
        <v>131086</v>
      </c>
      <c r="B2875">
        <v>131</v>
      </c>
      <c r="C2875">
        <v>86</v>
      </c>
      <c r="D2875">
        <v>217</v>
      </c>
      <c r="E2875" t="s">
        <v>84</v>
      </c>
      <c r="F2875">
        <v>3658.5010000000002</v>
      </c>
      <c r="G2875">
        <v>4.1980000000000004</v>
      </c>
    </row>
    <row r="2876" spans="1:7" x14ac:dyDescent="0.2">
      <c r="A2876">
        <f t="shared" si="44"/>
        <v>131087</v>
      </c>
      <c r="B2876">
        <v>131</v>
      </c>
      <c r="C2876">
        <v>87</v>
      </c>
      <c r="D2876">
        <v>218</v>
      </c>
      <c r="E2876" t="s">
        <v>85</v>
      </c>
      <c r="F2876">
        <v>7059.1170000000002</v>
      </c>
      <c r="G2876">
        <v>4.7569999999999997</v>
      </c>
    </row>
    <row r="2877" spans="1:7" x14ac:dyDescent="0.2">
      <c r="A2877">
        <f t="shared" si="44"/>
        <v>131088</v>
      </c>
      <c r="B2877">
        <v>131</v>
      </c>
      <c r="C2877">
        <v>88</v>
      </c>
      <c r="D2877">
        <v>219</v>
      </c>
      <c r="E2877" t="s">
        <v>86</v>
      </c>
      <c r="F2877">
        <v>9394.2819999999992</v>
      </c>
      <c r="G2877">
        <v>8.2579999999999991</v>
      </c>
    </row>
    <row r="2878" spans="1:7" x14ac:dyDescent="0.2">
      <c r="A2878">
        <f t="shared" si="44"/>
        <v>131089</v>
      </c>
      <c r="B2878">
        <v>131</v>
      </c>
      <c r="C2878">
        <v>89</v>
      </c>
      <c r="D2878">
        <v>220</v>
      </c>
      <c r="E2878" t="s">
        <v>87</v>
      </c>
      <c r="F2878">
        <v>13743.682000000001</v>
      </c>
      <c r="G2878">
        <v>6.1289999999999996</v>
      </c>
    </row>
    <row r="2879" spans="1:7" x14ac:dyDescent="0.2">
      <c r="A2879">
        <f t="shared" si="44"/>
        <v>131090</v>
      </c>
      <c r="B2879">
        <v>131</v>
      </c>
      <c r="C2879">
        <v>90</v>
      </c>
      <c r="D2879">
        <v>221</v>
      </c>
      <c r="E2879" t="s">
        <v>88</v>
      </c>
      <c r="F2879">
        <v>16940.370999999999</v>
      </c>
      <c r="G2879">
        <v>8.1660000000000004</v>
      </c>
    </row>
    <row r="2880" spans="1:7" x14ac:dyDescent="0.2">
      <c r="A2880">
        <f t="shared" si="44"/>
        <v>131091</v>
      </c>
      <c r="B2880">
        <v>131</v>
      </c>
      <c r="C2880">
        <v>91</v>
      </c>
      <c r="D2880">
        <v>222</v>
      </c>
      <c r="E2880" t="s">
        <v>89</v>
      </c>
      <c r="F2880" t="s">
        <v>1247</v>
      </c>
      <c r="G2880" t="s">
        <v>1248</v>
      </c>
    </row>
    <row r="2881" spans="1:7" x14ac:dyDescent="0.2">
      <c r="A2881">
        <f t="shared" ref="A2881:A2944" si="45">1000*B2881+C2881</f>
        <v>131092</v>
      </c>
      <c r="B2881">
        <v>131</v>
      </c>
      <c r="C2881">
        <v>92</v>
      </c>
      <c r="D2881">
        <v>223</v>
      </c>
      <c r="E2881" t="s">
        <v>90</v>
      </c>
      <c r="F2881">
        <v>25837.006000000001</v>
      </c>
      <c r="G2881">
        <v>71.119</v>
      </c>
    </row>
    <row r="2882" spans="1:7" x14ac:dyDescent="0.2">
      <c r="A2882">
        <f t="shared" si="45"/>
        <v>131093</v>
      </c>
      <c r="B2882">
        <v>131</v>
      </c>
      <c r="C2882">
        <v>93</v>
      </c>
      <c r="D2882">
        <v>224</v>
      </c>
      <c r="E2882" t="s">
        <v>272</v>
      </c>
      <c r="F2882" t="s">
        <v>1254</v>
      </c>
      <c r="G2882" t="s">
        <v>206</v>
      </c>
    </row>
    <row r="2883" spans="1:7" x14ac:dyDescent="0.2">
      <c r="A2883">
        <f t="shared" si="45"/>
        <v>132080</v>
      </c>
      <c r="B2883">
        <v>132</v>
      </c>
      <c r="C2883">
        <v>80</v>
      </c>
      <c r="D2883">
        <v>212</v>
      </c>
      <c r="E2883" t="s">
        <v>78</v>
      </c>
      <c r="F2883" t="s">
        <v>1220</v>
      </c>
      <c r="G2883" t="s">
        <v>202</v>
      </c>
    </row>
    <row r="2884" spans="1:7" x14ac:dyDescent="0.2">
      <c r="A2884">
        <f t="shared" si="45"/>
        <v>132081</v>
      </c>
      <c r="B2884">
        <v>132</v>
      </c>
      <c r="C2884">
        <v>81</v>
      </c>
      <c r="D2884">
        <v>213</v>
      </c>
      <c r="E2884" t="s">
        <v>79</v>
      </c>
      <c r="F2884">
        <v>1783.8109999999999</v>
      </c>
      <c r="G2884">
        <v>27.013000000000002</v>
      </c>
    </row>
    <row r="2885" spans="1:7" x14ac:dyDescent="0.2">
      <c r="A2885">
        <f t="shared" si="45"/>
        <v>132082</v>
      </c>
      <c r="B2885">
        <v>132</v>
      </c>
      <c r="C2885">
        <v>82</v>
      </c>
      <c r="D2885">
        <v>214</v>
      </c>
      <c r="E2885" t="s">
        <v>80</v>
      </c>
      <c r="F2885">
        <v>-182.76900000000001</v>
      </c>
      <c r="G2885">
        <v>1.9750000000000001</v>
      </c>
    </row>
    <row r="2886" spans="1:7" x14ac:dyDescent="0.2">
      <c r="A2886">
        <f t="shared" si="45"/>
        <v>132083</v>
      </c>
      <c r="B2886">
        <v>132</v>
      </c>
      <c r="C2886">
        <v>83</v>
      </c>
      <c r="D2886">
        <v>215</v>
      </c>
      <c r="E2886" t="s">
        <v>81</v>
      </c>
      <c r="F2886">
        <v>1629.3219999999999</v>
      </c>
      <c r="G2886">
        <v>5.6239999999999997</v>
      </c>
    </row>
    <row r="2887" spans="1:7" x14ac:dyDescent="0.2">
      <c r="A2887">
        <f t="shared" si="45"/>
        <v>132084</v>
      </c>
      <c r="B2887">
        <v>132</v>
      </c>
      <c r="C2887">
        <v>84</v>
      </c>
      <c r="D2887">
        <v>216</v>
      </c>
      <c r="E2887" t="s">
        <v>82</v>
      </c>
      <c r="F2887">
        <v>1782.42</v>
      </c>
      <c r="G2887">
        <v>1.8160000000000001</v>
      </c>
    </row>
    <row r="2888" spans="1:7" x14ac:dyDescent="0.2">
      <c r="A2888">
        <f t="shared" si="45"/>
        <v>132085</v>
      </c>
      <c r="B2888">
        <v>132</v>
      </c>
      <c r="C2888">
        <v>85</v>
      </c>
      <c r="D2888">
        <v>217</v>
      </c>
      <c r="E2888" t="s">
        <v>83</v>
      </c>
      <c r="F2888">
        <v>4394.6350000000002</v>
      </c>
      <c r="G2888">
        <v>5.0010000000000003</v>
      </c>
    </row>
    <row r="2889" spans="1:7" x14ac:dyDescent="0.2">
      <c r="A2889">
        <f t="shared" si="45"/>
        <v>132086</v>
      </c>
      <c r="B2889">
        <v>132</v>
      </c>
      <c r="C2889">
        <v>86</v>
      </c>
      <c r="D2889">
        <v>218</v>
      </c>
      <c r="E2889" t="s">
        <v>84</v>
      </c>
      <c r="F2889">
        <v>5217.3469999999998</v>
      </c>
      <c r="G2889">
        <v>2.3159999999999998</v>
      </c>
    </row>
    <row r="2890" spans="1:7" x14ac:dyDescent="0.2">
      <c r="A2890">
        <f t="shared" si="45"/>
        <v>132087</v>
      </c>
      <c r="B2890">
        <v>132</v>
      </c>
      <c r="C2890">
        <v>87</v>
      </c>
      <c r="D2890">
        <v>219</v>
      </c>
      <c r="E2890" t="s">
        <v>85</v>
      </c>
      <c r="F2890">
        <v>8617.7669999999998</v>
      </c>
      <c r="G2890">
        <v>7.0389999999999997</v>
      </c>
    </row>
    <row r="2891" spans="1:7" x14ac:dyDescent="0.2">
      <c r="A2891">
        <f t="shared" si="45"/>
        <v>132088</v>
      </c>
      <c r="B2891">
        <v>132</v>
      </c>
      <c r="C2891">
        <v>88</v>
      </c>
      <c r="D2891">
        <v>220</v>
      </c>
      <c r="E2891" t="s">
        <v>86</v>
      </c>
      <c r="F2891">
        <v>10270.245000000001</v>
      </c>
      <c r="G2891">
        <v>8.2370000000000001</v>
      </c>
    </row>
    <row r="2892" spans="1:7" x14ac:dyDescent="0.2">
      <c r="A2892">
        <f t="shared" si="45"/>
        <v>132089</v>
      </c>
      <c r="B2892">
        <v>132</v>
      </c>
      <c r="C2892">
        <v>89</v>
      </c>
      <c r="D2892">
        <v>221</v>
      </c>
      <c r="E2892" t="s">
        <v>87</v>
      </c>
      <c r="F2892">
        <v>14523.109</v>
      </c>
      <c r="G2892">
        <v>50.424999999999997</v>
      </c>
    </row>
    <row r="2893" spans="1:7" x14ac:dyDescent="0.2">
      <c r="A2893">
        <f t="shared" si="45"/>
        <v>132090</v>
      </c>
      <c r="B2893">
        <v>132</v>
      </c>
      <c r="C2893">
        <v>90</v>
      </c>
      <c r="D2893">
        <v>222</v>
      </c>
      <c r="E2893" t="s">
        <v>88</v>
      </c>
      <c r="F2893">
        <v>17203.111000000001</v>
      </c>
      <c r="G2893">
        <v>12.279</v>
      </c>
    </row>
    <row r="2894" spans="1:7" x14ac:dyDescent="0.2">
      <c r="A2894">
        <f t="shared" si="45"/>
        <v>132091</v>
      </c>
      <c r="B2894">
        <v>132</v>
      </c>
      <c r="C2894">
        <v>91</v>
      </c>
      <c r="D2894">
        <v>223</v>
      </c>
      <c r="E2894" t="s">
        <v>89</v>
      </c>
      <c r="F2894">
        <v>22320.675999999999</v>
      </c>
      <c r="G2894">
        <v>71.063000000000002</v>
      </c>
    </row>
    <row r="2895" spans="1:7" x14ac:dyDescent="0.2">
      <c r="A2895">
        <f t="shared" si="45"/>
        <v>132092</v>
      </c>
      <c r="B2895">
        <v>132</v>
      </c>
      <c r="C2895">
        <v>92</v>
      </c>
      <c r="D2895">
        <v>224</v>
      </c>
      <c r="E2895" t="s">
        <v>90</v>
      </c>
      <c r="F2895">
        <v>25722.252</v>
      </c>
      <c r="G2895">
        <v>23.170999999999999</v>
      </c>
    </row>
    <row r="2896" spans="1:7" x14ac:dyDescent="0.2">
      <c r="A2896">
        <f t="shared" si="45"/>
        <v>132093</v>
      </c>
      <c r="B2896">
        <v>132</v>
      </c>
      <c r="C2896">
        <v>93</v>
      </c>
      <c r="D2896">
        <v>225</v>
      </c>
      <c r="E2896" t="s">
        <v>272</v>
      </c>
      <c r="F2896">
        <v>31587.704000000002</v>
      </c>
      <c r="G2896">
        <v>71.622</v>
      </c>
    </row>
    <row r="2897" spans="1:7" x14ac:dyDescent="0.2">
      <c r="A2897">
        <f t="shared" si="45"/>
        <v>133080</v>
      </c>
      <c r="B2897">
        <v>133</v>
      </c>
      <c r="C2897">
        <v>80</v>
      </c>
      <c r="D2897">
        <v>213</v>
      </c>
      <c r="E2897" t="s">
        <v>78</v>
      </c>
      <c r="F2897" t="s">
        <v>1222</v>
      </c>
      <c r="G2897" t="s">
        <v>202</v>
      </c>
    </row>
    <row r="2898" spans="1:7" x14ac:dyDescent="0.2">
      <c r="A2898">
        <f t="shared" si="45"/>
        <v>133081</v>
      </c>
      <c r="B2898">
        <v>133</v>
      </c>
      <c r="C2898">
        <v>81</v>
      </c>
      <c r="D2898">
        <v>214</v>
      </c>
      <c r="E2898" t="s">
        <v>79</v>
      </c>
      <c r="F2898" t="s">
        <v>1224</v>
      </c>
      <c r="G2898" t="s">
        <v>206</v>
      </c>
    </row>
    <row r="2899" spans="1:7" x14ac:dyDescent="0.2">
      <c r="A2899">
        <f t="shared" si="45"/>
        <v>133082</v>
      </c>
      <c r="B2899">
        <v>133</v>
      </c>
      <c r="C2899">
        <v>82</v>
      </c>
      <c r="D2899">
        <v>215</v>
      </c>
      <c r="E2899" t="s">
        <v>80</v>
      </c>
      <c r="F2899">
        <v>4342.2439999999997</v>
      </c>
      <c r="G2899">
        <v>52.448</v>
      </c>
    </row>
    <row r="2900" spans="1:7" x14ac:dyDescent="0.2">
      <c r="A2900">
        <f t="shared" si="45"/>
        <v>133083</v>
      </c>
      <c r="B2900">
        <v>133</v>
      </c>
      <c r="C2900">
        <v>83</v>
      </c>
      <c r="D2900">
        <v>216</v>
      </c>
      <c r="E2900" t="s">
        <v>81</v>
      </c>
      <c r="F2900">
        <v>5873.991</v>
      </c>
      <c r="G2900">
        <v>11.178000000000001</v>
      </c>
    </row>
    <row r="2901" spans="1:7" x14ac:dyDescent="0.2">
      <c r="A2901">
        <f t="shared" si="45"/>
        <v>133084</v>
      </c>
      <c r="B2901">
        <v>133</v>
      </c>
      <c r="C2901">
        <v>84</v>
      </c>
      <c r="D2901">
        <v>217</v>
      </c>
      <c r="E2901" t="s">
        <v>82</v>
      </c>
      <c r="F2901">
        <v>5883.518</v>
      </c>
      <c r="G2901">
        <v>6.5439999999999996</v>
      </c>
    </row>
    <row r="2902" spans="1:7" x14ac:dyDescent="0.2">
      <c r="A2902">
        <f t="shared" si="45"/>
        <v>133085</v>
      </c>
      <c r="B2902">
        <v>133</v>
      </c>
      <c r="C2902">
        <v>85</v>
      </c>
      <c r="D2902">
        <v>218</v>
      </c>
      <c r="E2902" t="s">
        <v>83</v>
      </c>
      <c r="F2902">
        <v>8098.1620000000003</v>
      </c>
      <c r="G2902">
        <v>11.603999999999999</v>
      </c>
    </row>
    <row r="2903" spans="1:7" x14ac:dyDescent="0.2">
      <c r="A2903">
        <f t="shared" si="45"/>
        <v>133086</v>
      </c>
      <c r="B2903">
        <v>133</v>
      </c>
      <c r="C2903">
        <v>86</v>
      </c>
      <c r="D2903">
        <v>219</v>
      </c>
      <c r="E2903" t="s">
        <v>84</v>
      </c>
      <c r="F2903">
        <v>8829.402</v>
      </c>
      <c r="G2903">
        <v>2.1</v>
      </c>
    </row>
    <row r="2904" spans="1:7" x14ac:dyDescent="0.2">
      <c r="A2904">
        <f t="shared" si="45"/>
        <v>133087</v>
      </c>
      <c r="B2904">
        <v>133</v>
      </c>
      <c r="C2904">
        <v>87</v>
      </c>
      <c r="D2904">
        <v>220</v>
      </c>
      <c r="E2904" t="s">
        <v>85</v>
      </c>
      <c r="F2904">
        <v>11482.32</v>
      </c>
      <c r="G2904">
        <v>4.0279999999999996</v>
      </c>
    </row>
    <row r="2905" spans="1:7" x14ac:dyDescent="0.2">
      <c r="A2905">
        <f t="shared" si="45"/>
        <v>133088</v>
      </c>
      <c r="B2905">
        <v>133</v>
      </c>
      <c r="C2905">
        <v>88</v>
      </c>
      <c r="D2905">
        <v>221</v>
      </c>
      <c r="E2905" t="s">
        <v>86</v>
      </c>
      <c r="F2905">
        <v>12963.811</v>
      </c>
      <c r="G2905">
        <v>4.63</v>
      </c>
    </row>
    <row r="2906" spans="1:7" x14ac:dyDescent="0.2">
      <c r="A2906">
        <f t="shared" si="45"/>
        <v>133089</v>
      </c>
      <c r="B2906">
        <v>133</v>
      </c>
      <c r="C2906">
        <v>89</v>
      </c>
      <c r="D2906">
        <v>222</v>
      </c>
      <c r="E2906" t="s">
        <v>87</v>
      </c>
      <c r="F2906">
        <v>16621.473999999998</v>
      </c>
      <c r="G2906">
        <v>5.1740000000000004</v>
      </c>
    </row>
    <row r="2907" spans="1:7" x14ac:dyDescent="0.2">
      <c r="A2907">
        <f t="shared" si="45"/>
        <v>133090</v>
      </c>
      <c r="B2907">
        <v>133</v>
      </c>
      <c r="C2907">
        <v>90</v>
      </c>
      <c r="D2907">
        <v>223</v>
      </c>
      <c r="E2907" t="s">
        <v>88</v>
      </c>
      <c r="F2907">
        <v>19385.830999999998</v>
      </c>
      <c r="G2907">
        <v>9.2119999999999997</v>
      </c>
    </row>
    <row r="2908" spans="1:7" x14ac:dyDescent="0.2">
      <c r="A2908">
        <f t="shared" si="45"/>
        <v>133091</v>
      </c>
      <c r="B2908">
        <v>133</v>
      </c>
      <c r="C2908">
        <v>91</v>
      </c>
      <c r="D2908">
        <v>224</v>
      </c>
      <c r="E2908" t="s">
        <v>89</v>
      </c>
      <c r="F2908">
        <v>23862.277999999998</v>
      </c>
      <c r="G2908">
        <v>7.5869999999999997</v>
      </c>
    </row>
    <row r="2909" spans="1:7" x14ac:dyDescent="0.2">
      <c r="A2909">
        <f t="shared" si="45"/>
        <v>133092</v>
      </c>
      <c r="B2909">
        <v>133</v>
      </c>
      <c r="C2909">
        <v>92</v>
      </c>
      <c r="D2909">
        <v>225</v>
      </c>
      <c r="E2909" t="s">
        <v>90</v>
      </c>
      <c r="F2909">
        <v>27379.920999999998</v>
      </c>
      <c r="G2909">
        <v>10.909000000000001</v>
      </c>
    </row>
    <row r="2910" spans="1:7" x14ac:dyDescent="0.2">
      <c r="A2910">
        <f t="shared" si="45"/>
        <v>133093</v>
      </c>
      <c r="B2910">
        <v>133</v>
      </c>
      <c r="C2910">
        <v>93</v>
      </c>
      <c r="D2910">
        <v>226</v>
      </c>
      <c r="E2910" t="s">
        <v>272</v>
      </c>
      <c r="F2910" t="s">
        <v>1259</v>
      </c>
      <c r="G2910" t="s">
        <v>1260</v>
      </c>
    </row>
    <row r="2911" spans="1:7" x14ac:dyDescent="0.2">
      <c r="A2911">
        <f t="shared" si="45"/>
        <v>133094</v>
      </c>
      <c r="B2911">
        <v>133</v>
      </c>
      <c r="C2911">
        <v>94</v>
      </c>
      <c r="D2911">
        <v>227</v>
      </c>
      <c r="E2911" t="s">
        <v>273</v>
      </c>
      <c r="F2911" t="s">
        <v>1263</v>
      </c>
      <c r="G2911" t="s">
        <v>795</v>
      </c>
    </row>
    <row r="2912" spans="1:7" x14ac:dyDescent="0.2">
      <c r="A2912">
        <f t="shared" si="45"/>
        <v>134080</v>
      </c>
      <c r="B2912">
        <v>134</v>
      </c>
      <c r="C2912">
        <v>80</v>
      </c>
      <c r="D2912">
        <v>214</v>
      </c>
      <c r="E2912" t="s">
        <v>78</v>
      </c>
      <c r="F2912" t="s">
        <v>1223</v>
      </c>
      <c r="G2912" t="s">
        <v>199</v>
      </c>
    </row>
    <row r="2913" spans="1:7" x14ac:dyDescent="0.2">
      <c r="A2913">
        <f t="shared" si="45"/>
        <v>134081</v>
      </c>
      <c r="B2913">
        <v>134</v>
      </c>
      <c r="C2913">
        <v>81</v>
      </c>
      <c r="D2913">
        <v>215</v>
      </c>
      <c r="E2913" t="s">
        <v>79</v>
      </c>
      <c r="F2913" t="s">
        <v>1226</v>
      </c>
      <c r="G2913" t="s">
        <v>202</v>
      </c>
    </row>
    <row r="2914" spans="1:7" x14ac:dyDescent="0.2">
      <c r="A2914">
        <f t="shared" si="45"/>
        <v>134082</v>
      </c>
      <c r="B2914">
        <v>134</v>
      </c>
      <c r="C2914">
        <v>82</v>
      </c>
      <c r="D2914">
        <v>216</v>
      </c>
      <c r="E2914" t="s">
        <v>80</v>
      </c>
      <c r="F2914" t="s">
        <v>1229</v>
      </c>
      <c r="G2914" t="s">
        <v>206</v>
      </c>
    </row>
    <row r="2915" spans="1:7" x14ac:dyDescent="0.2">
      <c r="A2915">
        <f t="shared" si="45"/>
        <v>134083</v>
      </c>
      <c r="B2915">
        <v>134</v>
      </c>
      <c r="C2915">
        <v>83</v>
      </c>
      <c r="D2915">
        <v>217</v>
      </c>
      <c r="E2915" t="s">
        <v>81</v>
      </c>
      <c r="F2915">
        <v>8729.9619999999995</v>
      </c>
      <c r="G2915">
        <v>17.698</v>
      </c>
    </row>
    <row r="2916" spans="1:7" x14ac:dyDescent="0.2">
      <c r="A2916">
        <f t="shared" si="45"/>
        <v>134084</v>
      </c>
      <c r="B2916">
        <v>134</v>
      </c>
      <c r="C2916">
        <v>84</v>
      </c>
      <c r="D2916">
        <v>218</v>
      </c>
      <c r="E2916" t="s">
        <v>82</v>
      </c>
      <c r="F2916">
        <v>8356.9009999999998</v>
      </c>
      <c r="G2916">
        <v>1.9730000000000001</v>
      </c>
    </row>
    <row r="2917" spans="1:7" x14ac:dyDescent="0.2">
      <c r="A2917">
        <f t="shared" si="45"/>
        <v>134085</v>
      </c>
      <c r="B2917">
        <v>134</v>
      </c>
      <c r="C2917">
        <v>85</v>
      </c>
      <c r="D2917">
        <v>219</v>
      </c>
      <c r="E2917" t="s">
        <v>83</v>
      </c>
      <c r="F2917">
        <v>10396.075999999999</v>
      </c>
      <c r="G2917">
        <v>3.2370000000000001</v>
      </c>
    </row>
    <row r="2918" spans="1:7" x14ac:dyDescent="0.2">
      <c r="A2918">
        <f t="shared" si="45"/>
        <v>134086</v>
      </c>
      <c r="B2918">
        <v>134</v>
      </c>
      <c r="C2918">
        <v>86</v>
      </c>
      <c r="D2918">
        <v>220</v>
      </c>
      <c r="E2918" t="s">
        <v>84</v>
      </c>
      <c r="F2918">
        <v>10612.076999999999</v>
      </c>
      <c r="G2918">
        <v>1.8149999999999999</v>
      </c>
    </row>
    <row r="2919" spans="1:7" x14ac:dyDescent="0.2">
      <c r="A2919">
        <f t="shared" si="45"/>
        <v>134087</v>
      </c>
      <c r="B2919">
        <v>134</v>
      </c>
      <c r="C2919">
        <v>87</v>
      </c>
      <c r="D2919">
        <v>221</v>
      </c>
      <c r="E2919" t="s">
        <v>85</v>
      </c>
      <c r="F2919">
        <v>13277.29</v>
      </c>
      <c r="G2919">
        <v>4.8860000000000001</v>
      </c>
    </row>
    <row r="2920" spans="1:7" x14ac:dyDescent="0.2">
      <c r="A2920">
        <f t="shared" si="45"/>
        <v>134088</v>
      </c>
      <c r="B2920">
        <v>134</v>
      </c>
      <c r="C2920">
        <v>88</v>
      </c>
      <c r="D2920">
        <v>222</v>
      </c>
      <c r="E2920" t="s">
        <v>86</v>
      </c>
      <c r="F2920">
        <v>14320.188</v>
      </c>
      <c r="G2920">
        <v>4.4539999999999997</v>
      </c>
    </row>
    <row r="2921" spans="1:7" x14ac:dyDescent="0.2">
      <c r="A2921">
        <f t="shared" si="45"/>
        <v>134089</v>
      </c>
      <c r="B2921">
        <v>134</v>
      </c>
      <c r="C2921">
        <v>89</v>
      </c>
      <c r="D2921">
        <v>223</v>
      </c>
      <c r="E2921" t="s">
        <v>87</v>
      </c>
      <c r="F2921">
        <v>17825.882000000001</v>
      </c>
      <c r="G2921">
        <v>7.11</v>
      </c>
    </row>
    <row r="2922" spans="1:7" x14ac:dyDescent="0.2">
      <c r="A2922">
        <f t="shared" si="45"/>
        <v>134090</v>
      </c>
      <c r="B2922">
        <v>134</v>
      </c>
      <c r="C2922">
        <v>90</v>
      </c>
      <c r="D2922">
        <v>224</v>
      </c>
      <c r="E2922" t="s">
        <v>88</v>
      </c>
      <c r="F2922">
        <v>19993.734</v>
      </c>
      <c r="G2922">
        <v>10.119999999999999</v>
      </c>
    </row>
    <row r="2923" spans="1:7" x14ac:dyDescent="0.2">
      <c r="A2923">
        <f t="shared" si="45"/>
        <v>134091</v>
      </c>
      <c r="B2923">
        <v>134</v>
      </c>
      <c r="C2923">
        <v>91</v>
      </c>
      <c r="D2923">
        <v>225</v>
      </c>
      <c r="E2923" t="s">
        <v>89</v>
      </c>
      <c r="F2923">
        <v>24340.724999999999</v>
      </c>
      <c r="G2923">
        <v>71.012</v>
      </c>
    </row>
    <row r="2924" spans="1:7" x14ac:dyDescent="0.2">
      <c r="A2924">
        <f t="shared" si="45"/>
        <v>134092</v>
      </c>
      <c r="B2924">
        <v>134</v>
      </c>
      <c r="C2924">
        <v>92</v>
      </c>
      <c r="D2924">
        <v>226</v>
      </c>
      <c r="E2924" t="s">
        <v>90</v>
      </c>
      <c r="F2924">
        <v>27328.868999999999</v>
      </c>
      <c r="G2924">
        <v>12.999000000000001</v>
      </c>
    </row>
    <row r="2925" spans="1:7" x14ac:dyDescent="0.2">
      <c r="A2925">
        <f t="shared" si="45"/>
        <v>134093</v>
      </c>
      <c r="B2925">
        <v>134</v>
      </c>
      <c r="C2925">
        <v>93</v>
      </c>
      <c r="D2925">
        <v>227</v>
      </c>
      <c r="E2925" t="s">
        <v>272</v>
      </c>
      <c r="F2925">
        <v>32562.080000000002</v>
      </c>
      <c r="G2925">
        <v>72.506</v>
      </c>
    </row>
    <row r="2926" spans="1:7" x14ac:dyDescent="0.2">
      <c r="A2926">
        <f t="shared" si="45"/>
        <v>134094</v>
      </c>
      <c r="B2926">
        <v>134</v>
      </c>
      <c r="C2926">
        <v>94</v>
      </c>
      <c r="D2926">
        <v>228</v>
      </c>
      <c r="E2926" t="s">
        <v>273</v>
      </c>
      <c r="F2926">
        <v>36087.370000000003</v>
      </c>
      <c r="G2926">
        <v>29.143000000000001</v>
      </c>
    </row>
    <row r="2927" spans="1:7" x14ac:dyDescent="0.2">
      <c r="A2927">
        <f t="shared" si="45"/>
        <v>134095</v>
      </c>
      <c r="B2927">
        <v>134</v>
      </c>
      <c r="C2927">
        <v>95</v>
      </c>
      <c r="D2927">
        <v>229</v>
      </c>
      <c r="E2927" t="s">
        <v>274</v>
      </c>
      <c r="F2927">
        <v>42150.02</v>
      </c>
      <c r="G2927">
        <v>87.347999999999999</v>
      </c>
    </row>
    <row r="2928" spans="1:7" x14ac:dyDescent="0.2">
      <c r="A2928">
        <f t="shared" si="45"/>
        <v>135080</v>
      </c>
      <c r="B2928">
        <v>135</v>
      </c>
      <c r="C2928">
        <v>80</v>
      </c>
      <c r="D2928">
        <v>215</v>
      </c>
      <c r="E2928" t="s">
        <v>78</v>
      </c>
      <c r="F2928" t="s">
        <v>1225</v>
      </c>
      <c r="G2928" t="s">
        <v>199</v>
      </c>
    </row>
    <row r="2929" spans="1:7" x14ac:dyDescent="0.2">
      <c r="A2929">
        <f t="shared" si="45"/>
        <v>135081</v>
      </c>
      <c r="B2929">
        <v>135</v>
      </c>
      <c r="C2929">
        <v>81</v>
      </c>
      <c r="D2929">
        <v>216</v>
      </c>
      <c r="E2929" t="s">
        <v>79</v>
      </c>
      <c r="F2929" t="s">
        <v>1228</v>
      </c>
      <c r="G2929" t="s">
        <v>202</v>
      </c>
    </row>
    <row r="2930" spans="1:7" x14ac:dyDescent="0.2">
      <c r="A2930">
        <f t="shared" si="45"/>
        <v>135082</v>
      </c>
      <c r="B2930">
        <v>135</v>
      </c>
      <c r="C2930">
        <v>82</v>
      </c>
      <c r="D2930">
        <v>217</v>
      </c>
      <c r="E2930" t="s">
        <v>80</v>
      </c>
      <c r="F2930" t="s">
        <v>1231</v>
      </c>
      <c r="G2930" t="s">
        <v>202</v>
      </c>
    </row>
    <row r="2931" spans="1:7" x14ac:dyDescent="0.2">
      <c r="A2931">
        <f t="shared" si="45"/>
        <v>135083</v>
      </c>
      <c r="B2931">
        <v>135</v>
      </c>
      <c r="C2931">
        <v>83</v>
      </c>
      <c r="D2931">
        <v>218</v>
      </c>
      <c r="E2931" t="s">
        <v>81</v>
      </c>
      <c r="F2931">
        <v>13216.037</v>
      </c>
      <c r="G2931">
        <v>27.013000000000002</v>
      </c>
    </row>
    <row r="2932" spans="1:7" x14ac:dyDescent="0.2">
      <c r="A2932">
        <f t="shared" si="45"/>
        <v>135084</v>
      </c>
      <c r="B2932">
        <v>135</v>
      </c>
      <c r="C2932">
        <v>84</v>
      </c>
      <c r="D2932">
        <v>219</v>
      </c>
      <c r="E2932" t="s">
        <v>82</v>
      </c>
      <c r="F2932">
        <v>12681.359</v>
      </c>
      <c r="G2932">
        <v>15.835000000000001</v>
      </c>
    </row>
    <row r="2933" spans="1:7" x14ac:dyDescent="0.2">
      <c r="A2933">
        <f t="shared" si="45"/>
        <v>135085</v>
      </c>
      <c r="B2933">
        <v>135</v>
      </c>
      <c r="C2933">
        <v>85</v>
      </c>
      <c r="D2933">
        <v>220</v>
      </c>
      <c r="E2933" t="s">
        <v>83</v>
      </c>
      <c r="F2933">
        <v>14375.746999999999</v>
      </c>
      <c r="G2933">
        <v>13.972</v>
      </c>
    </row>
    <row r="2934" spans="1:7" x14ac:dyDescent="0.2">
      <c r="A2934">
        <f t="shared" si="45"/>
        <v>135086</v>
      </c>
      <c r="B2934">
        <v>135</v>
      </c>
      <c r="C2934">
        <v>86</v>
      </c>
      <c r="D2934">
        <v>221</v>
      </c>
      <c r="E2934" t="s">
        <v>84</v>
      </c>
      <c r="F2934">
        <v>14471.42</v>
      </c>
      <c r="G2934">
        <v>5.7140000000000004</v>
      </c>
    </row>
    <row r="2935" spans="1:7" x14ac:dyDescent="0.2">
      <c r="A2935">
        <f t="shared" si="45"/>
        <v>135087</v>
      </c>
      <c r="B2935">
        <v>135</v>
      </c>
      <c r="C2935">
        <v>87</v>
      </c>
      <c r="D2935">
        <v>222</v>
      </c>
      <c r="E2935" t="s">
        <v>85</v>
      </c>
      <c r="F2935">
        <v>16378.105</v>
      </c>
      <c r="G2935">
        <v>7.452</v>
      </c>
    </row>
    <row r="2936" spans="1:7" x14ac:dyDescent="0.2">
      <c r="A2936">
        <f t="shared" si="45"/>
        <v>135088</v>
      </c>
      <c r="B2936">
        <v>135</v>
      </c>
      <c r="C2936">
        <v>88</v>
      </c>
      <c r="D2936">
        <v>223</v>
      </c>
      <c r="E2936" t="s">
        <v>86</v>
      </c>
      <c r="F2936">
        <v>17233.309000000001</v>
      </c>
      <c r="G2936">
        <v>2.09</v>
      </c>
    </row>
    <row r="2937" spans="1:7" x14ac:dyDescent="0.2">
      <c r="A2937">
        <f t="shared" si="45"/>
        <v>135089</v>
      </c>
      <c r="B2937">
        <v>135</v>
      </c>
      <c r="C2937">
        <v>89</v>
      </c>
      <c r="D2937">
        <v>224</v>
      </c>
      <c r="E2937" t="s">
        <v>87</v>
      </c>
      <c r="F2937">
        <v>20234.134999999998</v>
      </c>
      <c r="G2937">
        <v>4.0890000000000004</v>
      </c>
    </row>
    <row r="2938" spans="1:7" x14ac:dyDescent="0.2">
      <c r="A2938">
        <f t="shared" si="45"/>
        <v>135090</v>
      </c>
      <c r="B2938">
        <v>135</v>
      </c>
      <c r="C2938">
        <v>90</v>
      </c>
      <c r="D2938">
        <v>225</v>
      </c>
      <c r="E2938" t="s">
        <v>88</v>
      </c>
      <c r="F2938">
        <v>22310.127</v>
      </c>
      <c r="G2938">
        <v>5.093</v>
      </c>
    </row>
    <row r="2939" spans="1:7" x14ac:dyDescent="0.2">
      <c r="A2939">
        <f t="shared" si="45"/>
        <v>135091</v>
      </c>
      <c r="B2939">
        <v>135</v>
      </c>
      <c r="C2939">
        <v>91</v>
      </c>
      <c r="D2939">
        <v>226</v>
      </c>
      <c r="E2939" t="s">
        <v>89</v>
      </c>
      <c r="F2939">
        <v>26033.276000000002</v>
      </c>
      <c r="G2939">
        <v>11.42</v>
      </c>
    </row>
    <row r="2940" spans="1:7" x14ac:dyDescent="0.2">
      <c r="A2940">
        <f t="shared" si="45"/>
        <v>135092</v>
      </c>
      <c r="B2940">
        <v>135</v>
      </c>
      <c r="C2940">
        <v>92</v>
      </c>
      <c r="D2940">
        <v>227</v>
      </c>
      <c r="E2940" t="s">
        <v>90</v>
      </c>
      <c r="F2940">
        <v>29045.462</v>
      </c>
      <c r="G2940">
        <v>9.7050000000000001</v>
      </c>
    </row>
    <row r="2941" spans="1:7" x14ac:dyDescent="0.2">
      <c r="A2941">
        <f t="shared" si="45"/>
        <v>135093</v>
      </c>
      <c r="B2941">
        <v>135</v>
      </c>
      <c r="C2941">
        <v>93</v>
      </c>
      <c r="D2941">
        <v>228</v>
      </c>
      <c r="E2941" t="s">
        <v>272</v>
      </c>
      <c r="F2941">
        <v>33595.694000000003</v>
      </c>
      <c r="G2941">
        <v>50.572000000000003</v>
      </c>
    </row>
    <row r="2942" spans="1:7" x14ac:dyDescent="0.2">
      <c r="A2942">
        <f t="shared" si="45"/>
        <v>135094</v>
      </c>
      <c r="B2942">
        <v>135</v>
      </c>
      <c r="C2942">
        <v>94</v>
      </c>
      <c r="D2942">
        <v>229</v>
      </c>
      <c r="E2942" t="s">
        <v>273</v>
      </c>
      <c r="F2942">
        <v>37395.589999999997</v>
      </c>
      <c r="G2942">
        <v>51.176000000000002</v>
      </c>
    </row>
    <row r="2943" spans="1:7" x14ac:dyDescent="0.2">
      <c r="A2943">
        <f t="shared" si="45"/>
        <v>135095</v>
      </c>
      <c r="B2943">
        <v>135</v>
      </c>
      <c r="C2943">
        <v>95</v>
      </c>
      <c r="D2943">
        <v>230</v>
      </c>
      <c r="E2943" t="s">
        <v>274</v>
      </c>
      <c r="F2943" t="s">
        <v>1267</v>
      </c>
      <c r="G2943" t="s">
        <v>1268</v>
      </c>
    </row>
    <row r="2944" spans="1:7" x14ac:dyDescent="0.2">
      <c r="A2944">
        <f t="shared" si="45"/>
        <v>135096</v>
      </c>
      <c r="B2944">
        <v>135</v>
      </c>
      <c r="C2944">
        <v>96</v>
      </c>
      <c r="D2944">
        <v>231</v>
      </c>
      <c r="E2944" t="s">
        <v>275</v>
      </c>
      <c r="F2944" t="s">
        <v>1271</v>
      </c>
      <c r="G2944" t="s">
        <v>235</v>
      </c>
    </row>
    <row r="2945" spans="1:7" x14ac:dyDescent="0.2">
      <c r="A2945">
        <f t="shared" ref="A2945:A3008" si="46">1000*B2945+C2945</f>
        <v>136080</v>
      </c>
      <c r="B2945">
        <v>136</v>
      </c>
      <c r="C2945">
        <v>80</v>
      </c>
      <c r="D2945">
        <v>216</v>
      </c>
      <c r="E2945" t="s">
        <v>78</v>
      </c>
      <c r="F2945" t="s">
        <v>1227</v>
      </c>
      <c r="G2945" t="s">
        <v>199</v>
      </c>
    </row>
    <row r="2946" spans="1:7" x14ac:dyDescent="0.2">
      <c r="A2946">
        <f t="shared" si="46"/>
        <v>136081</v>
      </c>
      <c r="B2946">
        <v>136</v>
      </c>
      <c r="C2946">
        <v>81</v>
      </c>
      <c r="D2946">
        <v>217</v>
      </c>
      <c r="E2946" t="s">
        <v>79</v>
      </c>
      <c r="F2946" t="s">
        <v>1230</v>
      </c>
      <c r="G2946" t="s">
        <v>199</v>
      </c>
    </row>
    <row r="2947" spans="1:7" x14ac:dyDescent="0.2">
      <c r="A2947">
        <f t="shared" si="46"/>
        <v>136082</v>
      </c>
      <c r="B2947">
        <v>136</v>
      </c>
      <c r="C2947">
        <v>82</v>
      </c>
      <c r="D2947">
        <v>218</v>
      </c>
      <c r="E2947" t="s">
        <v>80</v>
      </c>
      <c r="F2947" t="s">
        <v>1234</v>
      </c>
      <c r="G2947" t="s">
        <v>202</v>
      </c>
    </row>
    <row r="2948" spans="1:7" x14ac:dyDescent="0.2">
      <c r="A2948">
        <f t="shared" si="46"/>
        <v>136083</v>
      </c>
      <c r="B2948">
        <v>136</v>
      </c>
      <c r="C2948">
        <v>83</v>
      </c>
      <c r="D2948">
        <v>219</v>
      </c>
      <c r="E2948" t="s">
        <v>81</v>
      </c>
      <c r="F2948" t="s">
        <v>1236</v>
      </c>
      <c r="G2948" t="s">
        <v>206</v>
      </c>
    </row>
    <row r="2949" spans="1:7" x14ac:dyDescent="0.2">
      <c r="A2949">
        <f t="shared" si="46"/>
        <v>136084</v>
      </c>
      <c r="B2949">
        <v>136</v>
      </c>
      <c r="C2949">
        <v>84</v>
      </c>
      <c r="D2949">
        <v>220</v>
      </c>
      <c r="E2949" t="s">
        <v>82</v>
      </c>
      <c r="F2949">
        <v>15263.460999999999</v>
      </c>
      <c r="G2949">
        <v>17.698</v>
      </c>
    </row>
    <row r="2950" spans="1:7" x14ac:dyDescent="0.2">
      <c r="A2950">
        <f t="shared" si="46"/>
        <v>136085</v>
      </c>
      <c r="B2950">
        <v>136</v>
      </c>
      <c r="C2950">
        <v>85</v>
      </c>
      <c r="D2950">
        <v>221</v>
      </c>
      <c r="E2950" t="s">
        <v>83</v>
      </c>
      <c r="F2950">
        <v>16782.726999999999</v>
      </c>
      <c r="G2950">
        <v>13.972</v>
      </c>
    </row>
    <row r="2951" spans="1:7" x14ac:dyDescent="0.2">
      <c r="A2951">
        <f t="shared" si="46"/>
        <v>136086</v>
      </c>
      <c r="B2951">
        <v>136</v>
      </c>
      <c r="C2951">
        <v>86</v>
      </c>
      <c r="D2951">
        <v>222</v>
      </c>
      <c r="E2951" t="s">
        <v>84</v>
      </c>
      <c r="F2951">
        <v>16372.206</v>
      </c>
      <c r="G2951">
        <v>1.95</v>
      </c>
    </row>
    <row r="2952" spans="1:7" x14ac:dyDescent="0.2">
      <c r="A2952">
        <f t="shared" si="46"/>
        <v>136087</v>
      </c>
      <c r="B2952">
        <v>136</v>
      </c>
      <c r="C2952">
        <v>87</v>
      </c>
      <c r="D2952">
        <v>223</v>
      </c>
      <c r="E2952" t="s">
        <v>85</v>
      </c>
      <c r="F2952">
        <v>18382.394</v>
      </c>
      <c r="G2952">
        <v>1.9319999999999999</v>
      </c>
    </row>
    <row r="2953" spans="1:7" x14ac:dyDescent="0.2">
      <c r="A2953">
        <f t="shared" si="46"/>
        <v>136088</v>
      </c>
      <c r="B2953">
        <v>136</v>
      </c>
      <c r="C2953">
        <v>88</v>
      </c>
      <c r="D2953">
        <v>224</v>
      </c>
      <c r="E2953" t="s">
        <v>86</v>
      </c>
      <c r="F2953">
        <v>18825.917000000001</v>
      </c>
      <c r="G2953">
        <v>1.8129999999999999</v>
      </c>
    </row>
    <row r="2954" spans="1:7" x14ac:dyDescent="0.2">
      <c r="A2954">
        <f t="shared" si="46"/>
        <v>136089</v>
      </c>
      <c r="B2954">
        <v>136</v>
      </c>
      <c r="C2954">
        <v>89</v>
      </c>
      <c r="D2954">
        <v>225</v>
      </c>
      <c r="E2954" t="s">
        <v>87</v>
      </c>
      <c r="F2954">
        <v>21637.346000000001</v>
      </c>
      <c r="G2954">
        <v>4.758</v>
      </c>
    </row>
    <row r="2955" spans="1:7" x14ac:dyDescent="0.2">
      <c r="A2955">
        <f t="shared" si="46"/>
        <v>136090</v>
      </c>
      <c r="B2955">
        <v>136</v>
      </c>
      <c r="C2955">
        <v>90</v>
      </c>
      <c r="D2955">
        <v>226</v>
      </c>
      <c r="E2955" t="s">
        <v>88</v>
      </c>
      <c r="F2955">
        <v>23197.633999999998</v>
      </c>
      <c r="G2955">
        <v>4.4809999999999999</v>
      </c>
    </row>
    <row r="2956" spans="1:7" x14ac:dyDescent="0.2">
      <c r="A2956">
        <f t="shared" si="46"/>
        <v>136091</v>
      </c>
      <c r="B2956">
        <v>136</v>
      </c>
      <c r="C2956">
        <v>91</v>
      </c>
      <c r="D2956">
        <v>227</v>
      </c>
      <c r="E2956" t="s">
        <v>89</v>
      </c>
      <c r="F2956">
        <v>26831.198</v>
      </c>
      <c r="G2956">
        <v>7.42</v>
      </c>
    </row>
    <row r="2957" spans="1:7" x14ac:dyDescent="0.2">
      <c r="A2957">
        <f t="shared" si="46"/>
        <v>136092</v>
      </c>
      <c r="B2957">
        <v>136</v>
      </c>
      <c r="C2957">
        <v>92</v>
      </c>
      <c r="D2957">
        <v>228</v>
      </c>
      <c r="E2957" t="s">
        <v>90</v>
      </c>
      <c r="F2957">
        <v>29222.225999999999</v>
      </c>
      <c r="G2957">
        <v>14.353999999999999</v>
      </c>
    </row>
    <row r="2958" spans="1:7" x14ac:dyDescent="0.2">
      <c r="A2958">
        <f t="shared" si="46"/>
        <v>136093</v>
      </c>
      <c r="B2958">
        <v>136</v>
      </c>
      <c r="C2958">
        <v>93</v>
      </c>
      <c r="D2958">
        <v>229</v>
      </c>
      <c r="E2958" t="s">
        <v>272</v>
      </c>
      <c r="F2958">
        <v>33779.675000000003</v>
      </c>
      <c r="G2958">
        <v>86.847999999999999</v>
      </c>
    </row>
    <row r="2959" spans="1:7" x14ac:dyDescent="0.2">
      <c r="A2959">
        <f t="shared" si="46"/>
        <v>136094</v>
      </c>
      <c r="B2959">
        <v>136</v>
      </c>
      <c r="C2959">
        <v>94</v>
      </c>
      <c r="D2959">
        <v>230</v>
      </c>
      <c r="E2959" t="s">
        <v>273</v>
      </c>
      <c r="F2959">
        <v>36934.392</v>
      </c>
      <c r="G2959">
        <v>14.824</v>
      </c>
    </row>
    <row r="2960" spans="1:7" x14ac:dyDescent="0.2">
      <c r="A2960">
        <f t="shared" si="46"/>
        <v>136095</v>
      </c>
      <c r="B2960">
        <v>136</v>
      </c>
      <c r="C2960">
        <v>95</v>
      </c>
      <c r="D2960">
        <v>231</v>
      </c>
      <c r="E2960" t="s">
        <v>274</v>
      </c>
      <c r="F2960" t="s">
        <v>1270</v>
      </c>
      <c r="G2960" t="s">
        <v>235</v>
      </c>
    </row>
    <row r="2961" spans="1:7" x14ac:dyDescent="0.2">
      <c r="A2961">
        <f t="shared" si="46"/>
        <v>136096</v>
      </c>
      <c r="B2961">
        <v>136</v>
      </c>
      <c r="C2961">
        <v>96</v>
      </c>
      <c r="D2961">
        <v>232</v>
      </c>
      <c r="E2961" t="s">
        <v>275</v>
      </c>
      <c r="F2961" t="s">
        <v>1274</v>
      </c>
      <c r="G2961" t="s">
        <v>230</v>
      </c>
    </row>
    <row r="2962" spans="1:7" x14ac:dyDescent="0.2">
      <c r="A2962">
        <f t="shared" si="46"/>
        <v>136097</v>
      </c>
      <c r="B2962">
        <v>136</v>
      </c>
      <c r="C2962">
        <v>97</v>
      </c>
      <c r="D2962">
        <v>233</v>
      </c>
      <c r="E2962" t="s">
        <v>277</v>
      </c>
      <c r="F2962" t="s">
        <v>1276</v>
      </c>
      <c r="G2962" t="s">
        <v>1277</v>
      </c>
    </row>
    <row r="2963" spans="1:7" x14ac:dyDescent="0.2">
      <c r="A2963">
        <f t="shared" si="46"/>
        <v>137081</v>
      </c>
      <c r="B2963">
        <v>137</v>
      </c>
      <c r="C2963">
        <v>81</v>
      </c>
      <c r="D2963">
        <v>218</v>
      </c>
      <c r="E2963" t="s">
        <v>79</v>
      </c>
      <c r="F2963" t="s">
        <v>1233</v>
      </c>
      <c r="G2963" t="s">
        <v>197</v>
      </c>
    </row>
    <row r="2964" spans="1:7" x14ac:dyDescent="0.2">
      <c r="A2964">
        <f t="shared" si="46"/>
        <v>137082</v>
      </c>
      <c r="B2964">
        <v>137</v>
      </c>
      <c r="C2964">
        <v>82</v>
      </c>
      <c r="D2964">
        <v>219</v>
      </c>
      <c r="E2964" t="s">
        <v>80</v>
      </c>
      <c r="F2964" t="s">
        <v>1235</v>
      </c>
      <c r="G2964" t="s">
        <v>199</v>
      </c>
    </row>
    <row r="2965" spans="1:7" x14ac:dyDescent="0.2">
      <c r="A2965">
        <f t="shared" si="46"/>
        <v>137083</v>
      </c>
      <c r="B2965">
        <v>137</v>
      </c>
      <c r="C2965">
        <v>83</v>
      </c>
      <c r="D2965">
        <v>220</v>
      </c>
      <c r="E2965" t="s">
        <v>81</v>
      </c>
      <c r="F2965" t="s">
        <v>1238</v>
      </c>
      <c r="G2965" t="s">
        <v>202</v>
      </c>
    </row>
    <row r="2966" spans="1:7" x14ac:dyDescent="0.2">
      <c r="A2966">
        <f t="shared" si="46"/>
        <v>137084</v>
      </c>
      <c r="B2966">
        <v>137</v>
      </c>
      <c r="C2966">
        <v>84</v>
      </c>
      <c r="D2966">
        <v>221</v>
      </c>
      <c r="E2966" t="s">
        <v>82</v>
      </c>
      <c r="F2966">
        <v>19773.755000000001</v>
      </c>
      <c r="G2966">
        <v>19.561</v>
      </c>
    </row>
    <row r="2967" spans="1:7" x14ac:dyDescent="0.2">
      <c r="A2967">
        <f t="shared" si="46"/>
        <v>137085</v>
      </c>
      <c r="B2967">
        <v>137</v>
      </c>
      <c r="C2967">
        <v>85</v>
      </c>
      <c r="D2967">
        <v>222</v>
      </c>
      <c r="E2967" t="s">
        <v>83</v>
      </c>
      <c r="F2967">
        <v>20953.026000000002</v>
      </c>
      <c r="G2967">
        <v>15.835000000000001</v>
      </c>
    </row>
    <row r="2968" spans="1:7" x14ac:dyDescent="0.2">
      <c r="A2968">
        <f t="shared" si="46"/>
        <v>137086</v>
      </c>
      <c r="B2968">
        <v>137</v>
      </c>
      <c r="C2968">
        <v>86</v>
      </c>
      <c r="D2968">
        <v>223</v>
      </c>
      <c r="E2968" t="s">
        <v>84</v>
      </c>
      <c r="F2968">
        <v>20389.739000000001</v>
      </c>
      <c r="G2968">
        <v>7.8220000000000001</v>
      </c>
    </row>
    <row r="2969" spans="1:7" x14ac:dyDescent="0.2">
      <c r="A2969">
        <f t="shared" si="46"/>
        <v>137087</v>
      </c>
      <c r="B2969">
        <v>137</v>
      </c>
      <c r="C2969">
        <v>87</v>
      </c>
      <c r="D2969">
        <v>224</v>
      </c>
      <c r="E2969" t="s">
        <v>85</v>
      </c>
      <c r="F2969">
        <v>21748.616000000002</v>
      </c>
      <c r="G2969">
        <v>11.178000000000001</v>
      </c>
    </row>
    <row r="2970" spans="1:7" x14ac:dyDescent="0.2">
      <c r="A2970">
        <f t="shared" si="46"/>
        <v>137088</v>
      </c>
      <c r="B2970">
        <v>137</v>
      </c>
      <c r="C2970">
        <v>88</v>
      </c>
      <c r="D2970">
        <v>225</v>
      </c>
      <c r="E2970" t="s">
        <v>86</v>
      </c>
      <c r="F2970">
        <v>21993.109</v>
      </c>
      <c r="G2970">
        <v>2.5960000000000001</v>
      </c>
    </row>
    <row r="2971" spans="1:7" x14ac:dyDescent="0.2">
      <c r="A2971">
        <f t="shared" si="46"/>
        <v>137089</v>
      </c>
      <c r="B2971">
        <v>137</v>
      </c>
      <c r="C2971">
        <v>89</v>
      </c>
      <c r="D2971">
        <v>226</v>
      </c>
      <c r="E2971" t="s">
        <v>87</v>
      </c>
      <c r="F2971">
        <v>24309.263999999999</v>
      </c>
      <c r="G2971">
        <v>3.1</v>
      </c>
    </row>
    <row r="2972" spans="1:7" x14ac:dyDescent="0.2">
      <c r="A2972">
        <f t="shared" si="46"/>
        <v>137090</v>
      </c>
      <c r="B2972">
        <v>137</v>
      </c>
      <c r="C2972">
        <v>90</v>
      </c>
      <c r="D2972">
        <v>227</v>
      </c>
      <c r="E2972" t="s">
        <v>88</v>
      </c>
      <c r="F2972">
        <v>25804.823</v>
      </c>
      <c r="G2972">
        <v>2.0880000000000001</v>
      </c>
    </row>
    <row r="2973" spans="1:7" x14ac:dyDescent="0.2">
      <c r="A2973">
        <f t="shared" si="46"/>
        <v>137091</v>
      </c>
      <c r="B2973">
        <v>137</v>
      </c>
      <c r="C2973">
        <v>91</v>
      </c>
      <c r="D2973">
        <v>228</v>
      </c>
      <c r="E2973" t="s">
        <v>89</v>
      </c>
      <c r="F2973">
        <v>28923.585999999999</v>
      </c>
      <c r="G2973">
        <v>4.34</v>
      </c>
    </row>
    <row r="2974" spans="1:7" x14ac:dyDescent="0.2">
      <c r="A2974">
        <f t="shared" si="46"/>
        <v>137092</v>
      </c>
      <c r="B2974">
        <v>137</v>
      </c>
      <c r="C2974">
        <v>92</v>
      </c>
      <c r="D2974">
        <v>229</v>
      </c>
      <c r="E2974" t="s">
        <v>90</v>
      </c>
      <c r="F2974">
        <v>31210.554</v>
      </c>
      <c r="G2974">
        <v>5.9379999999999997</v>
      </c>
    </row>
    <row r="2975" spans="1:7" x14ac:dyDescent="0.2">
      <c r="A2975">
        <f t="shared" si="46"/>
        <v>137093</v>
      </c>
      <c r="B2975">
        <v>137</v>
      </c>
      <c r="C2975">
        <v>93</v>
      </c>
      <c r="D2975">
        <v>230</v>
      </c>
      <c r="E2975" t="s">
        <v>272</v>
      </c>
      <c r="F2975">
        <v>35236.290999999997</v>
      </c>
      <c r="G2975">
        <v>51.287999999999997</v>
      </c>
    </row>
    <row r="2976" spans="1:7" x14ac:dyDescent="0.2">
      <c r="A2976">
        <f t="shared" si="46"/>
        <v>137094</v>
      </c>
      <c r="B2976">
        <v>137</v>
      </c>
      <c r="C2976">
        <v>94</v>
      </c>
      <c r="D2976">
        <v>231</v>
      </c>
      <c r="E2976" t="s">
        <v>273</v>
      </c>
      <c r="F2976">
        <v>38309.004999999997</v>
      </c>
      <c r="G2976">
        <v>22.548999999999999</v>
      </c>
    </row>
    <row r="2977" spans="1:7" x14ac:dyDescent="0.2">
      <c r="A2977">
        <f t="shared" si="46"/>
        <v>137095</v>
      </c>
      <c r="B2977">
        <v>137</v>
      </c>
      <c r="C2977">
        <v>95</v>
      </c>
      <c r="D2977">
        <v>232</v>
      </c>
      <c r="E2977" t="s">
        <v>274</v>
      </c>
      <c r="F2977" t="s">
        <v>1273</v>
      </c>
      <c r="G2977" t="s">
        <v>235</v>
      </c>
    </row>
    <row r="2978" spans="1:7" x14ac:dyDescent="0.2">
      <c r="A2978">
        <f t="shared" si="46"/>
        <v>137096</v>
      </c>
      <c r="B2978">
        <v>137</v>
      </c>
      <c r="C2978">
        <v>96</v>
      </c>
      <c r="D2978">
        <v>233</v>
      </c>
      <c r="E2978" t="s">
        <v>275</v>
      </c>
      <c r="F2978">
        <v>47294.006000000001</v>
      </c>
      <c r="G2978">
        <v>71.546999999999997</v>
      </c>
    </row>
    <row r="2979" spans="1:7" x14ac:dyDescent="0.2">
      <c r="A2979">
        <f t="shared" si="46"/>
        <v>137097</v>
      </c>
      <c r="B2979">
        <v>137</v>
      </c>
      <c r="C2979">
        <v>97</v>
      </c>
      <c r="D2979">
        <v>234</v>
      </c>
      <c r="E2979" t="s">
        <v>277</v>
      </c>
      <c r="F2979" t="s">
        <v>1280</v>
      </c>
      <c r="G2979" t="s">
        <v>1281</v>
      </c>
    </row>
    <row r="2980" spans="1:7" x14ac:dyDescent="0.2">
      <c r="A2980">
        <f t="shared" si="46"/>
        <v>138082</v>
      </c>
      <c r="B2980">
        <v>138</v>
      </c>
      <c r="C2980">
        <v>82</v>
      </c>
      <c r="D2980">
        <v>220</v>
      </c>
      <c r="E2980" t="s">
        <v>80</v>
      </c>
      <c r="F2980" t="s">
        <v>1237</v>
      </c>
      <c r="G2980" t="s">
        <v>199</v>
      </c>
    </row>
    <row r="2981" spans="1:7" x14ac:dyDescent="0.2">
      <c r="A2981">
        <f t="shared" si="46"/>
        <v>138083</v>
      </c>
      <c r="B2981">
        <v>138</v>
      </c>
      <c r="C2981">
        <v>83</v>
      </c>
      <c r="D2981">
        <v>221</v>
      </c>
      <c r="E2981" t="s">
        <v>81</v>
      </c>
      <c r="F2981" t="s">
        <v>1244</v>
      </c>
      <c r="G2981" t="s">
        <v>202</v>
      </c>
    </row>
    <row r="2982" spans="1:7" x14ac:dyDescent="0.2">
      <c r="A2982">
        <f t="shared" si="46"/>
        <v>138084</v>
      </c>
      <c r="B2982">
        <v>138</v>
      </c>
      <c r="C2982">
        <v>84</v>
      </c>
      <c r="D2982">
        <v>222</v>
      </c>
      <c r="E2982" t="s">
        <v>82</v>
      </c>
      <c r="F2982">
        <v>22486.264999999999</v>
      </c>
      <c r="G2982">
        <v>40.054000000000002</v>
      </c>
    </row>
    <row r="2983" spans="1:7" x14ac:dyDescent="0.2">
      <c r="A2983">
        <f t="shared" si="46"/>
        <v>138085</v>
      </c>
      <c r="B2983">
        <v>138</v>
      </c>
      <c r="C2983">
        <v>85</v>
      </c>
      <c r="D2983">
        <v>223</v>
      </c>
      <c r="E2983" t="s">
        <v>83</v>
      </c>
      <c r="F2983">
        <v>23428.006000000001</v>
      </c>
      <c r="G2983">
        <v>13.972</v>
      </c>
    </row>
    <row r="2984" spans="1:7" x14ac:dyDescent="0.2">
      <c r="A2984">
        <f t="shared" si="46"/>
        <v>138086</v>
      </c>
      <c r="B2984">
        <v>138</v>
      </c>
      <c r="C2984">
        <v>86</v>
      </c>
      <c r="D2984">
        <v>224</v>
      </c>
      <c r="E2984" t="s">
        <v>84</v>
      </c>
      <c r="F2984">
        <v>22445.098000000002</v>
      </c>
      <c r="G2984">
        <v>9.8140000000000001</v>
      </c>
    </row>
    <row r="2985" spans="1:7" x14ac:dyDescent="0.2">
      <c r="A2985">
        <f t="shared" si="46"/>
        <v>138087</v>
      </c>
      <c r="B2985">
        <v>138</v>
      </c>
      <c r="C2985">
        <v>87</v>
      </c>
      <c r="D2985">
        <v>225</v>
      </c>
      <c r="E2985" t="s">
        <v>85</v>
      </c>
      <c r="F2985">
        <v>23820.61</v>
      </c>
      <c r="G2985">
        <v>11.967000000000001</v>
      </c>
    </row>
    <row r="2986" spans="1:7" x14ac:dyDescent="0.2">
      <c r="A2986">
        <f t="shared" si="46"/>
        <v>138088</v>
      </c>
      <c r="B2986">
        <v>138</v>
      </c>
      <c r="C2986">
        <v>88</v>
      </c>
      <c r="D2986">
        <v>226</v>
      </c>
      <c r="E2986" t="s">
        <v>86</v>
      </c>
      <c r="F2986">
        <v>23667.824000000001</v>
      </c>
      <c r="G2986">
        <v>1.9330000000000001</v>
      </c>
    </row>
    <row r="2987" spans="1:7" x14ac:dyDescent="0.2">
      <c r="A2987">
        <f t="shared" si="46"/>
        <v>138089</v>
      </c>
      <c r="B2987">
        <v>138</v>
      </c>
      <c r="C2987">
        <v>89</v>
      </c>
      <c r="D2987">
        <v>227</v>
      </c>
      <c r="E2987" t="s">
        <v>87</v>
      </c>
      <c r="F2987">
        <v>25849.58</v>
      </c>
      <c r="G2987">
        <v>1.927</v>
      </c>
    </row>
    <row r="2988" spans="1:7" x14ac:dyDescent="0.2">
      <c r="A2988">
        <f t="shared" si="46"/>
        <v>138090</v>
      </c>
      <c r="B2988">
        <v>138</v>
      </c>
      <c r="C2988">
        <v>90</v>
      </c>
      <c r="D2988">
        <v>228</v>
      </c>
      <c r="E2988" t="s">
        <v>88</v>
      </c>
      <c r="F2988">
        <v>26770.984</v>
      </c>
      <c r="G2988">
        <v>1.8069999999999999</v>
      </c>
    </row>
    <row r="2989" spans="1:7" x14ac:dyDescent="0.2">
      <c r="A2989">
        <f t="shared" si="46"/>
        <v>138091</v>
      </c>
      <c r="B2989">
        <v>138</v>
      </c>
      <c r="C2989">
        <v>91</v>
      </c>
      <c r="D2989">
        <v>229</v>
      </c>
      <c r="E2989" t="s">
        <v>89</v>
      </c>
      <c r="F2989">
        <v>29896.907999999999</v>
      </c>
      <c r="G2989">
        <v>3.28</v>
      </c>
    </row>
    <row r="2990" spans="1:7" x14ac:dyDescent="0.2">
      <c r="A2990">
        <f t="shared" si="46"/>
        <v>138092</v>
      </c>
      <c r="B2990">
        <v>138</v>
      </c>
      <c r="C2990">
        <v>92</v>
      </c>
      <c r="D2990">
        <v>230</v>
      </c>
      <c r="E2990" t="s">
        <v>90</v>
      </c>
      <c r="F2990">
        <v>31615.002</v>
      </c>
      <c r="G2990">
        <v>4.5090000000000003</v>
      </c>
    </row>
    <row r="2991" spans="1:7" x14ac:dyDescent="0.2">
      <c r="A2991">
        <f t="shared" si="46"/>
        <v>138093</v>
      </c>
      <c r="B2991">
        <v>138</v>
      </c>
      <c r="C2991">
        <v>93</v>
      </c>
      <c r="D2991">
        <v>231</v>
      </c>
      <c r="E2991" t="s">
        <v>272</v>
      </c>
      <c r="F2991">
        <v>35624.512999999999</v>
      </c>
      <c r="G2991">
        <v>50.546999999999997</v>
      </c>
    </row>
    <row r="2992" spans="1:7" x14ac:dyDescent="0.2">
      <c r="A2992">
        <f t="shared" si="46"/>
        <v>138094</v>
      </c>
      <c r="B2992">
        <v>138</v>
      </c>
      <c r="C2992">
        <v>94</v>
      </c>
      <c r="D2992">
        <v>232</v>
      </c>
      <c r="E2992" t="s">
        <v>273</v>
      </c>
      <c r="F2992">
        <v>38363.14</v>
      </c>
      <c r="G2992">
        <v>17.594999999999999</v>
      </c>
    </row>
    <row r="2993" spans="1:7" x14ac:dyDescent="0.2">
      <c r="A2993">
        <f t="shared" si="46"/>
        <v>138095</v>
      </c>
      <c r="B2993">
        <v>138</v>
      </c>
      <c r="C2993">
        <v>95</v>
      </c>
      <c r="D2993">
        <v>233</v>
      </c>
      <c r="E2993" t="s">
        <v>274</v>
      </c>
      <c r="F2993" t="s">
        <v>1275</v>
      </c>
      <c r="G2993" t="s">
        <v>215</v>
      </c>
    </row>
    <row r="2994" spans="1:7" x14ac:dyDescent="0.2">
      <c r="A2994">
        <f t="shared" si="46"/>
        <v>138096</v>
      </c>
      <c r="B2994">
        <v>138</v>
      </c>
      <c r="C2994">
        <v>96</v>
      </c>
      <c r="D2994">
        <v>234</v>
      </c>
      <c r="E2994" t="s">
        <v>275</v>
      </c>
      <c r="F2994">
        <v>46724.633000000002</v>
      </c>
      <c r="G2994">
        <v>17.393999999999998</v>
      </c>
    </row>
    <row r="2995" spans="1:7" x14ac:dyDescent="0.2">
      <c r="A2995">
        <f t="shared" si="46"/>
        <v>138097</v>
      </c>
      <c r="B2995">
        <v>138</v>
      </c>
      <c r="C2995">
        <v>97</v>
      </c>
      <c r="D2995">
        <v>235</v>
      </c>
      <c r="E2995" t="s">
        <v>277</v>
      </c>
      <c r="F2995" t="s">
        <v>278</v>
      </c>
      <c r="G2995" t="s">
        <v>199</v>
      </c>
    </row>
    <row r="2996" spans="1:7" x14ac:dyDescent="0.2">
      <c r="A2996">
        <f t="shared" si="46"/>
        <v>139083</v>
      </c>
      <c r="B2996">
        <v>139</v>
      </c>
      <c r="C2996">
        <v>83</v>
      </c>
      <c r="D2996">
        <v>222</v>
      </c>
      <c r="E2996" t="s">
        <v>81</v>
      </c>
      <c r="F2996" t="s">
        <v>1246</v>
      </c>
      <c r="G2996" t="s">
        <v>235</v>
      </c>
    </row>
    <row r="2997" spans="1:7" x14ac:dyDescent="0.2">
      <c r="A2997">
        <f t="shared" si="46"/>
        <v>139084</v>
      </c>
      <c r="B2997">
        <v>139</v>
      </c>
      <c r="C2997">
        <v>84</v>
      </c>
      <c r="D2997">
        <v>223</v>
      </c>
      <c r="E2997" t="s">
        <v>82</v>
      </c>
      <c r="F2997" t="s">
        <v>624</v>
      </c>
      <c r="G2997" t="s">
        <v>206</v>
      </c>
    </row>
    <row r="2998" spans="1:7" x14ac:dyDescent="0.2">
      <c r="A2998">
        <f t="shared" si="46"/>
        <v>139085</v>
      </c>
      <c r="B2998">
        <v>139</v>
      </c>
      <c r="C2998">
        <v>85</v>
      </c>
      <c r="D2998">
        <v>224</v>
      </c>
      <c r="E2998" t="s">
        <v>83</v>
      </c>
      <c r="F2998">
        <v>27711.014999999999</v>
      </c>
      <c r="G2998">
        <v>22.356000000000002</v>
      </c>
    </row>
    <row r="2999" spans="1:7" x14ac:dyDescent="0.2">
      <c r="A2999">
        <f t="shared" si="46"/>
        <v>139086</v>
      </c>
      <c r="B2999">
        <v>139</v>
      </c>
      <c r="C2999">
        <v>86</v>
      </c>
      <c r="D2999">
        <v>225</v>
      </c>
      <c r="E2999" t="s">
        <v>84</v>
      </c>
      <c r="F2999">
        <v>26534.141</v>
      </c>
      <c r="G2999">
        <v>11.14</v>
      </c>
    </row>
    <row r="3000" spans="1:7" x14ac:dyDescent="0.2">
      <c r="A3000">
        <f t="shared" si="46"/>
        <v>139087</v>
      </c>
      <c r="B3000">
        <v>139</v>
      </c>
      <c r="C3000">
        <v>87</v>
      </c>
      <c r="D3000">
        <v>226</v>
      </c>
      <c r="E3000" t="s">
        <v>85</v>
      </c>
      <c r="F3000">
        <v>27520.539000000001</v>
      </c>
      <c r="G3000">
        <v>6.23</v>
      </c>
    </row>
    <row r="3001" spans="1:7" x14ac:dyDescent="0.2">
      <c r="A3001">
        <f t="shared" si="46"/>
        <v>139088</v>
      </c>
      <c r="B3001">
        <v>139</v>
      </c>
      <c r="C3001">
        <v>88</v>
      </c>
      <c r="D3001">
        <v>227</v>
      </c>
      <c r="E3001" t="s">
        <v>86</v>
      </c>
      <c r="F3001">
        <v>27177.710999999999</v>
      </c>
      <c r="G3001">
        <v>1.952</v>
      </c>
    </row>
    <row r="3002" spans="1:7" x14ac:dyDescent="0.2">
      <c r="A3002">
        <f t="shared" si="46"/>
        <v>139089</v>
      </c>
      <c r="B3002">
        <v>139</v>
      </c>
      <c r="C3002">
        <v>89</v>
      </c>
      <c r="D3002">
        <v>228</v>
      </c>
      <c r="E3002" t="s">
        <v>87</v>
      </c>
      <c r="F3002">
        <v>28894.727999999999</v>
      </c>
      <c r="G3002">
        <v>2.0939999999999999</v>
      </c>
    </row>
    <row r="3003" spans="1:7" x14ac:dyDescent="0.2">
      <c r="A3003">
        <f t="shared" si="46"/>
        <v>139090</v>
      </c>
      <c r="B3003">
        <v>139</v>
      </c>
      <c r="C3003">
        <v>90</v>
      </c>
      <c r="D3003">
        <v>229</v>
      </c>
      <c r="E3003" t="s">
        <v>88</v>
      </c>
      <c r="F3003">
        <v>29585.582999999999</v>
      </c>
      <c r="G3003">
        <v>2.4049999999999998</v>
      </c>
    </row>
    <row r="3004" spans="1:7" x14ac:dyDescent="0.2">
      <c r="A3004">
        <f t="shared" si="46"/>
        <v>139091</v>
      </c>
      <c r="B3004">
        <v>139</v>
      </c>
      <c r="C3004">
        <v>91</v>
      </c>
      <c r="D3004">
        <v>230</v>
      </c>
      <c r="E3004" t="s">
        <v>89</v>
      </c>
      <c r="F3004">
        <v>32173.607</v>
      </c>
      <c r="G3004">
        <v>3.0379999999999998</v>
      </c>
    </row>
    <row r="3005" spans="1:7" x14ac:dyDescent="0.2">
      <c r="A3005">
        <f t="shared" si="46"/>
        <v>139092</v>
      </c>
      <c r="B3005">
        <v>139</v>
      </c>
      <c r="C3005">
        <v>92</v>
      </c>
      <c r="D3005">
        <v>231</v>
      </c>
      <c r="E3005" t="s">
        <v>90</v>
      </c>
      <c r="F3005">
        <v>33806.014999999999</v>
      </c>
      <c r="G3005">
        <v>2.67</v>
      </c>
    </row>
    <row r="3006" spans="1:7" x14ac:dyDescent="0.2">
      <c r="A3006">
        <f t="shared" si="46"/>
        <v>139093</v>
      </c>
      <c r="B3006">
        <v>139</v>
      </c>
      <c r="C3006">
        <v>93</v>
      </c>
      <c r="D3006">
        <v>232</v>
      </c>
      <c r="E3006" t="s">
        <v>272</v>
      </c>
      <c r="F3006" t="s">
        <v>1272</v>
      </c>
      <c r="G3006" t="s">
        <v>795</v>
      </c>
    </row>
    <row r="3007" spans="1:7" x14ac:dyDescent="0.2">
      <c r="A3007">
        <f t="shared" si="46"/>
        <v>139094</v>
      </c>
      <c r="B3007">
        <v>139</v>
      </c>
      <c r="C3007">
        <v>94</v>
      </c>
      <c r="D3007">
        <v>233</v>
      </c>
      <c r="E3007" t="s">
        <v>273</v>
      </c>
      <c r="F3007">
        <v>40051.769</v>
      </c>
      <c r="G3007">
        <v>50.350999999999999</v>
      </c>
    </row>
    <row r="3008" spans="1:7" x14ac:dyDescent="0.2">
      <c r="A3008">
        <f t="shared" si="46"/>
        <v>139095</v>
      </c>
      <c r="B3008">
        <v>139</v>
      </c>
      <c r="C3008">
        <v>95</v>
      </c>
      <c r="D3008">
        <v>234</v>
      </c>
      <c r="E3008" t="s">
        <v>274</v>
      </c>
      <c r="F3008" t="s">
        <v>1278</v>
      </c>
      <c r="G3008" t="s">
        <v>1279</v>
      </c>
    </row>
    <row r="3009" spans="1:7" x14ac:dyDescent="0.2">
      <c r="A3009">
        <f t="shared" ref="A3009:A3072" si="47">1000*B3009+C3009</f>
        <v>139096</v>
      </c>
      <c r="B3009">
        <v>139</v>
      </c>
      <c r="C3009">
        <v>96</v>
      </c>
      <c r="D3009">
        <v>235</v>
      </c>
      <c r="E3009" t="s">
        <v>275</v>
      </c>
      <c r="F3009" t="s">
        <v>1283</v>
      </c>
      <c r="G3009" t="s">
        <v>243</v>
      </c>
    </row>
    <row r="3010" spans="1:7" x14ac:dyDescent="0.2">
      <c r="A3010">
        <f t="shared" si="47"/>
        <v>139097</v>
      </c>
      <c r="B3010">
        <v>139</v>
      </c>
      <c r="C3010">
        <v>97</v>
      </c>
      <c r="D3010">
        <v>236</v>
      </c>
      <c r="E3010" t="s">
        <v>277</v>
      </c>
      <c r="F3010" t="s">
        <v>1285</v>
      </c>
      <c r="G3010" t="s">
        <v>199</v>
      </c>
    </row>
    <row r="3011" spans="1:7" x14ac:dyDescent="0.2">
      <c r="A3011">
        <f t="shared" si="47"/>
        <v>139098</v>
      </c>
      <c r="B3011">
        <v>139</v>
      </c>
      <c r="C3011">
        <v>98</v>
      </c>
      <c r="D3011">
        <v>237</v>
      </c>
      <c r="E3011" t="s">
        <v>279</v>
      </c>
      <c r="F3011">
        <v>57938.921000000002</v>
      </c>
      <c r="G3011">
        <v>87.287000000000006</v>
      </c>
    </row>
    <row r="3012" spans="1:7" x14ac:dyDescent="0.2">
      <c r="A3012">
        <f t="shared" si="47"/>
        <v>140083</v>
      </c>
      <c r="B3012">
        <v>140</v>
      </c>
      <c r="C3012">
        <v>83</v>
      </c>
      <c r="D3012">
        <v>223</v>
      </c>
      <c r="E3012" t="s">
        <v>81</v>
      </c>
      <c r="F3012" t="s">
        <v>1250</v>
      </c>
      <c r="G3012" t="s">
        <v>199</v>
      </c>
    </row>
    <row r="3013" spans="1:7" x14ac:dyDescent="0.2">
      <c r="A3013">
        <f t="shared" si="47"/>
        <v>140084</v>
      </c>
      <c r="B3013">
        <v>140</v>
      </c>
      <c r="C3013">
        <v>84</v>
      </c>
      <c r="D3013">
        <v>224</v>
      </c>
      <c r="E3013" t="s">
        <v>82</v>
      </c>
      <c r="F3013" t="s">
        <v>1253</v>
      </c>
      <c r="G3013" t="s">
        <v>206</v>
      </c>
    </row>
    <row r="3014" spans="1:7" x14ac:dyDescent="0.2">
      <c r="A3014">
        <f t="shared" si="47"/>
        <v>140085</v>
      </c>
      <c r="B3014">
        <v>140</v>
      </c>
      <c r="C3014">
        <v>85</v>
      </c>
      <c r="D3014">
        <v>225</v>
      </c>
      <c r="E3014" t="s">
        <v>83</v>
      </c>
      <c r="F3014" t="s">
        <v>1256</v>
      </c>
      <c r="G3014" t="s">
        <v>202</v>
      </c>
    </row>
    <row r="3015" spans="1:7" x14ac:dyDescent="0.2">
      <c r="A3015">
        <f t="shared" si="47"/>
        <v>140086</v>
      </c>
      <c r="B3015">
        <v>140</v>
      </c>
      <c r="C3015">
        <v>86</v>
      </c>
      <c r="D3015">
        <v>226</v>
      </c>
      <c r="E3015" t="s">
        <v>84</v>
      </c>
      <c r="F3015">
        <v>28747.191999999999</v>
      </c>
      <c r="G3015">
        <v>10.477</v>
      </c>
    </row>
    <row r="3016" spans="1:7" x14ac:dyDescent="0.2">
      <c r="A3016">
        <f t="shared" si="47"/>
        <v>140087</v>
      </c>
      <c r="B3016">
        <v>140</v>
      </c>
      <c r="C3016">
        <v>87</v>
      </c>
      <c r="D3016">
        <v>227</v>
      </c>
      <c r="E3016" t="s">
        <v>85</v>
      </c>
      <c r="F3016">
        <v>29682.445</v>
      </c>
      <c r="G3016">
        <v>5.8979999999999997</v>
      </c>
    </row>
    <row r="3017" spans="1:7" x14ac:dyDescent="0.2">
      <c r="A3017">
        <f t="shared" si="47"/>
        <v>140088</v>
      </c>
      <c r="B3017">
        <v>140</v>
      </c>
      <c r="C3017">
        <v>88</v>
      </c>
      <c r="D3017">
        <v>228</v>
      </c>
      <c r="E3017" t="s">
        <v>86</v>
      </c>
      <c r="F3017">
        <v>28940.268</v>
      </c>
      <c r="G3017">
        <v>1.996</v>
      </c>
    </row>
    <row r="3018" spans="1:7" x14ac:dyDescent="0.2">
      <c r="A3018">
        <f t="shared" si="47"/>
        <v>140089</v>
      </c>
      <c r="B3018">
        <v>140</v>
      </c>
      <c r="C3018">
        <v>89</v>
      </c>
      <c r="D3018">
        <v>229</v>
      </c>
      <c r="E3018" t="s">
        <v>87</v>
      </c>
      <c r="F3018">
        <v>30689.933000000001</v>
      </c>
      <c r="G3018">
        <v>12.109</v>
      </c>
    </row>
    <row r="3019" spans="1:7" x14ac:dyDescent="0.2">
      <c r="A3019">
        <f t="shared" si="47"/>
        <v>140090</v>
      </c>
      <c r="B3019">
        <v>140</v>
      </c>
      <c r="C3019">
        <v>90</v>
      </c>
      <c r="D3019">
        <v>230</v>
      </c>
      <c r="E3019" t="s">
        <v>88</v>
      </c>
      <c r="F3019">
        <v>30862.593000000001</v>
      </c>
      <c r="G3019">
        <v>1.21</v>
      </c>
    </row>
    <row r="3020" spans="1:7" x14ac:dyDescent="0.2">
      <c r="A3020">
        <f t="shared" si="47"/>
        <v>140091</v>
      </c>
      <c r="B3020">
        <v>140</v>
      </c>
      <c r="C3020">
        <v>91</v>
      </c>
      <c r="D3020">
        <v>231</v>
      </c>
      <c r="E3020" t="s">
        <v>89</v>
      </c>
      <c r="F3020">
        <v>33424.404000000002</v>
      </c>
      <c r="G3020">
        <v>1.772</v>
      </c>
    </row>
    <row r="3021" spans="1:7" x14ac:dyDescent="0.2">
      <c r="A3021">
        <f t="shared" si="47"/>
        <v>140092</v>
      </c>
      <c r="B3021">
        <v>140</v>
      </c>
      <c r="C3021">
        <v>92</v>
      </c>
      <c r="D3021">
        <v>232</v>
      </c>
      <c r="E3021" t="s">
        <v>90</v>
      </c>
      <c r="F3021">
        <v>34609.53</v>
      </c>
      <c r="G3021">
        <v>1.8089999999999999</v>
      </c>
    </row>
    <row r="3022" spans="1:7" x14ac:dyDescent="0.2">
      <c r="A3022">
        <f t="shared" si="47"/>
        <v>140093</v>
      </c>
      <c r="B3022">
        <v>140</v>
      </c>
      <c r="C3022">
        <v>93</v>
      </c>
      <c r="D3022">
        <v>233</v>
      </c>
      <c r="E3022" t="s">
        <v>272</v>
      </c>
      <c r="F3022">
        <v>37948.589999999997</v>
      </c>
      <c r="G3022">
        <v>50.981000000000002</v>
      </c>
    </row>
    <row r="3023" spans="1:7" x14ac:dyDescent="0.2">
      <c r="A3023">
        <f t="shared" si="47"/>
        <v>140094</v>
      </c>
      <c r="B3023">
        <v>140</v>
      </c>
      <c r="C3023">
        <v>94</v>
      </c>
      <c r="D3023">
        <v>234</v>
      </c>
      <c r="E3023" t="s">
        <v>273</v>
      </c>
      <c r="F3023">
        <v>40349.970999999998</v>
      </c>
      <c r="G3023">
        <v>6.798</v>
      </c>
    </row>
    <row r="3024" spans="1:7" x14ac:dyDescent="0.2">
      <c r="A3024">
        <f t="shared" si="47"/>
        <v>140095</v>
      </c>
      <c r="B3024">
        <v>140</v>
      </c>
      <c r="C3024">
        <v>95</v>
      </c>
      <c r="D3024">
        <v>235</v>
      </c>
      <c r="E3024" t="s">
        <v>274</v>
      </c>
      <c r="F3024">
        <v>44625.428999999996</v>
      </c>
      <c r="G3024">
        <v>52.192</v>
      </c>
    </row>
    <row r="3025" spans="1:7" x14ac:dyDescent="0.2">
      <c r="A3025">
        <f t="shared" si="47"/>
        <v>140096</v>
      </c>
      <c r="B3025">
        <v>140</v>
      </c>
      <c r="C3025">
        <v>96</v>
      </c>
      <c r="D3025">
        <v>236</v>
      </c>
      <c r="E3025" t="s">
        <v>275</v>
      </c>
      <c r="F3025">
        <v>47855.044999999998</v>
      </c>
      <c r="G3025">
        <v>18.315000000000001</v>
      </c>
    </row>
    <row r="3026" spans="1:7" x14ac:dyDescent="0.2">
      <c r="A3026">
        <f t="shared" si="47"/>
        <v>140097</v>
      </c>
      <c r="B3026">
        <v>140</v>
      </c>
      <c r="C3026">
        <v>97</v>
      </c>
      <c r="D3026">
        <v>237</v>
      </c>
      <c r="E3026" t="s">
        <v>277</v>
      </c>
      <c r="F3026" t="s">
        <v>1289</v>
      </c>
      <c r="G3026" t="s">
        <v>1277</v>
      </c>
    </row>
    <row r="3027" spans="1:7" x14ac:dyDescent="0.2">
      <c r="A3027">
        <f t="shared" si="47"/>
        <v>140098</v>
      </c>
      <c r="B3027">
        <v>140</v>
      </c>
      <c r="C3027">
        <v>98</v>
      </c>
      <c r="D3027">
        <v>238</v>
      </c>
      <c r="E3027" t="s">
        <v>279</v>
      </c>
      <c r="F3027" t="s">
        <v>1294</v>
      </c>
      <c r="G3027" t="s">
        <v>202</v>
      </c>
    </row>
    <row r="3028" spans="1:7" x14ac:dyDescent="0.2">
      <c r="A3028">
        <f t="shared" si="47"/>
        <v>140099</v>
      </c>
      <c r="B3028">
        <v>140</v>
      </c>
      <c r="C3028">
        <v>99</v>
      </c>
      <c r="D3028">
        <v>239</v>
      </c>
      <c r="E3028" t="s">
        <v>280</v>
      </c>
      <c r="F3028" t="s">
        <v>1300</v>
      </c>
      <c r="G3028" t="s">
        <v>202</v>
      </c>
    </row>
    <row r="3029" spans="1:7" x14ac:dyDescent="0.2">
      <c r="A3029">
        <f t="shared" si="47"/>
        <v>141083</v>
      </c>
      <c r="B3029">
        <v>141</v>
      </c>
      <c r="C3029">
        <v>83</v>
      </c>
      <c r="D3029">
        <v>224</v>
      </c>
      <c r="E3029" t="s">
        <v>81</v>
      </c>
      <c r="F3029" t="s">
        <v>1252</v>
      </c>
      <c r="G3029" t="s">
        <v>197</v>
      </c>
    </row>
    <row r="3030" spans="1:7" x14ac:dyDescent="0.2">
      <c r="A3030">
        <f t="shared" si="47"/>
        <v>141084</v>
      </c>
      <c r="B3030">
        <v>141</v>
      </c>
      <c r="C3030">
        <v>84</v>
      </c>
      <c r="D3030">
        <v>225</v>
      </c>
      <c r="E3030" t="s">
        <v>82</v>
      </c>
      <c r="F3030" t="s">
        <v>1255</v>
      </c>
      <c r="G3030" t="s">
        <v>202</v>
      </c>
    </row>
    <row r="3031" spans="1:7" x14ac:dyDescent="0.2">
      <c r="A3031">
        <f t="shared" si="47"/>
        <v>141085</v>
      </c>
      <c r="B3031">
        <v>141</v>
      </c>
      <c r="C3031">
        <v>85</v>
      </c>
      <c r="D3031">
        <v>226</v>
      </c>
      <c r="E3031" t="s">
        <v>83</v>
      </c>
      <c r="F3031" t="s">
        <v>1258</v>
      </c>
      <c r="G3031" t="s">
        <v>202</v>
      </c>
    </row>
    <row r="3032" spans="1:7" x14ac:dyDescent="0.2">
      <c r="A3032">
        <f t="shared" si="47"/>
        <v>141086</v>
      </c>
      <c r="B3032">
        <v>141</v>
      </c>
      <c r="C3032">
        <v>86</v>
      </c>
      <c r="D3032">
        <v>227</v>
      </c>
      <c r="E3032" t="s">
        <v>84</v>
      </c>
      <c r="F3032">
        <v>32885.834000000003</v>
      </c>
      <c r="G3032">
        <v>14.090999999999999</v>
      </c>
    </row>
    <row r="3033" spans="1:7" x14ac:dyDescent="0.2">
      <c r="A3033">
        <f t="shared" si="47"/>
        <v>141087</v>
      </c>
      <c r="B3033">
        <v>141</v>
      </c>
      <c r="C3033">
        <v>87</v>
      </c>
      <c r="D3033">
        <v>228</v>
      </c>
      <c r="E3033" t="s">
        <v>85</v>
      </c>
      <c r="F3033">
        <v>33384.220999999998</v>
      </c>
      <c r="G3033">
        <v>6.7320000000000002</v>
      </c>
    </row>
    <row r="3034" spans="1:7" x14ac:dyDescent="0.2">
      <c r="A3034">
        <f t="shared" si="47"/>
        <v>141088</v>
      </c>
      <c r="B3034">
        <v>141</v>
      </c>
      <c r="C3034">
        <v>88</v>
      </c>
      <c r="D3034">
        <v>229</v>
      </c>
      <c r="E3034" t="s">
        <v>86</v>
      </c>
      <c r="F3034">
        <v>32561.963</v>
      </c>
      <c r="G3034">
        <v>15.441000000000001</v>
      </c>
    </row>
    <row r="3035" spans="1:7" x14ac:dyDescent="0.2">
      <c r="A3035">
        <f t="shared" si="47"/>
        <v>141089</v>
      </c>
      <c r="B3035">
        <v>141</v>
      </c>
      <c r="C3035">
        <v>89</v>
      </c>
      <c r="D3035">
        <v>230</v>
      </c>
      <c r="E3035" t="s">
        <v>87</v>
      </c>
      <c r="F3035">
        <v>33838.383000000002</v>
      </c>
      <c r="G3035">
        <v>15.835000000000001</v>
      </c>
    </row>
    <row r="3036" spans="1:7" x14ac:dyDescent="0.2">
      <c r="A3036">
        <f t="shared" si="47"/>
        <v>141090</v>
      </c>
      <c r="B3036">
        <v>141</v>
      </c>
      <c r="C3036">
        <v>90</v>
      </c>
      <c r="D3036">
        <v>231</v>
      </c>
      <c r="E3036" t="s">
        <v>88</v>
      </c>
      <c r="F3036">
        <v>33815.891000000003</v>
      </c>
      <c r="G3036">
        <v>1.218</v>
      </c>
    </row>
    <row r="3037" spans="1:7" x14ac:dyDescent="0.2">
      <c r="A3037">
        <f t="shared" si="47"/>
        <v>141091</v>
      </c>
      <c r="B3037">
        <v>141</v>
      </c>
      <c r="C3037">
        <v>91</v>
      </c>
      <c r="D3037">
        <v>232</v>
      </c>
      <c r="E3037" t="s">
        <v>89</v>
      </c>
      <c r="F3037">
        <v>35946.633000000002</v>
      </c>
      <c r="G3037">
        <v>7.6449999999999996</v>
      </c>
    </row>
    <row r="3038" spans="1:7" x14ac:dyDescent="0.2">
      <c r="A3038">
        <f t="shared" si="47"/>
        <v>141092</v>
      </c>
      <c r="B3038">
        <v>141</v>
      </c>
      <c r="C3038">
        <v>92</v>
      </c>
      <c r="D3038">
        <v>233</v>
      </c>
      <c r="E3038" t="s">
        <v>90</v>
      </c>
      <c r="F3038">
        <v>36919.175999999999</v>
      </c>
      <c r="G3038">
        <v>2.2549999999999999</v>
      </c>
    </row>
    <row r="3039" spans="1:7" x14ac:dyDescent="0.2">
      <c r="A3039">
        <f t="shared" si="47"/>
        <v>141093</v>
      </c>
      <c r="B3039">
        <v>141</v>
      </c>
      <c r="C3039">
        <v>93</v>
      </c>
      <c r="D3039">
        <v>234</v>
      </c>
      <c r="E3039" t="s">
        <v>272</v>
      </c>
      <c r="F3039">
        <v>39954.870999999999</v>
      </c>
      <c r="G3039">
        <v>8.3970000000000002</v>
      </c>
    </row>
    <row r="3040" spans="1:7" x14ac:dyDescent="0.2">
      <c r="A3040">
        <f t="shared" si="47"/>
        <v>141094</v>
      </c>
      <c r="B3040">
        <v>141</v>
      </c>
      <c r="C3040">
        <v>94</v>
      </c>
      <c r="D3040">
        <v>235</v>
      </c>
      <c r="E3040" t="s">
        <v>273</v>
      </c>
      <c r="F3040">
        <v>42182.41</v>
      </c>
      <c r="G3040">
        <v>20.521000000000001</v>
      </c>
    </row>
    <row r="3041" spans="1:7" x14ac:dyDescent="0.2">
      <c r="A3041">
        <f t="shared" si="47"/>
        <v>141095</v>
      </c>
      <c r="B3041">
        <v>141</v>
      </c>
      <c r="C3041">
        <v>95</v>
      </c>
      <c r="D3041">
        <v>236</v>
      </c>
      <c r="E3041" t="s">
        <v>274</v>
      </c>
      <c r="F3041" t="s">
        <v>1284</v>
      </c>
      <c r="G3041" t="s">
        <v>216</v>
      </c>
    </row>
    <row r="3042" spans="1:7" x14ac:dyDescent="0.2">
      <c r="A3042">
        <f t="shared" si="47"/>
        <v>141096</v>
      </c>
      <c r="B3042">
        <v>141</v>
      </c>
      <c r="C3042">
        <v>96</v>
      </c>
      <c r="D3042">
        <v>237</v>
      </c>
      <c r="E3042" t="s">
        <v>275</v>
      </c>
      <c r="F3042">
        <v>49247.084999999999</v>
      </c>
      <c r="G3042">
        <v>70.959999999999994</v>
      </c>
    </row>
    <row r="3043" spans="1:7" x14ac:dyDescent="0.2">
      <c r="A3043">
        <f t="shared" si="47"/>
        <v>141097</v>
      </c>
      <c r="B3043">
        <v>141</v>
      </c>
      <c r="C3043">
        <v>97</v>
      </c>
      <c r="D3043">
        <v>238</v>
      </c>
      <c r="E3043" t="s">
        <v>277</v>
      </c>
      <c r="F3043" t="s">
        <v>1292</v>
      </c>
      <c r="G3043" t="s">
        <v>1293</v>
      </c>
    </row>
    <row r="3044" spans="1:7" x14ac:dyDescent="0.2">
      <c r="A3044">
        <f t="shared" si="47"/>
        <v>141098</v>
      </c>
      <c r="B3044">
        <v>141</v>
      </c>
      <c r="C3044">
        <v>98</v>
      </c>
      <c r="D3044">
        <v>239</v>
      </c>
      <c r="E3044" t="s">
        <v>279</v>
      </c>
      <c r="F3044" t="s">
        <v>1298</v>
      </c>
      <c r="G3044" t="s">
        <v>1299</v>
      </c>
    </row>
    <row r="3045" spans="1:7" x14ac:dyDescent="0.2">
      <c r="A3045">
        <f t="shared" si="47"/>
        <v>141099</v>
      </c>
      <c r="B3045">
        <v>141</v>
      </c>
      <c r="C3045">
        <v>99</v>
      </c>
      <c r="D3045">
        <v>240</v>
      </c>
      <c r="E3045" t="s">
        <v>280</v>
      </c>
      <c r="F3045" t="s">
        <v>281</v>
      </c>
      <c r="G3045" t="s">
        <v>199</v>
      </c>
    </row>
    <row r="3046" spans="1:7" x14ac:dyDescent="0.2">
      <c r="A3046">
        <f t="shared" si="47"/>
        <v>141100</v>
      </c>
      <c r="B3046">
        <v>141</v>
      </c>
      <c r="C3046">
        <v>100</v>
      </c>
      <c r="D3046">
        <v>241</v>
      </c>
      <c r="E3046" t="s">
        <v>283</v>
      </c>
      <c r="F3046" t="s">
        <v>1310</v>
      </c>
      <c r="G3046" t="s">
        <v>202</v>
      </c>
    </row>
    <row r="3047" spans="1:7" x14ac:dyDescent="0.2">
      <c r="A3047">
        <f t="shared" si="47"/>
        <v>142084</v>
      </c>
      <c r="B3047">
        <v>142</v>
      </c>
      <c r="C3047">
        <v>84</v>
      </c>
      <c r="D3047">
        <v>226</v>
      </c>
      <c r="E3047" t="s">
        <v>82</v>
      </c>
      <c r="F3047" t="s">
        <v>1257</v>
      </c>
      <c r="G3047" t="s">
        <v>199</v>
      </c>
    </row>
    <row r="3048" spans="1:7" x14ac:dyDescent="0.2">
      <c r="A3048">
        <f t="shared" si="47"/>
        <v>142085</v>
      </c>
      <c r="B3048">
        <v>142</v>
      </c>
      <c r="C3048">
        <v>85</v>
      </c>
      <c r="D3048">
        <v>227</v>
      </c>
      <c r="E3048" t="s">
        <v>83</v>
      </c>
      <c r="F3048" t="s">
        <v>1262</v>
      </c>
      <c r="G3048" t="s">
        <v>202</v>
      </c>
    </row>
    <row r="3049" spans="1:7" x14ac:dyDescent="0.2">
      <c r="A3049">
        <f t="shared" si="47"/>
        <v>142086</v>
      </c>
      <c r="B3049">
        <v>142</v>
      </c>
      <c r="C3049">
        <v>86</v>
      </c>
      <c r="D3049">
        <v>228</v>
      </c>
      <c r="E3049" t="s">
        <v>84</v>
      </c>
      <c r="F3049">
        <v>35243.464999999997</v>
      </c>
      <c r="G3049">
        <v>17.677</v>
      </c>
    </row>
    <row r="3050" spans="1:7" x14ac:dyDescent="0.2">
      <c r="A3050">
        <f t="shared" si="47"/>
        <v>142087</v>
      </c>
      <c r="B3050">
        <v>142</v>
      </c>
      <c r="C3050">
        <v>87</v>
      </c>
      <c r="D3050">
        <v>229</v>
      </c>
      <c r="E3050" t="s">
        <v>85</v>
      </c>
      <c r="F3050">
        <v>35668.262000000002</v>
      </c>
      <c r="G3050">
        <v>5.0010000000000003</v>
      </c>
    </row>
    <row r="3051" spans="1:7" x14ac:dyDescent="0.2">
      <c r="A3051">
        <f t="shared" si="47"/>
        <v>142088</v>
      </c>
      <c r="B3051">
        <v>142</v>
      </c>
      <c r="C3051">
        <v>88</v>
      </c>
      <c r="D3051">
        <v>230</v>
      </c>
      <c r="E3051" t="s">
        <v>86</v>
      </c>
      <c r="F3051">
        <v>34516.305999999997</v>
      </c>
      <c r="G3051">
        <v>10.295999999999999</v>
      </c>
    </row>
    <row r="3052" spans="1:7" x14ac:dyDescent="0.2">
      <c r="A3052">
        <f t="shared" si="47"/>
        <v>142089</v>
      </c>
      <c r="B3052">
        <v>142</v>
      </c>
      <c r="C3052">
        <v>89</v>
      </c>
      <c r="D3052">
        <v>231</v>
      </c>
      <c r="E3052" t="s">
        <v>87</v>
      </c>
      <c r="F3052">
        <v>35762.849000000002</v>
      </c>
      <c r="G3052">
        <v>13.041</v>
      </c>
    </row>
    <row r="3053" spans="1:7" x14ac:dyDescent="0.2">
      <c r="A3053">
        <f t="shared" si="47"/>
        <v>142090</v>
      </c>
      <c r="B3053">
        <v>142</v>
      </c>
      <c r="C3053">
        <v>90</v>
      </c>
      <c r="D3053">
        <v>232</v>
      </c>
      <c r="E3053" t="s">
        <v>88</v>
      </c>
      <c r="F3053">
        <v>35446.784</v>
      </c>
      <c r="G3053">
        <v>1.4219999999999999</v>
      </c>
    </row>
    <row r="3054" spans="1:7" x14ac:dyDescent="0.2">
      <c r="A3054">
        <f t="shared" si="47"/>
        <v>142091</v>
      </c>
      <c r="B3054">
        <v>142</v>
      </c>
      <c r="C3054">
        <v>91</v>
      </c>
      <c r="D3054">
        <v>233</v>
      </c>
      <c r="E3054" t="s">
        <v>89</v>
      </c>
      <c r="F3054">
        <v>37489.472000000002</v>
      </c>
      <c r="G3054">
        <v>1.3360000000000001</v>
      </c>
    </row>
    <row r="3055" spans="1:7" x14ac:dyDescent="0.2">
      <c r="A3055">
        <f t="shared" si="47"/>
        <v>142092</v>
      </c>
      <c r="B3055">
        <v>142</v>
      </c>
      <c r="C3055">
        <v>92</v>
      </c>
      <c r="D3055">
        <v>234</v>
      </c>
      <c r="E3055" t="s">
        <v>90</v>
      </c>
      <c r="F3055">
        <v>38145.025000000001</v>
      </c>
      <c r="G3055">
        <v>1.1299999999999999</v>
      </c>
    </row>
    <row r="3056" spans="1:7" x14ac:dyDescent="0.2">
      <c r="A3056">
        <f t="shared" si="47"/>
        <v>142093</v>
      </c>
      <c r="B3056">
        <v>142</v>
      </c>
      <c r="C3056">
        <v>93</v>
      </c>
      <c r="D3056">
        <v>235</v>
      </c>
      <c r="E3056" t="s">
        <v>272</v>
      </c>
      <c r="F3056">
        <v>41043.108</v>
      </c>
      <c r="G3056">
        <v>1.389</v>
      </c>
    </row>
    <row r="3057" spans="1:7" x14ac:dyDescent="0.2">
      <c r="A3057">
        <f t="shared" si="47"/>
        <v>142094</v>
      </c>
      <c r="B3057">
        <v>142</v>
      </c>
      <c r="C3057">
        <v>94</v>
      </c>
      <c r="D3057">
        <v>236</v>
      </c>
      <c r="E3057" t="s">
        <v>273</v>
      </c>
      <c r="F3057">
        <v>42901.593000000001</v>
      </c>
      <c r="G3057">
        <v>1.8109999999999999</v>
      </c>
    </row>
    <row r="3058" spans="1:7" x14ac:dyDescent="0.2">
      <c r="A3058">
        <f t="shared" si="47"/>
        <v>142095</v>
      </c>
      <c r="B3058">
        <v>142</v>
      </c>
      <c r="C3058">
        <v>95</v>
      </c>
      <c r="D3058">
        <v>237</v>
      </c>
      <c r="E3058" t="s">
        <v>274</v>
      </c>
      <c r="F3058" t="s">
        <v>1287</v>
      </c>
      <c r="G3058" t="s">
        <v>1288</v>
      </c>
    </row>
    <row r="3059" spans="1:7" x14ac:dyDescent="0.2">
      <c r="A3059">
        <f t="shared" si="47"/>
        <v>142096</v>
      </c>
      <c r="B3059">
        <v>142</v>
      </c>
      <c r="C3059">
        <v>96</v>
      </c>
      <c r="D3059">
        <v>238</v>
      </c>
      <c r="E3059" t="s">
        <v>275</v>
      </c>
      <c r="F3059">
        <v>49445.188000000002</v>
      </c>
      <c r="G3059">
        <v>12.234</v>
      </c>
    </row>
    <row r="3060" spans="1:7" x14ac:dyDescent="0.2">
      <c r="A3060">
        <f t="shared" si="47"/>
        <v>142097</v>
      </c>
      <c r="B3060">
        <v>142</v>
      </c>
      <c r="C3060">
        <v>97</v>
      </c>
      <c r="D3060">
        <v>239</v>
      </c>
      <c r="E3060" t="s">
        <v>277</v>
      </c>
      <c r="F3060" t="s">
        <v>1297</v>
      </c>
      <c r="G3060" t="s">
        <v>249</v>
      </c>
    </row>
    <row r="3061" spans="1:7" x14ac:dyDescent="0.2">
      <c r="A3061">
        <f t="shared" si="47"/>
        <v>142098</v>
      </c>
      <c r="B3061">
        <v>142</v>
      </c>
      <c r="C3061">
        <v>98</v>
      </c>
      <c r="D3061">
        <v>240</v>
      </c>
      <c r="E3061" t="s">
        <v>279</v>
      </c>
      <c r="F3061">
        <v>57990.944000000003</v>
      </c>
      <c r="G3061">
        <v>18.7</v>
      </c>
    </row>
    <row r="3062" spans="1:7" x14ac:dyDescent="0.2">
      <c r="A3062">
        <f t="shared" si="47"/>
        <v>142099</v>
      </c>
      <c r="B3062">
        <v>142</v>
      </c>
      <c r="C3062">
        <v>99</v>
      </c>
      <c r="D3062">
        <v>241</v>
      </c>
      <c r="E3062" t="s">
        <v>280</v>
      </c>
      <c r="F3062" t="s">
        <v>1308</v>
      </c>
      <c r="G3062" t="s">
        <v>1309</v>
      </c>
    </row>
    <row r="3063" spans="1:7" x14ac:dyDescent="0.2">
      <c r="A3063">
        <f t="shared" si="47"/>
        <v>142100</v>
      </c>
      <c r="B3063">
        <v>142</v>
      </c>
      <c r="C3063">
        <v>100</v>
      </c>
      <c r="D3063">
        <v>242</v>
      </c>
      <c r="E3063" t="s">
        <v>283</v>
      </c>
      <c r="F3063" t="s">
        <v>284</v>
      </c>
      <c r="G3063" t="s">
        <v>199</v>
      </c>
    </row>
    <row r="3064" spans="1:7" x14ac:dyDescent="0.2">
      <c r="A3064">
        <f t="shared" si="47"/>
        <v>143084</v>
      </c>
      <c r="B3064">
        <v>143</v>
      </c>
      <c r="C3064">
        <v>84</v>
      </c>
      <c r="D3064">
        <v>227</v>
      </c>
      <c r="E3064" t="s">
        <v>82</v>
      </c>
      <c r="F3064" t="s">
        <v>1261</v>
      </c>
      <c r="G3064" t="s">
        <v>199</v>
      </c>
    </row>
    <row r="3065" spans="1:7" x14ac:dyDescent="0.2">
      <c r="A3065">
        <f t="shared" si="47"/>
        <v>143085</v>
      </c>
      <c r="B3065">
        <v>143</v>
      </c>
      <c r="C3065">
        <v>85</v>
      </c>
      <c r="D3065">
        <v>228</v>
      </c>
      <c r="E3065" t="s">
        <v>83</v>
      </c>
      <c r="F3065" t="s">
        <v>1264</v>
      </c>
      <c r="G3065" t="s">
        <v>199</v>
      </c>
    </row>
    <row r="3066" spans="1:7" x14ac:dyDescent="0.2">
      <c r="A3066">
        <f t="shared" si="47"/>
        <v>143086</v>
      </c>
      <c r="B3066">
        <v>143</v>
      </c>
      <c r="C3066">
        <v>86</v>
      </c>
      <c r="D3066">
        <v>229</v>
      </c>
      <c r="E3066" t="s">
        <v>84</v>
      </c>
      <c r="F3066">
        <v>39362.400000000001</v>
      </c>
      <c r="G3066">
        <v>13.041</v>
      </c>
    </row>
    <row r="3067" spans="1:7" x14ac:dyDescent="0.2">
      <c r="A3067">
        <f t="shared" si="47"/>
        <v>143087</v>
      </c>
      <c r="B3067">
        <v>143</v>
      </c>
      <c r="C3067">
        <v>87</v>
      </c>
      <c r="D3067">
        <v>230</v>
      </c>
      <c r="E3067" t="s">
        <v>85</v>
      </c>
      <c r="F3067">
        <v>39486.767999999996</v>
      </c>
      <c r="G3067">
        <v>6.5410000000000004</v>
      </c>
    </row>
    <row r="3068" spans="1:7" x14ac:dyDescent="0.2">
      <c r="A3068">
        <f t="shared" si="47"/>
        <v>143088</v>
      </c>
      <c r="B3068">
        <v>143</v>
      </c>
      <c r="C3068">
        <v>88</v>
      </c>
      <c r="D3068">
        <v>231</v>
      </c>
      <c r="E3068" t="s">
        <v>86</v>
      </c>
      <c r="F3068">
        <v>38216.485999999997</v>
      </c>
      <c r="G3068">
        <v>11.37</v>
      </c>
    </row>
    <row r="3069" spans="1:7" x14ac:dyDescent="0.2">
      <c r="A3069">
        <f t="shared" si="47"/>
        <v>143089</v>
      </c>
      <c r="B3069">
        <v>143</v>
      </c>
      <c r="C3069">
        <v>89</v>
      </c>
      <c r="D3069">
        <v>232</v>
      </c>
      <c r="E3069" t="s">
        <v>87</v>
      </c>
      <c r="F3069">
        <v>39154.419000000002</v>
      </c>
      <c r="G3069">
        <v>13.041</v>
      </c>
    </row>
    <row r="3070" spans="1:7" x14ac:dyDescent="0.2">
      <c r="A3070">
        <f t="shared" si="47"/>
        <v>143090</v>
      </c>
      <c r="B3070">
        <v>143</v>
      </c>
      <c r="C3070">
        <v>90</v>
      </c>
      <c r="D3070">
        <v>233</v>
      </c>
      <c r="E3070" t="s">
        <v>88</v>
      </c>
      <c r="F3070">
        <v>38731.714999999997</v>
      </c>
      <c r="G3070">
        <v>1.425</v>
      </c>
    </row>
    <row r="3071" spans="1:7" x14ac:dyDescent="0.2">
      <c r="A3071">
        <f t="shared" si="47"/>
        <v>143091</v>
      </c>
      <c r="B3071">
        <v>143</v>
      </c>
      <c r="C3071">
        <v>91</v>
      </c>
      <c r="D3071">
        <v>234</v>
      </c>
      <c r="E3071" t="s">
        <v>89</v>
      </c>
      <c r="F3071">
        <v>40338.921000000002</v>
      </c>
      <c r="G3071">
        <v>4.0940000000000003</v>
      </c>
    </row>
    <row r="3072" spans="1:7" x14ac:dyDescent="0.2">
      <c r="A3072">
        <f t="shared" si="47"/>
        <v>143092</v>
      </c>
      <c r="B3072">
        <v>143</v>
      </c>
      <c r="C3072">
        <v>92</v>
      </c>
      <c r="D3072">
        <v>235</v>
      </c>
      <c r="E3072" t="s">
        <v>90</v>
      </c>
      <c r="F3072">
        <v>40918.845999999998</v>
      </c>
      <c r="G3072">
        <v>1.117</v>
      </c>
    </row>
    <row r="3073" spans="1:7" x14ac:dyDescent="0.2">
      <c r="A3073">
        <f t="shared" ref="A3073:A3136" si="48">1000*B3073+C3073</f>
        <v>143093</v>
      </c>
      <c r="B3073">
        <v>143</v>
      </c>
      <c r="C3073">
        <v>93</v>
      </c>
      <c r="D3073">
        <v>236</v>
      </c>
      <c r="E3073" t="s">
        <v>272</v>
      </c>
      <c r="F3073">
        <v>43378.178</v>
      </c>
      <c r="G3073">
        <v>50.420999999999999</v>
      </c>
    </row>
    <row r="3074" spans="1:7" x14ac:dyDescent="0.2">
      <c r="A3074">
        <f t="shared" si="48"/>
        <v>143094</v>
      </c>
      <c r="B3074">
        <v>143</v>
      </c>
      <c r="C3074">
        <v>94</v>
      </c>
      <c r="D3074">
        <v>237</v>
      </c>
      <c r="E3074" t="s">
        <v>273</v>
      </c>
      <c r="F3074">
        <v>45091.722000000002</v>
      </c>
      <c r="G3074">
        <v>1.6970000000000001</v>
      </c>
    </row>
    <row r="3075" spans="1:7" x14ac:dyDescent="0.2">
      <c r="A3075">
        <f t="shared" si="48"/>
        <v>143095</v>
      </c>
      <c r="B3075">
        <v>143</v>
      </c>
      <c r="C3075">
        <v>95</v>
      </c>
      <c r="D3075">
        <v>238</v>
      </c>
      <c r="E3075" t="s">
        <v>274</v>
      </c>
      <c r="F3075">
        <v>48421.487000000001</v>
      </c>
      <c r="G3075">
        <v>50.7</v>
      </c>
    </row>
    <row r="3076" spans="1:7" x14ac:dyDescent="0.2">
      <c r="A3076">
        <f t="shared" si="48"/>
        <v>143096</v>
      </c>
      <c r="B3076">
        <v>143</v>
      </c>
      <c r="C3076">
        <v>96</v>
      </c>
      <c r="D3076">
        <v>239</v>
      </c>
      <c r="E3076" t="s">
        <v>275</v>
      </c>
      <c r="F3076">
        <v>51147.025000000001</v>
      </c>
      <c r="G3076">
        <v>54.046999999999997</v>
      </c>
    </row>
    <row r="3077" spans="1:7" x14ac:dyDescent="0.2">
      <c r="A3077">
        <f t="shared" si="48"/>
        <v>143097</v>
      </c>
      <c r="B3077">
        <v>143</v>
      </c>
      <c r="C3077">
        <v>97</v>
      </c>
      <c r="D3077">
        <v>240</v>
      </c>
      <c r="E3077" t="s">
        <v>277</v>
      </c>
      <c r="F3077" t="s">
        <v>1302</v>
      </c>
      <c r="G3077" t="s">
        <v>1303</v>
      </c>
    </row>
    <row r="3078" spans="1:7" x14ac:dyDescent="0.2">
      <c r="A3078">
        <f t="shared" si="48"/>
        <v>143098</v>
      </c>
      <c r="B3078">
        <v>143</v>
      </c>
      <c r="C3078">
        <v>98</v>
      </c>
      <c r="D3078">
        <v>241</v>
      </c>
      <c r="E3078" t="s">
        <v>279</v>
      </c>
      <c r="F3078" t="s">
        <v>1306</v>
      </c>
      <c r="G3078" t="s">
        <v>1307</v>
      </c>
    </row>
    <row r="3079" spans="1:7" x14ac:dyDescent="0.2">
      <c r="A3079">
        <f t="shared" si="48"/>
        <v>143099</v>
      </c>
      <c r="B3079">
        <v>143</v>
      </c>
      <c r="C3079">
        <v>99</v>
      </c>
      <c r="D3079">
        <v>242</v>
      </c>
      <c r="E3079" t="s">
        <v>280</v>
      </c>
      <c r="F3079" t="s">
        <v>1313</v>
      </c>
      <c r="G3079" t="s">
        <v>1314</v>
      </c>
    </row>
    <row r="3080" spans="1:7" x14ac:dyDescent="0.2">
      <c r="A3080">
        <f t="shared" si="48"/>
        <v>143100</v>
      </c>
      <c r="B3080">
        <v>143</v>
      </c>
      <c r="C3080">
        <v>100</v>
      </c>
      <c r="D3080">
        <v>243</v>
      </c>
      <c r="E3080" t="s">
        <v>283</v>
      </c>
      <c r="F3080" t="s">
        <v>1320</v>
      </c>
      <c r="G3080" t="s">
        <v>1321</v>
      </c>
    </row>
    <row r="3081" spans="1:7" x14ac:dyDescent="0.2">
      <c r="A3081">
        <f t="shared" si="48"/>
        <v>144085</v>
      </c>
      <c r="B3081">
        <v>144</v>
      </c>
      <c r="C3081">
        <v>85</v>
      </c>
      <c r="D3081">
        <v>229</v>
      </c>
      <c r="E3081" t="s">
        <v>83</v>
      </c>
      <c r="F3081" t="s">
        <v>1265</v>
      </c>
      <c r="G3081" t="s">
        <v>199</v>
      </c>
    </row>
    <row r="3082" spans="1:7" x14ac:dyDescent="0.2">
      <c r="A3082">
        <f t="shared" si="48"/>
        <v>144086</v>
      </c>
      <c r="B3082">
        <v>144</v>
      </c>
      <c r="C3082">
        <v>86</v>
      </c>
      <c r="D3082">
        <v>230</v>
      </c>
      <c r="E3082" t="s">
        <v>84</v>
      </c>
      <c r="F3082" t="s">
        <v>1266</v>
      </c>
      <c r="G3082" t="s">
        <v>206</v>
      </c>
    </row>
    <row r="3083" spans="1:7" x14ac:dyDescent="0.2">
      <c r="A3083">
        <f t="shared" si="48"/>
        <v>144087</v>
      </c>
      <c r="B3083">
        <v>144</v>
      </c>
      <c r="C3083">
        <v>87</v>
      </c>
      <c r="D3083">
        <v>231</v>
      </c>
      <c r="E3083" t="s">
        <v>85</v>
      </c>
      <c r="F3083">
        <v>42080.574999999997</v>
      </c>
      <c r="G3083">
        <v>7.7309999999999999</v>
      </c>
    </row>
    <row r="3084" spans="1:7" x14ac:dyDescent="0.2">
      <c r="A3084">
        <f t="shared" si="48"/>
        <v>144088</v>
      </c>
      <c r="B3084">
        <v>144</v>
      </c>
      <c r="C3084">
        <v>88</v>
      </c>
      <c r="D3084">
        <v>232</v>
      </c>
      <c r="E3084" t="s">
        <v>86</v>
      </c>
      <c r="F3084">
        <v>40496.953000000001</v>
      </c>
      <c r="G3084">
        <v>9.1509999999999998</v>
      </c>
    </row>
    <row r="3085" spans="1:7" x14ac:dyDescent="0.2">
      <c r="A3085">
        <f t="shared" si="48"/>
        <v>144089</v>
      </c>
      <c r="B3085">
        <v>144</v>
      </c>
      <c r="C3085">
        <v>89</v>
      </c>
      <c r="D3085">
        <v>233</v>
      </c>
      <c r="E3085" t="s">
        <v>87</v>
      </c>
      <c r="F3085">
        <v>41308.033000000003</v>
      </c>
      <c r="G3085">
        <v>13.041</v>
      </c>
    </row>
    <row r="3086" spans="1:7" x14ac:dyDescent="0.2">
      <c r="A3086">
        <f t="shared" si="48"/>
        <v>144090</v>
      </c>
      <c r="B3086">
        <v>144</v>
      </c>
      <c r="C3086">
        <v>90</v>
      </c>
      <c r="D3086">
        <v>234</v>
      </c>
      <c r="E3086" t="s">
        <v>88</v>
      </c>
      <c r="F3086">
        <v>40613.008999999998</v>
      </c>
      <c r="G3086">
        <v>2.589</v>
      </c>
    </row>
    <row r="3087" spans="1:7" x14ac:dyDescent="0.2">
      <c r="A3087">
        <f t="shared" si="48"/>
        <v>144091</v>
      </c>
      <c r="B3087">
        <v>144</v>
      </c>
      <c r="C3087">
        <v>91</v>
      </c>
      <c r="D3087">
        <v>235</v>
      </c>
      <c r="E3087" t="s">
        <v>89</v>
      </c>
      <c r="F3087">
        <v>42288.896000000001</v>
      </c>
      <c r="G3087">
        <v>13.972</v>
      </c>
    </row>
    <row r="3088" spans="1:7" x14ac:dyDescent="0.2">
      <c r="A3088">
        <f t="shared" si="48"/>
        <v>144092</v>
      </c>
      <c r="B3088">
        <v>144</v>
      </c>
      <c r="C3088">
        <v>92</v>
      </c>
      <c r="D3088">
        <v>236</v>
      </c>
      <c r="E3088" t="s">
        <v>90</v>
      </c>
      <c r="F3088">
        <v>42444.644</v>
      </c>
      <c r="G3088">
        <v>1.113</v>
      </c>
    </row>
    <row r="3089" spans="1:7" x14ac:dyDescent="0.2">
      <c r="A3089">
        <f t="shared" si="48"/>
        <v>144093</v>
      </c>
      <c r="B3089">
        <v>144</v>
      </c>
      <c r="C3089">
        <v>93</v>
      </c>
      <c r="D3089">
        <v>237</v>
      </c>
      <c r="E3089" t="s">
        <v>272</v>
      </c>
      <c r="F3089">
        <v>44871.659</v>
      </c>
      <c r="G3089">
        <v>1.1200000000000001</v>
      </c>
    </row>
    <row r="3090" spans="1:7" x14ac:dyDescent="0.2">
      <c r="A3090">
        <f t="shared" si="48"/>
        <v>144094</v>
      </c>
      <c r="B3090">
        <v>144</v>
      </c>
      <c r="C3090">
        <v>94</v>
      </c>
      <c r="D3090">
        <v>238</v>
      </c>
      <c r="E3090" t="s">
        <v>273</v>
      </c>
      <c r="F3090">
        <v>46163.213000000003</v>
      </c>
      <c r="G3090">
        <v>1.139</v>
      </c>
    </row>
    <row r="3091" spans="1:7" x14ac:dyDescent="0.2">
      <c r="A3091">
        <f t="shared" si="48"/>
        <v>144095</v>
      </c>
      <c r="B3091">
        <v>144</v>
      </c>
      <c r="C3091">
        <v>95</v>
      </c>
      <c r="D3091">
        <v>239</v>
      </c>
      <c r="E3091" t="s">
        <v>274</v>
      </c>
      <c r="F3091">
        <v>49390.423999999999</v>
      </c>
      <c r="G3091">
        <v>1.982</v>
      </c>
    </row>
    <row r="3092" spans="1:7" x14ac:dyDescent="0.2">
      <c r="A3092">
        <f t="shared" si="48"/>
        <v>144096</v>
      </c>
      <c r="B3092">
        <v>144</v>
      </c>
      <c r="C3092">
        <v>96</v>
      </c>
      <c r="D3092">
        <v>240</v>
      </c>
      <c r="E3092" t="s">
        <v>275</v>
      </c>
      <c r="F3092">
        <v>51724.305999999997</v>
      </c>
      <c r="G3092">
        <v>1.9059999999999999</v>
      </c>
    </row>
    <row r="3093" spans="1:7" x14ac:dyDescent="0.2">
      <c r="A3093">
        <f t="shared" si="48"/>
        <v>144097</v>
      </c>
      <c r="B3093">
        <v>144</v>
      </c>
      <c r="C3093">
        <v>97</v>
      </c>
      <c r="D3093">
        <v>241</v>
      </c>
      <c r="E3093" t="s">
        <v>277</v>
      </c>
      <c r="F3093" t="s">
        <v>1305</v>
      </c>
      <c r="G3093" t="s">
        <v>204</v>
      </c>
    </row>
    <row r="3094" spans="1:7" x14ac:dyDescent="0.2">
      <c r="A3094">
        <f t="shared" si="48"/>
        <v>144098</v>
      </c>
      <c r="B3094">
        <v>144</v>
      </c>
      <c r="C3094">
        <v>98</v>
      </c>
      <c r="D3094">
        <v>242</v>
      </c>
      <c r="E3094" t="s">
        <v>279</v>
      </c>
      <c r="F3094">
        <v>59386.966</v>
      </c>
      <c r="G3094">
        <v>12.891999999999999</v>
      </c>
    </row>
    <row r="3095" spans="1:7" x14ac:dyDescent="0.2">
      <c r="A3095">
        <f t="shared" si="48"/>
        <v>144099</v>
      </c>
      <c r="B3095">
        <v>144</v>
      </c>
      <c r="C3095">
        <v>99</v>
      </c>
      <c r="D3095">
        <v>243</v>
      </c>
      <c r="E3095" t="s">
        <v>280</v>
      </c>
      <c r="F3095" t="s">
        <v>1319</v>
      </c>
      <c r="G3095" t="s">
        <v>249</v>
      </c>
    </row>
    <row r="3096" spans="1:7" x14ac:dyDescent="0.2">
      <c r="A3096">
        <f t="shared" si="48"/>
        <v>144100</v>
      </c>
      <c r="B3096">
        <v>144</v>
      </c>
      <c r="C3096">
        <v>100</v>
      </c>
      <c r="D3096">
        <v>244</v>
      </c>
      <c r="E3096" t="s">
        <v>283</v>
      </c>
      <c r="F3096" t="s">
        <v>1324</v>
      </c>
      <c r="G3096" t="s">
        <v>243</v>
      </c>
    </row>
    <row r="3097" spans="1:7" x14ac:dyDescent="0.2">
      <c r="A3097">
        <f t="shared" si="48"/>
        <v>144101</v>
      </c>
      <c r="B3097">
        <v>144</v>
      </c>
      <c r="C3097">
        <v>101</v>
      </c>
      <c r="D3097">
        <v>245</v>
      </c>
      <c r="E3097" t="s">
        <v>286</v>
      </c>
      <c r="F3097" t="s">
        <v>1329</v>
      </c>
      <c r="G3097" t="s">
        <v>250</v>
      </c>
    </row>
    <row r="3098" spans="1:7" x14ac:dyDescent="0.2">
      <c r="A3098">
        <f t="shared" si="48"/>
        <v>145086</v>
      </c>
      <c r="B3098">
        <v>145</v>
      </c>
      <c r="C3098">
        <v>86</v>
      </c>
      <c r="D3098">
        <v>231</v>
      </c>
      <c r="E3098" t="s">
        <v>84</v>
      </c>
      <c r="F3098" t="s">
        <v>1269</v>
      </c>
      <c r="G3098" t="s">
        <v>202</v>
      </c>
    </row>
    <row r="3099" spans="1:7" x14ac:dyDescent="0.2">
      <c r="A3099">
        <f t="shared" si="48"/>
        <v>145087</v>
      </c>
      <c r="B3099">
        <v>145</v>
      </c>
      <c r="C3099">
        <v>87</v>
      </c>
      <c r="D3099">
        <v>232</v>
      </c>
      <c r="E3099" t="s">
        <v>85</v>
      </c>
      <c r="F3099">
        <v>46072.834000000003</v>
      </c>
      <c r="G3099">
        <v>13.972</v>
      </c>
    </row>
    <row r="3100" spans="1:7" x14ac:dyDescent="0.2">
      <c r="A3100">
        <f t="shared" si="48"/>
        <v>145088</v>
      </c>
      <c r="B3100">
        <v>145</v>
      </c>
      <c r="C3100">
        <v>88</v>
      </c>
      <c r="D3100">
        <v>233</v>
      </c>
      <c r="E3100" t="s">
        <v>86</v>
      </c>
      <c r="F3100">
        <v>44334.06</v>
      </c>
      <c r="G3100">
        <v>8.6029999999999998</v>
      </c>
    </row>
    <row r="3101" spans="1:7" x14ac:dyDescent="0.2">
      <c r="A3101">
        <f t="shared" si="48"/>
        <v>145089</v>
      </c>
      <c r="B3101">
        <v>145</v>
      </c>
      <c r="C3101">
        <v>89</v>
      </c>
      <c r="D3101">
        <v>234</v>
      </c>
      <c r="E3101" t="s">
        <v>87</v>
      </c>
      <c r="F3101">
        <v>44841.19</v>
      </c>
      <c r="G3101">
        <v>13.972</v>
      </c>
    </row>
    <row r="3102" spans="1:7" x14ac:dyDescent="0.2">
      <c r="A3102">
        <f t="shared" si="48"/>
        <v>145090</v>
      </c>
      <c r="B3102">
        <v>145</v>
      </c>
      <c r="C3102">
        <v>90</v>
      </c>
      <c r="D3102">
        <v>235</v>
      </c>
      <c r="E3102" t="s">
        <v>88</v>
      </c>
      <c r="F3102">
        <v>44017.749000000003</v>
      </c>
      <c r="G3102">
        <v>13.041</v>
      </c>
    </row>
    <row r="3103" spans="1:7" x14ac:dyDescent="0.2">
      <c r="A3103">
        <f t="shared" si="48"/>
        <v>145091</v>
      </c>
      <c r="B3103">
        <v>145</v>
      </c>
      <c r="C3103">
        <v>91</v>
      </c>
      <c r="D3103">
        <v>236</v>
      </c>
      <c r="E3103" t="s">
        <v>89</v>
      </c>
      <c r="F3103">
        <v>45333.95</v>
      </c>
      <c r="G3103">
        <v>13.972</v>
      </c>
    </row>
    <row r="3104" spans="1:7" x14ac:dyDescent="0.2">
      <c r="A3104">
        <f t="shared" si="48"/>
        <v>145092</v>
      </c>
      <c r="B3104">
        <v>145</v>
      </c>
      <c r="C3104">
        <v>92</v>
      </c>
      <c r="D3104">
        <v>237</v>
      </c>
      <c r="E3104" t="s">
        <v>90</v>
      </c>
      <c r="F3104">
        <v>45390.194000000003</v>
      </c>
      <c r="G3104">
        <v>1.2030000000000001</v>
      </c>
    </row>
    <row r="3105" spans="1:7" x14ac:dyDescent="0.2">
      <c r="A3105">
        <f t="shared" si="48"/>
        <v>145093</v>
      </c>
      <c r="B3105">
        <v>145</v>
      </c>
      <c r="C3105">
        <v>93</v>
      </c>
      <c r="D3105">
        <v>238</v>
      </c>
      <c r="E3105" t="s">
        <v>272</v>
      </c>
      <c r="F3105">
        <v>47454.656000000003</v>
      </c>
      <c r="G3105">
        <v>1.1379999999999999</v>
      </c>
    </row>
    <row r="3106" spans="1:7" x14ac:dyDescent="0.2">
      <c r="A3106">
        <f t="shared" si="48"/>
        <v>145094</v>
      </c>
      <c r="B3106">
        <v>145</v>
      </c>
      <c r="C3106">
        <v>94</v>
      </c>
      <c r="D3106">
        <v>239</v>
      </c>
      <c r="E3106" t="s">
        <v>273</v>
      </c>
      <c r="F3106">
        <v>48588.281999999999</v>
      </c>
      <c r="G3106">
        <v>1.113</v>
      </c>
    </row>
    <row r="3107" spans="1:7" x14ac:dyDescent="0.2">
      <c r="A3107">
        <f t="shared" si="48"/>
        <v>145095</v>
      </c>
      <c r="B3107">
        <v>145</v>
      </c>
      <c r="C3107">
        <v>95</v>
      </c>
      <c r="D3107">
        <v>240</v>
      </c>
      <c r="E3107" t="s">
        <v>274</v>
      </c>
      <c r="F3107">
        <v>51510.169000000002</v>
      </c>
      <c r="G3107">
        <v>13.832000000000001</v>
      </c>
    </row>
    <row r="3108" spans="1:7" x14ac:dyDescent="0.2">
      <c r="A3108">
        <f t="shared" si="48"/>
        <v>145096</v>
      </c>
      <c r="B3108">
        <v>145</v>
      </c>
      <c r="C3108">
        <v>96</v>
      </c>
      <c r="D3108">
        <v>241</v>
      </c>
      <c r="E3108" t="s">
        <v>275</v>
      </c>
      <c r="F3108">
        <v>53701.83</v>
      </c>
      <c r="G3108">
        <v>1.6080000000000001</v>
      </c>
    </row>
    <row r="3109" spans="1:7" x14ac:dyDescent="0.2">
      <c r="A3109">
        <f t="shared" si="48"/>
        <v>145097</v>
      </c>
      <c r="B3109">
        <v>145</v>
      </c>
      <c r="C3109">
        <v>97</v>
      </c>
      <c r="D3109">
        <v>242</v>
      </c>
      <c r="E3109" t="s">
        <v>277</v>
      </c>
      <c r="F3109" t="s">
        <v>1312</v>
      </c>
      <c r="G3109" t="s">
        <v>204</v>
      </c>
    </row>
    <row r="3110" spans="1:7" x14ac:dyDescent="0.2">
      <c r="A3110">
        <f t="shared" si="48"/>
        <v>145098</v>
      </c>
      <c r="B3110">
        <v>145</v>
      </c>
      <c r="C3110">
        <v>98</v>
      </c>
      <c r="D3110">
        <v>243</v>
      </c>
      <c r="E3110" t="s">
        <v>279</v>
      </c>
      <c r="F3110" t="s">
        <v>1318</v>
      </c>
      <c r="G3110" t="s">
        <v>1100</v>
      </c>
    </row>
    <row r="3111" spans="1:7" x14ac:dyDescent="0.2">
      <c r="A3111">
        <f t="shared" si="48"/>
        <v>145099</v>
      </c>
      <c r="B3111">
        <v>145</v>
      </c>
      <c r="C3111">
        <v>99</v>
      </c>
      <c r="D3111">
        <v>244</v>
      </c>
      <c r="E3111" t="s">
        <v>280</v>
      </c>
      <c r="F3111" t="s">
        <v>1322</v>
      </c>
      <c r="G3111" t="s">
        <v>1323</v>
      </c>
    </row>
    <row r="3112" spans="1:7" x14ac:dyDescent="0.2">
      <c r="A3112">
        <f t="shared" si="48"/>
        <v>145100</v>
      </c>
      <c r="B3112">
        <v>145</v>
      </c>
      <c r="C3112">
        <v>100</v>
      </c>
      <c r="D3112">
        <v>245</v>
      </c>
      <c r="E3112" t="s">
        <v>283</v>
      </c>
      <c r="F3112" t="s">
        <v>1327</v>
      </c>
      <c r="G3112" t="s">
        <v>1328</v>
      </c>
    </row>
    <row r="3113" spans="1:7" x14ac:dyDescent="0.2">
      <c r="A3113">
        <f t="shared" si="48"/>
        <v>145101</v>
      </c>
      <c r="B3113">
        <v>145</v>
      </c>
      <c r="C3113">
        <v>101</v>
      </c>
      <c r="D3113">
        <v>246</v>
      </c>
      <c r="E3113" t="s">
        <v>286</v>
      </c>
      <c r="F3113" t="s">
        <v>1333</v>
      </c>
      <c r="G3113" t="s">
        <v>770</v>
      </c>
    </row>
    <row r="3114" spans="1:7" x14ac:dyDescent="0.2">
      <c r="A3114">
        <f t="shared" si="48"/>
        <v>146087</v>
      </c>
      <c r="B3114">
        <v>146</v>
      </c>
      <c r="C3114">
        <v>87</v>
      </c>
      <c r="D3114">
        <v>233</v>
      </c>
      <c r="E3114" t="s">
        <v>85</v>
      </c>
      <c r="F3114">
        <v>48920.050999999999</v>
      </c>
      <c r="G3114">
        <v>19.561</v>
      </c>
    </row>
    <row r="3115" spans="1:7" x14ac:dyDescent="0.2">
      <c r="A3115">
        <f t="shared" si="48"/>
        <v>146088</v>
      </c>
      <c r="B3115">
        <v>146</v>
      </c>
      <c r="C3115">
        <v>88</v>
      </c>
      <c r="D3115">
        <v>234</v>
      </c>
      <c r="E3115" t="s">
        <v>86</v>
      </c>
      <c r="F3115">
        <v>46930.629000000001</v>
      </c>
      <c r="G3115">
        <v>8.3829999999999991</v>
      </c>
    </row>
    <row r="3116" spans="1:7" x14ac:dyDescent="0.2">
      <c r="A3116">
        <f t="shared" si="48"/>
        <v>146089</v>
      </c>
      <c r="B3116">
        <v>146</v>
      </c>
      <c r="C3116">
        <v>89</v>
      </c>
      <c r="D3116">
        <v>235</v>
      </c>
      <c r="E3116" t="s">
        <v>87</v>
      </c>
      <c r="F3116">
        <v>47357.154999999999</v>
      </c>
      <c r="G3116">
        <v>13.972</v>
      </c>
    </row>
    <row r="3117" spans="1:7" x14ac:dyDescent="0.2">
      <c r="A3117">
        <f t="shared" si="48"/>
        <v>146090</v>
      </c>
      <c r="B3117">
        <v>146</v>
      </c>
      <c r="C3117">
        <v>90</v>
      </c>
      <c r="D3117">
        <v>236</v>
      </c>
      <c r="E3117" t="s">
        <v>88</v>
      </c>
      <c r="F3117">
        <v>46255.197999999997</v>
      </c>
      <c r="G3117">
        <v>13.972</v>
      </c>
    </row>
    <row r="3118" spans="1:7" x14ac:dyDescent="0.2">
      <c r="A3118">
        <f t="shared" si="48"/>
        <v>146091</v>
      </c>
      <c r="B3118">
        <v>146</v>
      </c>
      <c r="C3118">
        <v>91</v>
      </c>
      <c r="D3118">
        <v>237</v>
      </c>
      <c r="E3118" t="s">
        <v>89</v>
      </c>
      <c r="F3118">
        <v>47527.618999999999</v>
      </c>
      <c r="G3118">
        <v>13.041</v>
      </c>
    </row>
    <row r="3119" spans="1:7" x14ac:dyDescent="0.2">
      <c r="A3119">
        <f t="shared" si="48"/>
        <v>146092</v>
      </c>
      <c r="B3119">
        <v>146</v>
      </c>
      <c r="C3119">
        <v>92</v>
      </c>
      <c r="D3119">
        <v>238</v>
      </c>
      <c r="E3119" t="s">
        <v>90</v>
      </c>
      <c r="F3119">
        <v>47307.783000000003</v>
      </c>
      <c r="G3119">
        <v>1.4930000000000001</v>
      </c>
    </row>
    <row r="3120" spans="1:7" x14ac:dyDescent="0.2">
      <c r="A3120">
        <f t="shared" si="48"/>
        <v>146093</v>
      </c>
      <c r="B3120">
        <v>146</v>
      </c>
      <c r="C3120">
        <v>93</v>
      </c>
      <c r="D3120">
        <v>239</v>
      </c>
      <c r="E3120" t="s">
        <v>272</v>
      </c>
      <c r="F3120">
        <v>49311.057000000001</v>
      </c>
      <c r="G3120">
        <v>1.3109999999999999</v>
      </c>
    </row>
    <row r="3121" spans="1:7" x14ac:dyDescent="0.2">
      <c r="A3121">
        <f t="shared" si="48"/>
        <v>146094</v>
      </c>
      <c r="B3121">
        <v>146</v>
      </c>
      <c r="C3121">
        <v>94</v>
      </c>
      <c r="D3121">
        <v>240</v>
      </c>
      <c r="E3121" t="s">
        <v>273</v>
      </c>
      <c r="F3121">
        <v>50125.38</v>
      </c>
      <c r="G3121">
        <v>1.1060000000000001</v>
      </c>
    </row>
    <row r="3122" spans="1:7" x14ac:dyDescent="0.2">
      <c r="A3122">
        <f t="shared" si="48"/>
        <v>146095</v>
      </c>
      <c r="B3122">
        <v>146</v>
      </c>
      <c r="C3122">
        <v>95</v>
      </c>
      <c r="D3122">
        <v>241</v>
      </c>
      <c r="E3122" t="s">
        <v>274</v>
      </c>
      <c r="F3122">
        <v>52934.394999999997</v>
      </c>
      <c r="G3122">
        <v>1.1140000000000001</v>
      </c>
    </row>
    <row r="3123" spans="1:7" x14ac:dyDescent="0.2">
      <c r="A3123">
        <f t="shared" si="48"/>
        <v>146096</v>
      </c>
      <c r="B3123">
        <v>146</v>
      </c>
      <c r="C3123">
        <v>96</v>
      </c>
      <c r="D3123">
        <v>242</v>
      </c>
      <c r="E3123" t="s">
        <v>275</v>
      </c>
      <c r="F3123">
        <v>54803.764000000003</v>
      </c>
      <c r="G3123">
        <v>1.1419999999999999</v>
      </c>
    </row>
    <row r="3124" spans="1:7" x14ac:dyDescent="0.2">
      <c r="A3124">
        <f t="shared" si="48"/>
        <v>146097</v>
      </c>
      <c r="B3124">
        <v>146</v>
      </c>
      <c r="C3124">
        <v>97</v>
      </c>
      <c r="D3124">
        <v>243</v>
      </c>
      <c r="E3124" t="s">
        <v>277</v>
      </c>
      <c r="F3124">
        <v>58689.692999999999</v>
      </c>
      <c r="G3124">
        <v>4.524</v>
      </c>
    </row>
    <row r="3125" spans="1:7" x14ac:dyDescent="0.2">
      <c r="A3125">
        <f t="shared" si="48"/>
        <v>146098</v>
      </c>
      <c r="B3125">
        <v>146</v>
      </c>
      <c r="C3125">
        <v>98</v>
      </c>
      <c r="D3125">
        <v>244</v>
      </c>
      <c r="E3125" t="s">
        <v>279</v>
      </c>
      <c r="F3125">
        <v>61478.178999999996</v>
      </c>
      <c r="G3125">
        <v>2.6179999999999999</v>
      </c>
    </row>
    <row r="3126" spans="1:7" x14ac:dyDescent="0.2">
      <c r="A3126">
        <f t="shared" si="48"/>
        <v>146099</v>
      </c>
      <c r="B3126">
        <v>146</v>
      </c>
      <c r="C3126">
        <v>99</v>
      </c>
      <c r="D3126">
        <v>245</v>
      </c>
      <c r="E3126" t="s">
        <v>280</v>
      </c>
      <c r="F3126" t="s">
        <v>1326</v>
      </c>
      <c r="G3126" t="s">
        <v>204</v>
      </c>
    </row>
    <row r="3127" spans="1:7" x14ac:dyDescent="0.2">
      <c r="A3127">
        <f t="shared" si="48"/>
        <v>146100</v>
      </c>
      <c r="B3127">
        <v>146</v>
      </c>
      <c r="C3127">
        <v>100</v>
      </c>
      <c r="D3127">
        <v>246</v>
      </c>
      <c r="E3127" t="s">
        <v>283</v>
      </c>
      <c r="F3127">
        <v>70188.832999999999</v>
      </c>
      <c r="G3127">
        <v>15.333</v>
      </c>
    </row>
    <row r="3128" spans="1:7" x14ac:dyDescent="0.2">
      <c r="A3128">
        <f t="shared" si="48"/>
        <v>146101</v>
      </c>
      <c r="B3128">
        <v>146</v>
      </c>
      <c r="C3128">
        <v>101</v>
      </c>
      <c r="D3128">
        <v>247</v>
      </c>
      <c r="E3128" t="s">
        <v>286</v>
      </c>
      <c r="F3128" t="s">
        <v>1338</v>
      </c>
      <c r="G3128" t="s">
        <v>249</v>
      </c>
    </row>
    <row r="3129" spans="1:7" x14ac:dyDescent="0.2">
      <c r="A3129">
        <f t="shared" si="48"/>
        <v>146102</v>
      </c>
      <c r="B3129">
        <v>146</v>
      </c>
      <c r="C3129">
        <v>102</v>
      </c>
      <c r="D3129">
        <v>248</v>
      </c>
      <c r="E3129" t="s">
        <v>288</v>
      </c>
      <c r="F3129" t="s">
        <v>1344</v>
      </c>
      <c r="G3129" t="s">
        <v>1277</v>
      </c>
    </row>
    <row r="3130" spans="1:7" x14ac:dyDescent="0.2">
      <c r="A3130">
        <f t="shared" si="48"/>
        <v>147088</v>
      </c>
      <c r="B3130">
        <v>147</v>
      </c>
      <c r="C3130">
        <v>88</v>
      </c>
      <c r="D3130">
        <v>235</v>
      </c>
      <c r="E3130" t="s">
        <v>86</v>
      </c>
      <c r="F3130" t="s">
        <v>1282</v>
      </c>
      <c r="G3130" t="s">
        <v>235</v>
      </c>
    </row>
    <row r="3131" spans="1:7" x14ac:dyDescent="0.2">
      <c r="A3131">
        <f t="shared" si="48"/>
        <v>147089</v>
      </c>
      <c r="B3131">
        <v>147</v>
      </c>
      <c r="C3131">
        <v>89</v>
      </c>
      <c r="D3131">
        <v>236</v>
      </c>
      <c r="E3131" t="s">
        <v>87</v>
      </c>
      <c r="F3131">
        <v>51220.991999999998</v>
      </c>
      <c r="G3131">
        <v>38.191000000000003</v>
      </c>
    </row>
    <row r="3132" spans="1:7" x14ac:dyDescent="0.2">
      <c r="A3132">
        <f t="shared" si="48"/>
        <v>147090</v>
      </c>
      <c r="B3132">
        <v>147</v>
      </c>
      <c r="C3132">
        <v>90</v>
      </c>
      <c r="D3132">
        <v>237</v>
      </c>
      <c r="E3132" t="s">
        <v>88</v>
      </c>
      <c r="F3132">
        <v>49955.091999999997</v>
      </c>
      <c r="G3132">
        <v>15.835000000000001</v>
      </c>
    </row>
    <row r="3133" spans="1:7" x14ac:dyDescent="0.2">
      <c r="A3133">
        <f t="shared" si="48"/>
        <v>147091</v>
      </c>
      <c r="B3133">
        <v>147</v>
      </c>
      <c r="C3133">
        <v>91</v>
      </c>
      <c r="D3133">
        <v>238</v>
      </c>
      <c r="E3133" t="s">
        <v>89</v>
      </c>
      <c r="F3133">
        <v>50894.038</v>
      </c>
      <c r="G3133">
        <v>15.835000000000001</v>
      </c>
    </row>
    <row r="3134" spans="1:7" x14ac:dyDescent="0.2">
      <c r="A3134">
        <f t="shared" si="48"/>
        <v>147092</v>
      </c>
      <c r="B3134">
        <v>147</v>
      </c>
      <c r="C3134">
        <v>92</v>
      </c>
      <c r="D3134">
        <v>239</v>
      </c>
      <c r="E3134" t="s">
        <v>90</v>
      </c>
      <c r="F3134">
        <v>50572.718000000001</v>
      </c>
      <c r="G3134">
        <v>1.5029999999999999</v>
      </c>
    </row>
    <row r="3135" spans="1:7" x14ac:dyDescent="0.2">
      <c r="A3135">
        <f t="shared" si="48"/>
        <v>147093</v>
      </c>
      <c r="B3135">
        <v>147</v>
      </c>
      <c r="C3135">
        <v>93</v>
      </c>
      <c r="D3135">
        <v>240</v>
      </c>
      <c r="E3135" t="s">
        <v>272</v>
      </c>
      <c r="F3135">
        <v>52316.271999999997</v>
      </c>
      <c r="G3135">
        <v>17.032</v>
      </c>
    </row>
    <row r="3136" spans="1:7" x14ac:dyDescent="0.2">
      <c r="A3136">
        <f t="shared" si="48"/>
        <v>147094</v>
      </c>
      <c r="B3136">
        <v>147</v>
      </c>
      <c r="C3136">
        <v>94</v>
      </c>
      <c r="D3136">
        <v>241</v>
      </c>
      <c r="E3136" t="s">
        <v>273</v>
      </c>
      <c r="F3136">
        <v>52955.175000000003</v>
      </c>
      <c r="G3136">
        <v>1.1060000000000001</v>
      </c>
    </row>
    <row r="3137" spans="1:7" x14ac:dyDescent="0.2">
      <c r="A3137">
        <f t="shared" ref="A3137:A3200" si="49">1000*B3137+C3137</f>
        <v>147095</v>
      </c>
      <c r="B3137">
        <v>147</v>
      </c>
      <c r="C3137">
        <v>95</v>
      </c>
      <c r="D3137">
        <v>242</v>
      </c>
      <c r="E3137" t="s">
        <v>274</v>
      </c>
      <c r="F3137">
        <v>55468.072</v>
      </c>
      <c r="G3137">
        <v>1.119</v>
      </c>
    </row>
    <row r="3138" spans="1:7" x14ac:dyDescent="0.2">
      <c r="A3138">
        <f t="shared" si="49"/>
        <v>147096</v>
      </c>
      <c r="B3138">
        <v>147</v>
      </c>
      <c r="C3138">
        <v>96</v>
      </c>
      <c r="D3138">
        <v>243</v>
      </c>
      <c r="E3138" t="s">
        <v>275</v>
      </c>
      <c r="F3138">
        <v>57181.998</v>
      </c>
      <c r="G3138">
        <v>1.496</v>
      </c>
    </row>
    <row r="3139" spans="1:7" x14ac:dyDescent="0.2">
      <c r="A3139">
        <f t="shared" si="49"/>
        <v>147097</v>
      </c>
      <c r="B3139">
        <v>147</v>
      </c>
      <c r="C3139">
        <v>97</v>
      </c>
      <c r="D3139">
        <v>244</v>
      </c>
      <c r="E3139" t="s">
        <v>277</v>
      </c>
      <c r="F3139">
        <v>60713.885000000002</v>
      </c>
      <c r="G3139">
        <v>14.398999999999999</v>
      </c>
    </row>
    <row r="3140" spans="1:7" x14ac:dyDescent="0.2">
      <c r="A3140">
        <f t="shared" si="49"/>
        <v>147098</v>
      </c>
      <c r="B3140">
        <v>147</v>
      </c>
      <c r="C3140">
        <v>98</v>
      </c>
      <c r="D3140">
        <v>245</v>
      </c>
      <c r="E3140" t="s">
        <v>279</v>
      </c>
      <c r="F3140">
        <v>63385.21</v>
      </c>
      <c r="G3140">
        <v>2.4279999999999999</v>
      </c>
    </row>
    <row r="3141" spans="1:7" x14ac:dyDescent="0.2">
      <c r="A3141">
        <f t="shared" si="49"/>
        <v>147099</v>
      </c>
      <c r="B3141">
        <v>147</v>
      </c>
      <c r="C3141">
        <v>99</v>
      </c>
      <c r="D3141">
        <v>246</v>
      </c>
      <c r="E3141" t="s">
        <v>280</v>
      </c>
      <c r="F3141" t="s">
        <v>1332</v>
      </c>
      <c r="G3141" t="s">
        <v>1277</v>
      </c>
    </row>
    <row r="3142" spans="1:7" x14ac:dyDescent="0.2">
      <c r="A3142">
        <f t="shared" si="49"/>
        <v>147100</v>
      </c>
      <c r="B3142">
        <v>147</v>
      </c>
      <c r="C3142">
        <v>100</v>
      </c>
      <c r="D3142">
        <v>247</v>
      </c>
      <c r="E3142" t="s">
        <v>283</v>
      </c>
      <c r="F3142" t="s">
        <v>1336</v>
      </c>
      <c r="G3142" t="s">
        <v>1337</v>
      </c>
    </row>
    <row r="3143" spans="1:7" x14ac:dyDescent="0.2">
      <c r="A3143">
        <f t="shared" si="49"/>
        <v>147101</v>
      </c>
      <c r="B3143">
        <v>147</v>
      </c>
      <c r="C3143">
        <v>101</v>
      </c>
      <c r="D3143">
        <v>248</v>
      </c>
      <c r="E3143" t="s">
        <v>286</v>
      </c>
      <c r="F3143" t="s">
        <v>1342</v>
      </c>
      <c r="G3143" t="s">
        <v>1343</v>
      </c>
    </row>
    <row r="3144" spans="1:7" x14ac:dyDescent="0.2">
      <c r="A3144">
        <f t="shared" si="49"/>
        <v>147102</v>
      </c>
      <c r="B3144">
        <v>147</v>
      </c>
      <c r="C3144">
        <v>102</v>
      </c>
      <c r="D3144">
        <v>249</v>
      </c>
      <c r="E3144" t="s">
        <v>288</v>
      </c>
      <c r="F3144" t="s">
        <v>1348</v>
      </c>
      <c r="G3144" t="s">
        <v>226</v>
      </c>
    </row>
    <row r="3145" spans="1:7" x14ac:dyDescent="0.2">
      <c r="A3145">
        <f t="shared" si="49"/>
        <v>148089</v>
      </c>
      <c r="B3145">
        <v>148</v>
      </c>
      <c r="C3145">
        <v>89</v>
      </c>
      <c r="D3145">
        <v>237</v>
      </c>
      <c r="E3145" t="s">
        <v>87</v>
      </c>
      <c r="F3145" t="s">
        <v>1286</v>
      </c>
      <c r="G3145" t="s">
        <v>197</v>
      </c>
    </row>
    <row r="3146" spans="1:7" x14ac:dyDescent="0.2">
      <c r="A3146">
        <f t="shared" si="49"/>
        <v>148090</v>
      </c>
      <c r="B3146">
        <v>148</v>
      </c>
      <c r="C3146">
        <v>90</v>
      </c>
      <c r="D3146">
        <v>238</v>
      </c>
      <c r="E3146" t="s">
        <v>88</v>
      </c>
      <c r="F3146" t="s">
        <v>1290</v>
      </c>
      <c r="G3146" t="s">
        <v>1291</v>
      </c>
    </row>
    <row r="3147" spans="1:7" x14ac:dyDescent="0.2">
      <c r="A3147">
        <f t="shared" si="49"/>
        <v>148091</v>
      </c>
      <c r="B3147">
        <v>148</v>
      </c>
      <c r="C3147">
        <v>91</v>
      </c>
      <c r="D3147">
        <v>239</v>
      </c>
      <c r="E3147" t="s">
        <v>89</v>
      </c>
      <c r="F3147" t="s">
        <v>1296</v>
      </c>
      <c r="G3147" t="s">
        <v>206</v>
      </c>
    </row>
    <row r="3148" spans="1:7" x14ac:dyDescent="0.2">
      <c r="A3148">
        <f t="shared" si="49"/>
        <v>148092</v>
      </c>
      <c r="B3148">
        <v>148</v>
      </c>
      <c r="C3148">
        <v>92</v>
      </c>
      <c r="D3148">
        <v>240</v>
      </c>
      <c r="E3148" t="s">
        <v>90</v>
      </c>
      <c r="F3148">
        <v>52715.504999999997</v>
      </c>
      <c r="G3148">
        <v>2.5529999999999999</v>
      </c>
    </row>
    <row r="3149" spans="1:7" x14ac:dyDescent="0.2">
      <c r="A3149">
        <f t="shared" si="49"/>
        <v>148093</v>
      </c>
      <c r="B3149">
        <v>148</v>
      </c>
      <c r="C3149">
        <v>93</v>
      </c>
      <c r="D3149">
        <v>241</v>
      </c>
      <c r="E3149" t="s">
        <v>272</v>
      </c>
      <c r="F3149">
        <v>54260.175000000003</v>
      </c>
      <c r="G3149">
        <v>70.718999999999994</v>
      </c>
    </row>
    <row r="3150" spans="1:7" x14ac:dyDescent="0.2">
      <c r="A3150">
        <f t="shared" si="49"/>
        <v>148094</v>
      </c>
      <c r="B3150">
        <v>148</v>
      </c>
      <c r="C3150">
        <v>94</v>
      </c>
      <c r="D3150">
        <v>242</v>
      </c>
      <c r="E3150" t="s">
        <v>273</v>
      </c>
      <c r="F3150">
        <v>54716.932000000001</v>
      </c>
      <c r="G3150">
        <v>1.2450000000000001</v>
      </c>
    </row>
    <row r="3151" spans="1:7" x14ac:dyDescent="0.2">
      <c r="A3151">
        <f t="shared" si="49"/>
        <v>148095</v>
      </c>
      <c r="B3151">
        <v>148</v>
      </c>
      <c r="C3151">
        <v>95</v>
      </c>
      <c r="D3151">
        <v>243</v>
      </c>
      <c r="E3151" t="s">
        <v>274</v>
      </c>
      <c r="F3151">
        <v>57175.046000000002</v>
      </c>
      <c r="G3151">
        <v>1.3879999999999999</v>
      </c>
    </row>
    <row r="3152" spans="1:7" x14ac:dyDescent="0.2">
      <c r="A3152">
        <f t="shared" si="49"/>
        <v>148096</v>
      </c>
      <c r="B3152">
        <v>148</v>
      </c>
      <c r="C3152">
        <v>96</v>
      </c>
      <c r="D3152">
        <v>244</v>
      </c>
      <c r="E3152" t="s">
        <v>275</v>
      </c>
      <c r="F3152">
        <v>58451.896000000001</v>
      </c>
      <c r="G3152">
        <v>1.107</v>
      </c>
    </row>
    <row r="3153" spans="1:7" x14ac:dyDescent="0.2">
      <c r="A3153">
        <f t="shared" si="49"/>
        <v>148097</v>
      </c>
      <c r="B3153">
        <v>148</v>
      </c>
      <c r="C3153">
        <v>97</v>
      </c>
      <c r="D3153">
        <v>245</v>
      </c>
      <c r="E3153" t="s">
        <v>277</v>
      </c>
      <c r="F3153">
        <v>61813.836000000003</v>
      </c>
      <c r="G3153">
        <v>1.7929999999999999</v>
      </c>
    </row>
    <row r="3154" spans="1:7" x14ac:dyDescent="0.2">
      <c r="A3154">
        <f t="shared" si="49"/>
        <v>148098</v>
      </c>
      <c r="B3154">
        <v>148</v>
      </c>
      <c r="C3154">
        <v>98</v>
      </c>
      <c r="D3154">
        <v>246</v>
      </c>
      <c r="E3154" t="s">
        <v>279</v>
      </c>
      <c r="F3154">
        <v>64090.292000000001</v>
      </c>
      <c r="G3154">
        <v>1.5149999999999999</v>
      </c>
    </row>
    <row r="3155" spans="1:7" x14ac:dyDescent="0.2">
      <c r="A3155">
        <f t="shared" si="49"/>
        <v>148099</v>
      </c>
      <c r="B3155">
        <v>148</v>
      </c>
      <c r="C3155">
        <v>99</v>
      </c>
      <c r="D3155">
        <v>247</v>
      </c>
      <c r="E3155" t="s">
        <v>280</v>
      </c>
      <c r="F3155">
        <v>68578.388000000006</v>
      </c>
      <c r="G3155">
        <v>19.440999999999999</v>
      </c>
    </row>
    <row r="3156" spans="1:7" x14ac:dyDescent="0.2">
      <c r="A3156">
        <f t="shared" si="49"/>
        <v>148100</v>
      </c>
      <c r="B3156">
        <v>148</v>
      </c>
      <c r="C3156">
        <v>100</v>
      </c>
      <c r="D3156">
        <v>248</v>
      </c>
      <c r="E3156" t="s">
        <v>283</v>
      </c>
      <c r="F3156">
        <v>71897.857000000004</v>
      </c>
      <c r="G3156">
        <v>8.4969999999999999</v>
      </c>
    </row>
    <row r="3157" spans="1:7" x14ac:dyDescent="0.2">
      <c r="A3157">
        <f t="shared" si="49"/>
        <v>148101</v>
      </c>
      <c r="B3157">
        <v>148</v>
      </c>
      <c r="C3157">
        <v>101</v>
      </c>
      <c r="D3157">
        <v>249</v>
      </c>
      <c r="E3157" t="s">
        <v>286</v>
      </c>
      <c r="F3157" t="s">
        <v>1347</v>
      </c>
      <c r="G3157" t="s">
        <v>243</v>
      </c>
    </row>
    <row r="3158" spans="1:7" x14ac:dyDescent="0.2">
      <c r="A3158">
        <f t="shared" si="49"/>
        <v>148102</v>
      </c>
      <c r="B3158">
        <v>148</v>
      </c>
      <c r="C3158">
        <v>102</v>
      </c>
      <c r="D3158">
        <v>250</v>
      </c>
      <c r="E3158" t="s">
        <v>288</v>
      </c>
      <c r="F3158" t="s">
        <v>1351</v>
      </c>
      <c r="G3158" t="s">
        <v>243</v>
      </c>
    </row>
    <row r="3159" spans="1:7" x14ac:dyDescent="0.2">
      <c r="A3159">
        <f t="shared" si="49"/>
        <v>148103</v>
      </c>
      <c r="B3159">
        <v>148</v>
      </c>
      <c r="C3159">
        <v>103</v>
      </c>
      <c r="D3159">
        <v>251</v>
      </c>
      <c r="E3159" t="s">
        <v>289</v>
      </c>
      <c r="F3159" t="s">
        <v>1353</v>
      </c>
      <c r="G3159" t="s">
        <v>202</v>
      </c>
    </row>
    <row r="3160" spans="1:7" x14ac:dyDescent="0.2">
      <c r="A3160">
        <f t="shared" si="49"/>
        <v>149090</v>
      </c>
      <c r="B3160">
        <v>149</v>
      </c>
      <c r="C3160">
        <v>90</v>
      </c>
      <c r="D3160">
        <v>239</v>
      </c>
      <c r="E3160" t="s">
        <v>88</v>
      </c>
      <c r="F3160" t="s">
        <v>1295</v>
      </c>
      <c r="G3160" t="s">
        <v>197</v>
      </c>
    </row>
    <row r="3161" spans="1:7" x14ac:dyDescent="0.2">
      <c r="A3161">
        <f t="shared" si="49"/>
        <v>149091</v>
      </c>
      <c r="B3161">
        <v>149</v>
      </c>
      <c r="C3161">
        <v>91</v>
      </c>
      <c r="D3161">
        <v>240</v>
      </c>
      <c r="E3161" t="s">
        <v>89</v>
      </c>
      <c r="F3161" t="s">
        <v>1301</v>
      </c>
      <c r="G3161" t="s">
        <v>204</v>
      </c>
    </row>
    <row r="3162" spans="1:7" x14ac:dyDescent="0.2">
      <c r="A3162">
        <f t="shared" si="49"/>
        <v>149092</v>
      </c>
      <c r="B3162">
        <v>149</v>
      </c>
      <c r="C3162">
        <v>92</v>
      </c>
      <c r="D3162">
        <v>241</v>
      </c>
      <c r="E3162" t="s">
        <v>90</v>
      </c>
      <c r="F3162" t="s">
        <v>282</v>
      </c>
      <c r="G3162" t="s">
        <v>206</v>
      </c>
    </row>
    <row r="3163" spans="1:7" x14ac:dyDescent="0.2">
      <c r="A3163">
        <f t="shared" si="49"/>
        <v>149093</v>
      </c>
      <c r="B3163">
        <v>149</v>
      </c>
      <c r="C3163">
        <v>93</v>
      </c>
      <c r="D3163">
        <v>242</v>
      </c>
      <c r="E3163" t="s">
        <v>272</v>
      </c>
      <c r="F3163">
        <v>57416.932000000001</v>
      </c>
      <c r="G3163">
        <v>200.00399999999999</v>
      </c>
    </row>
    <row r="3164" spans="1:7" x14ac:dyDescent="0.2">
      <c r="A3164">
        <f t="shared" si="49"/>
        <v>149094</v>
      </c>
      <c r="B3164">
        <v>149</v>
      </c>
      <c r="C3164">
        <v>94</v>
      </c>
      <c r="D3164">
        <v>243</v>
      </c>
      <c r="E3164" t="s">
        <v>273</v>
      </c>
      <c r="F3164">
        <v>57754.601999999999</v>
      </c>
      <c r="G3164">
        <v>2.5419999999999998</v>
      </c>
    </row>
    <row r="3165" spans="1:7" x14ac:dyDescent="0.2">
      <c r="A3165">
        <f t="shared" si="49"/>
        <v>149095</v>
      </c>
      <c r="B3165">
        <v>149</v>
      </c>
      <c r="C3165">
        <v>95</v>
      </c>
      <c r="D3165">
        <v>244</v>
      </c>
      <c r="E3165" t="s">
        <v>274</v>
      </c>
      <c r="F3165">
        <v>59879.196000000004</v>
      </c>
      <c r="G3165">
        <v>1.492</v>
      </c>
    </row>
    <row r="3166" spans="1:7" x14ac:dyDescent="0.2">
      <c r="A3166">
        <f t="shared" si="49"/>
        <v>149096</v>
      </c>
      <c r="B3166">
        <v>149</v>
      </c>
      <c r="C3166">
        <v>96</v>
      </c>
      <c r="D3166">
        <v>245</v>
      </c>
      <c r="E3166" t="s">
        <v>275</v>
      </c>
      <c r="F3166">
        <v>61004.58</v>
      </c>
      <c r="G3166">
        <v>1.1499999999999999</v>
      </c>
    </row>
    <row r="3167" spans="1:7" x14ac:dyDescent="0.2">
      <c r="A3167">
        <f t="shared" si="49"/>
        <v>149097</v>
      </c>
      <c r="B3167">
        <v>149</v>
      </c>
      <c r="C3167">
        <v>97</v>
      </c>
      <c r="D3167">
        <v>246</v>
      </c>
      <c r="E3167" t="s">
        <v>277</v>
      </c>
      <c r="F3167">
        <v>63966.966999999997</v>
      </c>
      <c r="G3167">
        <v>60.018999999999998</v>
      </c>
    </row>
    <row r="3168" spans="1:7" x14ac:dyDescent="0.2">
      <c r="A3168">
        <f t="shared" si="49"/>
        <v>149098</v>
      </c>
      <c r="B3168">
        <v>149</v>
      </c>
      <c r="C3168">
        <v>98</v>
      </c>
      <c r="D3168">
        <v>247</v>
      </c>
      <c r="E3168" t="s">
        <v>279</v>
      </c>
      <c r="F3168">
        <v>66103.903000000006</v>
      </c>
      <c r="G3168">
        <v>15.334</v>
      </c>
    </row>
    <row r="3169" spans="1:7" x14ac:dyDescent="0.2">
      <c r="A3169">
        <f t="shared" si="49"/>
        <v>149099</v>
      </c>
      <c r="B3169">
        <v>149</v>
      </c>
      <c r="C3169">
        <v>99</v>
      </c>
      <c r="D3169">
        <v>248</v>
      </c>
      <c r="E3169" t="s">
        <v>280</v>
      </c>
      <c r="F3169" t="s">
        <v>1341</v>
      </c>
      <c r="G3169" t="s">
        <v>1150</v>
      </c>
    </row>
    <row r="3170" spans="1:7" x14ac:dyDescent="0.2">
      <c r="A3170">
        <f t="shared" si="49"/>
        <v>149100</v>
      </c>
      <c r="B3170">
        <v>149</v>
      </c>
      <c r="C3170">
        <v>100</v>
      </c>
      <c r="D3170">
        <v>249</v>
      </c>
      <c r="E3170" t="s">
        <v>283</v>
      </c>
      <c r="F3170">
        <v>73519.187999999995</v>
      </c>
      <c r="G3170">
        <v>6.2119999999999997</v>
      </c>
    </row>
    <row r="3171" spans="1:7" x14ac:dyDescent="0.2">
      <c r="A3171">
        <f t="shared" si="49"/>
        <v>149101</v>
      </c>
      <c r="B3171">
        <v>149</v>
      </c>
      <c r="C3171">
        <v>101</v>
      </c>
      <c r="D3171">
        <v>250</v>
      </c>
      <c r="E3171" t="s">
        <v>286</v>
      </c>
      <c r="F3171" t="s">
        <v>1350</v>
      </c>
      <c r="G3171" t="s">
        <v>247</v>
      </c>
    </row>
    <row r="3172" spans="1:7" x14ac:dyDescent="0.2">
      <c r="A3172">
        <f t="shared" si="49"/>
        <v>149102</v>
      </c>
      <c r="B3172">
        <v>149</v>
      </c>
      <c r="C3172">
        <v>102</v>
      </c>
      <c r="D3172">
        <v>251</v>
      </c>
      <c r="E3172" t="s">
        <v>288</v>
      </c>
      <c r="F3172" t="s">
        <v>1352</v>
      </c>
      <c r="G3172" t="s">
        <v>1100</v>
      </c>
    </row>
    <row r="3173" spans="1:7" x14ac:dyDescent="0.2">
      <c r="A3173">
        <f t="shared" si="49"/>
        <v>149103</v>
      </c>
      <c r="B3173">
        <v>149</v>
      </c>
      <c r="C3173">
        <v>103</v>
      </c>
      <c r="D3173">
        <v>252</v>
      </c>
      <c r="E3173" t="s">
        <v>289</v>
      </c>
      <c r="F3173" t="s">
        <v>1356</v>
      </c>
      <c r="G3173" t="s">
        <v>1357</v>
      </c>
    </row>
    <row r="3174" spans="1:7" x14ac:dyDescent="0.2">
      <c r="A3174">
        <f t="shared" si="49"/>
        <v>149104</v>
      </c>
      <c r="B3174">
        <v>149</v>
      </c>
      <c r="C3174">
        <v>104</v>
      </c>
      <c r="D3174">
        <v>253</v>
      </c>
      <c r="E3174" t="s">
        <v>296</v>
      </c>
      <c r="F3174" t="s">
        <v>1361</v>
      </c>
      <c r="G3174" t="s">
        <v>1362</v>
      </c>
    </row>
    <row r="3175" spans="1:7" x14ac:dyDescent="0.2">
      <c r="A3175">
        <f t="shared" si="49"/>
        <v>150091</v>
      </c>
      <c r="B3175">
        <v>150</v>
      </c>
      <c r="C3175">
        <v>91</v>
      </c>
      <c r="D3175">
        <v>241</v>
      </c>
      <c r="E3175" t="s">
        <v>89</v>
      </c>
      <c r="F3175" t="s">
        <v>1304</v>
      </c>
      <c r="G3175" t="s">
        <v>235</v>
      </c>
    </row>
    <row r="3176" spans="1:7" x14ac:dyDescent="0.2">
      <c r="A3176">
        <f t="shared" si="49"/>
        <v>150092</v>
      </c>
      <c r="B3176">
        <v>150</v>
      </c>
      <c r="C3176">
        <v>92</v>
      </c>
      <c r="D3176">
        <v>242</v>
      </c>
      <c r="E3176" t="s">
        <v>90</v>
      </c>
      <c r="F3176" t="s">
        <v>1311</v>
      </c>
      <c r="G3176" t="s">
        <v>243</v>
      </c>
    </row>
    <row r="3177" spans="1:7" x14ac:dyDescent="0.2">
      <c r="A3177">
        <f t="shared" si="49"/>
        <v>150093</v>
      </c>
      <c r="B3177">
        <v>150</v>
      </c>
      <c r="C3177">
        <v>93</v>
      </c>
      <c r="D3177">
        <v>243</v>
      </c>
      <c r="E3177" t="s">
        <v>272</v>
      </c>
      <c r="F3177" t="s">
        <v>1316</v>
      </c>
      <c r="G3177" t="s">
        <v>1317</v>
      </c>
    </row>
    <row r="3178" spans="1:7" x14ac:dyDescent="0.2">
      <c r="A3178">
        <f t="shared" si="49"/>
        <v>150094</v>
      </c>
      <c r="B3178">
        <v>150</v>
      </c>
      <c r="C3178">
        <v>94</v>
      </c>
      <c r="D3178">
        <v>244</v>
      </c>
      <c r="E3178" t="s">
        <v>273</v>
      </c>
      <c r="F3178">
        <v>59806.027999999998</v>
      </c>
      <c r="G3178">
        <v>2.3460000000000001</v>
      </c>
    </row>
    <row r="3179" spans="1:7" x14ac:dyDescent="0.2">
      <c r="A3179">
        <f t="shared" si="49"/>
        <v>150095</v>
      </c>
      <c r="B3179">
        <v>150</v>
      </c>
      <c r="C3179">
        <v>95</v>
      </c>
      <c r="D3179">
        <v>245</v>
      </c>
      <c r="E3179" t="s">
        <v>274</v>
      </c>
      <c r="F3179">
        <v>61900.468999999997</v>
      </c>
      <c r="G3179">
        <v>1.887</v>
      </c>
    </row>
    <row r="3180" spans="1:7" x14ac:dyDescent="0.2">
      <c r="A3180">
        <f t="shared" si="49"/>
        <v>150096</v>
      </c>
      <c r="B3180">
        <v>150</v>
      </c>
      <c r="C3180">
        <v>96</v>
      </c>
      <c r="D3180">
        <v>246</v>
      </c>
      <c r="E3180" t="s">
        <v>275</v>
      </c>
      <c r="F3180">
        <v>62616.966999999997</v>
      </c>
      <c r="G3180">
        <v>1.526</v>
      </c>
    </row>
    <row r="3181" spans="1:7" x14ac:dyDescent="0.2">
      <c r="A3181">
        <f t="shared" si="49"/>
        <v>150097</v>
      </c>
      <c r="B3181">
        <v>150</v>
      </c>
      <c r="C3181">
        <v>97</v>
      </c>
      <c r="D3181">
        <v>247</v>
      </c>
      <c r="E3181" t="s">
        <v>277</v>
      </c>
      <c r="F3181">
        <v>65489.561999999998</v>
      </c>
      <c r="G3181">
        <v>5.1890000000000001</v>
      </c>
    </row>
    <row r="3182" spans="1:7" x14ac:dyDescent="0.2">
      <c r="A3182">
        <f t="shared" si="49"/>
        <v>150098</v>
      </c>
      <c r="B3182">
        <v>150</v>
      </c>
      <c r="C3182">
        <v>98</v>
      </c>
      <c r="D3182">
        <v>248</v>
      </c>
      <c r="E3182" t="s">
        <v>279</v>
      </c>
      <c r="F3182">
        <v>67238.012000000002</v>
      </c>
      <c r="G3182">
        <v>5.1210000000000004</v>
      </c>
    </row>
    <row r="3183" spans="1:7" x14ac:dyDescent="0.2">
      <c r="A3183">
        <f t="shared" si="49"/>
        <v>150099</v>
      </c>
      <c r="B3183">
        <v>150</v>
      </c>
      <c r="C3183">
        <v>99</v>
      </c>
      <c r="D3183">
        <v>249</v>
      </c>
      <c r="E3183" t="s">
        <v>280</v>
      </c>
      <c r="F3183" t="s">
        <v>1345</v>
      </c>
      <c r="G3183" t="s">
        <v>1346</v>
      </c>
    </row>
    <row r="3184" spans="1:7" x14ac:dyDescent="0.2">
      <c r="A3184">
        <f t="shared" si="49"/>
        <v>150100</v>
      </c>
      <c r="B3184">
        <v>150</v>
      </c>
      <c r="C3184">
        <v>100</v>
      </c>
      <c r="D3184">
        <v>250</v>
      </c>
      <c r="E3184" t="s">
        <v>283</v>
      </c>
      <c r="F3184">
        <v>74072.243000000002</v>
      </c>
      <c r="G3184">
        <v>7.8879999999999999</v>
      </c>
    </row>
    <row r="3185" spans="1:7" x14ac:dyDescent="0.2">
      <c r="A3185">
        <f t="shared" si="49"/>
        <v>150101</v>
      </c>
      <c r="B3185">
        <v>150</v>
      </c>
      <c r="C3185">
        <v>101</v>
      </c>
      <c r="D3185">
        <v>251</v>
      </c>
      <c r="E3185" t="s">
        <v>286</v>
      </c>
      <c r="F3185">
        <v>78966.744000000006</v>
      </c>
      <c r="G3185">
        <v>18.919</v>
      </c>
    </row>
    <row r="3186" spans="1:7" x14ac:dyDescent="0.2">
      <c r="A3186">
        <f t="shared" si="49"/>
        <v>150102</v>
      </c>
      <c r="B3186">
        <v>150</v>
      </c>
      <c r="C3186">
        <v>102</v>
      </c>
      <c r="D3186">
        <v>252</v>
      </c>
      <c r="E3186" t="s">
        <v>288</v>
      </c>
      <c r="F3186">
        <v>82871.426999999996</v>
      </c>
      <c r="G3186">
        <v>9.2919999999999998</v>
      </c>
    </row>
    <row r="3187" spans="1:7" x14ac:dyDescent="0.2">
      <c r="A3187">
        <f t="shared" si="49"/>
        <v>150103</v>
      </c>
      <c r="B3187">
        <v>150</v>
      </c>
      <c r="C3187">
        <v>103</v>
      </c>
      <c r="D3187">
        <v>253</v>
      </c>
      <c r="E3187" t="s">
        <v>289</v>
      </c>
      <c r="F3187" t="s">
        <v>1360</v>
      </c>
      <c r="G3187" t="s">
        <v>230</v>
      </c>
    </row>
    <row r="3188" spans="1:7" x14ac:dyDescent="0.2">
      <c r="A3188">
        <f t="shared" si="49"/>
        <v>150104</v>
      </c>
      <c r="B3188">
        <v>150</v>
      </c>
      <c r="C3188">
        <v>104</v>
      </c>
      <c r="D3188">
        <v>254</v>
      </c>
      <c r="E3188" t="s">
        <v>296</v>
      </c>
      <c r="F3188" t="s">
        <v>1365</v>
      </c>
      <c r="G3188" t="s">
        <v>1291</v>
      </c>
    </row>
    <row r="3189" spans="1:7" x14ac:dyDescent="0.2">
      <c r="A3189">
        <f t="shared" si="49"/>
        <v>150105</v>
      </c>
      <c r="B3189">
        <v>150</v>
      </c>
      <c r="C3189">
        <v>105</v>
      </c>
      <c r="D3189">
        <v>255</v>
      </c>
      <c r="E3189" t="s">
        <v>292</v>
      </c>
      <c r="F3189" t="s">
        <v>1368</v>
      </c>
      <c r="G3189" t="s">
        <v>242</v>
      </c>
    </row>
    <row r="3190" spans="1:7" x14ac:dyDescent="0.2">
      <c r="A3190">
        <f t="shared" si="49"/>
        <v>151092</v>
      </c>
      <c r="B3190">
        <v>151</v>
      </c>
      <c r="C3190">
        <v>92</v>
      </c>
      <c r="D3190">
        <v>243</v>
      </c>
      <c r="E3190" t="s">
        <v>90</v>
      </c>
      <c r="F3190" t="s">
        <v>1315</v>
      </c>
      <c r="G3190" t="s">
        <v>235</v>
      </c>
    </row>
    <row r="3191" spans="1:7" x14ac:dyDescent="0.2">
      <c r="A3191">
        <f t="shared" si="49"/>
        <v>151093</v>
      </c>
      <c r="B3191">
        <v>151</v>
      </c>
      <c r="C3191">
        <v>93</v>
      </c>
      <c r="D3191">
        <v>244</v>
      </c>
      <c r="E3191" t="s">
        <v>272</v>
      </c>
      <c r="F3191" t="s">
        <v>285</v>
      </c>
      <c r="G3191" t="s">
        <v>202</v>
      </c>
    </row>
    <row r="3192" spans="1:7" x14ac:dyDescent="0.2">
      <c r="A3192">
        <f t="shared" si="49"/>
        <v>151094</v>
      </c>
      <c r="B3192">
        <v>151</v>
      </c>
      <c r="C3192">
        <v>94</v>
      </c>
      <c r="D3192">
        <v>245</v>
      </c>
      <c r="E3192" t="s">
        <v>273</v>
      </c>
      <c r="F3192">
        <v>63178.178999999996</v>
      </c>
      <c r="G3192">
        <v>13.62</v>
      </c>
    </row>
    <row r="3193" spans="1:7" x14ac:dyDescent="0.2">
      <c r="A3193">
        <f t="shared" si="49"/>
        <v>151095</v>
      </c>
      <c r="B3193">
        <v>151</v>
      </c>
      <c r="C3193">
        <v>95</v>
      </c>
      <c r="D3193">
        <v>246</v>
      </c>
      <c r="E3193" t="s">
        <v>274</v>
      </c>
      <c r="F3193" t="s">
        <v>1330</v>
      </c>
      <c r="G3193" t="s">
        <v>1331</v>
      </c>
    </row>
    <row r="3194" spans="1:7" x14ac:dyDescent="0.2">
      <c r="A3194">
        <f t="shared" si="49"/>
        <v>151096</v>
      </c>
      <c r="B3194">
        <v>151</v>
      </c>
      <c r="C3194">
        <v>96</v>
      </c>
      <c r="D3194">
        <v>247</v>
      </c>
      <c r="E3194" t="s">
        <v>275</v>
      </c>
      <c r="F3194">
        <v>65533.142999999996</v>
      </c>
      <c r="G3194">
        <v>3.7970000000000002</v>
      </c>
    </row>
    <row r="3195" spans="1:7" x14ac:dyDescent="0.2">
      <c r="A3195">
        <f t="shared" si="49"/>
        <v>151097</v>
      </c>
      <c r="B3195">
        <v>151</v>
      </c>
      <c r="C3195">
        <v>97</v>
      </c>
      <c r="D3195">
        <v>248</v>
      </c>
      <c r="E3195" t="s">
        <v>277</v>
      </c>
      <c r="F3195" t="s">
        <v>1340</v>
      </c>
      <c r="G3195" t="s">
        <v>219</v>
      </c>
    </row>
    <row r="3196" spans="1:7" x14ac:dyDescent="0.2">
      <c r="A3196">
        <f t="shared" si="49"/>
        <v>151098</v>
      </c>
      <c r="B3196">
        <v>151</v>
      </c>
      <c r="C3196">
        <v>98</v>
      </c>
      <c r="D3196">
        <v>249</v>
      </c>
      <c r="E3196" t="s">
        <v>279</v>
      </c>
      <c r="F3196">
        <v>69722.784</v>
      </c>
      <c r="G3196">
        <v>1.1830000000000001</v>
      </c>
    </row>
    <row r="3197" spans="1:7" x14ac:dyDescent="0.2">
      <c r="A3197">
        <f t="shared" si="49"/>
        <v>151099</v>
      </c>
      <c r="B3197">
        <v>151</v>
      </c>
      <c r="C3197">
        <v>99</v>
      </c>
      <c r="D3197">
        <v>250</v>
      </c>
      <c r="E3197" t="s">
        <v>280</v>
      </c>
      <c r="F3197" t="s">
        <v>1349</v>
      </c>
      <c r="G3197" t="s">
        <v>795</v>
      </c>
    </row>
    <row r="3198" spans="1:7" x14ac:dyDescent="0.2">
      <c r="A3198">
        <f t="shared" si="49"/>
        <v>151100</v>
      </c>
      <c r="B3198">
        <v>151</v>
      </c>
      <c r="C3198">
        <v>100</v>
      </c>
      <c r="D3198">
        <v>251</v>
      </c>
      <c r="E3198" t="s">
        <v>283</v>
      </c>
      <c r="F3198">
        <v>75953.918999999994</v>
      </c>
      <c r="G3198">
        <v>15.202999999999999</v>
      </c>
    </row>
    <row r="3199" spans="1:7" x14ac:dyDescent="0.2">
      <c r="A3199">
        <f t="shared" si="49"/>
        <v>151101</v>
      </c>
      <c r="B3199">
        <v>151</v>
      </c>
      <c r="C3199">
        <v>101</v>
      </c>
      <c r="D3199">
        <v>252</v>
      </c>
      <c r="E3199" t="s">
        <v>286</v>
      </c>
      <c r="F3199" t="s">
        <v>1355</v>
      </c>
      <c r="G3199" t="s">
        <v>214</v>
      </c>
    </row>
    <row r="3200" spans="1:7" x14ac:dyDescent="0.2">
      <c r="A3200">
        <f t="shared" si="49"/>
        <v>151102</v>
      </c>
      <c r="B3200">
        <v>151</v>
      </c>
      <c r="C3200">
        <v>102</v>
      </c>
      <c r="D3200">
        <v>253</v>
      </c>
      <c r="E3200" t="s">
        <v>288</v>
      </c>
      <c r="F3200">
        <v>84358.735000000001</v>
      </c>
      <c r="G3200">
        <v>6.9119999999999999</v>
      </c>
    </row>
    <row r="3201" spans="1:7" x14ac:dyDescent="0.2">
      <c r="A3201">
        <f t="shared" ref="A3201:A3264" si="50">1000*B3201+C3201</f>
        <v>151103</v>
      </c>
      <c r="B3201">
        <v>151</v>
      </c>
      <c r="C3201">
        <v>103</v>
      </c>
      <c r="D3201">
        <v>254</v>
      </c>
      <c r="E3201" t="s">
        <v>289</v>
      </c>
      <c r="F3201" t="s">
        <v>1364</v>
      </c>
      <c r="G3201" t="s">
        <v>247</v>
      </c>
    </row>
    <row r="3202" spans="1:7" x14ac:dyDescent="0.2">
      <c r="A3202">
        <f t="shared" si="50"/>
        <v>151104</v>
      </c>
      <c r="B3202">
        <v>151</v>
      </c>
      <c r="C3202">
        <v>104</v>
      </c>
      <c r="D3202">
        <v>255</v>
      </c>
      <c r="E3202" t="s">
        <v>296</v>
      </c>
      <c r="F3202" t="s">
        <v>1367</v>
      </c>
      <c r="G3202" t="s">
        <v>1337</v>
      </c>
    </row>
    <row r="3203" spans="1:7" x14ac:dyDescent="0.2">
      <c r="A3203">
        <f t="shared" si="50"/>
        <v>151105</v>
      </c>
      <c r="B3203">
        <v>151</v>
      </c>
      <c r="C3203">
        <v>105</v>
      </c>
      <c r="D3203">
        <v>256</v>
      </c>
      <c r="E3203" t="s">
        <v>292</v>
      </c>
      <c r="F3203" t="s">
        <v>1373</v>
      </c>
      <c r="G3203" t="s">
        <v>1374</v>
      </c>
    </row>
    <row r="3204" spans="1:7" x14ac:dyDescent="0.2">
      <c r="A3204">
        <f t="shared" si="50"/>
        <v>152093</v>
      </c>
      <c r="B3204">
        <v>152</v>
      </c>
      <c r="C3204">
        <v>93</v>
      </c>
      <c r="D3204">
        <v>245</v>
      </c>
      <c r="E3204" t="s">
        <v>272</v>
      </c>
      <c r="F3204" t="s">
        <v>1325</v>
      </c>
      <c r="G3204" t="s">
        <v>235</v>
      </c>
    </row>
    <row r="3205" spans="1:7" x14ac:dyDescent="0.2">
      <c r="A3205">
        <f t="shared" si="50"/>
        <v>152094</v>
      </c>
      <c r="B3205">
        <v>152</v>
      </c>
      <c r="C3205">
        <v>94</v>
      </c>
      <c r="D3205">
        <v>246</v>
      </c>
      <c r="E3205" t="s">
        <v>273</v>
      </c>
      <c r="F3205">
        <v>65394.800999999999</v>
      </c>
      <c r="G3205">
        <v>14.984999999999999</v>
      </c>
    </row>
    <row r="3206" spans="1:7" x14ac:dyDescent="0.2">
      <c r="A3206">
        <f t="shared" si="50"/>
        <v>152095</v>
      </c>
      <c r="B3206">
        <v>152</v>
      </c>
      <c r="C3206">
        <v>95</v>
      </c>
      <c r="D3206">
        <v>247</v>
      </c>
      <c r="E3206" t="s">
        <v>274</v>
      </c>
      <c r="F3206" t="s">
        <v>1335</v>
      </c>
      <c r="G3206" t="s">
        <v>795</v>
      </c>
    </row>
    <row r="3207" spans="1:7" x14ac:dyDescent="0.2">
      <c r="A3207">
        <f t="shared" si="50"/>
        <v>152096</v>
      </c>
      <c r="B3207">
        <v>152</v>
      </c>
      <c r="C3207">
        <v>96</v>
      </c>
      <c r="D3207">
        <v>248</v>
      </c>
      <c r="E3207" t="s">
        <v>275</v>
      </c>
      <c r="F3207">
        <v>67392.755000000005</v>
      </c>
      <c r="G3207">
        <v>2.3580000000000001</v>
      </c>
    </row>
    <row r="3208" spans="1:7" x14ac:dyDescent="0.2">
      <c r="A3208">
        <f t="shared" si="50"/>
        <v>152097</v>
      </c>
      <c r="B3208">
        <v>152</v>
      </c>
      <c r="C3208">
        <v>97</v>
      </c>
      <c r="D3208">
        <v>249</v>
      </c>
      <c r="E3208" t="s">
        <v>277</v>
      </c>
      <c r="F3208">
        <v>69846.384000000005</v>
      </c>
      <c r="G3208">
        <v>1.2490000000000001</v>
      </c>
    </row>
    <row r="3209" spans="1:7" x14ac:dyDescent="0.2">
      <c r="A3209">
        <f t="shared" si="50"/>
        <v>152098</v>
      </c>
      <c r="B3209">
        <v>152</v>
      </c>
      <c r="C3209">
        <v>98</v>
      </c>
      <c r="D3209">
        <v>250</v>
      </c>
      <c r="E3209" t="s">
        <v>279</v>
      </c>
      <c r="F3209">
        <v>71170.391000000003</v>
      </c>
      <c r="G3209">
        <v>1.538</v>
      </c>
    </row>
    <row r="3210" spans="1:7" x14ac:dyDescent="0.2">
      <c r="A3210">
        <f t="shared" si="50"/>
        <v>152099</v>
      </c>
      <c r="B3210">
        <v>152</v>
      </c>
      <c r="C3210">
        <v>99</v>
      </c>
      <c r="D3210">
        <v>251</v>
      </c>
      <c r="E3210" t="s">
        <v>280</v>
      </c>
      <c r="F3210">
        <v>74512.277000000002</v>
      </c>
      <c r="G3210">
        <v>5.9939999999999998</v>
      </c>
    </row>
    <row r="3211" spans="1:7" x14ac:dyDescent="0.2">
      <c r="A3211">
        <f t="shared" si="50"/>
        <v>152100</v>
      </c>
      <c r="B3211">
        <v>152</v>
      </c>
      <c r="C3211">
        <v>100</v>
      </c>
      <c r="D3211">
        <v>252</v>
      </c>
      <c r="E3211" t="s">
        <v>283</v>
      </c>
      <c r="F3211">
        <v>76815.626999999993</v>
      </c>
      <c r="G3211">
        <v>5.4980000000000002</v>
      </c>
    </row>
    <row r="3212" spans="1:7" x14ac:dyDescent="0.2">
      <c r="A3212">
        <f t="shared" si="50"/>
        <v>152101</v>
      </c>
      <c r="B3212">
        <v>152</v>
      </c>
      <c r="C3212">
        <v>101</v>
      </c>
      <c r="D3212">
        <v>253</v>
      </c>
      <c r="E3212" t="s">
        <v>286</v>
      </c>
      <c r="F3212" t="s">
        <v>1358</v>
      </c>
      <c r="G3212" t="s">
        <v>1359</v>
      </c>
    </row>
    <row r="3213" spans="1:7" x14ac:dyDescent="0.2">
      <c r="A3213">
        <f t="shared" si="50"/>
        <v>152102</v>
      </c>
      <c r="B3213">
        <v>152</v>
      </c>
      <c r="C3213">
        <v>102</v>
      </c>
      <c r="D3213">
        <v>254</v>
      </c>
      <c r="E3213" t="s">
        <v>288</v>
      </c>
      <c r="F3213">
        <v>84723.346999999994</v>
      </c>
      <c r="G3213">
        <v>9.6579999999999995</v>
      </c>
    </row>
    <row r="3214" spans="1:7" x14ac:dyDescent="0.2">
      <c r="A3214">
        <f t="shared" si="50"/>
        <v>152103</v>
      </c>
      <c r="B3214">
        <v>152</v>
      </c>
      <c r="C3214">
        <v>103</v>
      </c>
      <c r="D3214">
        <v>255</v>
      </c>
      <c r="E3214" t="s">
        <v>289</v>
      </c>
      <c r="F3214">
        <v>89947.3</v>
      </c>
      <c r="G3214">
        <v>17.698</v>
      </c>
    </row>
    <row r="3215" spans="1:7" x14ac:dyDescent="0.2">
      <c r="A3215">
        <f t="shared" si="50"/>
        <v>152104</v>
      </c>
      <c r="B3215">
        <v>152</v>
      </c>
      <c r="C3215">
        <v>104</v>
      </c>
      <c r="D3215">
        <v>256</v>
      </c>
      <c r="E3215" t="s">
        <v>296</v>
      </c>
      <c r="F3215">
        <v>94222.048999999999</v>
      </c>
      <c r="G3215">
        <v>17.847999999999999</v>
      </c>
    </row>
    <row r="3216" spans="1:7" x14ac:dyDescent="0.2">
      <c r="A3216">
        <f t="shared" si="50"/>
        <v>152105</v>
      </c>
      <c r="B3216">
        <v>152</v>
      </c>
      <c r="C3216">
        <v>105</v>
      </c>
      <c r="D3216">
        <v>257</v>
      </c>
      <c r="E3216" t="s">
        <v>292</v>
      </c>
      <c r="F3216" t="s">
        <v>1378</v>
      </c>
      <c r="G3216" t="s">
        <v>208</v>
      </c>
    </row>
    <row r="3217" spans="1:7" x14ac:dyDescent="0.2">
      <c r="A3217">
        <f t="shared" si="50"/>
        <v>152106</v>
      </c>
      <c r="B3217">
        <v>152</v>
      </c>
      <c r="C3217">
        <v>106</v>
      </c>
      <c r="D3217">
        <v>258</v>
      </c>
      <c r="E3217" t="s">
        <v>1384</v>
      </c>
      <c r="F3217" t="s">
        <v>1385</v>
      </c>
      <c r="G3217" t="s">
        <v>1386</v>
      </c>
    </row>
    <row r="3218" spans="1:7" x14ac:dyDescent="0.2">
      <c r="A3218">
        <f t="shared" si="50"/>
        <v>153094</v>
      </c>
      <c r="B3218">
        <v>153</v>
      </c>
      <c r="C3218">
        <v>94</v>
      </c>
      <c r="D3218">
        <v>247</v>
      </c>
      <c r="E3218" t="s">
        <v>273</v>
      </c>
      <c r="F3218" t="s">
        <v>1334</v>
      </c>
      <c r="G3218" t="s">
        <v>206</v>
      </c>
    </row>
    <row r="3219" spans="1:7" x14ac:dyDescent="0.2">
      <c r="A3219">
        <f t="shared" si="50"/>
        <v>153095</v>
      </c>
      <c r="B3219">
        <v>153</v>
      </c>
      <c r="C3219">
        <v>95</v>
      </c>
      <c r="D3219">
        <v>248</v>
      </c>
      <c r="E3219" t="s">
        <v>274</v>
      </c>
      <c r="F3219" t="s">
        <v>1339</v>
      </c>
      <c r="G3219" t="s">
        <v>204</v>
      </c>
    </row>
    <row r="3220" spans="1:7" x14ac:dyDescent="0.2">
      <c r="A3220">
        <f t="shared" si="50"/>
        <v>153096</v>
      </c>
      <c r="B3220">
        <v>153</v>
      </c>
      <c r="C3220">
        <v>96</v>
      </c>
      <c r="D3220">
        <v>249</v>
      </c>
      <c r="E3220" t="s">
        <v>275</v>
      </c>
      <c r="F3220">
        <v>70750.702000000005</v>
      </c>
      <c r="G3220">
        <v>2.371</v>
      </c>
    </row>
    <row r="3221" spans="1:7" x14ac:dyDescent="0.2">
      <c r="A3221">
        <f t="shared" si="50"/>
        <v>153097</v>
      </c>
      <c r="B3221">
        <v>153</v>
      </c>
      <c r="C3221">
        <v>97</v>
      </c>
      <c r="D3221">
        <v>250</v>
      </c>
      <c r="E3221" t="s">
        <v>277</v>
      </c>
      <c r="F3221">
        <v>72949.978000000003</v>
      </c>
      <c r="G3221">
        <v>3.7189999999999999</v>
      </c>
    </row>
    <row r="3222" spans="1:7" x14ac:dyDescent="0.2">
      <c r="A3222">
        <f t="shared" si="50"/>
        <v>153098</v>
      </c>
      <c r="B3222">
        <v>153</v>
      </c>
      <c r="C3222">
        <v>98</v>
      </c>
      <c r="D3222">
        <v>251</v>
      </c>
      <c r="E3222" t="s">
        <v>279</v>
      </c>
      <c r="F3222">
        <v>74135.017999999996</v>
      </c>
      <c r="G3222">
        <v>3.9009999999999998</v>
      </c>
    </row>
    <row r="3223" spans="1:7" x14ac:dyDescent="0.2">
      <c r="A3223">
        <f t="shared" si="50"/>
        <v>153099</v>
      </c>
      <c r="B3223">
        <v>153</v>
      </c>
      <c r="C3223">
        <v>99</v>
      </c>
      <c r="D3223">
        <v>252</v>
      </c>
      <c r="E3223" t="s">
        <v>280</v>
      </c>
      <c r="F3223">
        <v>77294.616999999998</v>
      </c>
      <c r="G3223">
        <v>50.055999999999997</v>
      </c>
    </row>
    <row r="3224" spans="1:7" x14ac:dyDescent="0.2">
      <c r="A3224">
        <f t="shared" si="50"/>
        <v>153100</v>
      </c>
      <c r="B3224">
        <v>153</v>
      </c>
      <c r="C3224">
        <v>100</v>
      </c>
      <c r="D3224">
        <v>253</v>
      </c>
      <c r="E3224" t="s">
        <v>283</v>
      </c>
      <c r="F3224">
        <v>79345.740000000005</v>
      </c>
      <c r="G3224">
        <v>2.9319999999999999</v>
      </c>
    </row>
    <row r="3225" spans="1:7" x14ac:dyDescent="0.2">
      <c r="A3225">
        <f t="shared" si="50"/>
        <v>153101</v>
      </c>
      <c r="B3225">
        <v>153</v>
      </c>
      <c r="C3225">
        <v>101</v>
      </c>
      <c r="D3225">
        <v>254</v>
      </c>
      <c r="E3225" t="s">
        <v>286</v>
      </c>
      <c r="F3225" t="s">
        <v>1363</v>
      </c>
      <c r="G3225" t="s">
        <v>795</v>
      </c>
    </row>
    <row r="3226" spans="1:7" x14ac:dyDescent="0.2">
      <c r="A3226">
        <f t="shared" si="50"/>
        <v>153102</v>
      </c>
      <c r="B3226">
        <v>153</v>
      </c>
      <c r="C3226">
        <v>102</v>
      </c>
      <c r="D3226">
        <v>255</v>
      </c>
      <c r="E3226" t="s">
        <v>288</v>
      </c>
      <c r="F3226">
        <v>86807.233999999997</v>
      </c>
      <c r="G3226">
        <v>14.904</v>
      </c>
    </row>
    <row r="3227" spans="1:7" x14ac:dyDescent="0.2">
      <c r="A3227">
        <f t="shared" si="50"/>
        <v>153103</v>
      </c>
      <c r="B3227">
        <v>153</v>
      </c>
      <c r="C3227">
        <v>103</v>
      </c>
      <c r="D3227">
        <v>256</v>
      </c>
      <c r="E3227" t="s">
        <v>289</v>
      </c>
      <c r="F3227">
        <v>91746.597999999998</v>
      </c>
      <c r="G3227">
        <v>82.903000000000006</v>
      </c>
    </row>
    <row r="3228" spans="1:7" x14ac:dyDescent="0.2">
      <c r="A3228">
        <f t="shared" si="50"/>
        <v>153104</v>
      </c>
      <c r="B3228">
        <v>153</v>
      </c>
      <c r="C3228">
        <v>104</v>
      </c>
      <c r="D3228">
        <v>257</v>
      </c>
      <c r="E3228" t="s">
        <v>296</v>
      </c>
      <c r="F3228">
        <v>95866.426999999996</v>
      </c>
      <c r="G3228">
        <v>10.817</v>
      </c>
    </row>
    <row r="3229" spans="1:7" x14ac:dyDescent="0.2">
      <c r="A3229">
        <f t="shared" si="50"/>
        <v>153105</v>
      </c>
      <c r="B3229">
        <v>153</v>
      </c>
      <c r="C3229">
        <v>105</v>
      </c>
      <c r="D3229">
        <v>258</v>
      </c>
      <c r="E3229" t="s">
        <v>292</v>
      </c>
      <c r="F3229" t="s">
        <v>1383</v>
      </c>
      <c r="G3229" t="s">
        <v>250</v>
      </c>
    </row>
    <row r="3230" spans="1:7" x14ac:dyDescent="0.2">
      <c r="A3230">
        <f t="shared" si="50"/>
        <v>153106</v>
      </c>
      <c r="B3230">
        <v>153</v>
      </c>
      <c r="C3230">
        <v>106</v>
      </c>
      <c r="D3230">
        <v>259</v>
      </c>
      <c r="E3230" t="s">
        <v>1384</v>
      </c>
      <c r="F3230" t="s">
        <v>1391</v>
      </c>
      <c r="G3230" t="s">
        <v>1337</v>
      </c>
    </row>
    <row r="3231" spans="1:7" x14ac:dyDescent="0.2">
      <c r="A3231">
        <f t="shared" si="50"/>
        <v>153107</v>
      </c>
      <c r="B3231">
        <v>153</v>
      </c>
      <c r="C3231">
        <v>107</v>
      </c>
      <c r="D3231">
        <v>260</v>
      </c>
      <c r="E3231" t="s">
        <v>297</v>
      </c>
      <c r="F3231" t="s">
        <v>1401</v>
      </c>
      <c r="G3231" t="s">
        <v>1402</v>
      </c>
    </row>
    <row r="3232" spans="1:7" x14ac:dyDescent="0.2">
      <c r="A3232">
        <f t="shared" si="50"/>
        <v>154095</v>
      </c>
      <c r="B3232">
        <v>154</v>
      </c>
      <c r="C3232">
        <v>95</v>
      </c>
      <c r="D3232">
        <v>249</v>
      </c>
      <c r="E3232" t="s">
        <v>274</v>
      </c>
      <c r="F3232" t="s">
        <v>287</v>
      </c>
      <c r="G3232" t="s">
        <v>202</v>
      </c>
    </row>
    <row r="3233" spans="1:7" x14ac:dyDescent="0.2">
      <c r="A3233">
        <f t="shared" si="50"/>
        <v>154096</v>
      </c>
      <c r="B3233">
        <v>154</v>
      </c>
      <c r="C3233">
        <v>96</v>
      </c>
      <c r="D3233">
        <v>250</v>
      </c>
      <c r="E3233" t="s">
        <v>275</v>
      </c>
      <c r="F3233">
        <v>72989.593999999997</v>
      </c>
      <c r="G3233">
        <v>10.273999999999999</v>
      </c>
    </row>
    <row r="3234" spans="1:7" x14ac:dyDescent="0.2">
      <c r="A3234">
        <f t="shared" si="50"/>
        <v>154097</v>
      </c>
      <c r="B3234">
        <v>154</v>
      </c>
      <c r="C3234">
        <v>97</v>
      </c>
      <c r="D3234">
        <v>251</v>
      </c>
      <c r="E3234" t="s">
        <v>277</v>
      </c>
      <c r="F3234">
        <v>75228.017999999996</v>
      </c>
      <c r="G3234">
        <v>10.734</v>
      </c>
    </row>
    <row r="3235" spans="1:7" x14ac:dyDescent="0.2">
      <c r="A3235">
        <f t="shared" si="50"/>
        <v>154098</v>
      </c>
      <c r="B3235">
        <v>154</v>
      </c>
      <c r="C3235">
        <v>98</v>
      </c>
      <c r="D3235">
        <v>252</v>
      </c>
      <c r="E3235" t="s">
        <v>279</v>
      </c>
      <c r="F3235">
        <v>76034.616999999998</v>
      </c>
      <c r="G3235">
        <v>2.3580000000000001</v>
      </c>
    </row>
    <row r="3236" spans="1:7" x14ac:dyDescent="0.2">
      <c r="A3236">
        <f t="shared" si="50"/>
        <v>154099</v>
      </c>
      <c r="B3236">
        <v>154</v>
      </c>
      <c r="C3236">
        <v>99</v>
      </c>
      <c r="D3236">
        <v>253</v>
      </c>
      <c r="E3236" t="s">
        <v>280</v>
      </c>
      <c r="F3236">
        <v>79010.538</v>
      </c>
      <c r="G3236">
        <v>1.25</v>
      </c>
    </row>
    <row r="3237" spans="1:7" x14ac:dyDescent="0.2">
      <c r="A3237">
        <f t="shared" si="50"/>
        <v>154100</v>
      </c>
      <c r="B3237">
        <v>154</v>
      </c>
      <c r="C3237">
        <v>100</v>
      </c>
      <c r="D3237">
        <v>254</v>
      </c>
      <c r="E3237" t="s">
        <v>283</v>
      </c>
      <c r="F3237">
        <v>80902.793999999994</v>
      </c>
      <c r="G3237">
        <v>2.4140000000000001</v>
      </c>
    </row>
    <row r="3238" spans="1:7" x14ac:dyDescent="0.2">
      <c r="A3238">
        <f t="shared" si="50"/>
        <v>154101</v>
      </c>
      <c r="B3238">
        <v>154</v>
      </c>
      <c r="C3238">
        <v>101</v>
      </c>
      <c r="D3238">
        <v>255</v>
      </c>
      <c r="E3238" t="s">
        <v>286</v>
      </c>
      <c r="F3238">
        <v>84843.07</v>
      </c>
      <c r="G3238">
        <v>6.5529999999999999</v>
      </c>
    </row>
    <row r="3239" spans="1:7" x14ac:dyDescent="0.2">
      <c r="A3239">
        <f t="shared" si="50"/>
        <v>154102</v>
      </c>
      <c r="B3239">
        <v>154</v>
      </c>
      <c r="C3239">
        <v>102</v>
      </c>
      <c r="D3239">
        <v>256</v>
      </c>
      <c r="E3239" t="s">
        <v>288</v>
      </c>
      <c r="F3239">
        <v>87822.062000000005</v>
      </c>
      <c r="G3239">
        <v>7.7430000000000003</v>
      </c>
    </row>
    <row r="3240" spans="1:7" x14ac:dyDescent="0.2">
      <c r="A3240">
        <f t="shared" si="50"/>
        <v>154103</v>
      </c>
      <c r="B3240">
        <v>154</v>
      </c>
      <c r="C3240">
        <v>103</v>
      </c>
      <c r="D3240">
        <v>257</v>
      </c>
      <c r="E3240" t="s">
        <v>289</v>
      </c>
      <c r="F3240" t="s">
        <v>1376</v>
      </c>
      <c r="G3240" t="s">
        <v>1377</v>
      </c>
    </row>
    <row r="3241" spans="1:7" x14ac:dyDescent="0.2">
      <c r="A3241">
        <f t="shared" si="50"/>
        <v>154104</v>
      </c>
      <c r="B3241">
        <v>154</v>
      </c>
      <c r="C3241">
        <v>104</v>
      </c>
      <c r="D3241">
        <v>258</v>
      </c>
      <c r="E3241" t="s">
        <v>296</v>
      </c>
      <c r="F3241">
        <v>96341.035999999993</v>
      </c>
      <c r="G3241">
        <v>31.966999999999999</v>
      </c>
    </row>
    <row r="3242" spans="1:7" x14ac:dyDescent="0.2">
      <c r="A3242">
        <f t="shared" si="50"/>
        <v>154105</v>
      </c>
      <c r="B3242">
        <v>154</v>
      </c>
      <c r="C3242">
        <v>105</v>
      </c>
      <c r="D3242">
        <v>259</v>
      </c>
      <c r="E3242" t="s">
        <v>292</v>
      </c>
      <c r="F3242">
        <v>101991.016</v>
      </c>
      <c r="G3242">
        <v>53.04</v>
      </c>
    </row>
    <row r="3243" spans="1:7" x14ac:dyDescent="0.2">
      <c r="A3243">
        <f t="shared" si="50"/>
        <v>154106</v>
      </c>
      <c r="B3243">
        <v>154</v>
      </c>
      <c r="C3243">
        <v>106</v>
      </c>
      <c r="D3243">
        <v>260</v>
      </c>
      <c r="E3243" t="s">
        <v>1384</v>
      </c>
      <c r="F3243">
        <v>106547.552</v>
      </c>
      <c r="G3243">
        <v>20.536000000000001</v>
      </c>
    </row>
    <row r="3244" spans="1:7" x14ac:dyDescent="0.2">
      <c r="A3244">
        <f t="shared" si="50"/>
        <v>154107</v>
      </c>
      <c r="B3244">
        <v>154</v>
      </c>
      <c r="C3244">
        <v>107</v>
      </c>
      <c r="D3244">
        <v>261</v>
      </c>
      <c r="E3244" t="s">
        <v>297</v>
      </c>
      <c r="F3244" t="s">
        <v>1409</v>
      </c>
      <c r="G3244" t="s">
        <v>1299</v>
      </c>
    </row>
    <row r="3245" spans="1:7" x14ac:dyDescent="0.2">
      <c r="A3245">
        <f t="shared" si="50"/>
        <v>155096</v>
      </c>
      <c r="B3245">
        <v>155</v>
      </c>
      <c r="C3245">
        <v>96</v>
      </c>
      <c r="D3245">
        <v>251</v>
      </c>
      <c r="E3245" t="s">
        <v>275</v>
      </c>
      <c r="F3245">
        <v>76648.017999999996</v>
      </c>
      <c r="G3245">
        <v>22.698</v>
      </c>
    </row>
    <row r="3246" spans="1:7" x14ac:dyDescent="0.2">
      <c r="A3246">
        <f t="shared" si="50"/>
        <v>155097</v>
      </c>
      <c r="B3246">
        <v>155</v>
      </c>
      <c r="C3246">
        <v>97</v>
      </c>
      <c r="D3246">
        <v>252</v>
      </c>
      <c r="E3246" t="s">
        <v>277</v>
      </c>
      <c r="F3246" t="s">
        <v>1354</v>
      </c>
      <c r="G3246" t="s">
        <v>204</v>
      </c>
    </row>
    <row r="3247" spans="1:7" x14ac:dyDescent="0.2">
      <c r="A3247">
        <f t="shared" si="50"/>
        <v>155098</v>
      </c>
      <c r="B3247">
        <v>155</v>
      </c>
      <c r="C3247">
        <v>98</v>
      </c>
      <c r="D3247">
        <v>253</v>
      </c>
      <c r="E3247" t="s">
        <v>279</v>
      </c>
      <c r="F3247">
        <v>79301.566999999995</v>
      </c>
      <c r="G3247">
        <v>4.2569999999999997</v>
      </c>
    </row>
    <row r="3248" spans="1:7" x14ac:dyDescent="0.2">
      <c r="A3248">
        <f t="shared" si="50"/>
        <v>155099</v>
      </c>
      <c r="B3248">
        <v>155</v>
      </c>
      <c r="C3248">
        <v>99</v>
      </c>
      <c r="D3248">
        <v>254</v>
      </c>
      <c r="E3248" t="s">
        <v>280</v>
      </c>
      <c r="F3248">
        <v>81990.593999999997</v>
      </c>
      <c r="G3248">
        <v>4.01</v>
      </c>
    </row>
    <row r="3249" spans="1:7" x14ac:dyDescent="0.2">
      <c r="A3249">
        <f t="shared" si="50"/>
        <v>155100</v>
      </c>
      <c r="B3249">
        <v>155</v>
      </c>
      <c r="C3249">
        <v>100</v>
      </c>
      <c r="D3249">
        <v>255</v>
      </c>
      <c r="E3249" t="s">
        <v>283</v>
      </c>
      <c r="F3249">
        <v>83799.653999999995</v>
      </c>
      <c r="G3249">
        <v>4.2910000000000004</v>
      </c>
    </row>
    <row r="3250" spans="1:7" x14ac:dyDescent="0.2">
      <c r="A3250">
        <f t="shared" si="50"/>
        <v>155101</v>
      </c>
      <c r="B3250">
        <v>155</v>
      </c>
      <c r="C3250">
        <v>101</v>
      </c>
      <c r="D3250">
        <v>256</v>
      </c>
      <c r="E3250" t="s">
        <v>286</v>
      </c>
      <c r="F3250" t="s">
        <v>1371</v>
      </c>
      <c r="G3250" t="s">
        <v>1372</v>
      </c>
    </row>
    <row r="3251" spans="1:7" x14ac:dyDescent="0.2">
      <c r="A3251">
        <f t="shared" si="50"/>
        <v>155102</v>
      </c>
      <c r="B3251">
        <v>155</v>
      </c>
      <c r="C3251">
        <v>102</v>
      </c>
      <c r="D3251">
        <v>257</v>
      </c>
      <c r="E3251" t="s">
        <v>288</v>
      </c>
      <c r="F3251">
        <v>90247.255999999994</v>
      </c>
      <c r="G3251">
        <v>6.6779999999999999</v>
      </c>
    </row>
    <row r="3252" spans="1:7" x14ac:dyDescent="0.2">
      <c r="A3252">
        <f t="shared" si="50"/>
        <v>155103</v>
      </c>
      <c r="B3252">
        <v>155</v>
      </c>
      <c r="C3252">
        <v>103</v>
      </c>
      <c r="D3252">
        <v>258</v>
      </c>
      <c r="E3252" t="s">
        <v>289</v>
      </c>
      <c r="F3252" t="s">
        <v>1382</v>
      </c>
      <c r="G3252" t="s">
        <v>215</v>
      </c>
    </row>
    <row r="3253" spans="1:7" x14ac:dyDescent="0.2">
      <c r="A3253">
        <f t="shared" si="50"/>
        <v>155104</v>
      </c>
      <c r="B3253">
        <v>155</v>
      </c>
      <c r="C3253">
        <v>104</v>
      </c>
      <c r="D3253">
        <v>259</v>
      </c>
      <c r="E3253" t="s">
        <v>296</v>
      </c>
      <c r="F3253" t="s">
        <v>1390</v>
      </c>
      <c r="G3253" t="s">
        <v>1248</v>
      </c>
    </row>
    <row r="3254" spans="1:7" x14ac:dyDescent="0.2">
      <c r="A3254">
        <f t="shared" si="50"/>
        <v>155105</v>
      </c>
      <c r="B3254">
        <v>155</v>
      </c>
      <c r="C3254">
        <v>105</v>
      </c>
      <c r="D3254">
        <v>260</v>
      </c>
      <c r="E3254" t="s">
        <v>292</v>
      </c>
      <c r="F3254" t="s">
        <v>1400</v>
      </c>
      <c r="G3254" t="s">
        <v>203</v>
      </c>
    </row>
    <row r="3255" spans="1:7" x14ac:dyDescent="0.2">
      <c r="A3255">
        <f t="shared" si="50"/>
        <v>155106</v>
      </c>
      <c r="B3255">
        <v>155</v>
      </c>
      <c r="C3255">
        <v>106</v>
      </c>
      <c r="D3255">
        <v>261</v>
      </c>
      <c r="E3255" t="s">
        <v>1384</v>
      </c>
      <c r="F3255">
        <v>108005.04300000001</v>
      </c>
      <c r="G3255">
        <v>18.494</v>
      </c>
    </row>
    <row r="3256" spans="1:7" x14ac:dyDescent="0.2">
      <c r="A3256">
        <f t="shared" si="50"/>
        <v>155107</v>
      </c>
      <c r="B3256">
        <v>155</v>
      </c>
      <c r="C3256">
        <v>107</v>
      </c>
      <c r="D3256">
        <v>262</v>
      </c>
      <c r="E3256" t="s">
        <v>297</v>
      </c>
      <c r="F3256" t="s">
        <v>1415</v>
      </c>
      <c r="G3256" t="s">
        <v>1416</v>
      </c>
    </row>
    <row r="3257" spans="1:7" x14ac:dyDescent="0.2">
      <c r="A3257">
        <f t="shared" si="50"/>
        <v>155108</v>
      </c>
      <c r="B3257">
        <v>155</v>
      </c>
      <c r="C3257">
        <v>108</v>
      </c>
      <c r="D3257">
        <v>263</v>
      </c>
      <c r="E3257" t="s">
        <v>1426</v>
      </c>
      <c r="F3257" t="s">
        <v>1427</v>
      </c>
      <c r="G3257" t="s">
        <v>1428</v>
      </c>
    </row>
    <row r="3258" spans="1:7" x14ac:dyDescent="0.2">
      <c r="A3258">
        <f t="shared" si="50"/>
        <v>156096</v>
      </c>
      <c r="B3258">
        <v>156</v>
      </c>
      <c r="C3258">
        <v>96</v>
      </c>
      <c r="D3258">
        <v>252</v>
      </c>
      <c r="E3258" t="s">
        <v>275</v>
      </c>
      <c r="F3258" t="s">
        <v>290</v>
      </c>
      <c r="G3258" t="s">
        <v>202</v>
      </c>
    </row>
    <row r="3259" spans="1:7" x14ac:dyDescent="0.2">
      <c r="A3259">
        <f t="shared" si="50"/>
        <v>156097</v>
      </c>
      <c r="B3259">
        <v>156</v>
      </c>
      <c r="C3259">
        <v>97</v>
      </c>
      <c r="D3259">
        <v>253</v>
      </c>
      <c r="E3259" t="s">
        <v>277</v>
      </c>
      <c r="F3259" t="s">
        <v>291</v>
      </c>
      <c r="G3259" t="s">
        <v>242</v>
      </c>
    </row>
    <row r="3260" spans="1:7" x14ac:dyDescent="0.2">
      <c r="A3260">
        <f t="shared" si="50"/>
        <v>156098</v>
      </c>
      <c r="B3260">
        <v>156</v>
      </c>
      <c r="C3260">
        <v>98</v>
      </c>
      <c r="D3260">
        <v>254</v>
      </c>
      <c r="E3260" t="s">
        <v>279</v>
      </c>
      <c r="F3260">
        <v>81341.400999999998</v>
      </c>
      <c r="G3260">
        <v>11.462</v>
      </c>
    </row>
    <row r="3261" spans="1:7" x14ac:dyDescent="0.2">
      <c r="A3261">
        <f t="shared" si="50"/>
        <v>156099</v>
      </c>
      <c r="B3261">
        <v>156</v>
      </c>
      <c r="C3261">
        <v>99</v>
      </c>
      <c r="D3261">
        <v>255</v>
      </c>
      <c r="E3261" t="s">
        <v>280</v>
      </c>
      <c r="F3261">
        <v>84089.274000000005</v>
      </c>
      <c r="G3261">
        <v>10.817</v>
      </c>
    </row>
    <row r="3262" spans="1:7" x14ac:dyDescent="0.2">
      <c r="A3262">
        <f t="shared" si="50"/>
        <v>156100</v>
      </c>
      <c r="B3262">
        <v>156</v>
      </c>
      <c r="C3262">
        <v>100</v>
      </c>
      <c r="D3262">
        <v>256</v>
      </c>
      <c r="E3262" t="s">
        <v>283</v>
      </c>
      <c r="F3262">
        <v>85486.816999999995</v>
      </c>
      <c r="G3262">
        <v>5.6</v>
      </c>
    </row>
    <row r="3263" spans="1:7" x14ac:dyDescent="0.2">
      <c r="A3263">
        <f t="shared" si="50"/>
        <v>156101</v>
      </c>
      <c r="B3263">
        <v>156</v>
      </c>
      <c r="C3263">
        <v>101</v>
      </c>
      <c r="D3263">
        <v>257</v>
      </c>
      <c r="E3263" t="s">
        <v>286</v>
      </c>
      <c r="F3263">
        <v>88993.053</v>
      </c>
      <c r="G3263">
        <v>1.601</v>
      </c>
    </row>
    <row r="3264" spans="1:7" x14ac:dyDescent="0.2">
      <c r="A3264">
        <f t="shared" si="50"/>
        <v>156102</v>
      </c>
      <c r="B3264">
        <v>156</v>
      </c>
      <c r="C3264">
        <v>102</v>
      </c>
      <c r="D3264">
        <v>258</v>
      </c>
      <c r="E3264" t="s">
        <v>288</v>
      </c>
      <c r="F3264" t="s">
        <v>1381</v>
      </c>
      <c r="G3264" t="s">
        <v>795</v>
      </c>
    </row>
    <row r="3265" spans="1:7" x14ac:dyDescent="0.2">
      <c r="A3265">
        <f t="shared" ref="A3265:A3328" si="51">1000*B3265+C3265</f>
        <v>156103</v>
      </c>
      <c r="B3265">
        <v>156</v>
      </c>
      <c r="C3265">
        <v>103</v>
      </c>
      <c r="D3265">
        <v>259</v>
      </c>
      <c r="E3265" t="s">
        <v>289</v>
      </c>
      <c r="F3265" t="s">
        <v>1389</v>
      </c>
      <c r="G3265" t="s">
        <v>219</v>
      </c>
    </row>
    <row r="3266" spans="1:7" x14ac:dyDescent="0.2">
      <c r="A3266">
        <f t="shared" si="51"/>
        <v>156104</v>
      </c>
      <c r="B3266">
        <v>156</v>
      </c>
      <c r="C3266">
        <v>104</v>
      </c>
      <c r="D3266">
        <v>260</v>
      </c>
      <c r="E3266" t="s">
        <v>296</v>
      </c>
      <c r="F3266" t="s">
        <v>1399</v>
      </c>
      <c r="G3266" t="s">
        <v>204</v>
      </c>
    </row>
    <row r="3267" spans="1:7" x14ac:dyDescent="0.2">
      <c r="A3267">
        <f t="shared" si="51"/>
        <v>156105</v>
      </c>
      <c r="B3267">
        <v>156</v>
      </c>
      <c r="C3267">
        <v>105</v>
      </c>
      <c r="D3267">
        <v>261</v>
      </c>
      <c r="E3267" t="s">
        <v>292</v>
      </c>
      <c r="F3267" t="s">
        <v>1407</v>
      </c>
      <c r="G3267" t="s">
        <v>1408</v>
      </c>
    </row>
    <row r="3268" spans="1:7" x14ac:dyDescent="0.2">
      <c r="A3268">
        <f t="shared" si="51"/>
        <v>156106</v>
      </c>
      <c r="B3268">
        <v>156</v>
      </c>
      <c r="C3268">
        <v>106</v>
      </c>
      <c r="D3268">
        <v>262</v>
      </c>
      <c r="E3268" t="s">
        <v>1384</v>
      </c>
      <c r="F3268">
        <v>108365.77099999999</v>
      </c>
      <c r="G3268">
        <v>35.411000000000001</v>
      </c>
    </row>
    <row r="3269" spans="1:7" x14ac:dyDescent="0.2">
      <c r="A3269">
        <f t="shared" si="51"/>
        <v>156107</v>
      </c>
      <c r="B3269">
        <v>156</v>
      </c>
      <c r="C3269">
        <v>107</v>
      </c>
      <c r="D3269">
        <v>263</v>
      </c>
      <c r="E3269" t="s">
        <v>297</v>
      </c>
      <c r="F3269" t="s">
        <v>1425</v>
      </c>
      <c r="G3269" t="s">
        <v>250</v>
      </c>
    </row>
    <row r="3270" spans="1:7" x14ac:dyDescent="0.2">
      <c r="A3270">
        <f t="shared" si="51"/>
        <v>156108</v>
      </c>
      <c r="B3270">
        <v>156</v>
      </c>
      <c r="C3270">
        <v>108</v>
      </c>
      <c r="D3270">
        <v>264</v>
      </c>
      <c r="E3270" t="s">
        <v>1426</v>
      </c>
      <c r="F3270">
        <v>119563.22199999999</v>
      </c>
      <c r="G3270">
        <v>28.881</v>
      </c>
    </row>
    <row r="3271" spans="1:7" x14ac:dyDescent="0.2">
      <c r="A3271">
        <f t="shared" si="51"/>
        <v>156109</v>
      </c>
      <c r="B3271">
        <v>156</v>
      </c>
      <c r="C3271">
        <v>109</v>
      </c>
      <c r="D3271">
        <v>265</v>
      </c>
      <c r="E3271" t="s">
        <v>299</v>
      </c>
      <c r="F3271" t="s">
        <v>1447</v>
      </c>
      <c r="G3271" t="s">
        <v>1448</v>
      </c>
    </row>
    <row r="3272" spans="1:7" x14ac:dyDescent="0.2">
      <c r="A3272">
        <f t="shared" si="51"/>
        <v>157097</v>
      </c>
      <c r="B3272">
        <v>157</v>
      </c>
      <c r="C3272">
        <v>97</v>
      </c>
      <c r="D3272">
        <v>254</v>
      </c>
      <c r="E3272" t="s">
        <v>277</v>
      </c>
      <c r="F3272" t="s">
        <v>293</v>
      </c>
      <c r="G3272" t="s">
        <v>202</v>
      </c>
    </row>
    <row r="3273" spans="1:7" x14ac:dyDescent="0.2">
      <c r="A3273">
        <f t="shared" si="51"/>
        <v>157098</v>
      </c>
      <c r="B3273">
        <v>157</v>
      </c>
      <c r="C3273">
        <v>98</v>
      </c>
      <c r="D3273">
        <v>255</v>
      </c>
      <c r="E3273" t="s">
        <v>279</v>
      </c>
      <c r="F3273" t="s">
        <v>1366</v>
      </c>
      <c r="G3273" t="s">
        <v>204</v>
      </c>
    </row>
    <row r="3274" spans="1:7" x14ac:dyDescent="0.2">
      <c r="A3274">
        <f t="shared" si="51"/>
        <v>157099</v>
      </c>
      <c r="B3274">
        <v>157</v>
      </c>
      <c r="C3274">
        <v>99</v>
      </c>
      <c r="D3274">
        <v>256</v>
      </c>
      <c r="E3274" t="s">
        <v>280</v>
      </c>
      <c r="F3274" t="s">
        <v>1370</v>
      </c>
      <c r="G3274" t="s">
        <v>795</v>
      </c>
    </row>
    <row r="3275" spans="1:7" x14ac:dyDescent="0.2">
      <c r="A3275">
        <f t="shared" si="51"/>
        <v>157100</v>
      </c>
      <c r="B3275">
        <v>157</v>
      </c>
      <c r="C3275">
        <v>100</v>
      </c>
      <c r="D3275">
        <v>257</v>
      </c>
      <c r="E3275" t="s">
        <v>283</v>
      </c>
      <c r="F3275">
        <v>88590.032999999996</v>
      </c>
      <c r="G3275">
        <v>4.4859999999999998</v>
      </c>
    </row>
    <row r="3276" spans="1:7" x14ac:dyDescent="0.2">
      <c r="A3276">
        <f t="shared" si="51"/>
        <v>157101</v>
      </c>
      <c r="B3276">
        <v>157</v>
      </c>
      <c r="C3276">
        <v>101</v>
      </c>
      <c r="D3276">
        <v>258</v>
      </c>
      <c r="E3276" t="s">
        <v>286</v>
      </c>
      <c r="F3276">
        <v>91686.792000000001</v>
      </c>
      <c r="G3276">
        <v>4.4189999999999996</v>
      </c>
    </row>
    <row r="3277" spans="1:7" x14ac:dyDescent="0.2">
      <c r="A3277">
        <f t="shared" si="51"/>
        <v>157102</v>
      </c>
      <c r="B3277">
        <v>157</v>
      </c>
      <c r="C3277">
        <v>102</v>
      </c>
      <c r="D3277">
        <v>259</v>
      </c>
      <c r="E3277" t="s">
        <v>288</v>
      </c>
      <c r="F3277">
        <v>94078.569000000003</v>
      </c>
      <c r="G3277">
        <v>6.5890000000000004</v>
      </c>
    </row>
    <row r="3278" spans="1:7" x14ac:dyDescent="0.2">
      <c r="A3278">
        <f t="shared" si="51"/>
        <v>157103</v>
      </c>
      <c r="B3278">
        <v>157</v>
      </c>
      <c r="C3278">
        <v>103</v>
      </c>
      <c r="D3278">
        <v>260</v>
      </c>
      <c r="E3278" t="s">
        <v>289</v>
      </c>
      <c r="F3278" t="s">
        <v>1397</v>
      </c>
      <c r="G3278" t="s">
        <v>1398</v>
      </c>
    </row>
    <row r="3279" spans="1:7" x14ac:dyDescent="0.2">
      <c r="A3279">
        <f t="shared" si="51"/>
        <v>157104</v>
      </c>
      <c r="B3279">
        <v>157</v>
      </c>
      <c r="C3279">
        <v>104</v>
      </c>
      <c r="D3279">
        <v>261</v>
      </c>
      <c r="E3279" t="s">
        <v>296</v>
      </c>
      <c r="F3279">
        <v>101318.594</v>
      </c>
      <c r="G3279">
        <v>50.444000000000003</v>
      </c>
    </row>
    <row r="3280" spans="1:7" x14ac:dyDescent="0.2">
      <c r="A3280">
        <f t="shared" si="51"/>
        <v>157105</v>
      </c>
      <c r="B3280">
        <v>157</v>
      </c>
      <c r="C3280">
        <v>105</v>
      </c>
      <c r="D3280">
        <v>262</v>
      </c>
      <c r="E3280" t="s">
        <v>292</v>
      </c>
      <c r="F3280" t="s">
        <v>1414</v>
      </c>
      <c r="G3280" t="s">
        <v>224</v>
      </c>
    </row>
    <row r="3281" spans="1:7" x14ac:dyDescent="0.2">
      <c r="A3281">
        <f t="shared" si="51"/>
        <v>157106</v>
      </c>
      <c r="B3281">
        <v>157</v>
      </c>
      <c r="C3281">
        <v>106</v>
      </c>
      <c r="D3281">
        <v>263</v>
      </c>
      <c r="E3281" t="s">
        <v>1384</v>
      </c>
      <c r="F3281" t="s">
        <v>1423</v>
      </c>
      <c r="G3281" t="s">
        <v>1424</v>
      </c>
    </row>
    <row r="3282" spans="1:7" x14ac:dyDescent="0.2">
      <c r="A3282">
        <f t="shared" si="51"/>
        <v>157107</v>
      </c>
      <c r="B3282">
        <v>157</v>
      </c>
      <c r="C3282">
        <v>107</v>
      </c>
      <c r="D3282">
        <v>264</v>
      </c>
      <c r="E3282" t="s">
        <v>297</v>
      </c>
      <c r="F3282" t="s">
        <v>1437</v>
      </c>
      <c r="G3282" t="s">
        <v>1438</v>
      </c>
    </row>
    <row r="3283" spans="1:7" x14ac:dyDescent="0.2">
      <c r="A3283">
        <f t="shared" si="51"/>
        <v>157108</v>
      </c>
      <c r="B3283">
        <v>157</v>
      </c>
      <c r="C3283">
        <v>108</v>
      </c>
      <c r="D3283">
        <v>265</v>
      </c>
      <c r="E3283" t="s">
        <v>1426</v>
      </c>
      <c r="F3283">
        <v>120900.283</v>
      </c>
      <c r="G3283">
        <v>23.957999999999998</v>
      </c>
    </row>
    <row r="3284" spans="1:7" x14ac:dyDescent="0.2">
      <c r="A3284">
        <f t="shared" si="51"/>
        <v>157109</v>
      </c>
      <c r="B3284">
        <v>157</v>
      </c>
      <c r="C3284">
        <v>109</v>
      </c>
      <c r="D3284">
        <v>266</v>
      </c>
      <c r="E3284" t="s">
        <v>299</v>
      </c>
      <c r="F3284" t="s">
        <v>1457</v>
      </c>
      <c r="G3284" t="s">
        <v>1458</v>
      </c>
    </row>
    <row r="3285" spans="1:7" x14ac:dyDescent="0.2">
      <c r="A3285">
        <f t="shared" si="51"/>
        <v>157110</v>
      </c>
      <c r="B3285">
        <v>157</v>
      </c>
      <c r="C3285">
        <v>110</v>
      </c>
      <c r="D3285">
        <v>267</v>
      </c>
      <c r="E3285" t="s">
        <v>1470</v>
      </c>
      <c r="F3285" t="s">
        <v>1471</v>
      </c>
      <c r="G3285" t="s">
        <v>1472</v>
      </c>
    </row>
    <row r="3286" spans="1:7" x14ac:dyDescent="0.2">
      <c r="A3286">
        <f t="shared" si="51"/>
        <v>158098</v>
      </c>
      <c r="B3286">
        <v>158</v>
      </c>
      <c r="C3286">
        <v>98</v>
      </c>
      <c r="D3286">
        <v>256</v>
      </c>
      <c r="E3286" t="s">
        <v>279</v>
      </c>
      <c r="F3286" t="s">
        <v>1369</v>
      </c>
      <c r="G3286" t="s">
        <v>233</v>
      </c>
    </row>
    <row r="3287" spans="1:7" x14ac:dyDescent="0.2">
      <c r="A3287">
        <f t="shared" si="51"/>
        <v>158099</v>
      </c>
      <c r="B3287">
        <v>158</v>
      </c>
      <c r="C3287">
        <v>99</v>
      </c>
      <c r="D3287">
        <v>257</v>
      </c>
      <c r="E3287" t="s">
        <v>280</v>
      </c>
      <c r="F3287" t="s">
        <v>295</v>
      </c>
      <c r="G3287" t="s">
        <v>1375</v>
      </c>
    </row>
    <row r="3288" spans="1:7" x14ac:dyDescent="0.2">
      <c r="A3288">
        <f t="shared" si="51"/>
        <v>158100</v>
      </c>
      <c r="B3288">
        <v>158</v>
      </c>
      <c r="C3288">
        <v>100</v>
      </c>
      <c r="D3288">
        <v>258</v>
      </c>
      <c r="E3288" t="s">
        <v>283</v>
      </c>
      <c r="F3288" t="s">
        <v>1380</v>
      </c>
      <c r="G3288" t="s">
        <v>204</v>
      </c>
    </row>
    <row r="3289" spans="1:7" x14ac:dyDescent="0.2">
      <c r="A3289">
        <f t="shared" si="51"/>
        <v>158101</v>
      </c>
      <c r="B3289">
        <v>158</v>
      </c>
      <c r="C3289">
        <v>101</v>
      </c>
      <c r="D3289">
        <v>259</v>
      </c>
      <c r="E3289" t="s">
        <v>286</v>
      </c>
      <c r="F3289" t="s">
        <v>1388</v>
      </c>
      <c r="G3289" t="s">
        <v>204</v>
      </c>
    </row>
    <row r="3290" spans="1:7" x14ac:dyDescent="0.2">
      <c r="A3290">
        <f t="shared" si="51"/>
        <v>158102</v>
      </c>
      <c r="B3290">
        <v>158</v>
      </c>
      <c r="C3290">
        <v>102</v>
      </c>
      <c r="D3290">
        <v>260</v>
      </c>
      <c r="E3290" t="s">
        <v>288</v>
      </c>
      <c r="F3290" t="s">
        <v>1396</v>
      </c>
      <c r="G3290" t="s">
        <v>204</v>
      </c>
    </row>
    <row r="3291" spans="1:7" x14ac:dyDescent="0.2">
      <c r="A3291">
        <f t="shared" si="51"/>
        <v>158103</v>
      </c>
      <c r="B3291">
        <v>158</v>
      </c>
      <c r="C3291">
        <v>103</v>
      </c>
      <c r="D3291">
        <v>261</v>
      </c>
      <c r="E3291" t="s">
        <v>289</v>
      </c>
      <c r="F3291" t="s">
        <v>1406</v>
      </c>
      <c r="G3291" t="s">
        <v>204</v>
      </c>
    </row>
    <row r="3292" spans="1:7" x14ac:dyDescent="0.2">
      <c r="A3292">
        <f t="shared" si="51"/>
        <v>158104</v>
      </c>
      <c r="B3292">
        <v>158</v>
      </c>
      <c r="C3292">
        <v>104</v>
      </c>
      <c r="D3292">
        <v>262</v>
      </c>
      <c r="E3292" t="s">
        <v>296</v>
      </c>
      <c r="F3292" t="s">
        <v>1413</v>
      </c>
      <c r="G3292" t="s">
        <v>1277</v>
      </c>
    </row>
    <row r="3293" spans="1:7" x14ac:dyDescent="0.2">
      <c r="A3293">
        <f t="shared" si="51"/>
        <v>158105</v>
      </c>
      <c r="B3293">
        <v>158</v>
      </c>
      <c r="C3293">
        <v>105</v>
      </c>
      <c r="D3293">
        <v>263</v>
      </c>
      <c r="E3293" t="s">
        <v>292</v>
      </c>
      <c r="F3293" t="s">
        <v>1422</v>
      </c>
      <c r="G3293" t="s">
        <v>220</v>
      </c>
    </row>
    <row r="3294" spans="1:7" x14ac:dyDescent="0.2">
      <c r="A3294">
        <f t="shared" si="51"/>
        <v>158106</v>
      </c>
      <c r="B3294">
        <v>158</v>
      </c>
      <c r="C3294">
        <v>106</v>
      </c>
      <c r="D3294">
        <v>264</v>
      </c>
      <c r="E3294" t="s">
        <v>1384</v>
      </c>
      <c r="F3294" t="s">
        <v>1436</v>
      </c>
      <c r="G3294" t="s">
        <v>1291</v>
      </c>
    </row>
    <row r="3295" spans="1:7" x14ac:dyDescent="0.2">
      <c r="A3295">
        <f t="shared" si="51"/>
        <v>158107</v>
      </c>
      <c r="B3295">
        <v>158</v>
      </c>
      <c r="C3295">
        <v>107</v>
      </c>
      <c r="D3295">
        <v>265</v>
      </c>
      <c r="E3295" t="s">
        <v>297</v>
      </c>
      <c r="F3295" t="s">
        <v>1445</v>
      </c>
      <c r="G3295" t="s">
        <v>1446</v>
      </c>
    </row>
    <row r="3296" spans="1:7" x14ac:dyDescent="0.2">
      <c r="A3296">
        <f t="shared" si="51"/>
        <v>158108</v>
      </c>
      <c r="B3296">
        <v>158</v>
      </c>
      <c r="C3296">
        <v>108</v>
      </c>
      <c r="D3296">
        <v>266</v>
      </c>
      <c r="E3296" t="s">
        <v>1426</v>
      </c>
      <c r="F3296">
        <v>121136.37300000001</v>
      </c>
      <c r="G3296">
        <v>38.695</v>
      </c>
    </row>
    <row r="3297" spans="1:7" x14ac:dyDescent="0.2">
      <c r="A3297">
        <f t="shared" si="51"/>
        <v>158109</v>
      </c>
      <c r="B3297">
        <v>158</v>
      </c>
      <c r="C3297">
        <v>109</v>
      </c>
      <c r="D3297">
        <v>267</v>
      </c>
      <c r="E3297" t="s">
        <v>299</v>
      </c>
      <c r="F3297" t="s">
        <v>1469</v>
      </c>
      <c r="G3297" t="s">
        <v>201</v>
      </c>
    </row>
    <row r="3298" spans="1:7" x14ac:dyDescent="0.2">
      <c r="A3298">
        <f t="shared" si="51"/>
        <v>158110</v>
      </c>
      <c r="B3298">
        <v>158</v>
      </c>
      <c r="C3298">
        <v>110</v>
      </c>
      <c r="D3298">
        <v>268</v>
      </c>
      <c r="E3298" t="s">
        <v>1470</v>
      </c>
      <c r="F3298" t="s">
        <v>1482</v>
      </c>
      <c r="G3298" t="s">
        <v>247</v>
      </c>
    </row>
    <row r="3299" spans="1:7" x14ac:dyDescent="0.2">
      <c r="A3299">
        <f t="shared" si="51"/>
        <v>159099</v>
      </c>
      <c r="B3299">
        <v>159</v>
      </c>
      <c r="C3299">
        <v>99</v>
      </c>
      <c r="D3299">
        <v>258</v>
      </c>
      <c r="E3299" t="s">
        <v>280</v>
      </c>
      <c r="F3299" t="s">
        <v>1379</v>
      </c>
      <c r="G3299" t="s">
        <v>199</v>
      </c>
    </row>
    <row r="3300" spans="1:7" x14ac:dyDescent="0.2">
      <c r="A3300">
        <f t="shared" si="51"/>
        <v>159100</v>
      </c>
      <c r="B3300">
        <v>159</v>
      </c>
      <c r="C3300">
        <v>100</v>
      </c>
      <c r="D3300">
        <v>259</v>
      </c>
      <c r="E3300" t="s">
        <v>283</v>
      </c>
      <c r="F3300" t="s">
        <v>1387</v>
      </c>
      <c r="G3300" t="s">
        <v>1291</v>
      </c>
    </row>
    <row r="3301" spans="1:7" x14ac:dyDescent="0.2">
      <c r="A3301">
        <f t="shared" si="51"/>
        <v>159101</v>
      </c>
      <c r="B3301">
        <v>159</v>
      </c>
      <c r="C3301">
        <v>101</v>
      </c>
      <c r="D3301">
        <v>260</v>
      </c>
      <c r="E3301" t="s">
        <v>286</v>
      </c>
      <c r="F3301" t="s">
        <v>1394</v>
      </c>
      <c r="G3301" t="s">
        <v>1395</v>
      </c>
    </row>
    <row r="3302" spans="1:7" x14ac:dyDescent="0.2">
      <c r="A3302">
        <f t="shared" si="51"/>
        <v>159102</v>
      </c>
      <c r="B3302">
        <v>159</v>
      </c>
      <c r="C3302">
        <v>102</v>
      </c>
      <c r="D3302">
        <v>261</v>
      </c>
      <c r="E3302" t="s">
        <v>288</v>
      </c>
      <c r="F3302" t="s">
        <v>1405</v>
      </c>
      <c r="G3302" t="s">
        <v>204</v>
      </c>
    </row>
    <row r="3303" spans="1:7" x14ac:dyDescent="0.2">
      <c r="A3303">
        <f t="shared" si="51"/>
        <v>159103</v>
      </c>
      <c r="B3303">
        <v>159</v>
      </c>
      <c r="C3303">
        <v>103</v>
      </c>
      <c r="D3303">
        <v>262</v>
      </c>
      <c r="E3303" t="s">
        <v>289</v>
      </c>
      <c r="F3303" t="s">
        <v>1412</v>
      </c>
      <c r="G3303" t="s">
        <v>204</v>
      </c>
    </row>
    <row r="3304" spans="1:7" x14ac:dyDescent="0.2">
      <c r="A3304">
        <f t="shared" si="51"/>
        <v>159104</v>
      </c>
      <c r="B3304">
        <v>159</v>
      </c>
      <c r="C3304">
        <v>104</v>
      </c>
      <c r="D3304">
        <v>263</v>
      </c>
      <c r="E3304" t="s">
        <v>296</v>
      </c>
      <c r="F3304" t="s">
        <v>1420</v>
      </c>
      <c r="G3304" t="s">
        <v>1421</v>
      </c>
    </row>
    <row r="3305" spans="1:7" x14ac:dyDescent="0.2">
      <c r="A3305">
        <f t="shared" si="51"/>
        <v>159105</v>
      </c>
      <c r="B3305">
        <v>159</v>
      </c>
      <c r="C3305">
        <v>105</v>
      </c>
      <c r="D3305">
        <v>264</v>
      </c>
      <c r="E3305" t="s">
        <v>292</v>
      </c>
      <c r="F3305" t="s">
        <v>1434</v>
      </c>
      <c r="G3305" t="s">
        <v>1435</v>
      </c>
    </row>
    <row r="3306" spans="1:7" x14ac:dyDescent="0.2">
      <c r="A3306">
        <f t="shared" si="51"/>
        <v>159106</v>
      </c>
      <c r="B3306">
        <v>159</v>
      </c>
      <c r="C3306">
        <v>106</v>
      </c>
      <c r="D3306">
        <v>265</v>
      </c>
      <c r="E3306" t="s">
        <v>1384</v>
      </c>
      <c r="F3306" t="s">
        <v>1443</v>
      </c>
      <c r="G3306" t="s">
        <v>1444</v>
      </c>
    </row>
    <row r="3307" spans="1:7" x14ac:dyDescent="0.2">
      <c r="A3307">
        <f t="shared" si="51"/>
        <v>159107</v>
      </c>
      <c r="B3307">
        <v>159</v>
      </c>
      <c r="C3307">
        <v>107</v>
      </c>
      <c r="D3307">
        <v>266</v>
      </c>
      <c r="E3307" t="s">
        <v>297</v>
      </c>
      <c r="F3307" t="s">
        <v>1455</v>
      </c>
      <c r="G3307" t="s">
        <v>1456</v>
      </c>
    </row>
    <row r="3308" spans="1:7" x14ac:dyDescent="0.2">
      <c r="A3308">
        <f t="shared" si="51"/>
        <v>159108</v>
      </c>
      <c r="B3308">
        <v>159</v>
      </c>
      <c r="C3308">
        <v>108</v>
      </c>
      <c r="D3308">
        <v>267</v>
      </c>
      <c r="E3308" t="s">
        <v>1426</v>
      </c>
      <c r="F3308" t="s">
        <v>1467</v>
      </c>
      <c r="G3308" t="s">
        <v>1468</v>
      </c>
    </row>
    <row r="3309" spans="1:7" x14ac:dyDescent="0.2">
      <c r="A3309">
        <f t="shared" si="51"/>
        <v>159109</v>
      </c>
      <c r="B3309">
        <v>159</v>
      </c>
      <c r="C3309">
        <v>109</v>
      </c>
      <c r="D3309">
        <v>268</v>
      </c>
      <c r="E3309" t="s">
        <v>299</v>
      </c>
      <c r="F3309" t="s">
        <v>1481</v>
      </c>
      <c r="G3309" t="s">
        <v>213</v>
      </c>
    </row>
    <row r="3310" spans="1:7" x14ac:dyDescent="0.2">
      <c r="A3310">
        <f t="shared" si="51"/>
        <v>159110</v>
      </c>
      <c r="B3310">
        <v>159</v>
      </c>
      <c r="C3310">
        <v>110</v>
      </c>
      <c r="D3310">
        <v>269</v>
      </c>
      <c r="E3310" t="s">
        <v>1470</v>
      </c>
      <c r="F3310">
        <v>134834.709</v>
      </c>
      <c r="G3310">
        <v>31.402999999999999</v>
      </c>
    </row>
    <row r="3311" spans="1:7" x14ac:dyDescent="0.2">
      <c r="A3311">
        <f t="shared" si="51"/>
        <v>160100</v>
      </c>
      <c r="B3311">
        <v>160</v>
      </c>
      <c r="C3311">
        <v>100</v>
      </c>
      <c r="D3311">
        <v>260</v>
      </c>
      <c r="E3311" t="s">
        <v>283</v>
      </c>
      <c r="F3311" t="s">
        <v>1392</v>
      </c>
      <c r="G3311" t="s">
        <v>1393</v>
      </c>
    </row>
    <row r="3312" spans="1:7" x14ac:dyDescent="0.2">
      <c r="A3312">
        <f t="shared" si="51"/>
        <v>160101</v>
      </c>
      <c r="B3312">
        <v>160</v>
      </c>
      <c r="C3312">
        <v>101</v>
      </c>
      <c r="D3312">
        <v>261</v>
      </c>
      <c r="E3312" t="s">
        <v>286</v>
      </c>
      <c r="F3312" t="s">
        <v>1403</v>
      </c>
      <c r="G3312" t="s">
        <v>1404</v>
      </c>
    </row>
    <row r="3313" spans="1:7" x14ac:dyDescent="0.2">
      <c r="A3313">
        <f t="shared" si="51"/>
        <v>160102</v>
      </c>
      <c r="B3313">
        <v>160</v>
      </c>
      <c r="C3313">
        <v>102</v>
      </c>
      <c r="D3313">
        <v>262</v>
      </c>
      <c r="E3313" t="s">
        <v>288</v>
      </c>
      <c r="F3313" t="s">
        <v>1411</v>
      </c>
      <c r="G3313" t="s">
        <v>246</v>
      </c>
    </row>
    <row r="3314" spans="1:7" x14ac:dyDescent="0.2">
      <c r="A3314">
        <f t="shared" si="51"/>
        <v>160103</v>
      </c>
      <c r="B3314">
        <v>160</v>
      </c>
      <c r="C3314">
        <v>103</v>
      </c>
      <c r="D3314">
        <v>263</v>
      </c>
      <c r="E3314" t="s">
        <v>289</v>
      </c>
      <c r="F3314" t="s">
        <v>1419</v>
      </c>
      <c r="G3314" t="s">
        <v>1291</v>
      </c>
    </row>
    <row r="3315" spans="1:7" x14ac:dyDescent="0.2">
      <c r="A3315">
        <f t="shared" si="51"/>
        <v>160104</v>
      </c>
      <c r="B3315">
        <v>160</v>
      </c>
      <c r="C3315">
        <v>104</v>
      </c>
      <c r="D3315">
        <v>264</v>
      </c>
      <c r="E3315" t="s">
        <v>296</v>
      </c>
      <c r="F3315" t="s">
        <v>1433</v>
      </c>
      <c r="G3315" t="s">
        <v>246</v>
      </c>
    </row>
    <row r="3316" spans="1:7" x14ac:dyDescent="0.2">
      <c r="A3316">
        <f t="shared" si="51"/>
        <v>160105</v>
      </c>
      <c r="B3316">
        <v>160</v>
      </c>
      <c r="C3316">
        <v>105</v>
      </c>
      <c r="D3316">
        <v>265</v>
      </c>
      <c r="E3316" t="s">
        <v>292</v>
      </c>
      <c r="F3316" t="s">
        <v>1442</v>
      </c>
      <c r="G3316" t="s">
        <v>1277</v>
      </c>
    </row>
    <row r="3317" spans="1:7" x14ac:dyDescent="0.2">
      <c r="A3317">
        <f t="shared" si="51"/>
        <v>160106</v>
      </c>
      <c r="B3317">
        <v>160</v>
      </c>
      <c r="C3317">
        <v>106</v>
      </c>
      <c r="D3317">
        <v>266</v>
      </c>
      <c r="E3317" t="s">
        <v>1384</v>
      </c>
      <c r="F3317" t="s">
        <v>1454</v>
      </c>
      <c r="G3317" t="s">
        <v>1402</v>
      </c>
    </row>
    <row r="3318" spans="1:7" x14ac:dyDescent="0.2">
      <c r="A3318">
        <f t="shared" si="51"/>
        <v>160107</v>
      </c>
      <c r="B3318">
        <v>160</v>
      </c>
      <c r="C3318">
        <v>107</v>
      </c>
      <c r="D3318">
        <v>267</v>
      </c>
      <c r="E3318" t="s">
        <v>297</v>
      </c>
      <c r="F3318" t="s">
        <v>1465</v>
      </c>
      <c r="G3318" t="s">
        <v>1466</v>
      </c>
    </row>
    <row r="3319" spans="1:7" x14ac:dyDescent="0.2">
      <c r="A3319">
        <f t="shared" si="51"/>
        <v>160108</v>
      </c>
      <c r="B3319">
        <v>160</v>
      </c>
      <c r="C3319">
        <v>108</v>
      </c>
      <c r="D3319">
        <v>268</v>
      </c>
      <c r="E3319" t="s">
        <v>1426</v>
      </c>
      <c r="F3319" t="s">
        <v>1480</v>
      </c>
      <c r="G3319" t="s">
        <v>1291</v>
      </c>
    </row>
    <row r="3320" spans="1:7" x14ac:dyDescent="0.2">
      <c r="A3320">
        <f t="shared" si="51"/>
        <v>160109</v>
      </c>
      <c r="B3320">
        <v>160</v>
      </c>
      <c r="C3320">
        <v>109</v>
      </c>
      <c r="D3320">
        <v>269</v>
      </c>
      <c r="E3320" t="s">
        <v>299</v>
      </c>
      <c r="F3320" t="s">
        <v>1489</v>
      </c>
      <c r="G3320" t="s">
        <v>1490</v>
      </c>
    </row>
    <row r="3321" spans="1:7" x14ac:dyDescent="0.2">
      <c r="A3321">
        <f t="shared" si="51"/>
        <v>160110</v>
      </c>
      <c r="B3321">
        <v>160</v>
      </c>
      <c r="C3321">
        <v>110</v>
      </c>
      <c r="D3321">
        <v>270</v>
      </c>
      <c r="E3321" t="s">
        <v>1470</v>
      </c>
      <c r="F3321">
        <v>134678.28200000001</v>
      </c>
      <c r="G3321">
        <v>48.011000000000003</v>
      </c>
    </row>
    <row r="3322" spans="1:7" x14ac:dyDescent="0.2">
      <c r="A3322">
        <f t="shared" si="51"/>
        <v>161101</v>
      </c>
      <c r="B3322">
        <v>161</v>
      </c>
      <c r="C3322">
        <v>101</v>
      </c>
      <c r="D3322">
        <v>262</v>
      </c>
      <c r="E3322" t="s">
        <v>286</v>
      </c>
      <c r="F3322" t="s">
        <v>1410</v>
      </c>
      <c r="G3322" t="s">
        <v>245</v>
      </c>
    </row>
    <row r="3323" spans="1:7" x14ac:dyDescent="0.2">
      <c r="A3323">
        <f t="shared" si="51"/>
        <v>161102</v>
      </c>
      <c r="B3323">
        <v>161</v>
      </c>
      <c r="C3323">
        <v>102</v>
      </c>
      <c r="D3323">
        <v>263</v>
      </c>
      <c r="E3323" t="s">
        <v>288</v>
      </c>
      <c r="F3323" t="s">
        <v>1417</v>
      </c>
      <c r="G3323" t="s">
        <v>1418</v>
      </c>
    </row>
    <row r="3324" spans="1:7" x14ac:dyDescent="0.2">
      <c r="A3324">
        <f t="shared" si="51"/>
        <v>161103</v>
      </c>
      <c r="B3324">
        <v>161</v>
      </c>
      <c r="C3324">
        <v>103</v>
      </c>
      <c r="D3324">
        <v>264</v>
      </c>
      <c r="E3324" t="s">
        <v>289</v>
      </c>
      <c r="F3324" t="s">
        <v>1431</v>
      </c>
      <c r="G3324" t="s">
        <v>1432</v>
      </c>
    </row>
    <row r="3325" spans="1:7" x14ac:dyDescent="0.2">
      <c r="A3325">
        <f t="shared" si="51"/>
        <v>161104</v>
      </c>
      <c r="B3325">
        <v>161</v>
      </c>
      <c r="C3325">
        <v>104</v>
      </c>
      <c r="D3325">
        <v>265</v>
      </c>
      <c r="E3325" t="s">
        <v>296</v>
      </c>
      <c r="F3325" t="s">
        <v>1441</v>
      </c>
      <c r="G3325" t="s">
        <v>246</v>
      </c>
    </row>
    <row r="3326" spans="1:7" x14ac:dyDescent="0.2">
      <c r="A3326">
        <f t="shared" si="51"/>
        <v>161105</v>
      </c>
      <c r="B3326">
        <v>161</v>
      </c>
      <c r="C3326">
        <v>105</v>
      </c>
      <c r="D3326">
        <v>266</v>
      </c>
      <c r="E3326" t="s">
        <v>292</v>
      </c>
      <c r="F3326" t="s">
        <v>1453</v>
      </c>
      <c r="G3326" t="s">
        <v>1291</v>
      </c>
    </row>
    <row r="3327" spans="1:7" x14ac:dyDescent="0.2">
      <c r="A3327">
        <f t="shared" si="51"/>
        <v>161106</v>
      </c>
      <c r="B3327">
        <v>161</v>
      </c>
      <c r="C3327">
        <v>106</v>
      </c>
      <c r="D3327">
        <v>267</v>
      </c>
      <c r="E3327" t="s">
        <v>1384</v>
      </c>
      <c r="F3327" t="s">
        <v>1463</v>
      </c>
      <c r="G3327" t="s">
        <v>1464</v>
      </c>
    </row>
    <row r="3328" spans="1:7" x14ac:dyDescent="0.2">
      <c r="A3328">
        <f t="shared" si="51"/>
        <v>161107</v>
      </c>
      <c r="B3328">
        <v>161</v>
      </c>
      <c r="C3328">
        <v>107</v>
      </c>
      <c r="D3328">
        <v>268</v>
      </c>
      <c r="E3328" t="s">
        <v>297</v>
      </c>
      <c r="F3328" t="s">
        <v>1478</v>
      </c>
      <c r="G3328" t="s">
        <v>1479</v>
      </c>
    </row>
    <row r="3329" spans="1:7" x14ac:dyDescent="0.2">
      <c r="A3329">
        <f t="shared" ref="A3329:A3392" si="52">1000*B3329+C3329</f>
        <v>161108</v>
      </c>
      <c r="B3329">
        <v>161</v>
      </c>
      <c r="C3329">
        <v>108</v>
      </c>
      <c r="D3329">
        <v>269</v>
      </c>
      <c r="E3329" t="s">
        <v>1426</v>
      </c>
      <c r="F3329" t="s">
        <v>1488</v>
      </c>
      <c r="G3329" t="s">
        <v>1398</v>
      </c>
    </row>
    <row r="3330" spans="1:7" x14ac:dyDescent="0.2">
      <c r="A3330">
        <f t="shared" si="52"/>
        <v>161109</v>
      </c>
      <c r="B3330">
        <v>161</v>
      </c>
      <c r="C3330">
        <v>109</v>
      </c>
      <c r="D3330">
        <v>270</v>
      </c>
      <c r="E3330" t="s">
        <v>299</v>
      </c>
      <c r="F3330" t="s">
        <v>1499</v>
      </c>
      <c r="G3330" t="s">
        <v>736</v>
      </c>
    </row>
    <row r="3331" spans="1:7" x14ac:dyDescent="0.2">
      <c r="A3331">
        <f t="shared" si="52"/>
        <v>161110</v>
      </c>
      <c r="B3331">
        <v>161</v>
      </c>
      <c r="C3331">
        <v>110</v>
      </c>
      <c r="D3331">
        <v>271</v>
      </c>
      <c r="E3331" t="s">
        <v>1470</v>
      </c>
      <c r="F3331" t="s">
        <v>1508</v>
      </c>
      <c r="G3331" t="s">
        <v>1509</v>
      </c>
    </row>
    <row r="3332" spans="1:7" x14ac:dyDescent="0.2">
      <c r="A3332">
        <f t="shared" si="52"/>
        <v>161111</v>
      </c>
      <c r="B3332">
        <v>161</v>
      </c>
      <c r="C3332">
        <v>111</v>
      </c>
      <c r="D3332">
        <v>272</v>
      </c>
      <c r="E3332" t="s">
        <v>1519</v>
      </c>
      <c r="F3332" t="s">
        <v>1520</v>
      </c>
      <c r="G3332" t="s">
        <v>213</v>
      </c>
    </row>
    <row r="3333" spans="1:7" x14ac:dyDescent="0.2">
      <c r="A3333">
        <f t="shared" si="52"/>
        <v>162102</v>
      </c>
      <c r="B3333">
        <v>162</v>
      </c>
      <c r="C3333">
        <v>102</v>
      </c>
      <c r="D3333">
        <v>264</v>
      </c>
      <c r="E3333" t="s">
        <v>288</v>
      </c>
      <c r="F3333" t="s">
        <v>1429</v>
      </c>
      <c r="G3333" t="s">
        <v>1430</v>
      </c>
    </row>
    <row r="3334" spans="1:7" x14ac:dyDescent="0.2">
      <c r="A3334">
        <f t="shared" si="52"/>
        <v>162103</v>
      </c>
      <c r="B3334">
        <v>162</v>
      </c>
      <c r="C3334">
        <v>103</v>
      </c>
      <c r="D3334">
        <v>265</v>
      </c>
      <c r="E3334" t="s">
        <v>289</v>
      </c>
      <c r="F3334" t="s">
        <v>1439</v>
      </c>
      <c r="G3334" t="s">
        <v>1440</v>
      </c>
    </row>
    <row r="3335" spans="1:7" x14ac:dyDescent="0.2">
      <c r="A3335">
        <f t="shared" si="52"/>
        <v>162104</v>
      </c>
      <c r="B3335">
        <v>162</v>
      </c>
      <c r="C3335">
        <v>104</v>
      </c>
      <c r="D3335">
        <v>266</v>
      </c>
      <c r="E3335" t="s">
        <v>296</v>
      </c>
      <c r="F3335" t="s">
        <v>1451</v>
      </c>
      <c r="G3335" t="s">
        <v>1452</v>
      </c>
    </row>
    <row r="3336" spans="1:7" x14ac:dyDescent="0.2">
      <c r="A3336">
        <f t="shared" si="52"/>
        <v>162105</v>
      </c>
      <c r="B3336">
        <v>162</v>
      </c>
      <c r="C3336">
        <v>105</v>
      </c>
      <c r="D3336">
        <v>267</v>
      </c>
      <c r="E3336" t="s">
        <v>292</v>
      </c>
      <c r="F3336" t="s">
        <v>1461</v>
      </c>
      <c r="G3336" t="s">
        <v>1462</v>
      </c>
    </row>
    <row r="3337" spans="1:7" x14ac:dyDescent="0.2">
      <c r="A3337">
        <f t="shared" si="52"/>
        <v>162106</v>
      </c>
      <c r="B3337">
        <v>162</v>
      </c>
      <c r="C3337">
        <v>106</v>
      </c>
      <c r="D3337">
        <v>268</v>
      </c>
      <c r="E3337" t="s">
        <v>1384</v>
      </c>
      <c r="F3337" t="s">
        <v>1477</v>
      </c>
      <c r="G3337" t="s">
        <v>1452</v>
      </c>
    </row>
    <row r="3338" spans="1:7" x14ac:dyDescent="0.2">
      <c r="A3338">
        <f t="shared" si="52"/>
        <v>162107</v>
      </c>
      <c r="B3338">
        <v>162</v>
      </c>
      <c r="C3338">
        <v>107</v>
      </c>
      <c r="D3338">
        <v>269</v>
      </c>
      <c r="E3338" t="s">
        <v>297</v>
      </c>
      <c r="F3338" t="s">
        <v>1486</v>
      </c>
      <c r="G3338" t="s">
        <v>1487</v>
      </c>
    </row>
    <row r="3339" spans="1:7" x14ac:dyDescent="0.2">
      <c r="A3339">
        <f t="shared" si="52"/>
        <v>162108</v>
      </c>
      <c r="B3339">
        <v>162</v>
      </c>
      <c r="C3339">
        <v>108</v>
      </c>
      <c r="D3339">
        <v>270</v>
      </c>
      <c r="E3339" t="s">
        <v>1426</v>
      </c>
      <c r="F3339" t="s">
        <v>1497</v>
      </c>
      <c r="G3339" t="s">
        <v>1498</v>
      </c>
    </row>
    <row r="3340" spans="1:7" x14ac:dyDescent="0.2">
      <c r="A3340">
        <f t="shared" si="52"/>
        <v>162109</v>
      </c>
      <c r="B3340">
        <v>162</v>
      </c>
      <c r="C3340">
        <v>109</v>
      </c>
      <c r="D3340">
        <v>271</v>
      </c>
      <c r="E3340" t="s">
        <v>299</v>
      </c>
      <c r="F3340" t="s">
        <v>1506</v>
      </c>
      <c r="G3340" t="s">
        <v>1507</v>
      </c>
    </row>
    <row r="3341" spans="1:7" x14ac:dyDescent="0.2">
      <c r="A3341">
        <f t="shared" si="52"/>
        <v>162110</v>
      </c>
      <c r="B3341">
        <v>162</v>
      </c>
      <c r="C3341">
        <v>110</v>
      </c>
      <c r="D3341">
        <v>272</v>
      </c>
      <c r="E3341" t="s">
        <v>1470</v>
      </c>
      <c r="F3341" t="s">
        <v>1518</v>
      </c>
      <c r="G3341" t="s">
        <v>1386</v>
      </c>
    </row>
    <row r="3342" spans="1:7" x14ac:dyDescent="0.2">
      <c r="A3342">
        <f t="shared" si="52"/>
        <v>162111</v>
      </c>
      <c r="B3342">
        <v>162</v>
      </c>
      <c r="C3342">
        <v>111</v>
      </c>
      <c r="D3342">
        <v>273</v>
      </c>
      <c r="E3342" t="s">
        <v>1519</v>
      </c>
      <c r="F3342" t="s">
        <v>1530</v>
      </c>
      <c r="G3342" t="s">
        <v>1531</v>
      </c>
    </row>
    <row r="3343" spans="1:7" x14ac:dyDescent="0.2">
      <c r="A3343">
        <f t="shared" si="52"/>
        <v>163103</v>
      </c>
      <c r="B3343">
        <v>163</v>
      </c>
      <c r="C3343">
        <v>103</v>
      </c>
      <c r="D3343">
        <v>266</v>
      </c>
      <c r="E3343" t="s">
        <v>289</v>
      </c>
      <c r="F3343" t="s">
        <v>1449</v>
      </c>
      <c r="G3343" t="s">
        <v>1450</v>
      </c>
    </row>
    <row r="3344" spans="1:7" x14ac:dyDescent="0.2">
      <c r="A3344">
        <f t="shared" si="52"/>
        <v>163104</v>
      </c>
      <c r="B3344">
        <v>163</v>
      </c>
      <c r="C3344">
        <v>104</v>
      </c>
      <c r="D3344">
        <v>267</v>
      </c>
      <c r="E3344" t="s">
        <v>296</v>
      </c>
      <c r="F3344" t="s">
        <v>1459</v>
      </c>
      <c r="G3344" t="s">
        <v>1460</v>
      </c>
    </row>
    <row r="3345" spans="1:7" x14ac:dyDescent="0.2">
      <c r="A3345">
        <f t="shared" si="52"/>
        <v>163105</v>
      </c>
      <c r="B3345">
        <v>163</v>
      </c>
      <c r="C3345">
        <v>105</v>
      </c>
      <c r="D3345">
        <v>268</v>
      </c>
      <c r="E3345" t="s">
        <v>292</v>
      </c>
      <c r="F3345" t="s">
        <v>1475</v>
      </c>
      <c r="G3345" t="s">
        <v>1476</v>
      </c>
    </row>
    <row r="3346" spans="1:7" x14ac:dyDescent="0.2">
      <c r="A3346">
        <f t="shared" si="52"/>
        <v>163106</v>
      </c>
      <c r="B3346">
        <v>163</v>
      </c>
      <c r="C3346">
        <v>106</v>
      </c>
      <c r="D3346">
        <v>269</v>
      </c>
      <c r="E3346" t="s">
        <v>1384</v>
      </c>
      <c r="F3346" t="s">
        <v>1485</v>
      </c>
      <c r="G3346" t="s">
        <v>234</v>
      </c>
    </row>
    <row r="3347" spans="1:7" x14ac:dyDescent="0.2">
      <c r="A3347">
        <f t="shared" si="52"/>
        <v>163107</v>
      </c>
      <c r="B3347">
        <v>163</v>
      </c>
      <c r="C3347">
        <v>107</v>
      </c>
      <c r="D3347">
        <v>270</v>
      </c>
      <c r="E3347" t="s">
        <v>297</v>
      </c>
      <c r="F3347" t="s">
        <v>1495</v>
      </c>
      <c r="G3347" t="s">
        <v>1496</v>
      </c>
    </row>
    <row r="3348" spans="1:7" x14ac:dyDescent="0.2">
      <c r="A3348">
        <f t="shared" si="52"/>
        <v>163108</v>
      </c>
      <c r="B3348">
        <v>163</v>
      </c>
      <c r="C3348">
        <v>108</v>
      </c>
      <c r="D3348">
        <v>271</v>
      </c>
      <c r="E3348" t="s">
        <v>1426</v>
      </c>
      <c r="F3348" t="s">
        <v>1504</v>
      </c>
      <c r="G3348" t="s">
        <v>1505</v>
      </c>
    </row>
    <row r="3349" spans="1:7" x14ac:dyDescent="0.2">
      <c r="A3349">
        <f t="shared" si="52"/>
        <v>163109</v>
      </c>
      <c r="B3349">
        <v>163</v>
      </c>
      <c r="C3349">
        <v>109</v>
      </c>
      <c r="D3349">
        <v>272</v>
      </c>
      <c r="E3349" t="s">
        <v>299</v>
      </c>
      <c r="F3349" t="s">
        <v>1516</v>
      </c>
      <c r="G3349" t="s">
        <v>1517</v>
      </c>
    </row>
    <row r="3350" spans="1:7" x14ac:dyDescent="0.2">
      <c r="A3350">
        <f t="shared" si="52"/>
        <v>163110</v>
      </c>
      <c r="B3350">
        <v>163</v>
      </c>
      <c r="C3350">
        <v>110</v>
      </c>
      <c r="D3350">
        <v>273</v>
      </c>
      <c r="E3350" t="s">
        <v>1470</v>
      </c>
      <c r="F3350" t="s">
        <v>1528</v>
      </c>
      <c r="G3350" t="s">
        <v>1529</v>
      </c>
    </row>
    <row r="3351" spans="1:7" x14ac:dyDescent="0.2">
      <c r="A3351">
        <f t="shared" si="52"/>
        <v>163111</v>
      </c>
      <c r="B3351">
        <v>163</v>
      </c>
      <c r="C3351">
        <v>111</v>
      </c>
      <c r="D3351">
        <v>274</v>
      </c>
      <c r="E3351" t="s">
        <v>1519</v>
      </c>
      <c r="F3351" t="s">
        <v>1539</v>
      </c>
      <c r="G3351" t="s">
        <v>1438</v>
      </c>
    </row>
    <row r="3352" spans="1:7" x14ac:dyDescent="0.2">
      <c r="A3352">
        <f t="shared" si="52"/>
        <v>164104</v>
      </c>
      <c r="B3352">
        <v>164</v>
      </c>
      <c r="C3352">
        <v>104</v>
      </c>
      <c r="D3352">
        <v>268</v>
      </c>
      <c r="E3352" t="s">
        <v>296</v>
      </c>
      <c r="F3352" t="s">
        <v>1473</v>
      </c>
      <c r="G3352" t="s">
        <v>1474</v>
      </c>
    </row>
    <row r="3353" spans="1:7" x14ac:dyDescent="0.2">
      <c r="A3353">
        <f t="shared" si="52"/>
        <v>164105</v>
      </c>
      <c r="B3353">
        <v>164</v>
      </c>
      <c r="C3353">
        <v>105</v>
      </c>
      <c r="D3353">
        <v>269</v>
      </c>
      <c r="E3353" t="s">
        <v>292</v>
      </c>
      <c r="F3353" t="s">
        <v>1483</v>
      </c>
      <c r="G3353" t="s">
        <v>1484</v>
      </c>
    </row>
    <row r="3354" spans="1:7" x14ac:dyDescent="0.2">
      <c r="A3354">
        <f t="shared" si="52"/>
        <v>164106</v>
      </c>
      <c r="B3354">
        <v>164</v>
      </c>
      <c r="C3354">
        <v>106</v>
      </c>
      <c r="D3354">
        <v>270</v>
      </c>
      <c r="E3354" t="s">
        <v>1384</v>
      </c>
      <c r="F3354" t="s">
        <v>1493</v>
      </c>
      <c r="G3354" t="s">
        <v>1494</v>
      </c>
    </row>
    <row r="3355" spans="1:7" x14ac:dyDescent="0.2">
      <c r="A3355">
        <f t="shared" si="52"/>
        <v>164107</v>
      </c>
      <c r="B3355">
        <v>164</v>
      </c>
      <c r="C3355">
        <v>107</v>
      </c>
      <c r="D3355">
        <v>271</v>
      </c>
      <c r="E3355" t="s">
        <v>297</v>
      </c>
      <c r="F3355" t="s">
        <v>1502</v>
      </c>
      <c r="G3355" t="s">
        <v>1503</v>
      </c>
    </row>
    <row r="3356" spans="1:7" x14ac:dyDescent="0.2">
      <c r="A3356">
        <f t="shared" si="52"/>
        <v>164108</v>
      </c>
      <c r="B3356">
        <v>164</v>
      </c>
      <c r="C3356">
        <v>108</v>
      </c>
      <c r="D3356">
        <v>272</v>
      </c>
      <c r="E3356" t="s">
        <v>1426</v>
      </c>
      <c r="F3356" t="s">
        <v>1514</v>
      </c>
      <c r="G3356" t="s">
        <v>1515</v>
      </c>
    </row>
    <row r="3357" spans="1:7" x14ac:dyDescent="0.2">
      <c r="A3357">
        <f t="shared" si="52"/>
        <v>164109</v>
      </c>
      <c r="B3357">
        <v>164</v>
      </c>
      <c r="C3357">
        <v>109</v>
      </c>
      <c r="D3357">
        <v>273</v>
      </c>
      <c r="E3357" t="s">
        <v>299</v>
      </c>
      <c r="F3357" t="s">
        <v>1526</v>
      </c>
      <c r="G3357" t="s">
        <v>1527</v>
      </c>
    </row>
    <row r="3358" spans="1:7" x14ac:dyDescent="0.2">
      <c r="A3358">
        <f t="shared" si="52"/>
        <v>164110</v>
      </c>
      <c r="B3358">
        <v>164</v>
      </c>
      <c r="C3358">
        <v>110</v>
      </c>
      <c r="D3358">
        <v>274</v>
      </c>
      <c r="E3358" t="s">
        <v>1470</v>
      </c>
      <c r="F3358" t="s">
        <v>1537</v>
      </c>
      <c r="G3358" t="s">
        <v>1538</v>
      </c>
    </row>
    <row r="3359" spans="1:7" x14ac:dyDescent="0.2">
      <c r="A3359">
        <f t="shared" si="52"/>
        <v>164111</v>
      </c>
      <c r="B3359">
        <v>164</v>
      </c>
      <c r="C3359">
        <v>111</v>
      </c>
      <c r="D3359">
        <v>275</v>
      </c>
      <c r="E3359" t="s">
        <v>1519</v>
      </c>
      <c r="F3359" t="s">
        <v>1546</v>
      </c>
      <c r="G3359" t="s">
        <v>1547</v>
      </c>
    </row>
    <row r="3360" spans="1:7" x14ac:dyDescent="0.2">
      <c r="A3360">
        <f t="shared" si="52"/>
        <v>164112</v>
      </c>
      <c r="B3360">
        <v>164</v>
      </c>
      <c r="C3360">
        <v>112</v>
      </c>
      <c r="D3360">
        <v>276</v>
      </c>
      <c r="E3360" t="s">
        <v>1555</v>
      </c>
      <c r="F3360" t="s">
        <v>1556</v>
      </c>
      <c r="G3360" t="s">
        <v>211</v>
      </c>
    </row>
    <row r="3361" spans="1:7" x14ac:dyDescent="0.2">
      <c r="A3361">
        <f t="shared" si="52"/>
        <v>165105</v>
      </c>
      <c r="B3361">
        <v>165</v>
      </c>
      <c r="C3361">
        <v>105</v>
      </c>
      <c r="D3361">
        <v>270</v>
      </c>
      <c r="E3361" t="s">
        <v>292</v>
      </c>
      <c r="F3361" t="s">
        <v>1491</v>
      </c>
      <c r="G3361" t="s">
        <v>1492</v>
      </c>
    </row>
    <row r="3362" spans="1:7" x14ac:dyDescent="0.2">
      <c r="A3362">
        <f t="shared" si="52"/>
        <v>165106</v>
      </c>
      <c r="B3362">
        <v>165</v>
      </c>
      <c r="C3362">
        <v>106</v>
      </c>
      <c r="D3362">
        <v>271</v>
      </c>
      <c r="E3362" t="s">
        <v>1384</v>
      </c>
      <c r="F3362" t="s">
        <v>1500</v>
      </c>
      <c r="G3362" t="s">
        <v>1501</v>
      </c>
    </row>
    <row r="3363" spans="1:7" x14ac:dyDescent="0.2">
      <c r="A3363">
        <f t="shared" si="52"/>
        <v>165107</v>
      </c>
      <c r="B3363">
        <v>165</v>
      </c>
      <c r="C3363">
        <v>107</v>
      </c>
      <c r="D3363">
        <v>272</v>
      </c>
      <c r="E3363" t="s">
        <v>297</v>
      </c>
      <c r="F3363" t="s">
        <v>1512</v>
      </c>
      <c r="G3363" t="s">
        <v>1513</v>
      </c>
    </row>
    <row r="3364" spans="1:7" x14ac:dyDescent="0.2">
      <c r="A3364">
        <f t="shared" si="52"/>
        <v>165108</v>
      </c>
      <c r="B3364">
        <v>165</v>
      </c>
      <c r="C3364">
        <v>108</v>
      </c>
      <c r="D3364">
        <v>273</v>
      </c>
      <c r="E3364" t="s">
        <v>1426</v>
      </c>
      <c r="F3364" t="s">
        <v>1524</v>
      </c>
      <c r="G3364" t="s">
        <v>1525</v>
      </c>
    </row>
    <row r="3365" spans="1:7" x14ac:dyDescent="0.2">
      <c r="A3365">
        <f t="shared" si="52"/>
        <v>165109</v>
      </c>
      <c r="B3365">
        <v>165</v>
      </c>
      <c r="C3365">
        <v>109</v>
      </c>
      <c r="D3365">
        <v>274</v>
      </c>
      <c r="E3365" t="s">
        <v>299</v>
      </c>
      <c r="F3365" t="s">
        <v>1536</v>
      </c>
      <c r="G3365" t="s">
        <v>217</v>
      </c>
    </row>
    <row r="3366" spans="1:7" x14ac:dyDescent="0.2">
      <c r="A3366">
        <f t="shared" si="52"/>
        <v>165110</v>
      </c>
      <c r="B3366">
        <v>165</v>
      </c>
      <c r="C3366">
        <v>110</v>
      </c>
      <c r="D3366">
        <v>275</v>
      </c>
      <c r="E3366" t="s">
        <v>1470</v>
      </c>
      <c r="F3366" t="s">
        <v>1545</v>
      </c>
      <c r="G3366" t="s">
        <v>1362</v>
      </c>
    </row>
    <row r="3367" spans="1:7" x14ac:dyDescent="0.2">
      <c r="A3367">
        <f t="shared" si="52"/>
        <v>165111</v>
      </c>
      <c r="B3367">
        <v>165</v>
      </c>
      <c r="C3367">
        <v>111</v>
      </c>
      <c r="D3367">
        <v>276</v>
      </c>
      <c r="E3367" t="s">
        <v>1519</v>
      </c>
      <c r="F3367" t="s">
        <v>1553</v>
      </c>
      <c r="G3367" t="s">
        <v>1554</v>
      </c>
    </row>
    <row r="3368" spans="1:7" x14ac:dyDescent="0.2">
      <c r="A3368">
        <f t="shared" si="52"/>
        <v>165112</v>
      </c>
      <c r="B3368">
        <v>165</v>
      </c>
      <c r="C3368">
        <v>112</v>
      </c>
      <c r="D3368">
        <v>277</v>
      </c>
      <c r="E3368" t="s">
        <v>1555</v>
      </c>
      <c r="F3368" t="s">
        <v>1564</v>
      </c>
      <c r="G3368" t="s">
        <v>224</v>
      </c>
    </row>
    <row r="3369" spans="1:7" x14ac:dyDescent="0.2">
      <c r="A3369">
        <f t="shared" si="52"/>
        <v>165113</v>
      </c>
      <c r="B3369">
        <v>165</v>
      </c>
      <c r="C3369">
        <v>113</v>
      </c>
      <c r="D3369">
        <v>278</v>
      </c>
      <c r="E3369" t="s">
        <v>1572</v>
      </c>
      <c r="F3369" t="s">
        <v>1573</v>
      </c>
      <c r="G3369" t="s">
        <v>1574</v>
      </c>
    </row>
    <row r="3370" spans="1:7" x14ac:dyDescent="0.2">
      <c r="A3370">
        <f t="shared" si="52"/>
        <v>166106</v>
      </c>
      <c r="B3370">
        <v>166</v>
      </c>
      <c r="C3370">
        <v>106</v>
      </c>
      <c r="D3370">
        <v>272</v>
      </c>
      <c r="E3370" t="s">
        <v>1384</v>
      </c>
      <c r="F3370" t="s">
        <v>1510</v>
      </c>
      <c r="G3370" t="s">
        <v>1511</v>
      </c>
    </row>
    <row r="3371" spans="1:7" x14ac:dyDescent="0.2">
      <c r="A3371">
        <f t="shared" si="52"/>
        <v>166107</v>
      </c>
      <c r="B3371">
        <v>166</v>
      </c>
      <c r="C3371">
        <v>107</v>
      </c>
      <c r="D3371">
        <v>273</v>
      </c>
      <c r="E3371" t="s">
        <v>297</v>
      </c>
      <c r="F3371" t="s">
        <v>1522</v>
      </c>
      <c r="G3371" t="s">
        <v>1523</v>
      </c>
    </row>
    <row r="3372" spans="1:7" x14ac:dyDescent="0.2">
      <c r="A3372">
        <f t="shared" si="52"/>
        <v>166108</v>
      </c>
      <c r="B3372">
        <v>166</v>
      </c>
      <c r="C3372">
        <v>108</v>
      </c>
      <c r="D3372">
        <v>274</v>
      </c>
      <c r="E3372" t="s">
        <v>1426</v>
      </c>
      <c r="F3372" t="s">
        <v>1534</v>
      </c>
      <c r="G3372" t="s">
        <v>1535</v>
      </c>
    </row>
    <row r="3373" spans="1:7" x14ac:dyDescent="0.2">
      <c r="A3373">
        <f t="shared" si="52"/>
        <v>166109</v>
      </c>
      <c r="B3373">
        <v>166</v>
      </c>
      <c r="C3373">
        <v>109</v>
      </c>
      <c r="D3373">
        <v>275</v>
      </c>
      <c r="E3373" t="s">
        <v>299</v>
      </c>
      <c r="F3373" t="s">
        <v>1543</v>
      </c>
      <c r="G3373" t="s">
        <v>1544</v>
      </c>
    </row>
    <row r="3374" spans="1:7" x14ac:dyDescent="0.2">
      <c r="A3374">
        <f t="shared" si="52"/>
        <v>166110</v>
      </c>
      <c r="B3374">
        <v>166</v>
      </c>
      <c r="C3374">
        <v>110</v>
      </c>
      <c r="D3374">
        <v>276</v>
      </c>
      <c r="E3374" t="s">
        <v>1470</v>
      </c>
      <c r="F3374" t="s">
        <v>1551</v>
      </c>
      <c r="G3374" t="s">
        <v>1552</v>
      </c>
    </row>
    <row r="3375" spans="1:7" x14ac:dyDescent="0.2">
      <c r="A3375">
        <f t="shared" si="52"/>
        <v>166111</v>
      </c>
      <c r="B3375">
        <v>166</v>
      </c>
      <c r="C3375">
        <v>111</v>
      </c>
      <c r="D3375">
        <v>277</v>
      </c>
      <c r="E3375" t="s">
        <v>1519</v>
      </c>
      <c r="F3375" t="s">
        <v>1562</v>
      </c>
      <c r="G3375" t="s">
        <v>1563</v>
      </c>
    </row>
    <row r="3376" spans="1:7" x14ac:dyDescent="0.2">
      <c r="A3376">
        <f t="shared" si="52"/>
        <v>166112</v>
      </c>
      <c r="B3376">
        <v>166</v>
      </c>
      <c r="C3376">
        <v>112</v>
      </c>
      <c r="D3376">
        <v>278</v>
      </c>
      <c r="E3376" t="s">
        <v>1555</v>
      </c>
      <c r="F3376" t="s">
        <v>1571</v>
      </c>
      <c r="G3376" t="s">
        <v>210</v>
      </c>
    </row>
    <row r="3377" spans="1:7" x14ac:dyDescent="0.2">
      <c r="A3377">
        <f t="shared" si="52"/>
        <v>166113</v>
      </c>
      <c r="B3377">
        <v>166</v>
      </c>
      <c r="C3377">
        <v>113</v>
      </c>
      <c r="D3377">
        <v>279</v>
      </c>
      <c r="E3377" t="s">
        <v>1572</v>
      </c>
      <c r="F3377" t="s">
        <v>1582</v>
      </c>
      <c r="G3377" t="s">
        <v>212</v>
      </c>
    </row>
    <row r="3378" spans="1:7" x14ac:dyDescent="0.2">
      <c r="A3378">
        <f t="shared" si="52"/>
        <v>167106</v>
      </c>
      <c r="B3378">
        <v>167</v>
      </c>
      <c r="C3378">
        <v>106</v>
      </c>
      <c r="D3378">
        <v>273</v>
      </c>
      <c r="E3378" t="s">
        <v>1384</v>
      </c>
      <c r="F3378" t="s">
        <v>1521</v>
      </c>
      <c r="G3378" t="s">
        <v>201</v>
      </c>
    </row>
    <row r="3379" spans="1:7" x14ac:dyDescent="0.2">
      <c r="A3379">
        <f t="shared" si="52"/>
        <v>167107</v>
      </c>
      <c r="B3379">
        <v>167</v>
      </c>
      <c r="C3379">
        <v>107</v>
      </c>
      <c r="D3379">
        <v>274</v>
      </c>
      <c r="E3379" t="s">
        <v>297</v>
      </c>
      <c r="F3379" t="s">
        <v>1532</v>
      </c>
      <c r="G3379" t="s">
        <v>1533</v>
      </c>
    </row>
    <row r="3380" spans="1:7" x14ac:dyDescent="0.2">
      <c r="A3380">
        <f t="shared" si="52"/>
        <v>167108</v>
      </c>
      <c r="B3380">
        <v>167</v>
      </c>
      <c r="C3380">
        <v>108</v>
      </c>
      <c r="D3380">
        <v>275</v>
      </c>
      <c r="E3380" t="s">
        <v>1426</v>
      </c>
      <c r="F3380" t="s">
        <v>1541</v>
      </c>
      <c r="G3380" t="s">
        <v>1542</v>
      </c>
    </row>
    <row r="3381" spans="1:7" x14ac:dyDescent="0.2">
      <c r="A3381">
        <f t="shared" si="52"/>
        <v>167109</v>
      </c>
      <c r="B3381">
        <v>167</v>
      </c>
      <c r="C3381">
        <v>109</v>
      </c>
      <c r="D3381">
        <v>276</v>
      </c>
      <c r="E3381" t="s">
        <v>299</v>
      </c>
      <c r="F3381" t="s">
        <v>1550</v>
      </c>
      <c r="G3381" t="s">
        <v>1513</v>
      </c>
    </row>
    <row r="3382" spans="1:7" x14ac:dyDescent="0.2">
      <c r="A3382">
        <f t="shared" si="52"/>
        <v>167110</v>
      </c>
      <c r="B3382">
        <v>167</v>
      </c>
      <c r="C3382">
        <v>110</v>
      </c>
      <c r="D3382">
        <v>277</v>
      </c>
      <c r="E3382" t="s">
        <v>1470</v>
      </c>
      <c r="F3382" t="s">
        <v>1560</v>
      </c>
      <c r="G3382" t="s">
        <v>1561</v>
      </c>
    </row>
    <row r="3383" spans="1:7" x14ac:dyDescent="0.2">
      <c r="A3383">
        <f t="shared" si="52"/>
        <v>167111</v>
      </c>
      <c r="B3383">
        <v>167</v>
      </c>
      <c r="C3383">
        <v>111</v>
      </c>
      <c r="D3383">
        <v>278</v>
      </c>
      <c r="E3383" t="s">
        <v>1519</v>
      </c>
      <c r="F3383" t="s">
        <v>1569</v>
      </c>
      <c r="G3383" t="s">
        <v>1570</v>
      </c>
    </row>
    <row r="3384" spans="1:7" x14ac:dyDescent="0.2">
      <c r="A3384">
        <f t="shared" si="52"/>
        <v>167112</v>
      </c>
      <c r="B3384">
        <v>167</v>
      </c>
      <c r="C3384">
        <v>112</v>
      </c>
      <c r="D3384">
        <v>279</v>
      </c>
      <c r="E3384" t="s">
        <v>1555</v>
      </c>
      <c r="F3384" t="s">
        <v>1580</v>
      </c>
      <c r="G3384" t="s">
        <v>1581</v>
      </c>
    </row>
    <row r="3385" spans="1:7" x14ac:dyDescent="0.2">
      <c r="A3385">
        <f t="shared" si="52"/>
        <v>167113</v>
      </c>
      <c r="B3385">
        <v>167</v>
      </c>
      <c r="C3385">
        <v>113</v>
      </c>
      <c r="D3385">
        <v>280</v>
      </c>
      <c r="E3385" t="s">
        <v>1572</v>
      </c>
      <c r="F3385" t="s">
        <v>1587</v>
      </c>
      <c r="G3385" t="s">
        <v>197</v>
      </c>
    </row>
    <row r="3386" spans="1:7" x14ac:dyDescent="0.2">
      <c r="A3386">
        <f t="shared" si="52"/>
        <v>168107</v>
      </c>
      <c r="B3386">
        <v>168</v>
      </c>
      <c r="C3386">
        <v>107</v>
      </c>
      <c r="D3386">
        <v>275</v>
      </c>
      <c r="E3386" t="s">
        <v>297</v>
      </c>
      <c r="F3386" t="s">
        <v>1540</v>
      </c>
      <c r="G3386" t="s">
        <v>211</v>
      </c>
    </row>
    <row r="3387" spans="1:7" x14ac:dyDescent="0.2">
      <c r="A3387">
        <f t="shared" si="52"/>
        <v>168108</v>
      </c>
      <c r="B3387">
        <v>168</v>
      </c>
      <c r="C3387">
        <v>108</v>
      </c>
      <c r="D3387">
        <v>276</v>
      </c>
      <c r="E3387" t="s">
        <v>1426</v>
      </c>
      <c r="F3387" t="s">
        <v>1548</v>
      </c>
      <c r="G3387" t="s">
        <v>1549</v>
      </c>
    </row>
    <row r="3388" spans="1:7" x14ac:dyDescent="0.2">
      <c r="A3388">
        <f t="shared" si="52"/>
        <v>168109</v>
      </c>
      <c r="B3388">
        <v>168</v>
      </c>
      <c r="C3388">
        <v>109</v>
      </c>
      <c r="D3388">
        <v>277</v>
      </c>
      <c r="E3388" t="s">
        <v>299</v>
      </c>
      <c r="F3388" t="s">
        <v>1559</v>
      </c>
      <c r="G3388" t="s">
        <v>212</v>
      </c>
    </row>
    <row r="3389" spans="1:7" x14ac:dyDescent="0.2">
      <c r="A3389">
        <f t="shared" si="52"/>
        <v>168110</v>
      </c>
      <c r="B3389">
        <v>168</v>
      </c>
      <c r="C3389">
        <v>110</v>
      </c>
      <c r="D3389">
        <v>278</v>
      </c>
      <c r="E3389" t="s">
        <v>1470</v>
      </c>
      <c r="F3389" t="s">
        <v>1567</v>
      </c>
      <c r="G3389" t="s">
        <v>1568</v>
      </c>
    </row>
    <row r="3390" spans="1:7" x14ac:dyDescent="0.2">
      <c r="A3390">
        <f t="shared" si="52"/>
        <v>168111</v>
      </c>
      <c r="B3390">
        <v>168</v>
      </c>
      <c r="C3390">
        <v>111</v>
      </c>
      <c r="D3390">
        <v>279</v>
      </c>
      <c r="E3390" t="s">
        <v>1519</v>
      </c>
      <c r="F3390" t="s">
        <v>1578</v>
      </c>
      <c r="G3390" t="s">
        <v>1579</v>
      </c>
    </row>
    <row r="3391" spans="1:7" x14ac:dyDescent="0.2">
      <c r="A3391">
        <f t="shared" si="52"/>
        <v>168112</v>
      </c>
      <c r="B3391">
        <v>168</v>
      </c>
      <c r="C3391">
        <v>112</v>
      </c>
      <c r="D3391">
        <v>280</v>
      </c>
      <c r="E3391" t="s">
        <v>1555</v>
      </c>
      <c r="F3391" t="s">
        <v>1586</v>
      </c>
      <c r="G3391" t="s">
        <v>1450</v>
      </c>
    </row>
    <row r="3392" spans="1:7" x14ac:dyDescent="0.2">
      <c r="A3392">
        <f t="shared" si="52"/>
        <v>168113</v>
      </c>
      <c r="B3392">
        <v>168</v>
      </c>
      <c r="C3392">
        <v>113</v>
      </c>
      <c r="D3392">
        <v>281</v>
      </c>
      <c r="E3392" t="s">
        <v>1572</v>
      </c>
      <c r="F3392" t="s">
        <v>1594</v>
      </c>
      <c r="G3392" t="s">
        <v>235</v>
      </c>
    </row>
    <row r="3393" spans="1:7" x14ac:dyDescent="0.2">
      <c r="A3393">
        <f t="shared" ref="A3393:A3436" si="53">1000*B3393+C3393</f>
        <v>169108</v>
      </c>
      <c r="B3393">
        <v>169</v>
      </c>
      <c r="C3393">
        <v>108</v>
      </c>
      <c r="D3393">
        <v>277</v>
      </c>
      <c r="E3393" t="s">
        <v>1426</v>
      </c>
      <c r="F3393" t="s">
        <v>1557</v>
      </c>
      <c r="G3393" t="s">
        <v>1558</v>
      </c>
    </row>
    <row r="3394" spans="1:7" x14ac:dyDescent="0.2">
      <c r="A3394">
        <f t="shared" si="53"/>
        <v>169109</v>
      </c>
      <c r="B3394">
        <v>169</v>
      </c>
      <c r="C3394">
        <v>109</v>
      </c>
      <c r="D3394">
        <v>278</v>
      </c>
      <c r="E3394" t="s">
        <v>299</v>
      </c>
      <c r="F3394" t="s">
        <v>1565</v>
      </c>
      <c r="G3394" t="s">
        <v>1566</v>
      </c>
    </row>
    <row r="3395" spans="1:7" x14ac:dyDescent="0.2">
      <c r="A3395">
        <f t="shared" si="53"/>
        <v>169110</v>
      </c>
      <c r="B3395">
        <v>169</v>
      </c>
      <c r="C3395">
        <v>110</v>
      </c>
      <c r="D3395">
        <v>279</v>
      </c>
      <c r="E3395" t="s">
        <v>1470</v>
      </c>
      <c r="F3395" t="s">
        <v>1576</v>
      </c>
      <c r="G3395" t="s">
        <v>1577</v>
      </c>
    </row>
    <row r="3396" spans="1:7" x14ac:dyDescent="0.2">
      <c r="A3396">
        <f t="shared" si="53"/>
        <v>169111</v>
      </c>
      <c r="B3396">
        <v>169</v>
      </c>
      <c r="C3396">
        <v>111</v>
      </c>
      <c r="D3396">
        <v>280</v>
      </c>
      <c r="E3396" t="s">
        <v>1519</v>
      </c>
      <c r="F3396" t="s">
        <v>1585</v>
      </c>
      <c r="G3396" t="s">
        <v>1513</v>
      </c>
    </row>
    <row r="3397" spans="1:7" x14ac:dyDescent="0.2">
      <c r="A3397">
        <f t="shared" si="53"/>
        <v>169112</v>
      </c>
      <c r="B3397">
        <v>169</v>
      </c>
      <c r="C3397">
        <v>112</v>
      </c>
      <c r="D3397">
        <v>281</v>
      </c>
      <c r="E3397" t="s">
        <v>1555</v>
      </c>
      <c r="F3397" t="s">
        <v>1592</v>
      </c>
      <c r="G3397" t="s">
        <v>1593</v>
      </c>
    </row>
    <row r="3398" spans="1:7" x14ac:dyDescent="0.2">
      <c r="A3398">
        <f t="shared" si="53"/>
        <v>169113</v>
      </c>
      <c r="B3398">
        <v>169</v>
      </c>
      <c r="C3398">
        <v>113</v>
      </c>
      <c r="D3398">
        <v>282</v>
      </c>
      <c r="E3398" t="s">
        <v>1572</v>
      </c>
      <c r="F3398" t="s">
        <v>1599</v>
      </c>
      <c r="G3398" t="s">
        <v>246</v>
      </c>
    </row>
    <row r="3399" spans="1:7" x14ac:dyDescent="0.2">
      <c r="A3399">
        <f t="shared" si="53"/>
        <v>170109</v>
      </c>
      <c r="B3399">
        <v>170</v>
      </c>
      <c r="C3399">
        <v>109</v>
      </c>
      <c r="D3399">
        <v>279</v>
      </c>
      <c r="E3399" t="s">
        <v>299</v>
      </c>
      <c r="F3399" t="s">
        <v>1575</v>
      </c>
      <c r="G3399" t="s">
        <v>699</v>
      </c>
    </row>
    <row r="3400" spans="1:7" x14ac:dyDescent="0.2">
      <c r="A3400">
        <f t="shared" si="53"/>
        <v>170110</v>
      </c>
      <c r="B3400">
        <v>170</v>
      </c>
      <c r="C3400">
        <v>110</v>
      </c>
      <c r="D3400">
        <v>280</v>
      </c>
      <c r="E3400" t="s">
        <v>1470</v>
      </c>
      <c r="F3400" t="s">
        <v>1583</v>
      </c>
      <c r="G3400" t="s">
        <v>1584</v>
      </c>
    </row>
    <row r="3401" spans="1:7" x14ac:dyDescent="0.2">
      <c r="A3401">
        <f t="shared" si="53"/>
        <v>170111</v>
      </c>
      <c r="B3401">
        <v>170</v>
      </c>
      <c r="C3401">
        <v>111</v>
      </c>
      <c r="D3401">
        <v>281</v>
      </c>
      <c r="E3401" t="s">
        <v>1519</v>
      </c>
      <c r="F3401" t="s">
        <v>1590</v>
      </c>
      <c r="G3401" t="s">
        <v>1591</v>
      </c>
    </row>
    <row r="3402" spans="1:7" x14ac:dyDescent="0.2">
      <c r="A3402">
        <f t="shared" si="53"/>
        <v>170112</v>
      </c>
      <c r="B3402">
        <v>170</v>
      </c>
      <c r="C3402">
        <v>112</v>
      </c>
      <c r="D3402">
        <v>282</v>
      </c>
      <c r="E3402" t="s">
        <v>1555</v>
      </c>
      <c r="F3402" t="s">
        <v>1597</v>
      </c>
      <c r="G3402" t="s">
        <v>1598</v>
      </c>
    </row>
    <row r="3403" spans="1:7" x14ac:dyDescent="0.2">
      <c r="A3403">
        <f t="shared" si="53"/>
        <v>170113</v>
      </c>
      <c r="B3403">
        <v>170</v>
      </c>
      <c r="C3403">
        <v>113</v>
      </c>
      <c r="D3403">
        <v>283</v>
      </c>
      <c r="E3403" t="s">
        <v>1572</v>
      </c>
      <c r="F3403" t="s">
        <v>1604</v>
      </c>
      <c r="G3403" t="s">
        <v>1432</v>
      </c>
    </row>
    <row r="3404" spans="1:7" x14ac:dyDescent="0.2">
      <c r="A3404">
        <f t="shared" si="53"/>
        <v>170114</v>
      </c>
      <c r="B3404">
        <v>170</v>
      </c>
      <c r="C3404">
        <v>114</v>
      </c>
      <c r="D3404">
        <v>284</v>
      </c>
      <c r="E3404" t="s">
        <v>1608</v>
      </c>
      <c r="F3404" t="s">
        <v>1609</v>
      </c>
      <c r="G3404" t="s">
        <v>1598</v>
      </c>
    </row>
    <row r="3405" spans="1:7" x14ac:dyDescent="0.2">
      <c r="A3405">
        <f t="shared" si="53"/>
        <v>171110</v>
      </c>
      <c r="B3405">
        <v>171</v>
      </c>
      <c r="C3405">
        <v>110</v>
      </c>
      <c r="D3405">
        <v>281</v>
      </c>
      <c r="E3405" t="s">
        <v>1470</v>
      </c>
      <c r="F3405" t="s">
        <v>1588</v>
      </c>
      <c r="G3405" t="s">
        <v>1589</v>
      </c>
    </row>
    <row r="3406" spans="1:7" x14ac:dyDescent="0.2">
      <c r="A3406">
        <f t="shared" si="53"/>
        <v>171111</v>
      </c>
      <c r="B3406">
        <v>171</v>
      </c>
      <c r="C3406">
        <v>111</v>
      </c>
      <c r="D3406">
        <v>282</v>
      </c>
      <c r="E3406" t="s">
        <v>1519</v>
      </c>
      <c r="F3406" t="s">
        <v>1595</v>
      </c>
      <c r="G3406" t="s">
        <v>1596</v>
      </c>
    </row>
    <row r="3407" spans="1:7" x14ac:dyDescent="0.2">
      <c r="A3407">
        <f t="shared" si="53"/>
        <v>171112</v>
      </c>
      <c r="B3407">
        <v>171</v>
      </c>
      <c r="C3407">
        <v>112</v>
      </c>
      <c r="D3407">
        <v>283</v>
      </c>
      <c r="E3407" t="s">
        <v>1555</v>
      </c>
      <c r="F3407" t="s">
        <v>1602</v>
      </c>
      <c r="G3407" t="s">
        <v>1603</v>
      </c>
    </row>
    <row r="3408" spans="1:7" x14ac:dyDescent="0.2">
      <c r="A3408">
        <f t="shared" si="53"/>
        <v>171113</v>
      </c>
      <c r="B3408">
        <v>171</v>
      </c>
      <c r="C3408">
        <v>113</v>
      </c>
      <c r="D3408">
        <v>284</v>
      </c>
      <c r="E3408" t="s">
        <v>1572</v>
      </c>
      <c r="F3408" t="s">
        <v>1606</v>
      </c>
      <c r="G3408" t="s">
        <v>1607</v>
      </c>
    </row>
    <row r="3409" spans="1:7" x14ac:dyDescent="0.2">
      <c r="A3409">
        <f t="shared" si="53"/>
        <v>171114</v>
      </c>
      <c r="B3409">
        <v>171</v>
      </c>
      <c r="C3409">
        <v>114</v>
      </c>
      <c r="D3409">
        <v>285</v>
      </c>
      <c r="E3409" t="s">
        <v>1608</v>
      </c>
      <c r="F3409" t="s">
        <v>1614</v>
      </c>
      <c r="G3409" t="s">
        <v>229</v>
      </c>
    </row>
    <row r="3410" spans="1:7" x14ac:dyDescent="0.2">
      <c r="A3410">
        <f t="shared" si="53"/>
        <v>172111</v>
      </c>
      <c r="B3410">
        <v>172</v>
      </c>
      <c r="C3410">
        <v>111</v>
      </c>
      <c r="D3410">
        <v>283</v>
      </c>
      <c r="E3410" t="s">
        <v>1519</v>
      </c>
      <c r="F3410" t="s">
        <v>1600</v>
      </c>
      <c r="G3410" t="s">
        <v>1601</v>
      </c>
    </row>
    <row r="3411" spans="1:7" x14ac:dyDescent="0.2">
      <c r="A3411">
        <f t="shared" si="53"/>
        <v>172112</v>
      </c>
      <c r="B3411">
        <v>172</v>
      </c>
      <c r="C3411">
        <v>112</v>
      </c>
      <c r="D3411">
        <v>284</v>
      </c>
      <c r="E3411" t="s">
        <v>1555</v>
      </c>
      <c r="F3411" t="s">
        <v>1605</v>
      </c>
      <c r="G3411" t="s">
        <v>1591</v>
      </c>
    </row>
    <row r="3412" spans="1:7" x14ac:dyDescent="0.2">
      <c r="A3412">
        <f t="shared" si="53"/>
        <v>172113</v>
      </c>
      <c r="B3412">
        <v>172</v>
      </c>
      <c r="C3412">
        <v>113</v>
      </c>
      <c r="D3412">
        <v>285</v>
      </c>
      <c r="E3412" t="s">
        <v>1572</v>
      </c>
      <c r="F3412" t="s">
        <v>1612</v>
      </c>
      <c r="G3412" t="s">
        <v>1613</v>
      </c>
    </row>
    <row r="3413" spans="1:7" x14ac:dyDescent="0.2">
      <c r="A3413">
        <f t="shared" si="53"/>
        <v>172114</v>
      </c>
      <c r="B3413">
        <v>172</v>
      </c>
      <c r="C3413">
        <v>114</v>
      </c>
      <c r="D3413">
        <v>286</v>
      </c>
      <c r="E3413" t="s">
        <v>1608</v>
      </c>
      <c r="F3413" t="s">
        <v>1616</v>
      </c>
      <c r="G3413" t="s">
        <v>1617</v>
      </c>
    </row>
    <row r="3414" spans="1:7" x14ac:dyDescent="0.2">
      <c r="A3414">
        <f t="shared" si="53"/>
        <v>172115</v>
      </c>
      <c r="B3414">
        <v>172</v>
      </c>
      <c r="C3414">
        <v>115</v>
      </c>
      <c r="D3414">
        <v>287</v>
      </c>
      <c r="E3414" t="s">
        <v>1622</v>
      </c>
      <c r="F3414" t="s">
        <v>1623</v>
      </c>
      <c r="G3414" t="s">
        <v>1624</v>
      </c>
    </row>
    <row r="3415" spans="1:7" x14ac:dyDescent="0.2">
      <c r="A3415">
        <f t="shared" si="53"/>
        <v>173112</v>
      </c>
      <c r="B3415">
        <v>173</v>
      </c>
      <c r="C3415">
        <v>112</v>
      </c>
      <c r="D3415">
        <v>285</v>
      </c>
      <c r="E3415" t="s">
        <v>1555</v>
      </c>
      <c r="F3415" t="s">
        <v>1610</v>
      </c>
      <c r="G3415" t="s">
        <v>1611</v>
      </c>
    </row>
    <row r="3416" spans="1:7" x14ac:dyDescent="0.2">
      <c r="A3416">
        <f t="shared" si="53"/>
        <v>173113</v>
      </c>
      <c r="B3416">
        <v>173</v>
      </c>
      <c r="C3416">
        <v>113</v>
      </c>
      <c r="D3416">
        <v>286</v>
      </c>
      <c r="E3416" t="s">
        <v>1572</v>
      </c>
      <c r="F3416" t="s">
        <v>1615</v>
      </c>
      <c r="G3416" t="s">
        <v>1598</v>
      </c>
    </row>
    <row r="3417" spans="1:7" x14ac:dyDescent="0.2">
      <c r="A3417">
        <f t="shared" si="53"/>
        <v>173114</v>
      </c>
      <c r="B3417">
        <v>173</v>
      </c>
      <c r="C3417">
        <v>114</v>
      </c>
      <c r="D3417">
        <v>287</v>
      </c>
      <c r="E3417" t="s">
        <v>1608</v>
      </c>
      <c r="F3417" t="s">
        <v>1620</v>
      </c>
      <c r="G3417" t="s">
        <v>1621</v>
      </c>
    </row>
    <row r="3418" spans="1:7" x14ac:dyDescent="0.2">
      <c r="A3418">
        <f t="shared" si="53"/>
        <v>173115</v>
      </c>
      <c r="B3418">
        <v>173</v>
      </c>
      <c r="C3418">
        <v>115</v>
      </c>
      <c r="D3418">
        <v>288</v>
      </c>
      <c r="E3418" t="s">
        <v>1622</v>
      </c>
      <c r="F3418" t="s">
        <v>1626</v>
      </c>
      <c r="G3418" t="s">
        <v>1627</v>
      </c>
    </row>
    <row r="3419" spans="1:7" x14ac:dyDescent="0.2">
      <c r="A3419">
        <f t="shared" si="53"/>
        <v>173116</v>
      </c>
      <c r="B3419">
        <v>173</v>
      </c>
      <c r="C3419">
        <v>116</v>
      </c>
      <c r="D3419">
        <v>289</v>
      </c>
      <c r="E3419" t="s">
        <v>1632</v>
      </c>
      <c r="F3419" t="s">
        <v>1633</v>
      </c>
      <c r="G3419" t="s">
        <v>1634</v>
      </c>
    </row>
    <row r="3420" spans="1:7" x14ac:dyDescent="0.2">
      <c r="A3420">
        <f t="shared" si="53"/>
        <v>174113</v>
      </c>
      <c r="B3420">
        <v>174</v>
      </c>
      <c r="C3420">
        <v>113</v>
      </c>
      <c r="D3420">
        <v>287</v>
      </c>
      <c r="E3420" t="s">
        <v>1572</v>
      </c>
      <c r="F3420" t="s">
        <v>1618</v>
      </c>
      <c r="G3420" t="s">
        <v>1619</v>
      </c>
    </row>
    <row r="3421" spans="1:7" x14ac:dyDescent="0.2">
      <c r="A3421">
        <f t="shared" si="53"/>
        <v>174114</v>
      </c>
      <c r="B3421">
        <v>174</v>
      </c>
      <c r="C3421">
        <v>114</v>
      </c>
      <c r="D3421">
        <v>288</v>
      </c>
      <c r="E3421" t="s">
        <v>1608</v>
      </c>
      <c r="F3421" t="s">
        <v>1625</v>
      </c>
      <c r="G3421" t="s">
        <v>1591</v>
      </c>
    </row>
    <row r="3422" spans="1:7" x14ac:dyDescent="0.2">
      <c r="A3422">
        <f t="shared" si="53"/>
        <v>174115</v>
      </c>
      <c r="B3422">
        <v>174</v>
      </c>
      <c r="C3422">
        <v>115</v>
      </c>
      <c r="D3422">
        <v>289</v>
      </c>
      <c r="E3422" t="s">
        <v>1622</v>
      </c>
      <c r="F3422" t="s">
        <v>1630</v>
      </c>
      <c r="G3422" t="s">
        <v>1631</v>
      </c>
    </row>
    <row r="3423" spans="1:7" x14ac:dyDescent="0.2">
      <c r="A3423">
        <f t="shared" si="53"/>
        <v>174116</v>
      </c>
      <c r="B3423">
        <v>174</v>
      </c>
      <c r="C3423">
        <v>116</v>
      </c>
      <c r="D3423">
        <v>290</v>
      </c>
      <c r="E3423" t="s">
        <v>1632</v>
      </c>
      <c r="F3423" t="s">
        <v>1637</v>
      </c>
      <c r="G3423" t="s">
        <v>1638</v>
      </c>
    </row>
    <row r="3424" spans="1:7" x14ac:dyDescent="0.2">
      <c r="A3424">
        <f t="shared" si="53"/>
        <v>174117</v>
      </c>
      <c r="B3424">
        <v>174</v>
      </c>
      <c r="C3424">
        <v>117</v>
      </c>
      <c r="D3424">
        <v>291</v>
      </c>
      <c r="E3424" t="s">
        <v>1643</v>
      </c>
      <c r="F3424" t="s">
        <v>1644</v>
      </c>
      <c r="G3424" t="s">
        <v>1645</v>
      </c>
    </row>
    <row r="3425" spans="1:7" x14ac:dyDescent="0.2">
      <c r="A3425">
        <f t="shared" si="53"/>
        <v>175114</v>
      </c>
      <c r="B3425">
        <v>175</v>
      </c>
      <c r="C3425">
        <v>114</v>
      </c>
      <c r="D3425">
        <v>289</v>
      </c>
      <c r="E3425" t="s">
        <v>1608</v>
      </c>
      <c r="F3425" t="s">
        <v>1628</v>
      </c>
      <c r="G3425" t="s">
        <v>1629</v>
      </c>
    </row>
    <row r="3426" spans="1:7" x14ac:dyDescent="0.2">
      <c r="A3426">
        <f t="shared" si="53"/>
        <v>175115</v>
      </c>
      <c r="B3426">
        <v>175</v>
      </c>
      <c r="C3426">
        <v>115</v>
      </c>
      <c r="D3426">
        <v>290</v>
      </c>
      <c r="E3426" t="s">
        <v>1622</v>
      </c>
      <c r="F3426" t="s">
        <v>1635</v>
      </c>
      <c r="G3426" t="s">
        <v>1636</v>
      </c>
    </row>
    <row r="3427" spans="1:7" x14ac:dyDescent="0.2">
      <c r="A3427">
        <f t="shared" si="53"/>
        <v>175116</v>
      </c>
      <c r="B3427">
        <v>175</v>
      </c>
      <c r="C3427">
        <v>116</v>
      </c>
      <c r="D3427">
        <v>291</v>
      </c>
      <c r="E3427" t="s">
        <v>1632</v>
      </c>
      <c r="F3427" t="s">
        <v>1641</v>
      </c>
      <c r="G3427" t="s">
        <v>1642</v>
      </c>
    </row>
    <row r="3428" spans="1:7" x14ac:dyDescent="0.2">
      <c r="A3428">
        <f t="shared" si="53"/>
        <v>175117</v>
      </c>
      <c r="B3428">
        <v>175</v>
      </c>
      <c r="C3428">
        <v>117</v>
      </c>
      <c r="D3428">
        <v>292</v>
      </c>
      <c r="E3428" t="s">
        <v>1643</v>
      </c>
      <c r="F3428" t="s">
        <v>1647</v>
      </c>
      <c r="G3428" t="s">
        <v>1648</v>
      </c>
    </row>
    <row r="3429" spans="1:7" x14ac:dyDescent="0.2">
      <c r="A3429">
        <f t="shared" si="53"/>
        <v>175118</v>
      </c>
      <c r="B3429">
        <v>175</v>
      </c>
      <c r="C3429">
        <v>118</v>
      </c>
      <c r="D3429">
        <v>293</v>
      </c>
      <c r="E3429" t="s">
        <v>1653</v>
      </c>
      <c r="F3429" t="s">
        <v>1654</v>
      </c>
      <c r="G3429" t="s">
        <v>1655</v>
      </c>
    </row>
    <row r="3430" spans="1:7" x14ac:dyDescent="0.2">
      <c r="A3430">
        <f t="shared" si="53"/>
        <v>176115</v>
      </c>
      <c r="B3430">
        <v>176</v>
      </c>
      <c r="C3430">
        <v>115</v>
      </c>
      <c r="D3430">
        <v>291</v>
      </c>
      <c r="E3430" t="s">
        <v>1622</v>
      </c>
      <c r="F3430" t="s">
        <v>1639</v>
      </c>
      <c r="G3430" t="s">
        <v>1640</v>
      </c>
    </row>
    <row r="3431" spans="1:7" x14ac:dyDescent="0.2">
      <c r="A3431">
        <f t="shared" si="53"/>
        <v>176116</v>
      </c>
      <c r="B3431">
        <v>176</v>
      </c>
      <c r="C3431">
        <v>116</v>
      </c>
      <c r="D3431">
        <v>292</v>
      </c>
      <c r="E3431" t="s">
        <v>1632</v>
      </c>
      <c r="F3431" t="s">
        <v>1646</v>
      </c>
      <c r="G3431" t="s">
        <v>1591</v>
      </c>
    </row>
    <row r="3432" spans="1:7" x14ac:dyDescent="0.2">
      <c r="A3432">
        <f t="shared" si="53"/>
        <v>176117</v>
      </c>
      <c r="B3432">
        <v>176</v>
      </c>
      <c r="C3432">
        <v>117</v>
      </c>
      <c r="D3432">
        <v>293</v>
      </c>
      <c r="E3432" t="s">
        <v>1643</v>
      </c>
      <c r="F3432" t="s">
        <v>1651</v>
      </c>
      <c r="G3432" t="s">
        <v>1652</v>
      </c>
    </row>
    <row r="3433" spans="1:7" x14ac:dyDescent="0.2">
      <c r="A3433">
        <f t="shared" si="53"/>
        <v>176118</v>
      </c>
      <c r="B3433">
        <v>176</v>
      </c>
      <c r="C3433">
        <v>118</v>
      </c>
      <c r="D3433">
        <v>294</v>
      </c>
      <c r="E3433" t="s">
        <v>1653</v>
      </c>
      <c r="F3433" t="s">
        <v>1657</v>
      </c>
      <c r="G3433" t="s">
        <v>1658</v>
      </c>
    </row>
    <row r="3434" spans="1:7" x14ac:dyDescent="0.2">
      <c r="A3434">
        <f t="shared" si="53"/>
        <v>177116</v>
      </c>
      <c r="B3434">
        <v>177</v>
      </c>
      <c r="C3434">
        <v>116</v>
      </c>
      <c r="D3434">
        <v>293</v>
      </c>
      <c r="E3434" t="s">
        <v>1632</v>
      </c>
      <c r="F3434" t="s">
        <v>1649</v>
      </c>
      <c r="G3434" t="s">
        <v>1650</v>
      </c>
    </row>
    <row r="3435" spans="1:7" x14ac:dyDescent="0.2">
      <c r="A3435">
        <f t="shared" si="53"/>
        <v>177117</v>
      </c>
      <c r="B3435">
        <v>177</v>
      </c>
      <c r="C3435">
        <v>117</v>
      </c>
      <c r="D3435">
        <v>294</v>
      </c>
      <c r="E3435" t="s">
        <v>1643</v>
      </c>
      <c r="F3435" t="s">
        <v>1656</v>
      </c>
      <c r="G3435" t="s">
        <v>1638</v>
      </c>
    </row>
    <row r="3436" spans="1:7" x14ac:dyDescent="0.2">
      <c r="A3436">
        <f t="shared" si="53"/>
        <v>177118</v>
      </c>
      <c r="B3436">
        <v>177</v>
      </c>
      <c r="C3436">
        <v>118</v>
      </c>
      <c r="D3436">
        <v>295</v>
      </c>
      <c r="E3436" t="s">
        <v>1653</v>
      </c>
      <c r="F3436" t="s">
        <v>1659</v>
      </c>
      <c r="G3436" t="s">
        <v>1660</v>
      </c>
    </row>
  </sheetData>
  <sortState ref="A1:G3436">
    <sortCondition ref="A1:A343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topLeftCell="A7" zoomScale="70" zoomScaleNormal="70" workbookViewId="0">
      <selection activeCell="M23" sqref="M23:M40"/>
    </sheetView>
  </sheetViews>
  <sheetFormatPr defaultRowHeight="12.75" x14ac:dyDescent="0.2"/>
  <cols>
    <col min="4" max="4" width="11.42578125" bestFit="1" customWidth="1"/>
    <col min="6" max="6" width="11.85546875" customWidth="1"/>
    <col min="10" max="10" width="11" bestFit="1" customWidth="1"/>
    <col min="16" max="16" width="12.42578125" bestFit="1" customWidth="1"/>
    <col min="18" max="18" width="12.42578125" bestFit="1" customWidth="1"/>
  </cols>
  <sheetData>
    <row r="1" spans="1:12" x14ac:dyDescent="0.2">
      <c r="A1" t="s">
        <v>486</v>
      </c>
      <c r="B1" s="204" t="str">
        <f>kinematics!C8</f>
        <v>H</v>
      </c>
      <c r="C1" s="204">
        <f>kinematics!D8</f>
        <v>3</v>
      </c>
      <c r="E1" t="s">
        <v>496</v>
      </c>
      <c r="F1" s="213" t="s">
        <v>1664</v>
      </c>
      <c r="G1" s="213">
        <v>0</v>
      </c>
      <c r="H1" s="204" t="e">
        <f>INDEX(Z_values,MATCH(F1,Symbol_values,0))</f>
        <v>#N/A</v>
      </c>
      <c r="I1">
        <f>IF(F1="gg",0,mass_rmd.mas!R8)</f>
        <v>0</v>
      </c>
      <c r="J1">
        <f>IF(F1="gg",0,mass_rmd.mas!S8*mass_rmd.mas!A2)</f>
        <v>0</v>
      </c>
    </row>
    <row r="2" spans="1:12" x14ac:dyDescent="0.2">
      <c r="A2" t="s">
        <v>488</v>
      </c>
      <c r="C2" s="204">
        <f>kinematics!H10</f>
        <v>0</v>
      </c>
      <c r="F2" t="s">
        <v>102</v>
      </c>
      <c r="G2" t="s">
        <v>103</v>
      </c>
      <c r="H2" t="s">
        <v>302</v>
      </c>
    </row>
    <row r="3" spans="1:12" x14ac:dyDescent="0.2">
      <c r="A3" t="s">
        <v>487</v>
      </c>
      <c r="B3" s="204">
        <f ca="1">kinematics!F16</f>
        <v>418.37539728023131</v>
      </c>
      <c r="E3" t="s">
        <v>498</v>
      </c>
      <c r="F3" s="213" t="s">
        <v>5</v>
      </c>
      <c r="G3" s="214">
        <v>12</v>
      </c>
      <c r="H3" s="204">
        <f>INDEX(Z_values,MATCH(F3,Symbol_values,0))</f>
        <v>7</v>
      </c>
      <c r="I3">
        <f ca="1">mass_rmd.mas!R9</f>
        <v>17.338068</v>
      </c>
      <c r="J3">
        <f ca="1">mass_rmd.mas!S9*mass_rmd.mas!A2</f>
        <v>11195.266799999999</v>
      </c>
      <c r="K3" t="s">
        <v>489</v>
      </c>
      <c r="L3" t="s">
        <v>489</v>
      </c>
    </row>
    <row r="4" spans="1:12" x14ac:dyDescent="0.2">
      <c r="A4" t="s">
        <v>490</v>
      </c>
      <c r="B4" s="204">
        <f ca="1">kinematics!Y8-C2</f>
        <v>2809.43199293</v>
      </c>
    </row>
    <row r="5" spans="1:12" x14ac:dyDescent="0.2">
      <c r="A5" t="s">
        <v>491</v>
      </c>
      <c r="B5" s="204">
        <f ca="1">B4+C2</f>
        <v>2809.43199293</v>
      </c>
    </row>
    <row r="6" spans="1:12" x14ac:dyDescent="0.2">
      <c r="A6" t="s">
        <v>492</v>
      </c>
      <c r="B6" s="204">
        <f ca="1">B5+B3</f>
        <v>3227.8073902102315</v>
      </c>
    </row>
    <row r="7" spans="1:12" x14ac:dyDescent="0.2">
      <c r="A7" t="s">
        <v>493</v>
      </c>
      <c r="B7" s="204">
        <f ca="1">SQRT(B6^2-B5^2)</f>
        <v>1589.2867662562201</v>
      </c>
    </row>
    <row r="8" spans="1:12" x14ac:dyDescent="0.2">
      <c r="A8" t="s">
        <v>494</v>
      </c>
      <c r="B8" s="204">
        <f ca="1">B7/B6</f>
        <v>0.49237348271660897</v>
      </c>
    </row>
    <row r="9" spans="1:12" x14ac:dyDescent="0.2">
      <c r="A9" t="s">
        <v>495</v>
      </c>
      <c r="B9" s="204">
        <f ca="1">1/SQRT(1-B8^2)</f>
        <v>1.1489181437148444</v>
      </c>
      <c r="C9">
        <f ca="1">(B3+B5)/B5</f>
        <v>1.1489181437148444</v>
      </c>
    </row>
    <row r="11" spans="1:12" x14ac:dyDescent="0.2">
      <c r="A11" t="s">
        <v>499</v>
      </c>
    </row>
    <row r="12" spans="1:12" x14ac:dyDescent="0.2">
      <c r="A12" t="s">
        <v>500</v>
      </c>
      <c r="B12" s="204">
        <f ca="1">(B5^2-J1^2+J3^2)/(2*B5)</f>
        <v>23710.648127690834</v>
      </c>
    </row>
    <row r="13" spans="1:12" x14ac:dyDescent="0.2">
      <c r="A13" t="s">
        <v>501</v>
      </c>
      <c r="B13" s="204">
        <f ca="1">(B5^2-J3^2+J1^2)/(2*B5)</f>
        <v>-20901.216134760831</v>
      </c>
    </row>
    <row r="14" spans="1:12" x14ac:dyDescent="0.2">
      <c r="A14" t="s">
        <v>502</v>
      </c>
      <c r="B14" s="204">
        <f ca="1">B12-J3</f>
        <v>12515.381327690835</v>
      </c>
      <c r="F14" s="221" t="s">
        <v>1662</v>
      </c>
    </row>
    <row r="15" spans="1:12" x14ac:dyDescent="0.2">
      <c r="A15" t="s">
        <v>503</v>
      </c>
      <c r="B15" s="204">
        <f ca="1">B13-J1</f>
        <v>-20901.216134760831</v>
      </c>
      <c r="F15">
        <f>3.141592654/180</f>
        <v>1.7453292522222223E-2</v>
      </c>
    </row>
    <row r="16" spans="1:12" x14ac:dyDescent="0.2">
      <c r="A16" t="s">
        <v>504</v>
      </c>
      <c r="B16" s="204">
        <f ca="1">SQRT(B12^2-J3^2)</f>
        <v>20901.216134760834</v>
      </c>
    </row>
    <row r="17" spans="1:23" x14ac:dyDescent="0.2">
      <c r="A17" t="s">
        <v>505</v>
      </c>
      <c r="B17" s="204">
        <f ca="1">SQRT(B13^2-J1^2)</f>
        <v>20901.216134760831</v>
      </c>
    </row>
    <row r="18" spans="1:23" x14ac:dyDescent="0.2">
      <c r="A18" t="s">
        <v>518</v>
      </c>
      <c r="B18" s="235">
        <f ca="1">B16/B12</f>
        <v>0.88151180103554561</v>
      </c>
    </row>
    <row r="19" spans="1:23" x14ac:dyDescent="0.2">
      <c r="R19">
        <f ca="1">(B9-1)*C2</f>
        <v>0</v>
      </c>
    </row>
    <row r="20" spans="1:23" x14ac:dyDescent="0.2">
      <c r="A20" t="s">
        <v>506</v>
      </c>
    </row>
    <row r="21" spans="1:23" x14ac:dyDescent="0.2">
      <c r="A21" t="s">
        <v>507</v>
      </c>
      <c r="B21" t="s">
        <v>517</v>
      </c>
      <c r="C21" t="s">
        <v>508</v>
      </c>
      <c r="D21" t="s">
        <v>510</v>
      </c>
      <c r="E21" t="s">
        <v>511</v>
      </c>
      <c r="F21" t="s">
        <v>509</v>
      </c>
      <c r="G21" t="s">
        <v>512</v>
      </c>
      <c r="H21" t="s">
        <v>510</v>
      </c>
      <c r="I21" t="s">
        <v>513</v>
      </c>
      <c r="K21" t="s">
        <v>514</v>
      </c>
      <c r="L21" t="s">
        <v>520</v>
      </c>
      <c r="M21" t="s">
        <v>515</v>
      </c>
      <c r="O21" t="s">
        <v>516</v>
      </c>
      <c r="Q21" t="s">
        <v>519</v>
      </c>
      <c r="U21" t="s">
        <v>595</v>
      </c>
      <c r="V21" t="s">
        <v>596</v>
      </c>
    </row>
    <row r="22" spans="1:23" x14ac:dyDescent="0.2">
      <c r="A22">
        <f>0</f>
        <v>0</v>
      </c>
      <c r="B22">
        <f>2*3.141*(COS(A22*3.141/180)-COS(A23*3.141/180))</f>
        <v>9.5401782218311568E-2</v>
      </c>
      <c r="C22">
        <f>180-A22</f>
        <v>180</v>
      </c>
      <c r="D22">
        <f ca="1">$B$16*COS(A22/180*3.141592654)</f>
        <v>20901.216134760834</v>
      </c>
      <c r="E22">
        <f ca="1">$B$16*SIN(A22/180*3.14159265)</f>
        <v>0</v>
      </c>
      <c r="F22">
        <f ca="1">$B$9*$B$12+$B$8*$B$9*D22</f>
        <v>39065.345497261806</v>
      </c>
      <c r="G22">
        <f ca="1">F22-$J$3</f>
        <v>27870.078697261808</v>
      </c>
      <c r="H22">
        <f ca="1">$B$9*$B$8*$B$12+$B$9*D22</f>
        <v>37426.824873307793</v>
      </c>
      <c r="I22">
        <f ca="1">ATAN(E22/H22)*180/3.141592654</f>
        <v>0</v>
      </c>
      <c r="J22">
        <f ca="1">G22-$B$3</f>
        <v>27451.703299981578</v>
      </c>
      <c r="K22">
        <f ca="1">-D22</f>
        <v>-20901.216134760834</v>
      </c>
      <c r="L22">
        <f ca="1">-E22</f>
        <v>0</v>
      </c>
      <c r="M22">
        <f ca="1">$B$9*$B$13+$B$8*$B$9*K22</f>
        <v>-35837.538107051572</v>
      </c>
      <c r="N22">
        <f ca="1">$B$9*$B$13+$B$8*$B$9*K22</f>
        <v>-35837.538107051572</v>
      </c>
      <c r="O22">
        <f ca="1">M22-$J$1</f>
        <v>-35837.538107051572</v>
      </c>
      <c r="P22">
        <f ca="1">180/3.141*ATAN(SIN(A22*3.141/180)/($B$9*(COS(A22*3.141/180)+$B$8/$B$18)))</f>
        <v>0</v>
      </c>
      <c r="Q22">
        <f ca="1">G22-$B$3</f>
        <v>27451.703299981578</v>
      </c>
      <c r="R22">
        <f ca="1">-$C$2*COS(C22*$F$15)*$B$8*$B$9-$R$19</f>
        <v>0</v>
      </c>
      <c r="S22">
        <f ca="1">G22/$B$3</f>
        <v>66.615003842097821</v>
      </c>
      <c r="U22">
        <f ca="1">F22+M22</f>
        <v>3227.8073902102333</v>
      </c>
      <c r="V22">
        <f ca="1">U22-$B$6</f>
        <v>0</v>
      </c>
      <c r="W22">
        <f ca="1">F22-$B$6</f>
        <v>35837.538107051572</v>
      </c>
    </row>
    <row r="23" spans="1:23" x14ac:dyDescent="0.2">
      <c r="A23">
        <f>A22+10</f>
        <v>10</v>
      </c>
      <c r="B23">
        <f t="shared" ref="B23:B40" si="0">2*3.141*(COS(A23*3.141/180)-COS(A24*3.141/180))</f>
        <v>0.28330770257647825</v>
      </c>
      <c r="C23">
        <f t="shared" ref="C23:C40" si="1">180-A23</f>
        <v>170</v>
      </c>
      <c r="D23">
        <f t="shared" ref="D23:D40" ca="1" si="2">$B$16*COS(A23/180*3.141592654)</f>
        <v>20583.679696813611</v>
      </c>
      <c r="E23">
        <f ca="1">$B$16*SIN(A23/180*3.141592654)</f>
        <v>3629.4580932929471</v>
      </c>
      <c r="F23">
        <f t="shared" ref="F23:F40" ca="1" si="3">$B$9*$B$12+$B$8*$B$9*D23</f>
        <v>38885.716141611396</v>
      </c>
      <c r="G23">
        <f t="shared" ref="G23:G40" ca="1" si="4">F23-$J$3</f>
        <v>27690.449341611398</v>
      </c>
      <c r="H23">
        <f t="shared" ref="H23:H40" ca="1" si="5">$B$9*$B$8*$B$12+$B$9*D23</f>
        <v>37062.001498459649</v>
      </c>
      <c r="I23">
        <f t="shared" ref="I23:I40" ca="1" si="6">ATAN(E23/H23)*180/3.141592654</f>
        <v>5.5931049342428478</v>
      </c>
      <c r="J23">
        <f t="shared" ref="J23:J40" ca="1" si="7">G23-$B$3</f>
        <v>27272.073944331169</v>
      </c>
      <c r="K23">
        <f t="shared" ref="K23:L40" ca="1" si="8">-D23</f>
        <v>-20583.679696813611</v>
      </c>
      <c r="L23">
        <f t="shared" ca="1" si="8"/>
        <v>-3629.4580932929471</v>
      </c>
      <c r="M23">
        <f t="shared" ref="M23:M40" ca="1" si="9">$B$9*$B$13+$B$8*$B$9*K23</f>
        <v>-35657.908751401163</v>
      </c>
      <c r="N23">
        <f t="shared" ref="N23:N40" ca="1" si="10">$B$9*$B$13+$B$8*$B$9*K23</f>
        <v>-35657.908751401163</v>
      </c>
      <c r="O23">
        <f t="shared" ref="O23:O40" ca="1" si="11">M23-$J$1</f>
        <v>-35657.908751401163</v>
      </c>
      <c r="P23">
        <f ca="1">180/3.141*ATAN(SIN(A23*3.141/180)/($B$9*(COS(A23*3.141/180)+$B$8/$B$18)))</f>
        <v>5.5931017039312145</v>
      </c>
      <c r="Q23">
        <f t="shared" ref="Q23:Q40" ca="1" si="12">G23-$B$3</f>
        <v>27272.073944331169</v>
      </c>
      <c r="R23">
        <f t="shared" ref="R23:R40" ca="1" si="13">-$C$2*COS(C23*$F$15)*$B$8*$B$9-$R$19</f>
        <v>0</v>
      </c>
      <c r="S23">
        <f t="shared" ref="S23:S40" ca="1" si="14">G23/$B$3</f>
        <v>66.185654131722529</v>
      </c>
      <c r="U23">
        <f t="shared" ref="U23:U40" ca="1" si="15">F23+M23</f>
        <v>3227.8073902102333</v>
      </c>
      <c r="V23">
        <f t="shared" ref="V23:V40" ca="1" si="16">U23-$B$6</f>
        <v>0</v>
      </c>
      <c r="W23">
        <f t="shared" ref="W23:W40" ca="1" si="17">F23-$B$6</f>
        <v>35657.908751401163</v>
      </c>
    </row>
    <row r="24" spans="1:23" x14ac:dyDescent="0.2">
      <c r="A24">
        <f t="shared" ref="A24:A40" si="18">A23+10</f>
        <v>20</v>
      </c>
      <c r="B24">
        <f t="shared" si="0"/>
        <v>0.46260870101743051</v>
      </c>
      <c r="C24">
        <f t="shared" si="1"/>
        <v>160</v>
      </c>
      <c r="D24">
        <f t="shared" ca="1" si="2"/>
        <v>19640.718566960299</v>
      </c>
      <c r="E24">
        <f t="shared" ref="E24:E40" ca="1" si="19">$B$16*SIN(A24/180*3.141592654)</f>
        <v>7148.6369389868751</v>
      </c>
      <c r="F24">
        <f t="shared" ca="1" si="3"/>
        <v>38352.286021736189</v>
      </c>
      <c r="G24">
        <f t="shared" ca="1" si="4"/>
        <v>27157.019221736191</v>
      </c>
      <c r="H24">
        <f t="shared" ca="1" si="5"/>
        <v>35978.616347553325</v>
      </c>
      <c r="I24">
        <f t="shared" ca="1" si="6"/>
        <v>11.237813626391826</v>
      </c>
      <c r="J24">
        <f t="shared" ca="1" si="7"/>
        <v>26738.643824455961</v>
      </c>
      <c r="K24">
        <f t="shared" ca="1" si="8"/>
        <v>-19640.718566960299</v>
      </c>
      <c r="L24">
        <f t="shared" ca="1" si="8"/>
        <v>-7148.6369389868751</v>
      </c>
      <c r="M24">
        <f t="shared" ca="1" si="9"/>
        <v>-35124.478631525955</v>
      </c>
      <c r="N24">
        <f t="shared" ca="1" si="10"/>
        <v>-35124.478631525955</v>
      </c>
      <c r="O24">
        <f t="shared" ca="1" si="11"/>
        <v>-35124.478631525955</v>
      </c>
      <c r="P24">
        <f t="shared" ref="P24:P40" ca="1" si="20">180/3.141*ATAN(SIN(A24*3.141/180)/($B$9*(COS(A24*3.141/180)+$B$8/$B$18)))</f>
        <v>11.237787553819715</v>
      </c>
      <c r="Q24">
        <f t="shared" ca="1" si="12"/>
        <v>26738.643824455961</v>
      </c>
      <c r="R24">
        <f t="shared" ca="1" si="13"/>
        <v>0</v>
      </c>
      <c r="S24">
        <f t="shared" ca="1" si="14"/>
        <v>64.910650574288411</v>
      </c>
      <c r="U24">
        <f t="shared" ca="1" si="15"/>
        <v>3227.8073902102333</v>
      </c>
      <c r="V24">
        <f t="shared" ca="1" si="16"/>
        <v>0</v>
      </c>
      <c r="W24">
        <f t="shared" ca="1" si="17"/>
        <v>35124.478631525955</v>
      </c>
    </row>
    <row r="25" spans="1:23" x14ac:dyDescent="0.2">
      <c r="A25">
        <f t="shared" si="18"/>
        <v>30</v>
      </c>
      <c r="B25">
        <f t="shared" si="0"/>
        <v>0.62785885751417292</v>
      </c>
      <c r="C25">
        <f t="shared" si="1"/>
        <v>150</v>
      </c>
      <c r="D25">
        <f t="shared" ca="1" si="2"/>
        <v>18100.984141977591</v>
      </c>
      <c r="E25">
        <f t="shared" ca="1" si="19"/>
        <v>10450.608068617943</v>
      </c>
      <c r="F25">
        <f t="shared" ca="1" si="3"/>
        <v>37481.263141904157</v>
      </c>
      <c r="G25">
        <f t="shared" ca="1" si="4"/>
        <v>26285.99634190416</v>
      </c>
      <c r="H25">
        <f t="shared" ca="1" si="5"/>
        <v>34209.58753018835</v>
      </c>
      <c r="I25">
        <f t="shared" ca="1" si="6"/>
        <v>16.98726715380991</v>
      </c>
      <c r="J25">
        <f t="shared" ca="1" si="7"/>
        <v>25867.62094462393</v>
      </c>
      <c r="K25">
        <f t="shared" ca="1" si="8"/>
        <v>-18100.984141977591</v>
      </c>
      <c r="L25">
        <f t="shared" ca="1" si="8"/>
        <v>-10450.608068617943</v>
      </c>
      <c r="M25">
        <f t="shared" ca="1" si="9"/>
        <v>-34253.455751693917</v>
      </c>
      <c r="N25">
        <f t="shared" ca="1" si="10"/>
        <v>-34253.455751693917</v>
      </c>
      <c r="O25">
        <f t="shared" ca="1" si="11"/>
        <v>-34253.455751693917</v>
      </c>
      <c r="P25">
        <f t="shared" ca="1" si="20"/>
        <v>16.987177845269752</v>
      </c>
      <c r="Q25">
        <f t="shared" ca="1" si="12"/>
        <v>25867.62094462393</v>
      </c>
      <c r="R25">
        <f t="shared" ca="1" si="13"/>
        <v>0</v>
      </c>
      <c r="S25">
        <f t="shared" ca="1" si="14"/>
        <v>62.828733507715278</v>
      </c>
      <c r="U25">
        <f t="shared" ca="1" si="15"/>
        <v>3227.8073902102406</v>
      </c>
      <c r="V25">
        <f t="shared" ca="1" si="16"/>
        <v>9.0949470177292824E-12</v>
      </c>
      <c r="W25">
        <f t="shared" ca="1" si="17"/>
        <v>34253.455751693924</v>
      </c>
    </row>
    <row r="26" spans="1:23" x14ac:dyDescent="0.2">
      <c r="A26">
        <f t="shared" si="18"/>
        <v>40</v>
      </c>
      <c r="B26">
        <f t="shared" si="0"/>
        <v>0.77403901910852757</v>
      </c>
      <c r="C26">
        <f t="shared" si="1"/>
        <v>140</v>
      </c>
      <c r="D26">
        <f t="shared" ca="1" si="2"/>
        <v>16011.260473237564</v>
      </c>
      <c r="E26">
        <f t="shared" ca="1" si="19"/>
        <v>13435.042760264185</v>
      </c>
      <c r="F26">
        <f t="shared" ca="1" si="3"/>
        <v>36299.113091567036</v>
      </c>
      <c r="G26">
        <f t="shared" ca="1" si="4"/>
        <v>25103.846291567039</v>
      </c>
      <c r="H26">
        <f t="shared" ca="1" si="5"/>
        <v>31808.666091822583</v>
      </c>
      <c r="I26">
        <f t="shared" ca="1" si="6"/>
        <v>22.897762423428823</v>
      </c>
      <c r="J26">
        <f t="shared" ca="1" si="7"/>
        <v>24685.470894286809</v>
      </c>
      <c r="K26">
        <f t="shared" ca="1" si="8"/>
        <v>-16011.260473237564</v>
      </c>
      <c r="L26">
        <f t="shared" ca="1" si="8"/>
        <v>-13435.042760264185</v>
      </c>
      <c r="M26">
        <f t="shared" ca="1" si="9"/>
        <v>-33071.305701356796</v>
      </c>
      <c r="N26">
        <f t="shared" ca="1" si="10"/>
        <v>-33071.305701356796</v>
      </c>
      <c r="O26">
        <f t="shared" ca="1" si="11"/>
        <v>-33071.305701356796</v>
      </c>
      <c r="P26">
        <f t="shared" ca="1" si="20"/>
        <v>22.897546270864755</v>
      </c>
      <c r="Q26">
        <f t="shared" ca="1" si="12"/>
        <v>24685.470894286809</v>
      </c>
      <c r="R26">
        <f t="shared" ca="1" si="13"/>
        <v>0</v>
      </c>
      <c r="S26">
        <f t="shared" ca="1" si="14"/>
        <v>60.003160928586524</v>
      </c>
      <c r="U26">
        <f t="shared" ca="1" si="15"/>
        <v>3227.8073902102406</v>
      </c>
      <c r="V26">
        <f t="shared" ca="1" si="16"/>
        <v>9.0949470177292824E-12</v>
      </c>
      <c r="W26">
        <f t="shared" ca="1" si="17"/>
        <v>33071.305701356803</v>
      </c>
    </row>
    <row r="27" spans="1:23" x14ac:dyDescent="0.2">
      <c r="A27">
        <f t="shared" si="18"/>
        <v>50</v>
      </c>
      <c r="B27">
        <f t="shared" si="0"/>
        <v>0.89670924694628618</v>
      </c>
      <c r="C27">
        <f t="shared" si="1"/>
        <v>130</v>
      </c>
      <c r="D27">
        <f t="shared" ca="1" si="2"/>
        <v>13435.04275698022</v>
      </c>
      <c r="E27">
        <f t="shared" ca="1" si="19"/>
        <v>16011.260475993136</v>
      </c>
      <c r="F27">
        <f t="shared" ca="1" si="3"/>
        <v>34841.754901816887</v>
      </c>
      <c r="G27">
        <f t="shared" ca="1" si="4"/>
        <v>23646.488101816889</v>
      </c>
      <c r="H27">
        <f t="shared" ca="1" si="5"/>
        <v>28848.802815454903</v>
      </c>
      <c r="I27">
        <f t="shared" ca="1" si="6"/>
        <v>29.030540262016718</v>
      </c>
      <c r="J27">
        <f t="shared" ca="1" si="7"/>
        <v>23228.112704536659</v>
      </c>
      <c r="K27">
        <f t="shared" ca="1" si="8"/>
        <v>-13435.04275698022</v>
      </c>
      <c r="L27">
        <f t="shared" ca="1" si="8"/>
        <v>-16011.260475993136</v>
      </c>
      <c r="M27">
        <f t="shared" ca="1" si="9"/>
        <v>-31613.947511606646</v>
      </c>
      <c r="N27">
        <f t="shared" ca="1" si="10"/>
        <v>-31613.947511606646</v>
      </c>
      <c r="O27">
        <f t="shared" ca="1" si="11"/>
        <v>-31613.947511606646</v>
      </c>
      <c r="P27">
        <f t="shared" ca="1" si="20"/>
        <v>29.030106550704389</v>
      </c>
      <c r="Q27">
        <f t="shared" ca="1" si="12"/>
        <v>23228.112704536659</v>
      </c>
      <c r="R27">
        <f t="shared" ca="1" si="13"/>
        <v>0</v>
      </c>
      <c r="S27">
        <f t="shared" ca="1" si="14"/>
        <v>56.519786429932623</v>
      </c>
      <c r="U27">
        <f t="shared" ca="1" si="15"/>
        <v>3227.8073902102406</v>
      </c>
      <c r="V27">
        <f t="shared" ca="1" si="16"/>
        <v>9.0949470177292824E-12</v>
      </c>
      <c r="W27">
        <f t="shared" ca="1" si="17"/>
        <v>31613.947511606653</v>
      </c>
    </row>
    <row r="28" spans="1:23" x14ac:dyDescent="0.2">
      <c r="A28">
        <f t="shared" si="18"/>
        <v>60</v>
      </c>
      <c r="B28">
        <f t="shared" si="0"/>
        <v>0.99214367080750121</v>
      </c>
      <c r="C28">
        <f t="shared" si="1"/>
        <v>120</v>
      </c>
      <c r="D28">
        <f t="shared" ca="1" si="2"/>
        <v>10450.608064905369</v>
      </c>
      <c r="E28">
        <f t="shared" ca="1" si="19"/>
        <v>18100.984144121045</v>
      </c>
      <c r="F28">
        <f t="shared" ca="1" si="3"/>
        <v>33153.469663801981</v>
      </c>
      <c r="G28">
        <f t="shared" ca="1" si="4"/>
        <v>21958.202863801984</v>
      </c>
      <c r="H28">
        <f t="shared" ca="1" si="5"/>
        <v>25419.931648998081</v>
      </c>
      <c r="I28">
        <f t="shared" ca="1" si="6"/>
        <v>35.453846647816391</v>
      </c>
      <c r="J28">
        <f t="shared" ca="1" si="7"/>
        <v>21539.827466521754</v>
      </c>
      <c r="K28">
        <f t="shared" ca="1" si="8"/>
        <v>-10450.608064905369</v>
      </c>
      <c r="L28">
        <f t="shared" ca="1" si="8"/>
        <v>-18100.984144121045</v>
      </c>
      <c r="M28">
        <f t="shared" ca="1" si="9"/>
        <v>-29925.662273591741</v>
      </c>
      <c r="N28">
        <f t="shared" ca="1" si="10"/>
        <v>-29925.662273591741</v>
      </c>
      <c r="O28">
        <f t="shared" ca="1" si="11"/>
        <v>-29925.662273591741</v>
      </c>
      <c r="P28">
        <f t="shared" ca="1" si="20"/>
        <v>35.453071879990162</v>
      </c>
      <c r="Q28">
        <f t="shared" ca="1" si="12"/>
        <v>21539.827466521754</v>
      </c>
      <c r="R28">
        <f t="shared" ca="1" si="13"/>
        <v>0</v>
      </c>
      <c r="S28">
        <f t="shared" ca="1" si="14"/>
        <v>52.484450583250229</v>
      </c>
      <c r="U28">
        <f t="shared" ca="1" si="15"/>
        <v>3227.8073902102406</v>
      </c>
      <c r="V28">
        <f t="shared" ca="1" si="16"/>
        <v>9.0949470177292824E-12</v>
      </c>
      <c r="W28">
        <f t="shared" ca="1" si="17"/>
        <v>29925.662273591748</v>
      </c>
    </row>
    <row r="29" spans="1:23" x14ac:dyDescent="0.2">
      <c r="A29">
        <f t="shared" si="18"/>
        <v>70</v>
      </c>
      <c r="B29">
        <f t="shared" si="0"/>
        <v>1.0574436551871347</v>
      </c>
      <c r="C29">
        <f t="shared" si="1"/>
        <v>110</v>
      </c>
      <c r="D29">
        <f t="shared" ca="1" si="2"/>
        <v>7148.6369349584957</v>
      </c>
      <c r="E29">
        <f t="shared" ca="1" si="19"/>
        <v>19640.71856842651</v>
      </c>
      <c r="F29">
        <f t="shared" ca="1" si="3"/>
        <v>31285.555070179202</v>
      </c>
      <c r="G29">
        <f t="shared" ca="1" si="4"/>
        <v>20090.288270179204</v>
      </c>
      <c r="H29">
        <f t="shared" ca="1" si="5"/>
        <v>21626.237107779511</v>
      </c>
      <c r="I29">
        <f t="shared" ca="1" si="6"/>
        <v>42.245394821590466</v>
      </c>
      <c r="J29">
        <f t="shared" ca="1" si="7"/>
        <v>19671.912872898974</v>
      </c>
      <c r="K29">
        <f t="shared" ca="1" si="8"/>
        <v>-7148.6369349584957</v>
      </c>
      <c r="L29">
        <f t="shared" ca="1" si="8"/>
        <v>-19640.71856842651</v>
      </c>
      <c r="M29">
        <f t="shared" ca="1" si="9"/>
        <v>-28057.747679968965</v>
      </c>
      <c r="N29">
        <f t="shared" ca="1" si="10"/>
        <v>-28057.747679968965</v>
      </c>
      <c r="O29">
        <f t="shared" ca="1" si="11"/>
        <v>-28057.747679968965</v>
      </c>
      <c r="P29">
        <f t="shared" ca="1" si="20"/>
        <v>42.244114767216246</v>
      </c>
      <c r="Q29">
        <f t="shared" ca="1" si="12"/>
        <v>19671.912872898974</v>
      </c>
      <c r="R29">
        <f t="shared" ca="1" si="13"/>
        <v>0</v>
      </c>
      <c r="S29">
        <f t="shared" ca="1" si="14"/>
        <v>48.019765026294223</v>
      </c>
      <c r="U29">
        <f t="shared" ca="1" si="15"/>
        <v>3227.8073902102369</v>
      </c>
      <c r="V29">
        <f t="shared" ca="1" si="16"/>
        <v>5.4569682106375694E-12</v>
      </c>
      <c r="W29">
        <f t="shared" ca="1" si="17"/>
        <v>28057.747679968968</v>
      </c>
    </row>
    <row r="30" spans="1:23" x14ac:dyDescent="0.2">
      <c r="A30">
        <f t="shared" si="18"/>
        <v>80</v>
      </c>
      <c r="B30">
        <f t="shared" si="0"/>
        <v>1.0906258397258599</v>
      </c>
      <c r="C30">
        <f t="shared" si="1"/>
        <v>100</v>
      </c>
      <c r="D30">
        <f t="shared" ca="1" si="2"/>
        <v>3629.4580890711659</v>
      </c>
      <c r="E30">
        <f t="shared" ca="1" si="19"/>
        <v>20583.679697558029</v>
      </c>
      <c r="F30">
        <f t="shared" ca="1" si="3"/>
        <v>29294.766760680184</v>
      </c>
      <c r="G30">
        <f t="shared" ca="1" si="4"/>
        <v>18099.499960680187</v>
      </c>
      <c r="H30">
        <f t="shared" ca="1" si="5"/>
        <v>17582.988680762093</v>
      </c>
      <c r="I30">
        <f t="shared" ca="1" si="6"/>
        <v>49.495388428172518</v>
      </c>
      <c r="J30">
        <f t="shared" ca="1" si="7"/>
        <v>17681.124563399957</v>
      </c>
      <c r="K30">
        <f t="shared" ca="1" si="8"/>
        <v>-3629.4580890711659</v>
      </c>
      <c r="L30">
        <f t="shared" ca="1" si="8"/>
        <v>-20583.679697558029</v>
      </c>
      <c r="M30">
        <f t="shared" ca="1" si="9"/>
        <v>-26066.959370469947</v>
      </c>
      <c r="N30">
        <f t="shared" ca="1" si="10"/>
        <v>-26066.959370469947</v>
      </c>
      <c r="O30">
        <f t="shared" ca="1" si="11"/>
        <v>-26066.959370469947</v>
      </c>
      <c r="P30">
        <f t="shared" ca="1" si="20"/>
        <v>49.493387203258393</v>
      </c>
      <c r="Q30">
        <f t="shared" ca="1" si="12"/>
        <v>17681.124563399957</v>
      </c>
      <c r="R30">
        <f t="shared" ca="1" si="13"/>
        <v>0</v>
      </c>
      <c r="S30">
        <f t="shared" ca="1" si="14"/>
        <v>43.261386970508191</v>
      </c>
      <c r="U30">
        <f t="shared" ca="1" si="15"/>
        <v>3227.8073902102369</v>
      </c>
      <c r="V30">
        <f t="shared" ca="1" si="16"/>
        <v>5.4569682106375694E-12</v>
      </c>
      <c r="W30">
        <f t="shared" ca="1" si="17"/>
        <v>26066.959370469951</v>
      </c>
    </row>
    <row r="31" spans="1:23" x14ac:dyDescent="0.2">
      <c r="A31">
        <f t="shared" si="18"/>
        <v>90</v>
      </c>
      <c r="B31">
        <f t="shared" si="0"/>
        <v>1.0906823799337366</v>
      </c>
      <c r="C31">
        <f t="shared" si="1"/>
        <v>90</v>
      </c>
      <c r="D31">
        <f t="shared" ca="1" si="2"/>
        <v>-4.2869110888551441E-6</v>
      </c>
      <c r="E31">
        <f t="shared" ca="1" si="19"/>
        <v>20901.216134760834</v>
      </c>
      <c r="F31">
        <f t="shared" ca="1" si="3"/>
        <v>27241.593830717313</v>
      </c>
      <c r="G31">
        <f t="shared" ca="1" si="4"/>
        <v>16046.327030717313</v>
      </c>
      <c r="H31">
        <f t="shared" ca="1" si="5"/>
        <v>13413.038425450311</v>
      </c>
      <c r="I31">
        <f t="shared" ca="1" si="6"/>
        <v>57.310297023307619</v>
      </c>
      <c r="J31">
        <f t="shared" ca="1" si="7"/>
        <v>15627.951633437082</v>
      </c>
      <c r="K31">
        <f t="shared" ca="1" si="8"/>
        <v>4.2869110888551441E-6</v>
      </c>
      <c r="L31">
        <f t="shared" ca="1" si="8"/>
        <v>-20901.216134760834</v>
      </c>
      <c r="M31">
        <f t="shared" ca="1" si="9"/>
        <v>-24013.786440507076</v>
      </c>
      <c r="N31">
        <f t="shared" ca="1" si="10"/>
        <v>-24013.786440507076</v>
      </c>
      <c r="O31">
        <f t="shared" ca="1" si="11"/>
        <v>-24013.786440507076</v>
      </c>
      <c r="P31">
        <f t="shared" ca="1" si="20"/>
        <v>57.307292260494258</v>
      </c>
      <c r="Q31">
        <f t="shared" ca="1" si="12"/>
        <v>15627.951633437082</v>
      </c>
      <c r="R31">
        <f t="shared" ca="1" si="13"/>
        <v>0</v>
      </c>
      <c r="S31">
        <f t="shared" ca="1" si="14"/>
        <v>38.353897325299343</v>
      </c>
      <c r="U31">
        <f t="shared" ca="1" si="15"/>
        <v>3227.8073902102369</v>
      </c>
      <c r="V31">
        <f t="shared" ca="1" si="16"/>
        <v>5.4569682106375694E-12</v>
      </c>
      <c r="W31">
        <f t="shared" ca="1" si="17"/>
        <v>24013.78644050708</v>
      </c>
    </row>
    <row r="32" spans="1:23" x14ac:dyDescent="0.2">
      <c r="A32">
        <f t="shared" si="18"/>
        <v>100</v>
      </c>
      <c r="B32">
        <f t="shared" si="0"/>
        <v>1.0576115585116257</v>
      </c>
      <c r="C32">
        <f t="shared" si="1"/>
        <v>80</v>
      </c>
      <c r="D32">
        <f t="shared" ca="1" si="2"/>
        <v>-3629.4580975147323</v>
      </c>
      <c r="E32">
        <f t="shared" ca="1" si="19"/>
        <v>20583.679696069197</v>
      </c>
      <c r="F32">
        <f t="shared" ca="1" si="3"/>
        <v>25188.420900828125</v>
      </c>
      <c r="G32">
        <f t="shared" ca="1" si="4"/>
        <v>13993.154100828126</v>
      </c>
      <c r="H32">
        <f t="shared" ca="1" si="5"/>
        <v>9243.0881702881852</v>
      </c>
      <c r="I32">
        <f t="shared" ca="1" si="6"/>
        <v>65.817566189570655</v>
      </c>
      <c r="J32">
        <f t="shared" ca="1" si="7"/>
        <v>13574.778703547894</v>
      </c>
      <c r="K32">
        <f t="shared" ca="1" si="8"/>
        <v>3629.4580975147323</v>
      </c>
      <c r="L32">
        <f t="shared" ca="1" si="8"/>
        <v>-20583.679696069197</v>
      </c>
      <c r="M32">
        <f t="shared" ca="1" si="9"/>
        <v>-21960.613510617888</v>
      </c>
      <c r="N32">
        <f t="shared" ca="1" si="10"/>
        <v>-21960.613510617888</v>
      </c>
      <c r="O32">
        <f t="shared" ca="1" si="11"/>
        <v>-21960.613510617888</v>
      </c>
      <c r="P32">
        <f t="shared" ca="1" si="20"/>
        <v>65.81318924779724</v>
      </c>
      <c r="Q32">
        <f t="shared" ca="1" si="12"/>
        <v>13574.778703547894</v>
      </c>
      <c r="R32">
        <f t="shared" ca="1" si="13"/>
        <v>0</v>
      </c>
      <c r="S32">
        <f t="shared" ca="1" si="14"/>
        <v>33.446407680266617</v>
      </c>
      <c r="U32">
        <f t="shared" ca="1" si="15"/>
        <v>3227.8073902102369</v>
      </c>
      <c r="V32">
        <f t="shared" ca="1" si="16"/>
        <v>5.4569682106375694E-12</v>
      </c>
      <c r="W32">
        <f t="shared" ca="1" si="17"/>
        <v>21960.613510617892</v>
      </c>
    </row>
    <row r="33" spans="1:23" x14ac:dyDescent="0.2">
      <c r="A33">
        <f t="shared" si="18"/>
        <v>110</v>
      </c>
      <c r="B33">
        <f t="shared" si="0"/>
        <v>0.9924178375108188</v>
      </c>
      <c r="C33">
        <f t="shared" si="1"/>
        <v>70</v>
      </c>
      <c r="D33">
        <f t="shared" ca="1" si="2"/>
        <v>-7148.6369430152581</v>
      </c>
      <c r="E33">
        <f t="shared" ca="1" si="19"/>
        <v>19640.718565494088</v>
      </c>
      <c r="F33">
        <f t="shared" ca="1" si="3"/>
        <v>23197.632591547921</v>
      </c>
      <c r="G33">
        <f t="shared" ca="1" si="4"/>
        <v>12002.365791547922</v>
      </c>
      <c r="H33">
        <f t="shared" ca="1" si="5"/>
        <v>5199.8397437151725</v>
      </c>
      <c r="I33">
        <f t="shared" ca="1" si="6"/>
        <v>75.171268208666788</v>
      </c>
      <c r="J33">
        <f t="shared" ca="1" si="7"/>
        <v>11583.99039426769</v>
      </c>
      <c r="K33">
        <f t="shared" ca="1" si="8"/>
        <v>7148.6369430152581</v>
      </c>
      <c r="L33">
        <f t="shared" ca="1" si="8"/>
        <v>-19640.718565494088</v>
      </c>
      <c r="M33">
        <f t="shared" ca="1" si="9"/>
        <v>-19969.825201337684</v>
      </c>
      <c r="N33">
        <f t="shared" ca="1" si="10"/>
        <v>-19969.825201337684</v>
      </c>
      <c r="O33">
        <f t="shared" ca="1" si="11"/>
        <v>-19969.825201337684</v>
      </c>
      <c r="P33">
        <f t="shared" ca="1" si="20"/>
        <v>75.165038906983114</v>
      </c>
      <c r="Q33">
        <f t="shared" ca="1" si="12"/>
        <v>11583.99039426769</v>
      </c>
      <c r="R33">
        <f t="shared" ca="1" si="13"/>
        <v>0</v>
      </c>
      <c r="S33">
        <f t="shared" ca="1" si="14"/>
        <v>28.688029625003587</v>
      </c>
      <c r="U33">
        <f t="shared" ca="1" si="15"/>
        <v>3227.8073902102369</v>
      </c>
      <c r="V33">
        <f t="shared" ca="1" si="16"/>
        <v>5.4569682106375694E-12</v>
      </c>
      <c r="W33">
        <f t="shared" ca="1" si="17"/>
        <v>19969.825201337691</v>
      </c>
    </row>
    <row r="34" spans="1:23" x14ac:dyDescent="0.2">
      <c r="A34">
        <f t="shared" si="18"/>
        <v>120</v>
      </c>
      <c r="B34">
        <f t="shared" si="0"/>
        <v>0.89708134974662723</v>
      </c>
      <c r="C34">
        <f t="shared" si="1"/>
        <v>60</v>
      </c>
      <c r="D34">
        <f t="shared" ca="1" si="2"/>
        <v>-10450.608072330515</v>
      </c>
      <c r="E34">
        <f t="shared" ca="1" si="19"/>
        <v>18100.984139834134</v>
      </c>
      <c r="F34">
        <f t="shared" ca="1" si="3"/>
        <v>21329.717998282449</v>
      </c>
      <c r="G34">
        <f t="shared" ca="1" si="4"/>
        <v>10134.45119828245</v>
      </c>
      <c r="H34">
        <f t="shared" ca="1" si="5"/>
        <v>1406.1452032222787</v>
      </c>
      <c r="I34">
        <f t="shared" ca="1" si="6"/>
        <v>85.557992590917905</v>
      </c>
      <c r="J34">
        <f t="shared" ca="1" si="7"/>
        <v>9716.0758010022182</v>
      </c>
      <c r="K34">
        <f t="shared" ca="1" si="8"/>
        <v>10450.608072330515</v>
      </c>
      <c r="L34">
        <f t="shared" ca="1" si="8"/>
        <v>-18100.984139834134</v>
      </c>
      <c r="M34">
        <f t="shared" ca="1" si="9"/>
        <v>-18101.910608072212</v>
      </c>
      <c r="N34">
        <f t="shared" ca="1" si="10"/>
        <v>-18101.910608072212</v>
      </c>
      <c r="O34">
        <f t="shared" ca="1" si="11"/>
        <v>-18101.910608072212</v>
      </c>
      <c r="P34">
        <f t="shared" ca="1" si="20"/>
        <v>85.549290826384592</v>
      </c>
      <c r="Q34">
        <f t="shared" ca="1" si="12"/>
        <v>9716.0758010022182</v>
      </c>
      <c r="R34">
        <f t="shared" ca="1" si="13"/>
        <v>0</v>
      </c>
      <c r="S34">
        <f t="shared" ca="1" si="14"/>
        <v>24.223344068901618</v>
      </c>
      <c r="U34">
        <f t="shared" ca="1" si="15"/>
        <v>3227.8073902102369</v>
      </c>
      <c r="V34">
        <f t="shared" ca="1" si="16"/>
        <v>5.4569682106375694E-12</v>
      </c>
      <c r="W34">
        <f t="shared" ca="1" si="17"/>
        <v>18101.910608072219</v>
      </c>
    </row>
    <row r="35" spans="1:23" x14ac:dyDescent="0.2">
      <c r="A35">
        <f t="shared" si="18"/>
        <v>130</v>
      </c>
      <c r="B35">
        <f t="shared" si="0"/>
        <v>0.77449775610512872</v>
      </c>
      <c r="C35">
        <f t="shared" si="1"/>
        <v>50</v>
      </c>
      <c r="D35">
        <f t="shared" ca="1" si="2"/>
        <v>-13435.042763548146</v>
      </c>
      <c r="E35">
        <f t="shared" ca="1" si="19"/>
        <v>16011.260470481991</v>
      </c>
      <c r="F35">
        <f t="shared" ca="1" si="3"/>
        <v>19641.432760752468</v>
      </c>
      <c r="G35">
        <f t="shared" ca="1" si="4"/>
        <v>8446.1659607524689</v>
      </c>
      <c r="H35">
        <f t="shared" ca="1" si="5"/>
        <v>-2022.7259622496676</v>
      </c>
      <c r="I35">
        <f t="shared" ca="1" si="6"/>
        <v>-82.799882420286707</v>
      </c>
      <c r="J35">
        <f t="shared" ca="1" si="7"/>
        <v>8027.7905634722374</v>
      </c>
      <c r="K35">
        <f t="shared" ca="1" si="8"/>
        <v>13435.042763548146</v>
      </c>
      <c r="L35">
        <f t="shared" ca="1" si="8"/>
        <v>-16011.260470481991</v>
      </c>
      <c r="M35">
        <f t="shared" ca="1" si="9"/>
        <v>-16413.625370542231</v>
      </c>
      <c r="N35">
        <f t="shared" ca="1" si="10"/>
        <v>-16413.625370542231</v>
      </c>
      <c r="O35">
        <f t="shared" ca="1" si="11"/>
        <v>-16413.625370542231</v>
      </c>
      <c r="P35">
        <f t="shared" ca="1" si="20"/>
        <v>-82.845799065883753</v>
      </c>
      <c r="Q35">
        <f t="shared" ca="1" si="12"/>
        <v>8027.7905634722374</v>
      </c>
      <c r="R35">
        <f t="shared" ca="1" si="13"/>
        <v>0</v>
      </c>
      <c r="S35">
        <f t="shared" ca="1" si="14"/>
        <v>20.18800822337829</v>
      </c>
      <c r="U35">
        <f t="shared" ca="1" si="15"/>
        <v>3227.8073902102369</v>
      </c>
      <c r="V35">
        <f t="shared" ca="1" si="16"/>
        <v>5.4569682106375694E-12</v>
      </c>
      <c r="W35">
        <f t="shared" ca="1" si="17"/>
        <v>16413.625370542235</v>
      </c>
    </row>
    <row r="36" spans="1:23" x14ac:dyDescent="0.2">
      <c r="A36">
        <f t="shared" si="18"/>
        <v>140</v>
      </c>
      <c r="B36">
        <f t="shared" si="0"/>
        <v>0.62839029546059799</v>
      </c>
      <c r="C36">
        <f t="shared" si="1"/>
        <v>40</v>
      </c>
      <c r="D36">
        <f t="shared" ca="1" si="2"/>
        <v>-16011.260478748713</v>
      </c>
      <c r="E36">
        <f t="shared" ca="1" si="19"/>
        <v>13435.042753696252</v>
      </c>
      <c r="F36">
        <f t="shared" ca="1" si="3"/>
        <v>18184.074571600137</v>
      </c>
      <c r="G36">
        <f t="shared" ca="1" si="4"/>
        <v>6988.8077716001371</v>
      </c>
      <c r="H36">
        <f t="shared" ca="1" si="5"/>
        <v>-4982.5892374031973</v>
      </c>
      <c r="I36">
        <f t="shared" ca="1" si="6"/>
        <v>-69.651937688829605</v>
      </c>
      <c r="J36">
        <f t="shared" ca="1" si="7"/>
        <v>6570.4323743199056</v>
      </c>
      <c r="K36">
        <f t="shared" ca="1" si="8"/>
        <v>16011.260478748713</v>
      </c>
      <c r="L36">
        <f t="shared" ca="1" si="8"/>
        <v>-13435.042753696252</v>
      </c>
      <c r="M36">
        <f t="shared" ca="1" si="9"/>
        <v>-14956.2671813899</v>
      </c>
      <c r="N36">
        <f t="shared" ca="1" si="10"/>
        <v>-14956.2671813899</v>
      </c>
      <c r="O36">
        <f t="shared" ca="1" si="11"/>
        <v>-14956.2671813899</v>
      </c>
      <c r="P36">
        <f t="shared" ca="1" si="20"/>
        <v>-69.70201710192714</v>
      </c>
      <c r="Q36">
        <f t="shared" ca="1" si="12"/>
        <v>6570.4323743199056</v>
      </c>
      <c r="R36">
        <f t="shared" ca="1" si="13"/>
        <v>0</v>
      </c>
      <c r="S36">
        <f t="shared" ca="1" si="14"/>
        <v>16.7046337261533</v>
      </c>
      <c r="U36">
        <f t="shared" ca="1" si="15"/>
        <v>3227.8073902102369</v>
      </c>
      <c r="V36">
        <f t="shared" ca="1" si="16"/>
        <v>5.4569682106375694E-12</v>
      </c>
      <c r="W36">
        <f t="shared" ca="1" si="17"/>
        <v>14956.267181389905</v>
      </c>
    </row>
    <row r="37" spans="1:23" x14ac:dyDescent="0.2">
      <c r="A37">
        <f t="shared" si="18"/>
        <v>150</v>
      </c>
      <c r="B37">
        <f t="shared" si="0"/>
        <v>0.4631966985169203</v>
      </c>
      <c r="C37">
        <f t="shared" si="1"/>
        <v>30</v>
      </c>
      <c r="D37">
        <f t="shared" ca="1" si="2"/>
        <v>-18100.984146264502</v>
      </c>
      <c r="E37">
        <f t="shared" ca="1" si="19"/>
        <v>10450.608061192794</v>
      </c>
      <c r="F37">
        <f t="shared" ca="1" si="3"/>
        <v>17001.92452195556</v>
      </c>
      <c r="G37">
        <f t="shared" ca="1" si="4"/>
        <v>5806.6577219555602</v>
      </c>
      <c r="H37">
        <f t="shared" ca="1" si="5"/>
        <v>-7383.5106743624165</v>
      </c>
      <c r="I37">
        <f t="shared" ca="1" si="6"/>
        <v>-54.758223479611338</v>
      </c>
      <c r="J37">
        <f t="shared" ca="1" si="7"/>
        <v>5388.2823246753287</v>
      </c>
      <c r="K37">
        <f t="shared" ca="1" si="8"/>
        <v>18100.984146264502</v>
      </c>
      <c r="L37">
        <f t="shared" ca="1" si="8"/>
        <v>-10450.608061192794</v>
      </c>
      <c r="M37">
        <f t="shared" ca="1" si="9"/>
        <v>-13774.117131745325</v>
      </c>
      <c r="N37">
        <f t="shared" ca="1" si="10"/>
        <v>-13774.117131745325</v>
      </c>
      <c r="O37">
        <f t="shared" ca="1" si="11"/>
        <v>-13774.117131745325</v>
      </c>
      <c r="P37">
        <f t="shared" ca="1" si="20"/>
        <v>-54.81334052089489</v>
      </c>
      <c r="Q37">
        <f t="shared" ca="1" si="12"/>
        <v>5388.2823246753287</v>
      </c>
      <c r="R37">
        <f t="shared" ca="1" si="13"/>
        <v>0</v>
      </c>
      <c r="S37">
        <f t="shared" ca="1" si="14"/>
        <v>13.879061148679861</v>
      </c>
      <c r="U37">
        <f t="shared" ca="1" si="15"/>
        <v>3227.8073902102351</v>
      </c>
      <c r="V37">
        <f t="shared" ca="1" si="16"/>
        <v>3.637978807091713E-12</v>
      </c>
      <c r="W37">
        <f t="shared" ca="1" si="17"/>
        <v>13774.117131745328</v>
      </c>
    </row>
    <row r="38" spans="1:23" x14ac:dyDescent="0.2">
      <c r="A38">
        <f t="shared" si="18"/>
        <v>160</v>
      </c>
      <c r="B38">
        <f t="shared" si="0"/>
        <v>0.28393440034555784</v>
      </c>
      <c r="C38">
        <f t="shared" si="1"/>
        <v>20</v>
      </c>
      <c r="D38">
        <f t="shared" ca="1" si="2"/>
        <v>-19640.718569892717</v>
      </c>
      <c r="E38">
        <f t="shared" ca="1" si="19"/>
        <v>7148.6369309301217</v>
      </c>
      <c r="F38">
        <f t="shared" ca="1" si="3"/>
        <v>16130.901642889756</v>
      </c>
      <c r="G38">
        <f t="shared" ca="1" si="4"/>
        <v>4935.6348428897563</v>
      </c>
      <c r="H38">
        <f t="shared" ca="1" si="5"/>
        <v>-9152.5394901711916</v>
      </c>
      <c r="I38">
        <f t="shared" ca="1" si="6"/>
        <v>-37.99179452065561</v>
      </c>
      <c r="J38">
        <f t="shared" ca="1" si="7"/>
        <v>4517.2594456095248</v>
      </c>
      <c r="K38">
        <f t="shared" ca="1" si="8"/>
        <v>19640.718569892717</v>
      </c>
      <c r="L38">
        <f t="shared" ca="1" si="8"/>
        <v>-7148.6369309301217</v>
      </c>
      <c r="M38">
        <f t="shared" ca="1" si="9"/>
        <v>-12903.094252679519</v>
      </c>
      <c r="N38">
        <f t="shared" ca="1" si="10"/>
        <v>-12903.094252679519</v>
      </c>
      <c r="O38">
        <f t="shared" ca="1" si="11"/>
        <v>-12903.094252679519</v>
      </c>
      <c r="P38">
        <f t="shared" ca="1" si="20"/>
        <v>-38.05233460873589</v>
      </c>
      <c r="Q38">
        <f t="shared" ca="1" si="12"/>
        <v>4517.2594456095248</v>
      </c>
      <c r="R38">
        <f t="shared" ca="1" si="13"/>
        <v>0</v>
      </c>
      <c r="S38">
        <f t="shared" ca="1" si="14"/>
        <v>11.797144083938155</v>
      </c>
      <c r="U38">
        <f t="shared" ca="1" si="15"/>
        <v>3227.8073902102369</v>
      </c>
      <c r="V38">
        <f t="shared" ca="1" si="16"/>
        <v>5.4569682106375694E-12</v>
      </c>
      <c r="W38">
        <f t="shared" ca="1" si="17"/>
        <v>12903.094252679524</v>
      </c>
    </row>
    <row r="39" spans="1:23" x14ac:dyDescent="0.2">
      <c r="A39">
        <f t="shared" si="18"/>
        <v>170</v>
      </c>
      <c r="B39">
        <f t="shared" si="0"/>
        <v>9.6048145527886805E-2</v>
      </c>
      <c r="C39">
        <f t="shared" si="1"/>
        <v>10</v>
      </c>
      <c r="D39">
        <f t="shared" ca="1" si="2"/>
        <v>-20583.67969830244</v>
      </c>
      <c r="E39">
        <f t="shared" ca="1" si="19"/>
        <v>3629.4580848493874</v>
      </c>
      <c r="F39">
        <f t="shared" ca="1" si="3"/>
        <v>15597.471523831186</v>
      </c>
      <c r="G39">
        <f t="shared" ca="1" si="4"/>
        <v>4402.2047238311861</v>
      </c>
      <c r="H39">
        <f t="shared" ca="1" si="5"/>
        <v>-10235.924639418943</v>
      </c>
      <c r="I39">
        <f t="shared" ca="1" si="6"/>
        <v>-19.523508064366698</v>
      </c>
      <c r="J39">
        <f t="shared" ca="1" si="7"/>
        <v>3983.8293265509546</v>
      </c>
      <c r="K39">
        <f t="shared" ca="1" si="8"/>
        <v>20583.67969830244</v>
      </c>
      <c r="L39">
        <f t="shared" ca="1" si="8"/>
        <v>-3629.4580848493874</v>
      </c>
      <c r="M39">
        <f t="shared" ca="1" si="9"/>
        <v>-12369.664133620949</v>
      </c>
      <c r="N39">
        <f t="shared" ca="1" si="10"/>
        <v>-12369.664133620949</v>
      </c>
      <c r="O39">
        <f t="shared" ca="1" si="11"/>
        <v>-12369.664133620949</v>
      </c>
      <c r="P39">
        <f t="shared" ca="1" si="20"/>
        <v>-19.588600840661599</v>
      </c>
      <c r="Q39">
        <f t="shared" ca="1" si="12"/>
        <v>3983.8293265509546</v>
      </c>
      <c r="R39">
        <f t="shared" ca="1" si="13"/>
        <v>0</v>
      </c>
      <c r="S39">
        <f t="shared" ca="1" si="14"/>
        <v>10.522140528455962</v>
      </c>
      <c r="U39">
        <f t="shared" ca="1" si="15"/>
        <v>3227.8073902102369</v>
      </c>
      <c r="V39">
        <f t="shared" ca="1" si="16"/>
        <v>5.4569682106375694E-12</v>
      </c>
      <c r="W39">
        <f t="shared" ca="1" si="17"/>
        <v>12369.664133620954</v>
      </c>
    </row>
    <row r="40" spans="1:23" x14ac:dyDescent="0.2">
      <c r="A40">
        <f t="shared" si="18"/>
        <v>180</v>
      </c>
      <c r="B40" t="e">
        <f t="shared" si="0"/>
        <v>#VALUE!</v>
      </c>
      <c r="C40">
        <f t="shared" si="1"/>
        <v>0</v>
      </c>
      <c r="D40">
        <f t="shared" ca="1" si="2"/>
        <v>-20901.216134760834</v>
      </c>
      <c r="E40">
        <f t="shared" ca="1" si="19"/>
        <v>-8.5738221777102882E-6</v>
      </c>
      <c r="F40">
        <f t="shared" ca="1" si="3"/>
        <v>15417.842169023002</v>
      </c>
      <c r="G40">
        <f t="shared" ca="1" si="4"/>
        <v>4222.5753690230031</v>
      </c>
      <c r="H40">
        <f t="shared" ca="1" si="5"/>
        <v>-10600.748012556549</v>
      </c>
      <c r="I40">
        <f t="shared" ca="1" si="6"/>
        <v>4.6340486957377371E-8</v>
      </c>
      <c r="J40">
        <f t="shared" ca="1" si="7"/>
        <v>3804.1999717427716</v>
      </c>
      <c r="K40">
        <f t="shared" ca="1" si="8"/>
        <v>20901.216134760834</v>
      </c>
      <c r="L40">
        <f t="shared" ca="1" si="8"/>
        <v>8.5738221777102882E-6</v>
      </c>
      <c r="M40">
        <f t="shared" ca="1" si="9"/>
        <v>-12190.034778812766</v>
      </c>
      <c r="N40">
        <f t="shared" ca="1" si="10"/>
        <v>-12190.034778812766</v>
      </c>
      <c r="O40">
        <f t="shared" ca="1" si="11"/>
        <v>-12190.034778812766</v>
      </c>
      <c r="P40">
        <f t="shared" ca="1" si="20"/>
        <v>-6.6963860469320388E-2</v>
      </c>
      <c r="Q40">
        <f t="shared" ca="1" si="12"/>
        <v>3804.1999717427716</v>
      </c>
      <c r="R40">
        <f t="shared" ca="1" si="13"/>
        <v>0</v>
      </c>
      <c r="S40">
        <f t="shared" ca="1" si="14"/>
        <v>10.092790820093771</v>
      </c>
      <c r="U40">
        <f t="shared" ca="1" si="15"/>
        <v>3227.8073902102369</v>
      </c>
      <c r="V40">
        <f t="shared" ca="1" si="16"/>
        <v>5.4569682106375694E-12</v>
      </c>
      <c r="W40">
        <f t="shared" ca="1" si="17"/>
        <v>12190.034778812771</v>
      </c>
    </row>
    <row r="41" spans="1:23" x14ac:dyDescent="0.2">
      <c r="A41" t="s">
        <v>489</v>
      </c>
    </row>
    <row r="42" spans="1:23" x14ac:dyDescent="0.2">
      <c r="A42" t="s">
        <v>489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2"/>
  <sheetViews>
    <sheetView workbookViewId="0">
      <selection activeCell="F11" sqref="F11"/>
    </sheetView>
  </sheetViews>
  <sheetFormatPr defaultRowHeight="12.75" x14ac:dyDescent="0.2"/>
  <cols>
    <col min="4" max="4" width="11.42578125" bestFit="1" customWidth="1"/>
    <col min="15" max="15" width="12.42578125" bestFit="1" customWidth="1"/>
    <col min="17" max="17" width="12.42578125" bestFit="1" customWidth="1"/>
  </cols>
  <sheetData>
    <row r="1" spans="1:10" x14ac:dyDescent="0.2">
      <c r="A1" t="s">
        <v>486</v>
      </c>
      <c r="B1" s="204" t="str">
        <f>kinematics!C10</f>
        <v>Sb</v>
      </c>
      <c r="C1" s="204">
        <f>kinematics!D10</f>
        <v>122</v>
      </c>
      <c r="E1" t="s">
        <v>496</v>
      </c>
      <c r="F1" s="213" t="s">
        <v>94</v>
      </c>
      <c r="G1" s="213">
        <v>1</v>
      </c>
      <c r="H1" s="204">
        <f>IF(F1="gg",0,INDEX(Z_values,MATCH(F1,Symbol_values,0)))</f>
        <v>1</v>
      </c>
      <c r="I1">
        <f ca="1">IF(F1="gg",0,mass_rmd.mas!W8)</f>
        <v>7.2889706100000007</v>
      </c>
      <c r="J1">
        <f ca="1">IF(F1="gg",0,mass_rmd.mas!X8*mass_rmd.mas!A2)</f>
        <v>938.78303161000008</v>
      </c>
    </row>
    <row r="2" spans="1:10" x14ac:dyDescent="0.2">
      <c r="A2" t="s">
        <v>488</v>
      </c>
      <c r="C2" s="204">
        <f>kinematics!G10</f>
        <v>0</v>
      </c>
      <c r="F2" t="s">
        <v>102</v>
      </c>
      <c r="G2" t="s">
        <v>103</v>
      </c>
      <c r="H2" t="s">
        <v>302</v>
      </c>
    </row>
    <row r="3" spans="1:10" x14ac:dyDescent="0.2">
      <c r="A3" t="s">
        <v>487</v>
      </c>
      <c r="B3" s="204">
        <f ca="1">kinematics!K16</f>
        <v>4.7719768701881549E-5</v>
      </c>
      <c r="E3" t="s">
        <v>498</v>
      </c>
      <c r="F3" s="213" t="s">
        <v>4</v>
      </c>
      <c r="G3" s="214">
        <v>11</v>
      </c>
      <c r="H3" s="204">
        <f>INDEX(Z_values,MATCH(F3,Symbol_values,0))</f>
        <v>6</v>
      </c>
      <c r="I3">
        <f ca="1">mass_rmd.mas!W9</f>
        <v>10.649396000000001</v>
      </c>
      <c r="J3">
        <f ca="1">mass_rmd.mas!X9*mass_rmd.mas!A2</f>
        <v>10257.084067</v>
      </c>
    </row>
    <row r="4" spans="1:10" x14ac:dyDescent="0.2">
      <c r="A4" t="s">
        <v>490</v>
      </c>
      <c r="B4" s="204">
        <f ca="1">kinematics!Y10-C2</f>
        <v>113553.940072</v>
      </c>
    </row>
    <row r="5" spans="1:10" x14ac:dyDescent="0.2">
      <c r="A5" t="s">
        <v>491</v>
      </c>
      <c r="B5" s="204">
        <f ca="1">B4+C2</f>
        <v>113553.940072</v>
      </c>
    </row>
    <row r="6" spans="1:10" x14ac:dyDescent="0.2">
      <c r="A6" t="s">
        <v>492</v>
      </c>
      <c r="B6" s="204">
        <f ca="1">B5+B3</f>
        <v>113553.94011971977</v>
      </c>
    </row>
    <row r="7" spans="1:10" x14ac:dyDescent="0.2">
      <c r="A7" t="s">
        <v>493</v>
      </c>
      <c r="B7" s="204">
        <f ca="1">SQRT(B6^2-B5^2)</f>
        <v>3.2920415801600882</v>
      </c>
    </row>
    <row r="8" spans="1:10" x14ac:dyDescent="0.2">
      <c r="A8" t="s">
        <v>494</v>
      </c>
      <c r="B8" s="204">
        <f ca="1">B7/B6</f>
        <v>2.8990993854456244E-5</v>
      </c>
    </row>
    <row r="9" spans="1:10" x14ac:dyDescent="0.2">
      <c r="A9" t="s">
        <v>495</v>
      </c>
      <c r="B9" s="204">
        <f ca="1">1/SQRT(1-B8^2)</f>
        <v>1.000000000420239</v>
      </c>
    </row>
    <row r="11" spans="1:10" x14ac:dyDescent="0.2">
      <c r="A11" t="s">
        <v>499</v>
      </c>
    </row>
    <row r="12" spans="1:10" x14ac:dyDescent="0.2">
      <c r="A12" t="s">
        <v>500</v>
      </c>
      <c r="B12" s="204">
        <f ca="1">(B5^2-J1^2+J3^2)/(2*B5)</f>
        <v>57236.339653253774</v>
      </c>
    </row>
    <row r="13" spans="1:10" x14ac:dyDescent="0.2">
      <c r="A13" t="s">
        <v>501</v>
      </c>
      <c r="B13" s="204">
        <f ca="1">(B5^2-J3^2+J1^2)/(2*B5)</f>
        <v>56317.600418746217</v>
      </c>
    </row>
    <row r="14" spans="1:10" x14ac:dyDescent="0.2">
      <c r="A14" t="s">
        <v>502</v>
      </c>
      <c r="B14" s="204">
        <f ca="1">B12-J3</f>
        <v>46979.25558625377</v>
      </c>
    </row>
    <row r="15" spans="1:10" x14ac:dyDescent="0.2">
      <c r="A15" t="s">
        <v>503</v>
      </c>
      <c r="B15" s="204">
        <f ca="1">B13-J1</f>
        <v>55378.817387136216</v>
      </c>
    </row>
    <row r="16" spans="1:10" x14ac:dyDescent="0.2">
      <c r="A16" t="s">
        <v>504</v>
      </c>
      <c r="B16" s="204">
        <f ca="1">SQRT(B12^2-J3^2)</f>
        <v>56309.775379991748</v>
      </c>
    </row>
    <row r="17" spans="1:18" x14ac:dyDescent="0.2">
      <c r="A17" t="s">
        <v>505</v>
      </c>
      <c r="B17" s="204">
        <f ca="1">SQRT(B13^2-J1^2)</f>
        <v>56309.775379991748</v>
      </c>
    </row>
    <row r="18" spans="1:18" x14ac:dyDescent="0.2">
      <c r="A18" t="s">
        <v>518</v>
      </c>
      <c r="B18" s="235">
        <f ca="1">B16/B12</f>
        <v>0.98381160851872618</v>
      </c>
    </row>
    <row r="19" spans="1:18" x14ac:dyDescent="0.2">
      <c r="Q19">
        <f ca="1">(B9-1)*C2</f>
        <v>0</v>
      </c>
    </row>
    <row r="20" spans="1:18" x14ac:dyDescent="0.2">
      <c r="A20" t="s">
        <v>506</v>
      </c>
    </row>
    <row r="21" spans="1:18" x14ac:dyDescent="0.2">
      <c r="A21" t="s">
        <v>507</v>
      </c>
      <c r="B21" t="s">
        <v>517</v>
      </c>
      <c r="C21" t="s">
        <v>508</v>
      </c>
      <c r="D21" t="s">
        <v>510</v>
      </c>
      <c r="E21" t="s">
        <v>511</v>
      </c>
      <c r="F21" t="s">
        <v>509</v>
      </c>
      <c r="G21" t="s">
        <v>512</v>
      </c>
      <c r="H21" t="s">
        <v>510</v>
      </c>
      <c r="I21" t="s">
        <v>513</v>
      </c>
      <c r="K21" t="s">
        <v>514</v>
      </c>
      <c r="L21" t="s">
        <v>520</v>
      </c>
      <c r="M21" t="s">
        <v>515</v>
      </c>
      <c r="N21" t="s">
        <v>516</v>
      </c>
      <c r="P21" t="s">
        <v>519</v>
      </c>
    </row>
    <row r="22" spans="1:18" x14ac:dyDescent="0.2">
      <c r="A22">
        <f>0</f>
        <v>0</v>
      </c>
      <c r="B22">
        <f>2*3.141*(COS(A22*3.141/180)-COS(A23*3.141/180))</f>
        <v>9.5401782218311568E-2</v>
      </c>
      <c r="C22">
        <f>180-A22</f>
        <v>180</v>
      </c>
      <c r="D22">
        <f ca="1">$B$16*COS(A22/180*3.141592654)</f>
        <v>56309.775379991748</v>
      </c>
      <c r="E22">
        <f ca="1">$B$16*SIN(A22/180*3.14159265)</f>
        <v>0</v>
      </c>
      <c r="F22">
        <f ca="1">$B$9*$B$12+$B$8*$B$9*D22</f>
        <v>57237.972153659386</v>
      </c>
      <c r="G22">
        <f ca="1">F22-$J$3</f>
        <v>46980.888086659383</v>
      </c>
      <c r="H22">
        <f ca="1">$B$9*$B$8*$B$12+$B$9*D22</f>
        <v>56311.434742027144</v>
      </c>
      <c r="I22">
        <f ca="1">ATAN(E22/H22)*180/3.141592654</f>
        <v>0</v>
      </c>
      <c r="J22">
        <f ca="1">G22-$B$3</f>
        <v>46980.888038939614</v>
      </c>
      <c r="K22">
        <f ca="1">-D22</f>
        <v>-56309.775379991748</v>
      </c>
      <c r="L22">
        <f ca="1">-E22</f>
        <v>0</v>
      </c>
      <c r="M22">
        <f ca="1">$B$9*$B$13+$B$8*$B$9*K22</f>
        <v>56315.967966060394</v>
      </c>
      <c r="N22">
        <f ca="1">M22-$J$1</f>
        <v>55377.184934450393</v>
      </c>
      <c r="O22">
        <f ca="1">180/3.141*ATAN(SIN(A22*3.141/180)/($B$9*(COS(A22*3.141/180)+$B$8/$B$18)))</f>
        <v>0</v>
      </c>
      <c r="P22">
        <f ca="1">G22-$B$3</f>
        <v>46980.888038939614</v>
      </c>
      <c r="Q22">
        <f ca="1">-$C$2*COS(C22*$F$15)*$B$8*$B$9-$Q$19</f>
        <v>0</v>
      </c>
      <c r="R22">
        <f ca="1">G22/$B$3</f>
        <v>984516257.4060626</v>
      </c>
    </row>
    <row r="23" spans="1:18" x14ac:dyDescent="0.2">
      <c r="A23">
        <f>A22+10</f>
        <v>10</v>
      </c>
      <c r="B23">
        <f t="shared" ref="B23:B40" si="0">2*3.141*(COS(A23*3.141/180)-COS(A24*3.141/180))</f>
        <v>0.28330770257647825</v>
      </c>
      <c r="C23">
        <f t="shared" ref="C23:C40" si="1">180-A23</f>
        <v>170</v>
      </c>
      <c r="D23">
        <f t="shared" ref="D23:D40" ca="1" si="2">$B$16*COS(A23/180*3.141592654)</f>
        <v>55454.303364368992</v>
      </c>
      <c r="E23">
        <f ca="1">$B$16*SIN(A23/180*3.141592654)</f>
        <v>9778.0898808335096</v>
      </c>
      <c r="F23">
        <f t="shared" ref="F23:F40" ca="1" si="3">$B$9*$B$12+$B$8*$B$9*D23</f>
        <v>57237.94735267543</v>
      </c>
      <c r="G23">
        <f t="shared" ref="G23:G40" ca="1" si="4">F23-$J$3</f>
        <v>46980.863285675427</v>
      </c>
      <c r="H23">
        <f t="shared" ref="H23:H40" ca="1" si="5">$B$9*$B$8*$B$12+$B$9*D23</f>
        <v>55455.962726044883</v>
      </c>
      <c r="I23">
        <f t="shared" ref="I23:I40" ca="1" si="6">ATAN(E23/H23)*180/3.141592654</f>
        <v>9.9997068178538449</v>
      </c>
      <c r="J23">
        <f t="shared" ref="J23:J40" ca="1" si="7">G23-$B$3</f>
        <v>46980.863237955658</v>
      </c>
      <c r="K23">
        <f t="shared" ref="K23:L40" ca="1" si="8">-D23</f>
        <v>-55454.303364368992</v>
      </c>
      <c r="L23">
        <f t="shared" ca="1" si="8"/>
        <v>-9778.0898808335096</v>
      </c>
      <c r="M23">
        <f t="shared" ref="M23:M40" ca="1" si="9">$B$9*$B$13+$B$8*$B$9*K23</f>
        <v>56315.99276704435</v>
      </c>
      <c r="N23">
        <f t="shared" ref="N23:N40" ca="1" si="10">M23-$J$1</f>
        <v>55377.20973543435</v>
      </c>
      <c r="O23">
        <f ca="1">180/3.141*ATAN(SIN(A23*3.141/180)/($B$9*(COS(A23*3.141/180)+$B$8/$B$18)))</f>
        <v>9.9997068172911856</v>
      </c>
      <c r="P23">
        <f t="shared" ref="P23:P40" ca="1" si="11">G23-$B$3</f>
        <v>46980.863237955658</v>
      </c>
      <c r="Q23">
        <f t="shared" ref="Q23:Q40" ca="1" si="12">-$C$2*COS(C23*$F$15)*$B$8*$B$9-$Q$19</f>
        <v>0</v>
      </c>
      <c r="R23">
        <f t="shared" ref="R23:R40" ca="1" si="13">G23/$B$3</f>
        <v>984515737.6846844</v>
      </c>
    </row>
    <row r="24" spans="1:18" x14ac:dyDescent="0.2">
      <c r="A24">
        <f t="shared" ref="A24:A40" si="14">A23+10</f>
        <v>20</v>
      </c>
      <c r="B24">
        <f t="shared" si="0"/>
        <v>0.46260870101743051</v>
      </c>
      <c r="C24">
        <f t="shared" si="1"/>
        <v>160</v>
      </c>
      <c r="D24">
        <f t="shared" ca="1" si="2"/>
        <v>52913.880401812465</v>
      </c>
      <c r="E24">
        <f t="shared" ref="E24:E40" ca="1" si="15">$B$16*SIN(A24/180*3.141592654)</f>
        <v>19259.077448512726</v>
      </c>
      <c r="F24">
        <f t="shared" ca="1" si="3"/>
        <v>57237.873703288904</v>
      </c>
      <c r="G24">
        <f t="shared" ca="1" si="4"/>
        <v>46980.789636288901</v>
      </c>
      <c r="H24">
        <f t="shared" ca="1" si="5"/>
        <v>52915.539762420776</v>
      </c>
      <c r="I24">
        <f t="shared" ca="1" si="6"/>
        <v>19.999422543502678</v>
      </c>
      <c r="J24">
        <f t="shared" ca="1" si="7"/>
        <v>46980.789588569132</v>
      </c>
      <c r="K24">
        <f t="shared" ca="1" si="8"/>
        <v>-52913.880401812465</v>
      </c>
      <c r="L24">
        <f t="shared" ca="1" si="8"/>
        <v>-19259.077448512726</v>
      </c>
      <c r="M24">
        <f t="shared" ca="1" si="9"/>
        <v>56316.066416430876</v>
      </c>
      <c r="N24">
        <f t="shared" ca="1" si="10"/>
        <v>55377.283384820876</v>
      </c>
      <c r="O24">
        <f t="shared" ref="O24:O40" ca="1" si="16">180/3.141*ATAN(SIN(A24*3.141/180)/($B$9*(COS(A24*3.141/180)+$B$8/$B$18)))</f>
        <v>19.999422539042424</v>
      </c>
      <c r="P24">
        <f t="shared" ca="1" si="11"/>
        <v>46980.789588569132</v>
      </c>
      <c r="Q24">
        <f t="shared" ca="1" si="12"/>
        <v>0</v>
      </c>
      <c r="R24">
        <f t="shared" ca="1" si="13"/>
        <v>984514194.31202078</v>
      </c>
    </row>
    <row r="25" spans="1:18" x14ac:dyDescent="0.2">
      <c r="A25">
        <f t="shared" si="14"/>
        <v>30</v>
      </c>
      <c r="B25">
        <f t="shared" si="0"/>
        <v>0.62785885751417292</v>
      </c>
      <c r="C25">
        <f t="shared" si="1"/>
        <v>150</v>
      </c>
      <c r="D25">
        <f t="shared" ca="1" si="2"/>
        <v>48765.695958543503</v>
      </c>
      <c r="E25">
        <f t="shared" ca="1" si="15"/>
        <v>28154.887693329882</v>
      </c>
      <c r="F25">
        <f t="shared" ca="1" si="3"/>
        <v>57237.753443299152</v>
      </c>
      <c r="G25">
        <f t="shared" ca="1" si="4"/>
        <v>46980.669376299149</v>
      </c>
      <c r="H25">
        <f t="shared" ca="1" si="5"/>
        <v>48767.355317408583</v>
      </c>
      <c r="I25">
        <f t="shared" ca="1" si="6"/>
        <v>29.999155814130429</v>
      </c>
      <c r="J25">
        <f t="shared" ca="1" si="7"/>
        <v>46980.669328579381</v>
      </c>
      <c r="K25">
        <f t="shared" ca="1" si="8"/>
        <v>-48765.695958543503</v>
      </c>
      <c r="L25">
        <f t="shared" ca="1" si="8"/>
        <v>-28154.887693329882</v>
      </c>
      <c r="M25">
        <f t="shared" ca="1" si="9"/>
        <v>56316.186676420628</v>
      </c>
      <c r="N25">
        <f t="shared" ca="1" si="10"/>
        <v>55377.403644810627</v>
      </c>
      <c r="O25">
        <f t="shared" ca="1" si="16"/>
        <v>29.999155799305822</v>
      </c>
      <c r="P25">
        <f t="shared" ca="1" si="11"/>
        <v>46980.669328579381</v>
      </c>
      <c r="Q25">
        <f t="shared" ca="1" si="12"/>
        <v>0</v>
      </c>
      <c r="R25">
        <f t="shared" ca="1" si="13"/>
        <v>984511674.18266928</v>
      </c>
    </row>
    <row r="26" spans="1:18" x14ac:dyDescent="0.2">
      <c r="A26">
        <f t="shared" si="14"/>
        <v>40</v>
      </c>
      <c r="B26">
        <f t="shared" si="0"/>
        <v>0.77403901910852757</v>
      </c>
      <c r="C26">
        <f t="shared" si="1"/>
        <v>140</v>
      </c>
      <c r="D26">
        <f t="shared" ca="1" si="2"/>
        <v>43135.790519821072</v>
      </c>
      <c r="E26">
        <f t="shared" ca="1" si="15"/>
        <v>36195.225922422971</v>
      </c>
      <c r="F26">
        <f t="shared" ca="1" si="3"/>
        <v>57237.590226745109</v>
      </c>
      <c r="G26">
        <f t="shared" ca="1" si="4"/>
        <v>46980.506159745113</v>
      </c>
      <c r="H26">
        <f t="shared" ca="1" si="5"/>
        <v>43137.44987632025</v>
      </c>
      <c r="I26">
        <f t="shared" ca="1" si="6"/>
        <v>39.998914733915505</v>
      </c>
      <c r="J26">
        <f t="shared" ca="1" si="7"/>
        <v>46980.506112025345</v>
      </c>
      <c r="K26">
        <f t="shared" ca="1" si="8"/>
        <v>-43135.790519821072</v>
      </c>
      <c r="L26">
        <f t="shared" ca="1" si="8"/>
        <v>-36195.225922422971</v>
      </c>
      <c r="M26">
        <f t="shared" ca="1" si="9"/>
        <v>56316.349892974671</v>
      </c>
      <c r="N26">
        <f t="shared" ca="1" si="10"/>
        <v>55377.56686136467</v>
      </c>
      <c r="O26">
        <f t="shared" ca="1" si="16"/>
        <v>39.998914699524896</v>
      </c>
      <c r="P26">
        <f t="shared" ca="1" si="11"/>
        <v>46980.506112025345</v>
      </c>
      <c r="Q26">
        <f t="shared" ca="1" si="12"/>
        <v>0</v>
      </c>
      <c r="R26">
        <f t="shared" ca="1" si="13"/>
        <v>984508253.86948514</v>
      </c>
    </row>
    <row r="27" spans="1:18" x14ac:dyDescent="0.2">
      <c r="A27">
        <f t="shared" si="14"/>
        <v>50</v>
      </c>
      <c r="B27">
        <f t="shared" si="0"/>
        <v>0.89670924694628618</v>
      </c>
      <c r="C27">
        <f t="shared" si="1"/>
        <v>130</v>
      </c>
      <c r="D27">
        <f t="shared" ca="1" si="2"/>
        <v>36195.225913575669</v>
      </c>
      <c r="E27">
        <f t="shared" ca="1" si="15"/>
        <v>43135.790527244833</v>
      </c>
      <c r="F27">
        <f t="shared" ca="1" si="3"/>
        <v>57237.389012879175</v>
      </c>
      <c r="G27">
        <f t="shared" ca="1" si="4"/>
        <v>46980.304945879179</v>
      </c>
      <c r="H27">
        <f t="shared" ca="1" si="5"/>
        <v>36196.885267158148</v>
      </c>
      <c r="I27">
        <f t="shared" ca="1" si="6"/>
        <v>49.998706627820674</v>
      </c>
      <c r="J27">
        <f t="shared" ca="1" si="7"/>
        <v>46980.304898159411</v>
      </c>
      <c r="K27">
        <f t="shared" ca="1" si="8"/>
        <v>-36195.225913575669</v>
      </c>
      <c r="L27">
        <f t="shared" ca="1" si="8"/>
        <v>-43135.790527244833</v>
      </c>
      <c r="M27">
        <f t="shared" ca="1" si="9"/>
        <v>56316.551106840605</v>
      </c>
      <c r="N27">
        <f t="shared" ca="1" si="10"/>
        <v>55377.768075230604</v>
      </c>
      <c r="O27">
        <f t="shared" ca="1" si="16"/>
        <v>49.998706562500232</v>
      </c>
      <c r="P27">
        <f t="shared" ca="1" si="11"/>
        <v>46980.304898159411</v>
      </c>
      <c r="Q27">
        <f t="shared" ca="1" si="12"/>
        <v>0</v>
      </c>
      <c r="R27">
        <f t="shared" ca="1" si="13"/>
        <v>984504037.29695332</v>
      </c>
    </row>
    <row r="28" spans="1:18" x14ac:dyDescent="0.2">
      <c r="A28">
        <f t="shared" si="14"/>
        <v>60</v>
      </c>
      <c r="B28">
        <f t="shared" si="0"/>
        <v>0.99214367080750121</v>
      </c>
      <c r="C28">
        <f t="shared" si="1"/>
        <v>120</v>
      </c>
      <c r="D28">
        <f t="shared" ca="1" si="2"/>
        <v>28154.887683327866</v>
      </c>
      <c r="E28">
        <f t="shared" ca="1" si="15"/>
        <v>48765.695964318169</v>
      </c>
      <c r="F28">
        <f t="shared" ca="1" si="3"/>
        <v>57237.155915482857</v>
      </c>
      <c r="G28">
        <f t="shared" ca="1" si="4"/>
        <v>46980.071848482854</v>
      </c>
      <c r="H28">
        <f t="shared" ca="1" si="5"/>
        <v>28156.547033531482</v>
      </c>
      <c r="I28">
        <f t="shared" ca="1" si="6"/>
        <v>59.998537819044273</v>
      </c>
      <c r="J28">
        <f t="shared" ca="1" si="7"/>
        <v>46980.071800763086</v>
      </c>
      <c r="K28">
        <f t="shared" ca="1" si="8"/>
        <v>-28154.887683327866</v>
      </c>
      <c r="L28">
        <f t="shared" ca="1" si="8"/>
        <v>-48765.695964318169</v>
      </c>
      <c r="M28">
        <f t="shared" ca="1" si="9"/>
        <v>56316.784204236923</v>
      </c>
      <c r="N28">
        <f t="shared" ca="1" si="10"/>
        <v>55378.001172626922</v>
      </c>
      <c r="O28">
        <f t="shared" ca="1" si="16"/>
        <v>59.998537709990053</v>
      </c>
      <c r="P28">
        <f t="shared" ca="1" si="11"/>
        <v>46980.071800763086</v>
      </c>
      <c r="Q28">
        <f t="shared" ca="1" si="12"/>
        <v>0</v>
      </c>
      <c r="R28">
        <f t="shared" ca="1" si="13"/>
        <v>984499152.58349669</v>
      </c>
    </row>
    <row r="29" spans="1:18" x14ac:dyDescent="0.2">
      <c r="A29">
        <f t="shared" si="14"/>
        <v>70</v>
      </c>
      <c r="B29">
        <f t="shared" si="0"/>
        <v>1.0574436551871347</v>
      </c>
      <c r="C29">
        <f t="shared" si="1"/>
        <v>110</v>
      </c>
      <c r="D29">
        <f t="shared" ca="1" si="2"/>
        <v>19259.077437659904</v>
      </c>
      <c r="E29">
        <f t="shared" ca="1" si="15"/>
        <v>52913.880405762568</v>
      </c>
      <c r="F29">
        <f t="shared" ca="1" si="3"/>
        <v>57236.898017102583</v>
      </c>
      <c r="G29">
        <f t="shared" ca="1" si="4"/>
        <v>46979.813950102587</v>
      </c>
      <c r="H29">
        <f t="shared" ca="1" si="5"/>
        <v>19260.736784125154</v>
      </c>
      <c r="I29">
        <f t="shared" ca="1" si="6"/>
        <v>69.998413436893173</v>
      </c>
      <c r="J29">
        <f t="shared" ca="1" si="7"/>
        <v>46979.813902382819</v>
      </c>
      <c r="K29">
        <f t="shared" ca="1" si="8"/>
        <v>-19259.077437659904</v>
      </c>
      <c r="L29">
        <f t="shared" ca="1" si="8"/>
        <v>-52913.880405762568</v>
      </c>
      <c r="M29">
        <f t="shared" ca="1" si="9"/>
        <v>56317.042102617197</v>
      </c>
      <c r="N29">
        <f t="shared" ca="1" si="10"/>
        <v>55378.259071007196</v>
      </c>
      <c r="O29">
        <f t="shared" ca="1" si="16"/>
        <v>69.998413270699203</v>
      </c>
      <c r="P29">
        <f t="shared" ca="1" si="11"/>
        <v>46979.813902382819</v>
      </c>
      <c r="Q29">
        <f t="shared" ca="1" si="12"/>
        <v>0</v>
      </c>
      <c r="R29">
        <f t="shared" ca="1" si="13"/>
        <v>984493748.14866221</v>
      </c>
    </row>
    <row r="30" spans="1:18" x14ac:dyDescent="0.2">
      <c r="A30">
        <f t="shared" si="14"/>
        <v>80</v>
      </c>
      <c r="B30">
        <f t="shared" si="0"/>
        <v>1.0906258397258599</v>
      </c>
      <c r="C30">
        <f t="shared" si="1"/>
        <v>100</v>
      </c>
      <c r="D30">
        <f t="shared" ca="1" si="2"/>
        <v>9778.0898694596472</v>
      </c>
      <c r="E30">
        <f t="shared" ca="1" si="15"/>
        <v>55454.303366374515</v>
      </c>
      <c r="F30">
        <f t="shared" ca="1" si="3"/>
        <v>57236.623153850145</v>
      </c>
      <c r="G30">
        <f t="shared" ca="1" si="4"/>
        <v>46979.539086850142</v>
      </c>
      <c r="H30">
        <f t="shared" ca="1" si="5"/>
        <v>9779.7492119406161</v>
      </c>
      <c r="I30">
        <f t="shared" ca="1" si="6"/>
        <v>79.998337260914624</v>
      </c>
      <c r="J30">
        <f t="shared" ca="1" si="7"/>
        <v>46979.539039130374</v>
      </c>
      <c r="K30">
        <f t="shared" ca="1" si="8"/>
        <v>-9778.0898694596472</v>
      </c>
      <c r="L30">
        <f t="shared" ca="1" si="8"/>
        <v>-55454.303366374515</v>
      </c>
      <c r="M30">
        <f t="shared" ca="1" si="9"/>
        <v>56317.316965869635</v>
      </c>
      <c r="N30">
        <f t="shared" ca="1" si="10"/>
        <v>55378.533934259634</v>
      </c>
      <c r="O30">
        <f t="shared" ca="1" si="16"/>
        <v>79.998337024488123</v>
      </c>
      <c r="P30">
        <f t="shared" ca="1" si="11"/>
        <v>46979.539039130374</v>
      </c>
      <c r="Q30">
        <f t="shared" ca="1" si="12"/>
        <v>0</v>
      </c>
      <c r="R30">
        <f t="shared" ca="1" si="13"/>
        <v>984487988.20346713</v>
      </c>
    </row>
    <row r="31" spans="1:18" x14ac:dyDescent="0.2">
      <c r="A31">
        <f t="shared" si="14"/>
        <v>90</v>
      </c>
      <c r="B31">
        <f t="shared" si="0"/>
        <v>1.0906823799337366</v>
      </c>
      <c r="C31">
        <f t="shared" si="1"/>
        <v>90</v>
      </c>
      <c r="D31">
        <f t="shared" ca="1" si="2"/>
        <v>-1.1549327987952086E-5</v>
      </c>
      <c r="E31">
        <f t="shared" ca="1" si="15"/>
        <v>56309.775379991748</v>
      </c>
      <c r="F31">
        <f t="shared" ca="1" si="3"/>
        <v>57236.33967730638</v>
      </c>
      <c r="G31">
        <f t="shared" ca="1" si="4"/>
        <v>46979.255610306383</v>
      </c>
      <c r="H31">
        <f t="shared" ca="1" si="5"/>
        <v>1.6593268225083762</v>
      </c>
      <c r="I31">
        <f t="shared" ca="1" si="6"/>
        <v>89.998311606025624</v>
      </c>
      <c r="J31">
        <f t="shared" ca="1" si="7"/>
        <v>46979.255562586615</v>
      </c>
      <c r="K31">
        <f t="shared" ca="1" si="8"/>
        <v>1.1549327987952086E-5</v>
      </c>
      <c r="L31">
        <f t="shared" ca="1" si="8"/>
        <v>-56309.775379991748</v>
      </c>
      <c r="M31">
        <f t="shared" ca="1" si="9"/>
        <v>56317.600442413401</v>
      </c>
      <c r="N31">
        <f t="shared" ca="1" si="10"/>
        <v>55378.8174108034</v>
      </c>
      <c r="O31">
        <f t="shared" ca="1" si="16"/>
        <v>89.998311287535756</v>
      </c>
      <c r="P31">
        <f t="shared" ca="1" si="11"/>
        <v>46979.255562586615</v>
      </c>
      <c r="Q31">
        <f t="shared" ca="1" si="12"/>
        <v>0</v>
      </c>
      <c r="R31">
        <f t="shared" ca="1" si="13"/>
        <v>984482047.76093209</v>
      </c>
    </row>
    <row r="32" spans="1:18" x14ac:dyDescent="0.2">
      <c r="A32">
        <f t="shared" si="14"/>
        <v>100</v>
      </c>
      <c r="B32">
        <f t="shared" si="0"/>
        <v>1.0576115585116257</v>
      </c>
      <c r="C32">
        <f t="shared" si="1"/>
        <v>80</v>
      </c>
      <c r="D32">
        <f t="shared" ca="1" si="2"/>
        <v>-9778.0898922073829</v>
      </c>
      <c r="E32">
        <f t="shared" ca="1" si="15"/>
        <v>55454.303362363469</v>
      </c>
      <c r="F32">
        <f t="shared" ca="1" si="3"/>
        <v>57236.056200762621</v>
      </c>
      <c r="G32">
        <f t="shared" ca="1" si="4"/>
        <v>46978.972133762625</v>
      </c>
      <c r="H32">
        <f t="shared" ca="1" si="5"/>
        <v>-9776.4305579446809</v>
      </c>
      <c r="I32">
        <f t="shared" ca="1" si="6"/>
        <v>-80.00166272436374</v>
      </c>
      <c r="J32">
        <f t="shared" ca="1" si="7"/>
        <v>46978.972086042857</v>
      </c>
      <c r="K32">
        <f t="shared" ca="1" si="8"/>
        <v>9778.0898922073829</v>
      </c>
      <c r="L32">
        <f t="shared" ca="1" si="8"/>
        <v>-55454.303362363469</v>
      </c>
      <c r="M32">
        <f t="shared" ca="1" si="9"/>
        <v>56317.883918957159</v>
      </c>
      <c r="N32">
        <f t="shared" ca="1" si="10"/>
        <v>55379.100887347158</v>
      </c>
      <c r="O32">
        <f t="shared" ca="1" si="16"/>
        <v>-80.035626114487073</v>
      </c>
      <c r="P32">
        <f t="shared" ca="1" si="11"/>
        <v>46978.972086042857</v>
      </c>
      <c r="Q32">
        <f t="shared" ca="1" si="12"/>
        <v>0</v>
      </c>
      <c r="R32">
        <f t="shared" ca="1" si="13"/>
        <v>984476107.31839705</v>
      </c>
    </row>
    <row r="33" spans="1:18" x14ac:dyDescent="0.2">
      <c r="A33">
        <f t="shared" si="14"/>
        <v>110</v>
      </c>
      <c r="B33">
        <f t="shared" si="0"/>
        <v>0.9924178375108188</v>
      </c>
      <c r="C33">
        <f t="shared" si="1"/>
        <v>70</v>
      </c>
      <c r="D33">
        <f t="shared" ca="1" si="2"/>
        <v>-19259.077459365555</v>
      </c>
      <c r="E33">
        <f t="shared" ca="1" si="15"/>
        <v>52913.880397862355</v>
      </c>
      <c r="F33">
        <f t="shared" ca="1" si="3"/>
        <v>57235.781337510212</v>
      </c>
      <c r="G33">
        <f t="shared" ca="1" si="4"/>
        <v>46978.697270510209</v>
      </c>
      <c r="H33">
        <f t="shared" ca="1" si="5"/>
        <v>-19257.418129087135</v>
      </c>
      <c r="I33">
        <f t="shared" ca="1" si="6"/>
        <v>-70.001586556107497</v>
      </c>
      <c r="J33">
        <f t="shared" ca="1" si="7"/>
        <v>46978.697222790441</v>
      </c>
      <c r="K33">
        <f t="shared" ca="1" si="8"/>
        <v>19259.077459365555</v>
      </c>
      <c r="L33">
        <f t="shared" ca="1" si="8"/>
        <v>-52913.880397862355</v>
      </c>
      <c r="M33">
        <f t="shared" ca="1" si="9"/>
        <v>56318.158782209568</v>
      </c>
      <c r="N33">
        <f t="shared" ca="1" si="10"/>
        <v>55379.375750599567</v>
      </c>
      <c r="O33">
        <f t="shared" ca="1" si="16"/>
        <v>-70.035550044479692</v>
      </c>
      <c r="P33">
        <f t="shared" ca="1" si="11"/>
        <v>46978.697222790441</v>
      </c>
      <c r="Q33">
        <f t="shared" ca="1" si="12"/>
        <v>0</v>
      </c>
      <c r="R33">
        <f t="shared" ca="1" si="13"/>
        <v>984470347.37320256</v>
      </c>
    </row>
    <row r="34" spans="1:18" x14ac:dyDescent="0.2">
      <c r="A34">
        <f t="shared" si="14"/>
        <v>120</v>
      </c>
      <c r="B34">
        <f t="shared" si="0"/>
        <v>0.89708134974662723</v>
      </c>
      <c r="C34">
        <f t="shared" si="1"/>
        <v>60</v>
      </c>
      <c r="D34">
        <f t="shared" ca="1" si="2"/>
        <v>-28154.887703331886</v>
      </c>
      <c r="E34">
        <f t="shared" ca="1" si="15"/>
        <v>48765.695952768838</v>
      </c>
      <c r="F34">
        <f t="shared" ca="1" si="3"/>
        <v>57235.523439129989</v>
      </c>
      <c r="G34">
        <f t="shared" ca="1" si="4"/>
        <v>46978.439372129986</v>
      </c>
      <c r="H34">
        <f t="shared" ca="1" si="5"/>
        <v>-28153.228376791831</v>
      </c>
      <c r="I34">
        <f t="shared" ca="1" si="6"/>
        <v>-60.001462179688083</v>
      </c>
      <c r="J34">
        <f t="shared" ca="1" si="7"/>
        <v>46978.439324410218</v>
      </c>
      <c r="K34">
        <f t="shared" ca="1" si="8"/>
        <v>28154.887703331886</v>
      </c>
      <c r="L34">
        <f t="shared" ca="1" si="8"/>
        <v>-48765.695952768838</v>
      </c>
      <c r="M34">
        <f t="shared" ca="1" si="9"/>
        <v>56318.416680589791</v>
      </c>
      <c r="N34">
        <f t="shared" ca="1" si="10"/>
        <v>55379.63364897979</v>
      </c>
      <c r="O34">
        <f t="shared" ca="1" si="16"/>
        <v>-60.035425769007723</v>
      </c>
      <c r="P34">
        <f t="shared" ca="1" si="11"/>
        <v>46978.439324410218</v>
      </c>
      <c r="Q34">
        <f t="shared" ca="1" si="12"/>
        <v>0</v>
      </c>
      <c r="R34">
        <f t="shared" ca="1" si="13"/>
        <v>984464942.93836904</v>
      </c>
    </row>
    <row r="35" spans="1:18" x14ac:dyDescent="0.2">
      <c r="A35">
        <f t="shared" si="14"/>
        <v>130</v>
      </c>
      <c r="B35">
        <f t="shared" si="0"/>
        <v>0.77449775610512872</v>
      </c>
      <c r="C35">
        <f t="shared" si="1"/>
        <v>50</v>
      </c>
      <c r="D35">
        <f t="shared" ca="1" si="2"/>
        <v>-36195.225931270259</v>
      </c>
      <c r="E35">
        <f t="shared" ca="1" si="15"/>
        <v>43135.790512397311</v>
      </c>
      <c r="F35">
        <f t="shared" ca="1" si="3"/>
        <v>57235.290341733737</v>
      </c>
      <c r="G35">
        <f t="shared" ca="1" si="4"/>
        <v>46978.206274733733</v>
      </c>
      <c r="H35">
        <f t="shared" ca="1" si="5"/>
        <v>-36193.566608109068</v>
      </c>
      <c r="I35">
        <f t="shared" ca="1" si="6"/>
        <v>-50.001293373961431</v>
      </c>
      <c r="J35">
        <f t="shared" ca="1" si="7"/>
        <v>46978.206227013965</v>
      </c>
      <c r="K35">
        <f t="shared" ca="1" si="8"/>
        <v>36195.225931270259</v>
      </c>
      <c r="L35">
        <f t="shared" ca="1" si="8"/>
        <v>-43135.790512397311</v>
      </c>
      <c r="M35">
        <f t="shared" ca="1" si="9"/>
        <v>56318.649777986044</v>
      </c>
      <c r="N35">
        <f t="shared" ca="1" si="10"/>
        <v>55379.866746376043</v>
      </c>
      <c r="O35">
        <f t="shared" ca="1" si="16"/>
        <v>-50.035257062438873</v>
      </c>
      <c r="P35">
        <f t="shared" ca="1" si="11"/>
        <v>46978.206227013965</v>
      </c>
      <c r="Q35">
        <f t="shared" ca="1" si="12"/>
        <v>0</v>
      </c>
      <c r="R35">
        <f t="shared" ca="1" si="13"/>
        <v>984460058.22491395</v>
      </c>
    </row>
    <row r="36" spans="1:18" x14ac:dyDescent="0.2">
      <c r="A36">
        <f t="shared" si="14"/>
        <v>140</v>
      </c>
      <c r="B36">
        <f t="shared" si="0"/>
        <v>0.62839029546059799</v>
      </c>
      <c r="C36">
        <f t="shared" si="1"/>
        <v>40</v>
      </c>
      <c r="D36">
        <f t="shared" ca="1" si="2"/>
        <v>-43135.790534668602</v>
      </c>
      <c r="E36">
        <f t="shared" ca="1" si="15"/>
        <v>36195.225904728366</v>
      </c>
      <c r="F36">
        <f t="shared" ca="1" si="3"/>
        <v>57235.08912786789</v>
      </c>
      <c r="G36">
        <f t="shared" ca="1" si="4"/>
        <v>46978.005060867887</v>
      </c>
      <c r="H36">
        <f t="shared" ca="1" si="5"/>
        <v>-43134.131214424109</v>
      </c>
      <c r="I36">
        <f t="shared" ca="1" si="6"/>
        <v>-40.001085267866486</v>
      </c>
      <c r="J36">
        <f t="shared" ca="1" si="7"/>
        <v>46978.005013148118</v>
      </c>
      <c r="K36">
        <f t="shared" ca="1" si="8"/>
        <v>43135.790534668602</v>
      </c>
      <c r="L36">
        <f t="shared" ca="1" si="8"/>
        <v>-36195.225904728366</v>
      </c>
      <c r="M36">
        <f t="shared" ca="1" si="9"/>
        <v>56318.85099185189</v>
      </c>
      <c r="N36">
        <f t="shared" ca="1" si="10"/>
        <v>55380.06796024189</v>
      </c>
      <c r="O36">
        <f t="shared" ca="1" si="16"/>
        <v>-40.035049048769991</v>
      </c>
      <c r="P36">
        <f t="shared" ca="1" si="11"/>
        <v>46978.005013148118</v>
      </c>
      <c r="Q36">
        <f t="shared" ca="1" si="12"/>
        <v>0</v>
      </c>
      <c r="R36">
        <f t="shared" ca="1" si="13"/>
        <v>984455841.65238392</v>
      </c>
    </row>
    <row r="37" spans="1:18" x14ac:dyDescent="0.2">
      <c r="A37">
        <f t="shared" si="14"/>
        <v>150</v>
      </c>
      <c r="B37">
        <f t="shared" si="0"/>
        <v>0.4631966985169203</v>
      </c>
      <c r="C37">
        <f t="shared" si="1"/>
        <v>30</v>
      </c>
      <c r="D37">
        <f t="shared" ca="1" si="2"/>
        <v>-48765.695970092835</v>
      </c>
      <c r="E37">
        <f t="shared" ca="1" si="15"/>
        <v>28154.887673325855</v>
      </c>
      <c r="F37">
        <f t="shared" ca="1" si="3"/>
        <v>57234.925911313941</v>
      </c>
      <c r="G37">
        <f t="shared" ca="1" si="4"/>
        <v>46977.841844313938</v>
      </c>
      <c r="H37">
        <f t="shared" ca="1" si="5"/>
        <v>-48764.036652214243</v>
      </c>
      <c r="I37">
        <f t="shared" ca="1" si="6"/>
        <v>-30.000844184601689</v>
      </c>
      <c r="J37">
        <f t="shared" ca="1" si="7"/>
        <v>46977.84179659417</v>
      </c>
      <c r="K37">
        <f t="shared" ca="1" si="8"/>
        <v>48765.695970092835</v>
      </c>
      <c r="L37">
        <f t="shared" ca="1" si="8"/>
        <v>-28154.887673325855</v>
      </c>
      <c r="M37">
        <f t="shared" ca="1" si="9"/>
        <v>56319.014208405839</v>
      </c>
      <c r="N37">
        <f t="shared" ca="1" si="10"/>
        <v>55380.231176795838</v>
      </c>
      <c r="O37">
        <f t="shared" ca="1" si="16"/>
        <v>-30.034808046012451</v>
      </c>
      <c r="P37">
        <f t="shared" ca="1" si="11"/>
        <v>46977.84179659417</v>
      </c>
      <c r="Q37">
        <f t="shared" ca="1" si="12"/>
        <v>0</v>
      </c>
      <c r="R37">
        <f t="shared" ca="1" si="13"/>
        <v>984452421.33920157</v>
      </c>
    </row>
    <row r="38" spans="1:18" x14ac:dyDescent="0.2">
      <c r="A38">
        <f t="shared" si="14"/>
        <v>160</v>
      </c>
      <c r="B38">
        <f t="shared" si="0"/>
        <v>0.28393440034555784</v>
      </c>
      <c r="C38">
        <f t="shared" si="1"/>
        <v>20</v>
      </c>
      <c r="D38">
        <f t="shared" ca="1" si="2"/>
        <v>-52913.88040971267</v>
      </c>
      <c r="E38">
        <f t="shared" ca="1" si="15"/>
        <v>19259.0774268071</v>
      </c>
      <c r="F38">
        <f t="shared" ca="1" si="3"/>
        <v>57234.805651324299</v>
      </c>
      <c r="G38">
        <f t="shared" ca="1" si="4"/>
        <v>46977.721584324303</v>
      </c>
      <c r="H38">
        <f t="shared" ca="1" si="5"/>
        <v>-52912.221093577311</v>
      </c>
      <c r="I38">
        <f t="shared" ca="1" si="6"/>
        <v>-20.000577449497602</v>
      </c>
      <c r="J38">
        <f t="shared" ca="1" si="7"/>
        <v>46977.721536604535</v>
      </c>
      <c r="K38">
        <f t="shared" ca="1" si="8"/>
        <v>52913.88040971267</v>
      </c>
      <c r="L38">
        <f t="shared" ca="1" si="8"/>
        <v>-19259.0774268071</v>
      </c>
      <c r="M38">
        <f t="shared" ca="1" si="9"/>
        <v>56319.134468395481</v>
      </c>
      <c r="N38">
        <f t="shared" ca="1" si="10"/>
        <v>55380.35143678548</v>
      </c>
      <c r="O38">
        <f t="shared" ca="1" si="16"/>
        <v>-20.034541374294644</v>
      </c>
      <c r="P38">
        <f t="shared" ca="1" si="11"/>
        <v>46977.721536604535</v>
      </c>
      <c r="Q38">
        <f t="shared" ca="1" si="12"/>
        <v>0</v>
      </c>
      <c r="R38">
        <f t="shared" ca="1" si="13"/>
        <v>984449901.20985258</v>
      </c>
    </row>
    <row r="39" spans="1:18" x14ac:dyDescent="0.2">
      <c r="A39">
        <f t="shared" si="14"/>
        <v>170</v>
      </c>
      <c r="B39">
        <f t="shared" si="0"/>
        <v>9.6048145527886805E-2</v>
      </c>
      <c r="C39">
        <f t="shared" si="1"/>
        <v>10</v>
      </c>
      <c r="D39">
        <f t="shared" ca="1" si="2"/>
        <v>-55454.303368380024</v>
      </c>
      <c r="E39">
        <f t="shared" ca="1" si="15"/>
        <v>9778.089858085792</v>
      </c>
      <c r="F39">
        <f t="shared" ca="1" si="3"/>
        <v>57234.732001937882</v>
      </c>
      <c r="G39">
        <f t="shared" ca="1" si="4"/>
        <v>46977.647934937879</v>
      </c>
      <c r="H39">
        <f t="shared" ca="1" si="5"/>
        <v>-55452.644053312244</v>
      </c>
      <c r="I39">
        <f t="shared" ca="1" si="6"/>
        <v>-10.000293167423989</v>
      </c>
      <c r="J39">
        <f t="shared" ca="1" si="7"/>
        <v>46977.647887218111</v>
      </c>
      <c r="K39">
        <f t="shared" ca="1" si="8"/>
        <v>55454.303368380024</v>
      </c>
      <c r="L39">
        <f t="shared" ca="1" si="8"/>
        <v>-9778.089858085792</v>
      </c>
      <c r="M39">
        <f t="shared" ca="1" si="9"/>
        <v>56319.208117781898</v>
      </c>
      <c r="N39">
        <f t="shared" ca="1" si="10"/>
        <v>55380.425086171897</v>
      </c>
      <c r="O39">
        <f t="shared" ca="1" si="16"/>
        <v>-10.034257133510918</v>
      </c>
      <c r="P39">
        <f t="shared" ca="1" si="11"/>
        <v>46977.647887218111</v>
      </c>
      <c r="Q39">
        <f t="shared" ca="1" si="12"/>
        <v>0</v>
      </c>
      <c r="R39">
        <f t="shared" ca="1" si="13"/>
        <v>984448357.8371911</v>
      </c>
    </row>
    <row r="40" spans="1:18" x14ac:dyDescent="0.2">
      <c r="A40">
        <f t="shared" si="14"/>
        <v>180</v>
      </c>
      <c r="B40" t="e">
        <f t="shared" si="0"/>
        <v>#VALUE!</v>
      </c>
      <c r="C40">
        <f t="shared" si="1"/>
        <v>0</v>
      </c>
      <c r="D40">
        <f t="shared" ca="1" si="2"/>
        <v>-56309.775379991748</v>
      </c>
      <c r="E40">
        <f t="shared" ca="1" si="15"/>
        <v>-2.3098655975904172E-5</v>
      </c>
      <c r="F40">
        <f t="shared" ca="1" si="3"/>
        <v>57234.707200954042</v>
      </c>
      <c r="G40">
        <f t="shared" ca="1" si="4"/>
        <v>46977.623133954039</v>
      </c>
      <c r="H40">
        <f t="shared" ca="1" si="5"/>
        <v>-56308.116065283473</v>
      </c>
      <c r="I40">
        <f t="shared" ca="1" si="6"/>
        <v>2.3503814230558322E-8</v>
      </c>
      <c r="J40">
        <f t="shared" ca="1" si="7"/>
        <v>46977.623086234271</v>
      </c>
      <c r="K40">
        <f t="shared" ca="1" si="8"/>
        <v>56309.775379991748</v>
      </c>
      <c r="L40">
        <f t="shared" ca="1" si="8"/>
        <v>2.3098655975904172E-5</v>
      </c>
      <c r="M40">
        <f t="shared" ca="1" si="9"/>
        <v>56319.232918765738</v>
      </c>
      <c r="N40">
        <f t="shared" ca="1" si="10"/>
        <v>55380.449887155737</v>
      </c>
      <c r="O40">
        <f t="shared" ca="1" si="16"/>
        <v>-3.3963957271855715E-2</v>
      </c>
      <c r="P40">
        <f t="shared" ca="1" si="11"/>
        <v>46977.623086234271</v>
      </c>
      <c r="Q40">
        <f t="shared" ca="1" si="12"/>
        <v>0</v>
      </c>
      <c r="R40">
        <f t="shared" ca="1" si="13"/>
        <v>984447838.1158154</v>
      </c>
    </row>
    <row r="41" spans="1:18" x14ac:dyDescent="0.2">
      <c r="A41" t="s">
        <v>489</v>
      </c>
    </row>
    <row r="42" spans="1:18" x14ac:dyDescent="0.2">
      <c r="A42" t="s">
        <v>489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7"/>
  <sheetViews>
    <sheetView workbookViewId="0">
      <selection activeCell="O9" sqref="O9"/>
    </sheetView>
  </sheetViews>
  <sheetFormatPr defaultRowHeight="12.75" x14ac:dyDescent="0.2"/>
  <cols>
    <col min="7" max="7" width="13.140625" customWidth="1"/>
    <col min="8" max="8" width="12.140625" customWidth="1"/>
    <col min="9" max="9" width="11.7109375" customWidth="1"/>
    <col min="10" max="10" width="12.5703125" customWidth="1"/>
    <col min="12" max="12" width="12" customWidth="1"/>
  </cols>
  <sheetData>
    <row r="1" spans="1:18" ht="15.75" x14ac:dyDescent="0.25">
      <c r="A1" s="275" t="s">
        <v>591</v>
      </c>
      <c r="B1" s="275"/>
      <c r="C1" s="275"/>
      <c r="D1" s="275"/>
      <c r="E1" s="275"/>
    </row>
    <row r="2" spans="1:18" x14ac:dyDescent="0.2">
      <c r="A2" s="221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</row>
    <row r="3" spans="1:18" x14ac:dyDescent="0.2">
      <c r="A3" s="276" t="s">
        <v>583</v>
      </c>
      <c r="B3" s="276"/>
      <c r="C3" s="276"/>
      <c r="D3" s="276"/>
      <c r="E3" s="222">
        <f>O12*Q12</f>
        <v>0.92206637363819877</v>
      </c>
      <c r="F3" s="221"/>
      <c r="G3" s="274" t="s">
        <v>584</v>
      </c>
      <c r="H3" s="274"/>
      <c r="I3" s="274"/>
      <c r="J3" s="223" t="str">
        <f>kinematics!M5</f>
        <v xml:space="preserve"> </v>
      </c>
      <c r="K3" s="221"/>
      <c r="L3" s="221"/>
      <c r="M3" s="221"/>
      <c r="O3" t="s">
        <v>577</v>
      </c>
      <c r="Q3" t="s">
        <v>9</v>
      </c>
    </row>
    <row r="4" spans="1:18" x14ac:dyDescent="0.2">
      <c r="A4" s="274" t="s">
        <v>580</v>
      </c>
      <c r="B4" s="274"/>
      <c r="C4" s="274"/>
      <c r="D4" s="274"/>
      <c r="E4" s="224">
        <f>Q7</f>
        <v>150468.60188897472</v>
      </c>
      <c r="F4" s="221" t="s">
        <v>578</v>
      </c>
      <c r="G4" s="221"/>
      <c r="H4" s="221"/>
      <c r="I4" s="221"/>
      <c r="J4" s="221"/>
      <c r="K4" s="221"/>
      <c r="L4" s="221"/>
      <c r="M4" s="221"/>
      <c r="N4" t="s">
        <v>569</v>
      </c>
      <c r="O4" s="216">
        <f>kinematics!E5/kinematics!D5</f>
        <v>140</v>
      </c>
      <c r="Q4" s="216">
        <f>O4</f>
        <v>140</v>
      </c>
    </row>
    <row r="5" spans="1:18" x14ac:dyDescent="0.2">
      <c r="A5" s="276" t="s">
        <v>582</v>
      </c>
      <c r="B5" s="276"/>
      <c r="C5" s="276"/>
      <c r="D5" s="225"/>
      <c r="E5" s="225">
        <f>SQRT(E4)/197.273</f>
        <v>1.9663249675175118</v>
      </c>
      <c r="F5" s="221"/>
      <c r="G5" s="221"/>
      <c r="H5" s="221"/>
      <c r="I5" s="221"/>
      <c r="J5" s="221"/>
      <c r="K5" s="221"/>
      <c r="L5" s="221"/>
      <c r="M5" s="221"/>
      <c r="N5" t="s">
        <v>570</v>
      </c>
      <c r="O5" s="216">
        <f>O4/(2*mass_rmd.mas!I9*1000)</f>
        <v>7.4564619984610253E-2</v>
      </c>
      <c r="Q5" s="216">
        <f>Q4/(2*mass_rmd.mas!I9*1000)</f>
        <v>7.4564619984610253E-2</v>
      </c>
    </row>
    <row r="6" spans="1:18" x14ac:dyDescent="0.2">
      <c r="A6" s="221"/>
      <c r="B6" s="213" t="s">
        <v>554</v>
      </c>
      <c r="C6" s="221"/>
      <c r="D6" s="221"/>
      <c r="E6" s="221"/>
      <c r="F6" s="221"/>
      <c r="G6" s="221"/>
      <c r="H6" s="221"/>
      <c r="I6" s="221"/>
      <c r="J6" s="221"/>
      <c r="K6" s="221"/>
      <c r="L6" s="221"/>
      <c r="M6" s="221"/>
      <c r="N6" t="s">
        <v>494</v>
      </c>
      <c r="O6" s="216">
        <f>4*O5*kinematics!D6/(kinematics!D6+1)^2</f>
        <v>2.405151335348655E-3</v>
      </c>
      <c r="Q6" s="216">
        <f>4*Q5*kinematics!D5/(kinematics!D5+1)^2</f>
        <v>5.592346498845769E-2</v>
      </c>
    </row>
    <row r="7" spans="1:18" x14ac:dyDescent="0.2">
      <c r="A7" s="221"/>
      <c r="B7" s="221" t="s">
        <v>555</v>
      </c>
      <c r="C7" s="221" t="s">
        <v>556</v>
      </c>
      <c r="D7" s="221" t="s">
        <v>557</v>
      </c>
      <c r="E7" s="221" t="s">
        <v>558</v>
      </c>
      <c r="F7" s="221" t="s">
        <v>559</v>
      </c>
      <c r="G7" s="221" t="s">
        <v>554</v>
      </c>
      <c r="H7" s="221" t="s">
        <v>560</v>
      </c>
      <c r="I7" s="221" t="s">
        <v>561</v>
      </c>
      <c r="J7" s="221" t="s">
        <v>562</v>
      </c>
      <c r="K7" s="221" t="s">
        <v>563</v>
      </c>
      <c r="L7" s="221" t="s">
        <v>564</v>
      </c>
      <c r="M7" s="221"/>
      <c r="N7" t="s">
        <v>571</v>
      </c>
      <c r="O7" s="216">
        <f>(mass_rmd.mas!I9*1000)^2*kinematics!D6*'LF-100'!O6*((1+'LF-100'!O5)/(1+'LF-100'!O6))</f>
        <v>277218.33354516811</v>
      </c>
      <c r="Q7" s="216">
        <f>(mass_rmd.mas!I9*1000)^2*kinematics!D5*'LF-100'!Q6*((1+'LF-100'!Q5)/(1+'LF-100'!Q6))</f>
        <v>150468.60188897472</v>
      </c>
    </row>
    <row r="8" spans="1:18" x14ac:dyDescent="0.2">
      <c r="A8" s="221"/>
      <c r="B8" s="226">
        <v>0.25</v>
      </c>
      <c r="C8" s="226">
        <v>10598.4</v>
      </c>
      <c r="D8" s="226">
        <v>8894.17</v>
      </c>
      <c r="E8" s="226">
        <v>-18226.900000000001</v>
      </c>
      <c r="F8" s="226">
        <v>7698.88</v>
      </c>
      <c r="G8" s="224">
        <f>1/16*(C8-3*D8-E8+3*F8)*$E$3</f>
        <v>1454.5268557996976</v>
      </c>
      <c r="H8" s="224">
        <f>4*3.141*1/16*(C8-3*D8+E8-3*F8)*B8^3/(1+$E$4/197^2*B8^2)*$E$3</f>
        <v>-522.78802407858973</v>
      </c>
      <c r="I8" s="224">
        <f>4*3.141*1/16*(C8-3*D8+E8-3*F8)*B8^3/(1+$O$8^2*B8^2)</f>
        <v>-487.37835870738695</v>
      </c>
      <c r="J8" s="224">
        <f>4*3.141*B8^3*G8</f>
        <v>285.54180337917813</v>
      </c>
      <c r="K8" s="224" t="s">
        <v>489</v>
      </c>
      <c r="L8" s="221"/>
      <c r="M8" s="221"/>
      <c r="N8" t="s">
        <v>572</v>
      </c>
      <c r="O8" s="216">
        <f>SQRT(O7)/197.273</f>
        <v>2.6689677441943651</v>
      </c>
      <c r="P8">
        <f>O8^2</f>
        <v>7.123388819549958</v>
      </c>
      <c r="Q8" s="216">
        <f>SQRT(Q7)/197.273</f>
        <v>1.9663249675175118</v>
      </c>
      <c r="R8">
        <f>Q8^2</f>
        <v>3.8664338778827441</v>
      </c>
    </row>
    <row r="9" spans="1:18" x14ac:dyDescent="0.2">
      <c r="A9" s="221"/>
      <c r="B9" s="226">
        <v>0.4</v>
      </c>
      <c r="C9" s="226">
        <v>-3212.64</v>
      </c>
      <c r="D9" s="226">
        <v>-2796.83</v>
      </c>
      <c r="E9" s="226">
        <v>2536.7399999999998</v>
      </c>
      <c r="F9" s="226">
        <v>-1609.06</v>
      </c>
      <c r="G9" s="224">
        <f>1/16*(C9-3*D9-E9+3*F9)*$E$3</f>
        <v>-125.98135233870356</v>
      </c>
      <c r="H9" s="224">
        <f>4*3.141*1/16*(C9-3*D9+E9-3*F9)*B9^3/(1+$E$4/197^2*B9^2)*$E$3</f>
        <v>358.67523569976197</v>
      </c>
      <c r="I9" s="224">
        <f>4*3.141*1/16*(C9-3*D9+E9-3*F9)*B9^3/(1+$O$8^2*B9^2)</f>
        <v>294.56781748850472</v>
      </c>
      <c r="J9" s="224">
        <f>4*3.141*B9^3*G9</f>
        <v>-101.3011014901422</v>
      </c>
      <c r="K9" s="221"/>
      <c r="L9" s="221"/>
      <c r="M9" s="221"/>
      <c r="N9" t="s">
        <v>573</v>
      </c>
      <c r="O9" s="216">
        <f>((mass_rmd.mas!I9*1000)^2*(1+'LF-100'!O5))</f>
        <v>947028.39265156211</v>
      </c>
      <c r="Q9" s="216">
        <f>((mass_rmd.mas!I9*1000)^2*(1+'LF-100'!Q5))</f>
        <v>947028.39265156211</v>
      </c>
    </row>
    <row r="10" spans="1:18" x14ac:dyDescent="0.2">
      <c r="A10" s="221"/>
      <c r="B10" s="226">
        <v>1.4</v>
      </c>
      <c r="C10" s="226">
        <v>-10.5</v>
      </c>
      <c r="D10" s="226">
        <v>-10.5</v>
      </c>
      <c r="E10" s="226">
        <v>31.5</v>
      </c>
      <c r="F10" s="226">
        <v>3.5</v>
      </c>
      <c r="G10" s="224">
        <f>1/16*(C10-3*D10-E10+3*F10)*$E$3</f>
        <v>0</v>
      </c>
      <c r="H10" s="224">
        <f>4*3.141*1/16*(C10-3*D10+E10-3*F10)*B10^3/(1+$E$4/197^2*B10^2)*$E$3</f>
        <v>9.7038491449155071</v>
      </c>
      <c r="I10" s="224">
        <f>4*3.141*1/16*(C10-3*D10+E10-3*F10)*B10^3/(1+$O$8^2*B10^2)</f>
        <v>6.0486196470926332</v>
      </c>
      <c r="J10" s="224">
        <f>4*3.141*B10^3*G10</f>
        <v>0</v>
      </c>
      <c r="K10" s="221"/>
      <c r="L10" s="221"/>
      <c r="M10" s="221"/>
      <c r="N10" t="s">
        <v>574</v>
      </c>
      <c r="O10" s="216">
        <f>mass_rmd.mas!I9^2*1000^2+'LF-100'!O7</f>
        <v>1158531.9139840303</v>
      </c>
      <c r="Q10" s="216">
        <f>mass_rmd.mas!I9^2*1000^2+'LF-100'!Q7</f>
        <v>1031782.182327837</v>
      </c>
    </row>
    <row r="11" spans="1:18" x14ac:dyDescent="0.2">
      <c r="A11" s="221"/>
      <c r="B11" s="221"/>
      <c r="C11" s="221"/>
      <c r="D11" s="221"/>
      <c r="E11" s="221"/>
      <c r="F11" s="221"/>
      <c r="G11" s="221"/>
      <c r="H11" s="224">
        <f>SUM(H8:H10)</f>
        <v>-154.40893923391226</v>
      </c>
      <c r="I11" s="221">
        <f>SUM(I8:I10)</f>
        <v>-186.7619215717896</v>
      </c>
      <c r="J11" s="224">
        <f>SUM(J8:J10)</f>
        <v>184.24070188903593</v>
      </c>
      <c r="K11" s="224">
        <f>SUM(H11,J11)</f>
        <v>29.831762655123669</v>
      </c>
      <c r="L11" s="224">
        <f>SUM(J11,I11)</f>
        <v>-2.5212196827536673</v>
      </c>
      <c r="M11" s="221"/>
      <c r="N11" t="s">
        <v>575</v>
      </c>
      <c r="O11" s="216">
        <f>mass_rmd.mas!I9^2*1000^2+'LF-100'!O7/kinematics!D6^2</f>
        <v>881332.20569642365</v>
      </c>
      <c r="Q11" s="216">
        <f>mass_rmd.mas!I9^2*1000^2+'LF-100'!Q7/kinematics!D5^2</f>
        <v>898032.3139820816</v>
      </c>
    </row>
    <row r="12" spans="1:18" x14ac:dyDescent="0.2">
      <c r="A12" s="221"/>
      <c r="B12" s="221" t="s">
        <v>565</v>
      </c>
      <c r="C12" s="221" t="s">
        <v>556</v>
      </c>
      <c r="D12" s="221" t="s">
        <v>557</v>
      </c>
      <c r="E12" s="221" t="s">
        <v>558</v>
      </c>
      <c r="F12" s="221" t="s">
        <v>559</v>
      </c>
      <c r="G12" s="221"/>
      <c r="H12" s="221"/>
      <c r="I12" s="221"/>
      <c r="J12" s="221"/>
      <c r="K12" s="221"/>
      <c r="L12" s="221"/>
      <c r="M12" s="221"/>
      <c r="N12" t="s">
        <v>576</v>
      </c>
      <c r="O12" s="216">
        <f>O9/SQRT(O10*O11)</f>
        <v>0.93721488731797709</v>
      </c>
      <c r="Q12" s="216">
        <f>Q9/SQRT(Q10*Q11)</f>
        <v>0.98383666981312179</v>
      </c>
    </row>
    <row r="13" spans="1:18" x14ac:dyDescent="0.2">
      <c r="A13" s="221"/>
      <c r="B13" s="226">
        <v>0.25</v>
      </c>
      <c r="C13" s="226">
        <v>645.678</v>
      </c>
      <c r="D13" s="226">
        <v>11318.7</v>
      </c>
      <c r="E13" s="226">
        <v>7345.67</v>
      </c>
      <c r="F13" s="226">
        <v>2418.39</v>
      </c>
      <c r="G13" s="224">
        <f>1/16*(C13-3*D13-E13+3*F13)*$E$3</f>
        <v>-1924.8666890445211</v>
      </c>
      <c r="H13" s="224">
        <f>4*3.141*1/16*(C13-3*D13+E13-3*F13)*B13^3/(1+$E$4/197^2*B13^2)*$E$3</f>
        <v>-302.5202631082247</v>
      </c>
      <c r="I13" s="224">
        <f>4*3.141*1/16*(C13-3*D13+E13-3*F13)*B13^3/(1+$O$8^2*B13^2)</f>
        <v>-282.02985248041711</v>
      </c>
      <c r="J13" s="224">
        <f>4*3.141*B13^3*G13</f>
        <v>-377.87539189305255</v>
      </c>
      <c r="K13" s="224" t="s">
        <v>489</v>
      </c>
      <c r="L13" s="221"/>
      <c r="M13" s="221"/>
    </row>
    <row r="14" spans="1:18" x14ac:dyDescent="0.2">
      <c r="A14" s="221"/>
      <c r="B14" s="226">
        <v>0.4</v>
      </c>
      <c r="C14" s="226">
        <v>-343.38499999999999</v>
      </c>
      <c r="D14" s="226">
        <v>-3624.79</v>
      </c>
      <c r="E14" s="226">
        <v>-1408.26</v>
      </c>
      <c r="F14" s="226">
        <v>-683.69</v>
      </c>
      <c r="G14" s="224">
        <f>1/16*(C14-3*D14-E14+3*F14)*$E$3</f>
        <v>569.84710400936842</v>
      </c>
      <c r="H14" s="224">
        <f>4*3.141*1/16*(C14-3*D14+E14-3*F14)*B14^3/(1+$E$4/197^2*B14^2)*$E$3</f>
        <v>319.55326523176723</v>
      </c>
      <c r="I14" s="224">
        <f>4*3.141*1/16*(C14-3*D14+E14-3*F14)*B14^3/(1+$O$8^2*B14^2)</f>
        <v>262.43826877816815</v>
      </c>
      <c r="J14" s="224">
        <f>4*3.141*B14^3*G14</f>
        <v>458.21177694551722</v>
      </c>
      <c r="K14" s="221"/>
      <c r="L14" s="221"/>
      <c r="M14" s="221"/>
    </row>
    <row r="15" spans="1:18" x14ac:dyDescent="0.2">
      <c r="A15" s="221"/>
      <c r="B15" s="226">
        <v>1.4</v>
      </c>
      <c r="C15" s="226">
        <v>0</v>
      </c>
      <c r="D15" s="226">
        <v>0</v>
      </c>
      <c r="E15" s="226">
        <v>0</v>
      </c>
      <c r="F15" s="226">
        <v>0</v>
      </c>
      <c r="G15" s="224">
        <f>1/16*(C15-3*D15-E15+3*F15)*$E$3</f>
        <v>0</v>
      </c>
      <c r="H15" s="224">
        <f>4*3.141*1/16*(C15-3*D15+E15-3*F15)*B15^3/(1+$E$4/197^2*B15^2)*$E$3</f>
        <v>0</v>
      </c>
      <c r="I15" s="224">
        <f>4*3.141*1/16*(C15-3*D15+E15-3*F15)*B15^3/(1+$O$8^2*B15^2)</f>
        <v>0</v>
      </c>
      <c r="J15" s="224">
        <f>4*3.141*B15^3*G15</f>
        <v>0</v>
      </c>
      <c r="K15" s="221"/>
      <c r="L15" s="221"/>
      <c r="M15" s="221"/>
    </row>
    <row r="16" spans="1:18" x14ac:dyDescent="0.2">
      <c r="A16" s="221"/>
      <c r="B16" s="221"/>
      <c r="C16" s="221"/>
      <c r="D16" s="221"/>
      <c r="E16" s="221"/>
      <c r="F16" s="221"/>
      <c r="G16" s="221"/>
      <c r="H16" s="224">
        <f>SUM(H13:H15)</f>
        <v>17.033002123542531</v>
      </c>
      <c r="I16" s="221">
        <f>SUM(I13:I15)</f>
        <v>-19.591583702248954</v>
      </c>
      <c r="J16" s="224">
        <f>SUM(J13:J15)</f>
        <v>80.336385052464664</v>
      </c>
      <c r="K16" s="224">
        <f>SUM(H16,J16)</f>
        <v>97.369387176007194</v>
      </c>
      <c r="L16" s="224">
        <f>SUM(J16,I16)</f>
        <v>60.74480135021571</v>
      </c>
      <c r="M16" s="221"/>
    </row>
    <row r="17" spans="1:13" x14ac:dyDescent="0.2">
      <c r="A17" s="221"/>
      <c r="B17" s="221"/>
      <c r="C17" s="221"/>
      <c r="D17" s="221"/>
      <c r="E17" s="221"/>
      <c r="F17" s="221"/>
      <c r="G17" s="221"/>
      <c r="H17" s="221"/>
      <c r="I17" s="221"/>
      <c r="J17" s="221"/>
      <c r="K17" s="221"/>
      <c r="L17" s="221"/>
      <c r="M17" s="221"/>
    </row>
    <row r="18" spans="1:13" x14ac:dyDescent="0.2">
      <c r="A18" s="221"/>
      <c r="B18" s="221"/>
      <c r="C18" s="221"/>
      <c r="D18" s="221"/>
      <c r="E18" s="221"/>
      <c r="F18" s="221"/>
      <c r="G18" s="221"/>
      <c r="H18" s="221"/>
      <c r="I18" s="221"/>
      <c r="J18" s="213">
        <f>SQRT(J11^2+J16^2)</f>
        <v>200.99395761032838</v>
      </c>
      <c r="K18" s="213">
        <f>SQRT(K11^2+K16^2)</f>
        <v>101.83678913900823</v>
      </c>
      <c r="L18" s="213">
        <f>SQRT(L11^2+L16^2)</f>
        <v>60.797100586836152</v>
      </c>
      <c r="M18" s="221"/>
    </row>
    <row r="19" spans="1:13" x14ac:dyDescent="0.2">
      <c r="A19" s="221"/>
      <c r="B19" s="213" t="s">
        <v>566</v>
      </c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221"/>
    </row>
    <row r="20" spans="1:13" x14ac:dyDescent="0.2">
      <c r="A20" s="221"/>
      <c r="B20" s="221" t="s">
        <v>555</v>
      </c>
      <c r="C20" s="221" t="s">
        <v>556</v>
      </c>
      <c r="D20" s="221" t="s">
        <v>557</v>
      </c>
      <c r="E20" s="221" t="s">
        <v>558</v>
      </c>
      <c r="F20" s="221" t="s">
        <v>559</v>
      </c>
      <c r="G20" s="221" t="s">
        <v>566</v>
      </c>
      <c r="H20" s="221" t="s">
        <v>567</v>
      </c>
      <c r="I20" s="221" t="s">
        <v>561</v>
      </c>
      <c r="J20" s="221" t="s">
        <v>568</v>
      </c>
      <c r="K20" s="221" t="s">
        <v>563</v>
      </c>
      <c r="L20" s="221" t="s">
        <v>564</v>
      </c>
      <c r="M20" s="221"/>
    </row>
    <row r="21" spans="1:13" x14ac:dyDescent="0.2">
      <c r="A21" s="221"/>
      <c r="B21" s="226">
        <v>0.25</v>
      </c>
      <c r="C21" s="226">
        <v>10598.4</v>
      </c>
      <c r="D21" s="226">
        <v>8894.17</v>
      </c>
      <c r="E21" s="226">
        <v>-18226.900000000001</v>
      </c>
      <c r="F21" s="226">
        <v>7698.88</v>
      </c>
      <c r="G21" s="224">
        <f>1/16*(-C21-D21+E21+F21)*$E$3</f>
        <v>-1730.0610347361983</v>
      </c>
      <c r="H21" s="224">
        <f>4*3.141*1/16*(-C21-D21-E21-F21)*B21^3/(1+$E$4/197^2*B21^2)*$E$3</f>
        <v>-81.636495854711356</v>
      </c>
      <c r="I21" s="224">
        <f>4*3.141*1/16*(-C21-D21-E21-F21)*B21^3/(1+$O$8^2*B21^2)</f>
        <v>-76.107063528123959</v>
      </c>
      <c r="J21" s="224">
        <f>4*3.141*B21^3*G21</f>
        <v>-339.63260688164991</v>
      </c>
      <c r="K21" s="224" t="s">
        <v>489</v>
      </c>
      <c r="L21" s="221"/>
      <c r="M21" s="221"/>
    </row>
    <row r="22" spans="1:13" x14ac:dyDescent="0.2">
      <c r="A22" s="221"/>
      <c r="B22" s="226">
        <v>0.4</v>
      </c>
      <c r="C22" s="226">
        <v>-3212.64</v>
      </c>
      <c r="D22" s="226">
        <v>-2796.83</v>
      </c>
      <c r="E22" s="226">
        <v>2536.7399999999998</v>
      </c>
      <c r="F22" s="226">
        <v>-1609.06</v>
      </c>
      <c r="G22" s="224">
        <f>1/16*(-C22-D22+E22+F22)*$E$3</f>
        <v>399.78204649276438</v>
      </c>
      <c r="H22" s="224">
        <f>4*3.141*1/16*(-C22-D22-E22-F22)*B22^3/(1+$E$4/197^2*B22^2)*$E$3</f>
        <v>145.33133888013356</v>
      </c>
      <c r="I22" s="224">
        <f>4*3.141*1/16*(-C22-D22-E22-F22)*B22^3/(1+$O$8^2*B22^2)</f>
        <v>119.35570411791221</v>
      </c>
      <c r="J22" s="224">
        <f>4*3.141*B22^3*G22</f>
        <v>321.46314445664592</v>
      </c>
      <c r="K22" s="221"/>
      <c r="L22" s="221"/>
      <c r="M22" s="221"/>
    </row>
    <row r="23" spans="1:13" x14ac:dyDescent="0.2">
      <c r="A23" s="221"/>
      <c r="B23" s="226">
        <v>1.4</v>
      </c>
      <c r="C23" s="226">
        <v>-10.5</v>
      </c>
      <c r="D23" s="226">
        <v>-10.5</v>
      </c>
      <c r="E23" s="226">
        <v>31.5</v>
      </c>
      <c r="F23" s="226">
        <v>3.5</v>
      </c>
      <c r="G23" s="224">
        <f>1/16*(-C23-D23+E23+F23)*$E$3</f>
        <v>3.2272323077336957</v>
      </c>
      <c r="H23" s="224">
        <f>4*3.141*1/16*(-C23-D23-E23-F23)*B23^3/(1+$E$4/197^2*B23^2)*$E$3</f>
        <v>-3.2346163816385025</v>
      </c>
      <c r="I23" s="224">
        <f>4*3.141*1/16*(-C23-D23-E23-F23)*B23^3/(1+$O$8^2*B23^2)</f>
        <v>-2.016206549030878</v>
      </c>
      <c r="J23" s="224">
        <f>4*3.141*B23^3*G23</f>
        <v>111.26082178422071</v>
      </c>
      <c r="K23" s="221"/>
      <c r="L23" s="221"/>
      <c r="M23" s="221"/>
    </row>
    <row r="24" spans="1:13" x14ac:dyDescent="0.2">
      <c r="A24" s="221"/>
      <c r="B24" s="221"/>
      <c r="C24" s="221"/>
      <c r="D24" s="221"/>
      <c r="E24" s="221"/>
      <c r="F24" s="221"/>
      <c r="G24" s="221"/>
      <c r="H24" s="224">
        <f>SUM(H21:H23)</f>
        <v>60.460226643783699</v>
      </c>
      <c r="I24" s="221">
        <f>SUM(I21:I23)</f>
        <v>41.232434040757376</v>
      </c>
      <c r="J24" s="224">
        <f>SUM(J21:J23)</f>
        <v>93.091359359216725</v>
      </c>
      <c r="K24" s="224">
        <f>SUM(H24,J24)</f>
        <v>153.55158600300041</v>
      </c>
      <c r="L24" s="224">
        <f>SUM(J24,I24)</f>
        <v>134.32379339997411</v>
      </c>
      <c r="M24" s="221"/>
    </row>
    <row r="25" spans="1:13" x14ac:dyDescent="0.2">
      <c r="A25" s="221"/>
      <c r="B25" s="221" t="s">
        <v>565</v>
      </c>
      <c r="C25" s="221" t="s">
        <v>556</v>
      </c>
      <c r="D25" s="221" t="s">
        <v>557</v>
      </c>
      <c r="E25" s="221" t="s">
        <v>558</v>
      </c>
      <c r="F25" s="221" t="s">
        <v>559</v>
      </c>
      <c r="G25" s="221"/>
      <c r="H25" s="221"/>
      <c r="I25" s="221"/>
      <c r="J25" s="221"/>
      <c r="K25" s="221"/>
      <c r="L25" s="221"/>
      <c r="M25" s="221"/>
    </row>
    <row r="26" spans="1:13" x14ac:dyDescent="0.2">
      <c r="A26" s="221"/>
      <c r="B26" s="226">
        <v>0.25</v>
      </c>
      <c r="C26" s="226">
        <v>645.678</v>
      </c>
      <c r="D26" s="226">
        <v>11318.7</v>
      </c>
      <c r="E26" s="226">
        <v>7345.67</v>
      </c>
      <c r="F26" s="226">
        <v>2418.39</v>
      </c>
      <c r="G26" s="224">
        <f>1/16*(-C26-D26+E26+F26)*$E$3</f>
        <v>-126.80245244442843</v>
      </c>
      <c r="H26" s="224">
        <f>4*3.141*1/16*(-C26-D26-E26-F26)*B26^3/(1+$E$4/197^2*B26^2)*$E$3</f>
        <v>-197.87201127957937</v>
      </c>
      <c r="I26" s="224">
        <f>4*3.141*1/16*(-C26-D26-E26-F26)*B26^3/(1+$O$8^2*B26^2)</f>
        <v>-184.46967346190306</v>
      </c>
      <c r="J26" s="224">
        <f>4*3.141*B26^3*G26</f>
        <v>-24.892906445496855</v>
      </c>
      <c r="K26" s="224" t="s">
        <v>489</v>
      </c>
      <c r="L26" s="221"/>
      <c r="M26" s="221"/>
    </row>
    <row r="27" spans="1:13" x14ac:dyDescent="0.2">
      <c r="A27" s="221"/>
      <c r="B27" s="226">
        <v>0.4</v>
      </c>
      <c r="C27" s="226">
        <v>-343.38499999999999</v>
      </c>
      <c r="D27" s="226">
        <v>-3624.79</v>
      </c>
      <c r="E27" s="226">
        <v>-1408.26</v>
      </c>
      <c r="F27" s="226">
        <v>-683.69</v>
      </c>
      <c r="G27" s="224">
        <f>1/16*(-C27-D27+E27+F27)*$E$3</f>
        <v>108.12524886745808</v>
      </c>
      <c r="H27" s="224">
        <f>4*3.141*1/16*(-C27-D27-E27-F27)*B27^3/(1+$E$4/197^2*B27^2)*$E$3</f>
        <v>173.31020762978585</v>
      </c>
      <c r="I27" s="224">
        <f>4*3.141*1/16*(-C27-D27-E27-F27)*B27^3/(1+$O$8^2*B27^2)</f>
        <v>142.33380096728965</v>
      </c>
      <c r="J27" s="224">
        <f>4*3.141*B27^3*G27</f>
        <v>86.943080113327596</v>
      </c>
      <c r="K27" s="221"/>
      <c r="L27" s="221"/>
      <c r="M27" s="221"/>
    </row>
    <row r="28" spans="1:13" x14ac:dyDescent="0.2">
      <c r="A28" s="221"/>
      <c r="B28" s="226">
        <v>1.4</v>
      </c>
      <c r="C28" s="226">
        <v>0</v>
      </c>
      <c r="D28" s="226">
        <v>0</v>
      </c>
      <c r="E28" s="226">
        <v>0</v>
      </c>
      <c r="F28" s="226">
        <v>0</v>
      </c>
      <c r="G28" s="224">
        <f>1/16*(-C28-D28+E28+F28)*$E$3</f>
        <v>0</v>
      </c>
      <c r="H28" s="224">
        <f>4*3.141*1/16*(-C28-D28-E28-F28)*B28^3/(1+$E$4/197^2*B28^2)*$E$3</f>
        <v>0</v>
      </c>
      <c r="I28" s="224">
        <f>4*3.141*1/16*(-C28-D28-E28-F28)*B28^3/(1+$O$8^2*B28^2)</f>
        <v>0</v>
      </c>
      <c r="J28" s="224">
        <f>4*3.141*B28^3*G28</f>
        <v>0</v>
      </c>
      <c r="K28" s="221"/>
      <c r="L28" s="221"/>
      <c r="M28" s="221"/>
    </row>
    <row r="29" spans="1:13" x14ac:dyDescent="0.2">
      <c r="A29" s="221"/>
      <c r="B29" s="221"/>
      <c r="C29" s="221"/>
      <c r="D29" s="221"/>
      <c r="E29" s="221"/>
      <c r="F29" s="221"/>
      <c r="G29" s="221"/>
      <c r="H29" s="224">
        <f>SUM(H26:H28)</f>
        <v>-24.561803649793518</v>
      </c>
      <c r="I29" s="221">
        <f>SUM(I26:I28)</f>
        <v>-42.135872494613409</v>
      </c>
      <c r="J29" s="224">
        <f>SUM(J26:J28)</f>
        <v>62.050173667830741</v>
      </c>
      <c r="K29" s="224">
        <f>SUM(H29,J29)</f>
        <v>37.488370018037223</v>
      </c>
      <c r="L29" s="224">
        <f>SUM(J29,I29)</f>
        <v>19.914301173217332</v>
      </c>
      <c r="M29" s="221"/>
    </row>
    <row r="30" spans="1:13" x14ac:dyDescent="0.2">
      <c r="A30" s="221"/>
      <c r="B30" s="221"/>
      <c r="C30" s="221"/>
      <c r="D30" s="221"/>
      <c r="E30" s="221"/>
      <c r="F30" s="221"/>
      <c r="G30" s="221"/>
      <c r="H30" s="221"/>
      <c r="I30" s="221"/>
      <c r="J30" s="221"/>
      <c r="K30" s="221"/>
      <c r="L30" s="221"/>
      <c r="M30" s="221"/>
    </row>
    <row r="31" spans="1:13" x14ac:dyDescent="0.2">
      <c r="A31" s="221"/>
      <c r="B31" s="226"/>
      <c r="C31" s="274" t="s">
        <v>579</v>
      </c>
      <c r="D31" s="274"/>
      <c r="E31" s="221"/>
      <c r="F31" s="221"/>
      <c r="G31" s="221"/>
      <c r="H31" s="221"/>
      <c r="I31" s="221"/>
      <c r="J31" s="213">
        <f>SQRT(J24^2+J29^2)</f>
        <v>111.87593682090346</v>
      </c>
      <c r="K31" s="213">
        <f>SQRT(K24^2+K29^2)</f>
        <v>158.06159385077106</v>
      </c>
      <c r="L31" s="213">
        <f>SQRT(L24^2+L29^2)</f>
        <v>135.79197643666777</v>
      </c>
      <c r="M31" s="221"/>
    </row>
    <row r="33" spans="1:5" x14ac:dyDescent="0.2">
      <c r="B33" t="s">
        <v>489</v>
      </c>
    </row>
    <row r="36" spans="1:5" x14ac:dyDescent="0.2">
      <c r="A36" s="220" t="s">
        <v>17</v>
      </c>
      <c r="B36" s="220" t="s">
        <v>581</v>
      </c>
      <c r="C36" s="220" t="s">
        <v>586</v>
      </c>
      <c r="D36" s="220" t="s">
        <v>587</v>
      </c>
      <c r="E36" s="220" t="s">
        <v>588</v>
      </c>
    </row>
    <row r="37" spans="1:5" x14ac:dyDescent="0.2">
      <c r="A37" s="216" t="str">
        <f>J3</f>
        <v xml:space="preserve"> </v>
      </c>
      <c r="B37" s="216">
        <f>E5</f>
        <v>1.9663249675175118</v>
      </c>
      <c r="C37" s="216">
        <f>E3</f>
        <v>0.92206637363819877</v>
      </c>
      <c r="D37" s="216">
        <f>J31</f>
        <v>111.87593682090346</v>
      </c>
      <c r="E37" s="216">
        <f>K31</f>
        <v>158.06159385077106</v>
      </c>
    </row>
  </sheetData>
  <mergeCells count="6">
    <mergeCell ref="C31:D31"/>
    <mergeCell ref="A1:E1"/>
    <mergeCell ref="A3:D3"/>
    <mergeCell ref="G3:I3"/>
    <mergeCell ref="A4:D4"/>
    <mergeCell ref="A5:C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7"/>
  <sheetViews>
    <sheetView workbookViewId="0">
      <selection activeCell="P17" sqref="P17"/>
    </sheetView>
  </sheetViews>
  <sheetFormatPr defaultRowHeight="12.75" x14ac:dyDescent="0.2"/>
  <cols>
    <col min="7" max="7" width="12.42578125" customWidth="1"/>
    <col min="8" max="8" width="12.5703125" customWidth="1"/>
    <col min="9" max="9" width="11" customWidth="1"/>
    <col min="10" max="10" width="12.28515625" customWidth="1"/>
    <col min="12" max="12" width="11.42578125" customWidth="1"/>
  </cols>
  <sheetData>
    <row r="1" spans="1:17" ht="15.75" x14ac:dyDescent="0.25">
      <c r="A1" s="275" t="s">
        <v>590</v>
      </c>
      <c r="B1" s="275"/>
      <c r="C1" s="275"/>
      <c r="D1" s="275"/>
      <c r="E1" s="275"/>
    </row>
    <row r="3" spans="1:17" x14ac:dyDescent="0.2">
      <c r="A3" s="277" t="s">
        <v>583</v>
      </c>
      <c r="B3" s="277"/>
      <c r="C3" s="277"/>
      <c r="D3" s="277"/>
      <c r="E3" s="218">
        <f>O12*Q12</f>
        <v>0.92206637363819877</v>
      </c>
      <c r="G3" s="237" t="s">
        <v>584</v>
      </c>
      <c r="H3" s="237"/>
      <c r="I3" s="237"/>
      <c r="J3" s="219" t="str">
        <f>kinematics!M5</f>
        <v xml:space="preserve"> </v>
      </c>
      <c r="O3" t="s">
        <v>577</v>
      </c>
      <c r="Q3" t="s">
        <v>9</v>
      </c>
    </row>
    <row r="4" spans="1:17" x14ac:dyDescent="0.2">
      <c r="A4" s="237" t="s">
        <v>580</v>
      </c>
      <c r="B4" s="237"/>
      <c r="C4" s="237"/>
      <c r="D4" s="237"/>
      <c r="E4" s="216">
        <f>Q7</f>
        <v>150468.60188897472</v>
      </c>
      <c r="F4" t="s">
        <v>578</v>
      </c>
      <c r="N4" t="s">
        <v>569</v>
      </c>
      <c r="O4" s="216">
        <f>kinematics!E5/kinematics!D5</f>
        <v>140</v>
      </c>
      <c r="Q4" s="278">
        <f>O4</f>
        <v>140</v>
      </c>
    </row>
    <row r="5" spans="1:17" x14ac:dyDescent="0.2">
      <c r="A5" s="277" t="s">
        <v>582</v>
      </c>
      <c r="B5" s="277"/>
      <c r="C5" s="277"/>
      <c r="D5" s="203"/>
      <c r="E5" s="203">
        <f>SQRT(E4)/197.273</f>
        <v>1.9663249675175118</v>
      </c>
      <c r="N5" t="s">
        <v>570</v>
      </c>
      <c r="O5" s="216">
        <f>O4/(2*mass_rmd.mas!I9*1000)</f>
        <v>7.4564619984610253E-2</v>
      </c>
      <c r="Q5" s="278">
        <f>Q4/(2*mass_rmd.mas!I9*1000)</f>
        <v>7.4564619984610253E-2</v>
      </c>
    </row>
    <row r="6" spans="1:17" x14ac:dyDescent="0.2">
      <c r="B6" s="214" t="s">
        <v>554</v>
      </c>
      <c r="N6" t="s">
        <v>494</v>
      </c>
      <c r="O6" s="216">
        <f>4*O5*kinematics!D6/(kinematics!D6+1)^2</f>
        <v>2.405151335348655E-3</v>
      </c>
      <c r="Q6" s="278">
        <f>4*Q5*kinematics!D5/(kinematics!D5+1)^2</f>
        <v>5.592346498845769E-2</v>
      </c>
    </row>
    <row r="7" spans="1:17" x14ac:dyDescent="0.2">
      <c r="B7" t="s">
        <v>555</v>
      </c>
      <c r="C7" t="s">
        <v>556</v>
      </c>
      <c r="D7" t="s">
        <v>557</v>
      </c>
      <c r="E7" t="s">
        <v>558</v>
      </c>
      <c r="F7" t="s">
        <v>559</v>
      </c>
      <c r="G7" t="s">
        <v>554</v>
      </c>
      <c r="H7" t="s">
        <v>560</v>
      </c>
      <c r="I7" t="s">
        <v>561</v>
      </c>
      <c r="J7" t="s">
        <v>562</v>
      </c>
      <c r="K7" t="s">
        <v>563</v>
      </c>
      <c r="L7" t="s">
        <v>564</v>
      </c>
      <c r="N7" t="s">
        <v>571</v>
      </c>
      <c r="O7" s="216">
        <f>(mass_rmd.mas!I9*1000)^2*kinematics!D6*'LF-140'!O6*((1+'LF-140'!O5)/(1+'LF-140'!O6))</f>
        <v>277218.33354516811</v>
      </c>
      <c r="Q7" s="278">
        <f>(mass_rmd.mas!I9*1000)^2*kinematics!D5*'LF-140'!Q6*((1+'LF-140'!Q5)/(1+'LF-140'!Q6))</f>
        <v>150468.60188897472</v>
      </c>
    </row>
    <row r="8" spans="1:17" x14ac:dyDescent="0.2">
      <c r="B8" s="217">
        <v>0.25</v>
      </c>
      <c r="C8" s="217">
        <v>9474</v>
      </c>
      <c r="D8" s="217">
        <v>5957.5</v>
      </c>
      <c r="E8" s="217">
        <v>-2542</v>
      </c>
      <c r="F8" s="217">
        <v>7865</v>
      </c>
      <c r="G8" s="216">
        <f>1/16*(C8-3*D8-E8+3*F8)*$E$3</f>
        <v>1022.2546480488243</v>
      </c>
      <c r="H8" s="216">
        <f>4*3.141*1/16*(C8-3*D8+E8-3*F8)*B8^3/(1+$E$4/197^2*B8^2)*$E$3</f>
        <v>-314.50069469079699</v>
      </c>
      <c r="I8" s="216">
        <f>4*3.141*1/16*(C8-3*D8+E8-3*F8)*B8^3/(1+$O$8^2*B8^2)</f>
        <v>-293.19882118740202</v>
      </c>
      <c r="J8" s="216">
        <f>4*3.141*B8^3*G8</f>
        <v>200.68136559508483</v>
      </c>
      <c r="K8" s="216" t="s">
        <v>489</v>
      </c>
      <c r="N8" t="s">
        <v>572</v>
      </c>
      <c r="O8" s="216">
        <f>SQRT(O7)/197.273</f>
        <v>2.6689677441943651</v>
      </c>
      <c r="Q8" s="278">
        <f>SQRT(Q7)/197.273</f>
        <v>1.9663249675175118</v>
      </c>
    </row>
    <row r="9" spans="1:17" x14ac:dyDescent="0.2">
      <c r="B9" s="217">
        <v>0.4</v>
      </c>
      <c r="C9" s="217">
        <v>-2921</v>
      </c>
      <c r="D9" s="217">
        <v>-1978.4</v>
      </c>
      <c r="E9" s="217">
        <v>782.4</v>
      </c>
      <c r="F9" s="217">
        <v>-1569</v>
      </c>
      <c r="G9" s="216">
        <f>1/16*(C9-3*D9-E9+3*F9)*$E$3</f>
        <v>-142.64366800182933</v>
      </c>
      <c r="H9" s="216">
        <f>4*3.141*1/16*(C9-3*D9+E9-3*F9)*B9^3/(1+$E$4/197^2*B9^2)*$E$3</f>
        <v>243.18981565572446</v>
      </c>
      <c r="I9" s="216">
        <f>4*3.141*1/16*(C9-3*D9+E9-3*F9)*B9^3/(1+$O$8^2*B9^2)</f>
        <v>199.72355519159163</v>
      </c>
      <c r="J9" s="216">
        <f>4*3.141*B9^3*G9</f>
        <v>-114.69920286559898</v>
      </c>
      <c r="N9" t="s">
        <v>573</v>
      </c>
      <c r="O9" s="216">
        <f>((mass_rmd.mas!I9*1000)^2*(1+'LF-140'!O5))</f>
        <v>947028.39265156211</v>
      </c>
      <c r="Q9" s="278">
        <f>((mass_rmd.mas!I9*1000)^2*(1+'LF-140'!Q5))</f>
        <v>947028.39265156211</v>
      </c>
    </row>
    <row r="10" spans="1:17" x14ac:dyDescent="0.2">
      <c r="B10" s="217">
        <v>1.4</v>
      </c>
      <c r="C10" s="217">
        <v>-10.5</v>
      </c>
      <c r="D10" s="217">
        <v>-10.5</v>
      </c>
      <c r="E10" s="217">
        <v>31.5</v>
      </c>
      <c r="F10" s="217">
        <v>3.5</v>
      </c>
      <c r="G10" s="216">
        <f>1/16*(C10-3*D10-E10+3*F10)*$E$3</f>
        <v>0</v>
      </c>
      <c r="H10" s="216">
        <f>4*3.141*1/16*(C10-3*D10+E10-3*F10)*B10^3/(1+$E$4/197^2*B10^2)*$E$3</f>
        <v>9.7038491449155071</v>
      </c>
      <c r="I10" s="216">
        <f>4*3.141*1/16*(C10-3*D10+E10-3*F10)*B10^3/(1+$O$8^2*B10^2)</f>
        <v>6.0486196470926332</v>
      </c>
      <c r="J10" s="216">
        <f>4*3.141*B10^3*G10</f>
        <v>0</v>
      </c>
      <c r="N10" t="s">
        <v>574</v>
      </c>
      <c r="O10" s="216">
        <f>mass_rmd.mas!I9^2*1000^2+'LF-140'!O7</f>
        <v>1158531.9139840303</v>
      </c>
      <c r="Q10" s="278">
        <f>mass_rmd.mas!I9^2*1000^2+'LF-140'!Q7</f>
        <v>1031782.182327837</v>
      </c>
    </row>
    <row r="11" spans="1:17" x14ac:dyDescent="0.2">
      <c r="H11" s="216">
        <f>SUM(H8:H10)</f>
        <v>-61.607029890157023</v>
      </c>
      <c r="I11">
        <f>SUM(I8:I10)</f>
        <v>-87.426646348717753</v>
      </c>
      <c r="J11" s="216">
        <f>SUM(J8:J10)</f>
        <v>85.98216272948585</v>
      </c>
      <c r="K11" s="216">
        <f>SUM(H11,J11)</f>
        <v>24.375132839328828</v>
      </c>
      <c r="L11" s="216">
        <f>SUM(J11,I11)</f>
        <v>-1.444483619231903</v>
      </c>
      <c r="N11" t="s">
        <v>575</v>
      </c>
      <c r="O11" s="216">
        <f>mass_rmd.mas!I9^2*1000^2+'LF-140'!O7/kinematics!D6^2</f>
        <v>881332.20569642365</v>
      </c>
      <c r="Q11" s="278">
        <f>mass_rmd.mas!I9^2*1000^2+'LF-140'!Q7/kinematics!D5^2</f>
        <v>898032.3139820816</v>
      </c>
    </row>
    <row r="12" spans="1:17" x14ac:dyDescent="0.2">
      <c r="B12" t="s">
        <v>565</v>
      </c>
      <c r="C12" t="s">
        <v>556</v>
      </c>
      <c r="D12" t="s">
        <v>557</v>
      </c>
      <c r="E12" t="s">
        <v>558</v>
      </c>
      <c r="F12" t="s">
        <v>559</v>
      </c>
      <c r="N12" t="s">
        <v>576</v>
      </c>
      <c r="O12" s="216">
        <f>O9/SQRT(O10*O11)</f>
        <v>0.93721488731797709</v>
      </c>
      <c r="Q12" s="278">
        <f>Q9/SQRT(Q10*Q11)</f>
        <v>0.98383666981312179</v>
      </c>
    </row>
    <row r="13" spans="1:17" x14ac:dyDescent="0.2">
      <c r="B13" s="217">
        <v>0.25</v>
      </c>
      <c r="C13" s="217">
        <v>1128</v>
      </c>
      <c r="D13" s="217">
        <v>9743</v>
      </c>
      <c r="E13" s="217">
        <v>2872</v>
      </c>
      <c r="F13" s="217">
        <v>468.99</v>
      </c>
      <c r="G13" s="216">
        <f>1/16*(C13-3*D13-E13+3*F13)*$E$3</f>
        <v>-1703.8651290611369</v>
      </c>
      <c r="H13" s="216">
        <f>4*3.141*1/16*(C13-3*D13+E13-3*F13)*B13^3/(1+$E$4/197^2*B13^2)*$E$3</f>
        <v>-242.56290103699754</v>
      </c>
      <c r="I13" s="216">
        <f>4*3.141*1/16*(C13-3*D13+E13-3*F13)*B13^3/(1+$O$8^2*B13^2)</f>
        <v>-226.13354389491988</v>
      </c>
      <c r="J13" s="216">
        <f>4*3.141*B13^3*G13</f>
        <v>-334.49002314881443</v>
      </c>
      <c r="K13" s="216" t="s">
        <v>489</v>
      </c>
    </row>
    <row r="14" spans="1:17" x14ac:dyDescent="0.2">
      <c r="B14" s="217">
        <v>0.4</v>
      </c>
      <c r="C14" s="217">
        <v>-406.1</v>
      </c>
      <c r="D14" s="217">
        <v>-3135.5</v>
      </c>
      <c r="E14" s="217">
        <v>-983.3</v>
      </c>
      <c r="F14" s="217">
        <v>-440.4</v>
      </c>
      <c r="G14" s="216">
        <f>1/16*(C14-3*D14-E14+3*F14)*$E$3</f>
        <v>499.21249760255603</v>
      </c>
      <c r="H14" s="216">
        <f>4*3.141*1/16*(C14-3*D14+E14-3*F14)*B14^3/(1+$E$4/197^2*B14^2)*$E$3</f>
        <v>267.0609454275662</v>
      </c>
      <c r="I14" s="216">
        <f>4*3.141*1/16*(C14-3*D14+E14-3*F14)*B14^3/(1+$O$8^2*B14^2)</f>
        <v>219.32810520786961</v>
      </c>
      <c r="J14" s="216">
        <f>4*3.141*B14^3*G14</f>
        <v>401.41477247222497</v>
      </c>
    </row>
    <row r="15" spans="1:17" x14ac:dyDescent="0.2">
      <c r="B15" s="217">
        <v>1.4</v>
      </c>
      <c r="C15" s="217">
        <v>0</v>
      </c>
      <c r="D15" s="217">
        <v>0</v>
      </c>
      <c r="E15" s="217">
        <v>0</v>
      </c>
      <c r="F15" s="217">
        <v>0</v>
      </c>
      <c r="G15" s="216">
        <f>1/16*(C15-3*D15-E15+3*F15)*$E$3</f>
        <v>0</v>
      </c>
      <c r="H15" s="216">
        <f>4*3.141*1/16*(C15-3*D15+E15-3*F15)*B15^3/(1+$E$4/197^2*B15^2)*$E$3</f>
        <v>0</v>
      </c>
      <c r="I15" s="216">
        <f>4*3.141*1/16*(C15-3*D15+E15-3*F15)*B15^3/(1+$O$8^2*B15^2)</f>
        <v>0</v>
      </c>
      <c r="J15" s="216">
        <f>4*3.141*B15^3*G15</f>
        <v>0</v>
      </c>
    </row>
    <row r="16" spans="1:17" x14ac:dyDescent="0.2">
      <c r="H16" s="216">
        <f>SUM(H13:H15)</f>
        <v>24.498044390568651</v>
      </c>
      <c r="I16">
        <f>SUM(I13:I15)</f>
        <v>-6.8054386870502697</v>
      </c>
      <c r="J16" s="216">
        <f>SUM(J13:J15)</f>
        <v>66.924749323410538</v>
      </c>
      <c r="K16" s="216">
        <f>SUM(H16,J16)</f>
        <v>91.422793713979189</v>
      </c>
      <c r="L16" s="216">
        <f>SUM(J16,I16)</f>
        <v>60.119310636360268</v>
      </c>
    </row>
    <row r="18" spans="2:13" x14ac:dyDescent="0.2">
      <c r="J18" s="214">
        <f>SQRT(J11^2+J16^2)</f>
        <v>108.95803953651665</v>
      </c>
      <c r="K18" s="214">
        <f>SQRT(K11^2+K16^2)</f>
        <v>94.616458987872292</v>
      </c>
      <c r="L18" s="214">
        <f>SQRT(L11^2+L16^2)</f>
        <v>60.136661399826728</v>
      </c>
    </row>
    <row r="19" spans="2:13" x14ac:dyDescent="0.2">
      <c r="B19" s="214" t="s">
        <v>566</v>
      </c>
    </row>
    <row r="20" spans="2:13" x14ac:dyDescent="0.2">
      <c r="B20" t="s">
        <v>555</v>
      </c>
      <c r="C20" t="s">
        <v>556</v>
      </c>
      <c r="D20" t="s">
        <v>557</v>
      </c>
      <c r="E20" t="s">
        <v>558</v>
      </c>
      <c r="F20" t="s">
        <v>559</v>
      </c>
      <c r="G20" t="s">
        <v>566</v>
      </c>
      <c r="H20" t="s">
        <v>567</v>
      </c>
      <c r="I20" t="s">
        <v>561</v>
      </c>
      <c r="J20" t="s">
        <v>568</v>
      </c>
      <c r="K20" t="s">
        <v>563</v>
      </c>
      <c r="L20" t="s">
        <v>564</v>
      </c>
    </row>
    <row r="21" spans="2:13" x14ac:dyDescent="0.2">
      <c r="B21" s="217">
        <v>0.25</v>
      </c>
      <c r="C21" s="217">
        <v>9474</v>
      </c>
      <c r="D21" s="217">
        <v>5957.5</v>
      </c>
      <c r="E21" s="217">
        <v>-2542</v>
      </c>
      <c r="F21" s="217">
        <v>7865</v>
      </c>
      <c r="G21" s="216">
        <f>1/16*(-C21-D21+E21+F21)*$E$3</f>
        <v>-582.54424612010826</v>
      </c>
      <c r="H21" s="216">
        <f>4*3.141*1/16*(-C21-D21-E21-F21)*B21^3/(1+$E$4/197^2*B21^2)*$E$3</f>
        <v>-189.0027556560683</v>
      </c>
      <c r="I21" s="216">
        <f>4*3.141*1/16*(-C21-D21-E21-F21)*B21^3/(1+$O$8^2*B21^2)</f>
        <v>-176.20115343151065</v>
      </c>
      <c r="J21" s="216">
        <f>4*3.141*B21^3*G21</f>
        <v>-114.36071731645376</v>
      </c>
      <c r="K21" s="216" t="s">
        <v>489</v>
      </c>
      <c r="M21" t="s">
        <v>185</v>
      </c>
    </row>
    <row r="22" spans="2:13" x14ac:dyDescent="0.2">
      <c r="B22" s="217">
        <v>0.4</v>
      </c>
      <c r="C22" s="217">
        <v>-2921</v>
      </c>
      <c r="D22" s="217">
        <v>-1978.4</v>
      </c>
      <c r="E22" s="217">
        <v>782.4</v>
      </c>
      <c r="F22" s="217">
        <v>-1569</v>
      </c>
      <c r="G22" s="216">
        <f>1/16*(-C22-D22+E22+F22)*$E$3</f>
        <v>237.01716134369894</v>
      </c>
      <c r="H22" s="216">
        <f>4*3.141*1/16*(-C22-D22-E22-F22)*B22^3/(1+$E$4/197^2*B22^2)*$E$3</f>
        <v>162.61081092930633</v>
      </c>
      <c r="I22" s="216">
        <f>4*3.141*1/16*(-C22-D22-E22-F22)*B22^3/(1+$O$8^2*B22^2)</f>
        <v>133.54674900270354</v>
      </c>
      <c r="J22" s="216">
        <f>4*3.141*B22^3*G22</f>
        <v>190.58455136782297</v>
      </c>
    </row>
    <row r="23" spans="2:13" x14ac:dyDescent="0.2">
      <c r="B23" s="217">
        <v>1.4</v>
      </c>
      <c r="C23" s="217">
        <v>-10.5</v>
      </c>
      <c r="D23" s="217">
        <v>-10.5</v>
      </c>
      <c r="E23" s="217">
        <v>31.5</v>
      </c>
      <c r="F23" s="217">
        <v>3.5</v>
      </c>
      <c r="G23" s="216">
        <f>1/16*(-C23-D23+E23+F23)*$E$3</f>
        <v>3.2272323077336957</v>
      </c>
      <c r="H23" s="216">
        <f>4*3.141*1/16*(-C23-D23-E23-F23)*B23^3/(1+$E$4/197^2*B23^2)*$E$3</f>
        <v>-3.2346163816385025</v>
      </c>
      <c r="I23" s="216">
        <f>4*3.141*1/16*(-C23-D23-E23-F23)*B23^3/(1+$O$8^2*B23^2)</f>
        <v>-2.016206549030878</v>
      </c>
      <c r="J23" s="216">
        <f>4*3.141*B23^3*G23</f>
        <v>111.26082178422071</v>
      </c>
    </row>
    <row r="24" spans="2:13" x14ac:dyDescent="0.2">
      <c r="H24" s="216">
        <f>SUM(H21:H23)</f>
        <v>-29.62656110840048</v>
      </c>
      <c r="I24">
        <f>SUM(I21:I23)</f>
        <v>-44.670610977837988</v>
      </c>
      <c r="J24" s="216">
        <f>SUM(J21:J23)</f>
        <v>187.48465583558993</v>
      </c>
      <c r="K24" s="216">
        <f>SUM(H24,J24)</f>
        <v>157.85809472718944</v>
      </c>
      <c r="L24" s="216">
        <f>SUM(J24,I24)</f>
        <v>142.81404485775195</v>
      </c>
    </row>
    <row r="25" spans="2:13" x14ac:dyDescent="0.2">
      <c r="B25" t="s">
        <v>565</v>
      </c>
      <c r="C25" t="s">
        <v>556</v>
      </c>
      <c r="D25" t="s">
        <v>557</v>
      </c>
      <c r="E25" t="s">
        <v>558</v>
      </c>
      <c r="F25" t="s">
        <v>559</v>
      </c>
    </row>
    <row r="26" spans="2:13" x14ac:dyDescent="0.2">
      <c r="B26" s="217">
        <v>0.25</v>
      </c>
      <c r="C26" s="217">
        <v>1128</v>
      </c>
      <c r="D26" s="217">
        <v>9743</v>
      </c>
      <c r="E26" s="217">
        <v>2872</v>
      </c>
      <c r="F26" s="217">
        <v>468.99</v>
      </c>
      <c r="G26" s="216">
        <f>1/16*(-C26-D26+E26+F26)*$E$3</f>
        <v>-433.94806338496085</v>
      </c>
      <c r="H26" s="216">
        <f>4*3.141*1/16*(-C26-D26-E26-F26)*B26^3/(1+$E$4/197^2*B26^2)*$E$3</f>
        <v>-129.4227889545152</v>
      </c>
      <c r="I26" s="216">
        <f>4*3.141*1/16*(-C26-D26-E26-F26)*B26^3/(1+$O$8^2*B26^2)</f>
        <v>-120.65667833756991</v>
      </c>
      <c r="J26" s="216">
        <f>4*3.141*B26^3*G26</f>
        <v>-85.189429193260125</v>
      </c>
      <c r="K26" s="216" t="s">
        <v>489</v>
      </c>
    </row>
    <row r="27" spans="2:13" x14ac:dyDescent="0.2">
      <c r="B27" s="217">
        <v>0.4</v>
      </c>
      <c r="C27" s="217">
        <v>-406.1</v>
      </c>
      <c r="D27" s="217">
        <v>-3135.5</v>
      </c>
      <c r="E27" s="217">
        <v>-983.3</v>
      </c>
      <c r="F27" s="217">
        <v>-440.4</v>
      </c>
      <c r="G27" s="216">
        <f>1/16*(-C27-D27+E27+F27)*$E$3</f>
        <v>122.05277329552133</v>
      </c>
      <c r="H27" s="216">
        <f>4*3.141*1/16*(-C27-D27-E27-F27)*B27^3/(1+$E$4/197^2*B27^2)*$E$3</f>
        <v>141.99990494324388</v>
      </c>
      <c r="I27" s="216">
        <f>4*3.141*1/16*(-C27-D27-E27-F27)*B27^3/(1+$O$8^2*B27^2)</f>
        <v>116.61971031008159</v>
      </c>
      <c r="J27" s="216">
        <f>4*3.141*B27^3*G27</f>
        <v>98.142146795835544</v>
      </c>
    </row>
    <row r="28" spans="2:13" x14ac:dyDescent="0.2">
      <c r="B28" s="217">
        <v>1.4</v>
      </c>
      <c r="C28" s="217">
        <v>0</v>
      </c>
      <c r="D28" s="217">
        <v>0</v>
      </c>
      <c r="E28" s="217">
        <v>0</v>
      </c>
      <c r="F28" s="217">
        <v>0</v>
      </c>
      <c r="G28" s="216">
        <f>1/16*(-C28-D28+E28+F28)*$E$3</f>
        <v>0</v>
      </c>
      <c r="H28" s="216">
        <f>4*3.141*1/16*(-C28-D28-E28-F28)*B28^3/(1+$E$4/197^2*B28^2)*$E$3</f>
        <v>0</v>
      </c>
      <c r="I28" s="216">
        <f>4*3.141*1/16*(-C28-D28-E28-F28)*B28^3/(1+$O$8^2*B28^2)</f>
        <v>0</v>
      </c>
      <c r="J28" s="216">
        <f>4*3.141*B28^3*G28</f>
        <v>0</v>
      </c>
    </row>
    <row r="29" spans="2:13" x14ac:dyDescent="0.2">
      <c r="H29" s="216">
        <f>SUM(H26:H28)</f>
        <v>12.577115988728679</v>
      </c>
      <c r="I29">
        <f>SUM(I26:I28)</f>
        <v>-4.0369680274883279</v>
      </c>
      <c r="J29" s="216">
        <f>SUM(J26:J28)</f>
        <v>12.952717602575419</v>
      </c>
      <c r="K29" s="216">
        <f>SUM(H29,J29)</f>
        <v>25.529833591304097</v>
      </c>
      <c r="L29" s="216">
        <f>SUM(J29,I29)</f>
        <v>8.9157495750870908</v>
      </c>
    </row>
    <row r="31" spans="2:13" x14ac:dyDescent="0.2">
      <c r="B31" s="217"/>
      <c r="C31" s="237" t="s">
        <v>579</v>
      </c>
      <c r="D31" s="237"/>
      <c r="J31" s="214">
        <f>SQRT(J24^2+J29^2)</f>
        <v>187.93155420812565</v>
      </c>
      <c r="K31" s="214">
        <f>SQRT(K24^2+K29^2)</f>
        <v>159.90919446391442</v>
      </c>
      <c r="L31" s="214">
        <f>SQRT(L24^2+L29^2)</f>
        <v>143.0920752491823</v>
      </c>
    </row>
    <row r="33" spans="1:5" x14ac:dyDescent="0.2">
      <c r="B33" t="s">
        <v>489</v>
      </c>
    </row>
    <row r="36" spans="1:5" x14ac:dyDescent="0.2">
      <c r="A36" s="220" t="s">
        <v>17</v>
      </c>
      <c r="B36" s="220" t="s">
        <v>581</v>
      </c>
      <c r="C36" s="220" t="s">
        <v>586</v>
      </c>
      <c r="D36" s="220" t="s">
        <v>587</v>
      </c>
      <c r="E36" s="220" t="s">
        <v>588</v>
      </c>
    </row>
    <row r="37" spans="1:5" x14ac:dyDescent="0.2">
      <c r="A37" s="216" t="str">
        <f>J3</f>
        <v xml:space="preserve"> </v>
      </c>
      <c r="B37" s="216">
        <f>E5</f>
        <v>1.9663249675175118</v>
      </c>
      <c r="C37" s="216">
        <f>E3</f>
        <v>0.92206637363819877</v>
      </c>
      <c r="D37" s="216">
        <f>J31</f>
        <v>187.93155420812565</v>
      </c>
      <c r="E37" s="216">
        <f>K31</f>
        <v>159.90919446391442</v>
      </c>
    </row>
  </sheetData>
  <mergeCells count="6">
    <mergeCell ref="C31:D31"/>
    <mergeCell ref="A1:E1"/>
    <mergeCell ref="A3:D3"/>
    <mergeCell ref="G3:I3"/>
    <mergeCell ref="A4:D4"/>
    <mergeCell ref="A5:C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kinematics</vt:lpstr>
      <vt:lpstr>small plots</vt:lpstr>
      <vt:lpstr>Calculator</vt:lpstr>
      <vt:lpstr>Plotting Sheet</vt:lpstr>
      <vt:lpstr>mass_rmd.mas</vt:lpstr>
      <vt:lpstr>MASS - 2016</vt:lpstr>
      <vt:lpstr>Decay</vt:lpstr>
      <vt:lpstr>Recoil-Decay</vt:lpstr>
      <vt:lpstr>LF-100</vt:lpstr>
      <vt:lpstr>LF-140</vt:lpstr>
      <vt:lpstr>lab angle vs cm</vt:lpstr>
      <vt:lpstr>lab KE vs cm</vt:lpstr>
      <vt:lpstr>plectrum plots</vt:lpstr>
      <vt:lpstr>A_values</vt:lpstr>
      <vt:lpstr>Delta_values</vt:lpstr>
      <vt:lpstr>Print_plot</vt:lpstr>
      <vt:lpstr>Print_table</vt:lpstr>
      <vt:lpstr>Symbol_values</vt:lpstr>
      <vt:lpstr>Z_values</vt:lpstr>
    </vt:vector>
  </TitlesOfParts>
  <Company>University of Surrey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Wilton Catford</dc:creator>
  <cp:lastModifiedBy>Zegers, Remco</cp:lastModifiedBy>
  <cp:lastPrinted>2007-05-10T14:40:30Z</cp:lastPrinted>
  <dcterms:created xsi:type="dcterms:W3CDTF">1998-10-11T01:22:07Z</dcterms:created>
  <dcterms:modified xsi:type="dcterms:W3CDTF">2018-03-04T02:35:15Z</dcterms:modified>
</cp:coreProperties>
</file>